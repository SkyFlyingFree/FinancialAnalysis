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2.xml" ContentType="application/vnd.openxmlformats-officedocument.drawing+xml"/>
  <Override PartName="/xl/charts/chart7.xml" ContentType="application/vnd.openxmlformats-officedocument.drawingml.chart+xml"/>
  <Override PartName="/xl/drawings/drawing3.xml" ContentType="application/vnd.openxmlformats-officedocument.drawingml.chartshapes+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drawings/drawing4.xml" ContentType="application/vnd.openxmlformats-officedocument.drawing+xml"/>
  <Override PartName="/xl/charts/chart13.xml" ContentType="application/vnd.openxmlformats-officedocument.drawingml.chart+xml"/>
  <Override PartName="/xl/charts/chart14.xml" ContentType="application/vnd.openxmlformats-officedocument.drawingml.chart+xml"/>
  <Override PartName="/xl/charts/style1.xml" ContentType="application/vnd.ms-office.chartstyle+xml"/>
  <Override PartName="/xl/charts/colors1.xml" ContentType="application/vnd.ms-office.chartcolorstyle+xml"/>
  <Override PartName="/xl/drawings/drawing5.xml" ContentType="application/vnd.openxmlformats-officedocument.drawing+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drawings/drawing6.xml" ContentType="application/vnd.openxmlformats-officedocument.drawing+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drawings/drawing7.xml" ContentType="application/vnd.openxmlformats-officedocument.drawing+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drawings/drawing8.xml" ContentType="application/vnd.openxmlformats-officedocument.drawing+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drawings/drawing9.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1126" codeName="{22E68647-3C60-695B-3CA0-4895CD717B8A}"/>
  <workbookPr codeName="ThisWorkbook" defaultThemeVersion="124226"/>
  <mc:AlternateContent xmlns:mc="http://schemas.openxmlformats.org/markup-compatibility/2006">
    <mc:Choice Requires="x15">
      <x15ac:absPath xmlns:x15ac="http://schemas.microsoft.com/office/spreadsheetml/2010/11/ac" url="D:\doc\FinancialAnalysis\上市公司\"/>
    </mc:Choice>
  </mc:AlternateContent>
  <xr:revisionPtr revIDLastSave="0" documentId="13_ncr:1_{477E54E7-3471-48DB-90E8-11F46C3503FC}" xr6:coauthVersionLast="40" xr6:coauthVersionMax="40" xr10:uidLastSave="{00000000-0000-0000-0000-000000000000}"/>
  <bookViews>
    <workbookView xWindow="480" yWindow="48" windowWidth="24792" windowHeight="11676" tabRatio="898" firstSheet="3" activeTab="6" xr2:uid="{00000000-000D-0000-FFFF-FFFF00000000}"/>
  </bookViews>
  <sheets>
    <sheet name="资产负债表" sheetId="1" r:id="rId1"/>
    <sheet name="利润表" sheetId="2" r:id="rId2"/>
    <sheet name="现金流量表" sheetId="3" r:id="rId3"/>
    <sheet name="资产资本表" sheetId="5" r:id="rId4"/>
    <sheet name="股权价值增加表" sheetId="6" r:id="rId5"/>
    <sheet name="投资和筹资活动现金流表" sheetId="7" r:id="rId6"/>
    <sheet name="平均资本成本表" sheetId="8" r:id="rId7"/>
    <sheet name="资产资本结构分析表" sheetId="9" r:id="rId8"/>
    <sheet name="股权价值增加分析表" sheetId="10" r:id="rId9"/>
    <sheet name="股东权益回报率分析表" sheetId="11" r:id="rId10"/>
    <sheet name="自由现金流分析表" sheetId="12" r:id="rId11"/>
    <sheet name="根据DCF测算价值表" sheetId="13" r:id="rId12"/>
  </sheets>
  <functionGroups builtInGroupCount="19"/>
  <calcPr calcId="181029"/>
</workbook>
</file>

<file path=xl/calcChain.xml><?xml version="1.0" encoding="utf-8"?>
<calcChain xmlns="http://schemas.openxmlformats.org/spreadsheetml/2006/main">
  <c r="F9" i="8" l="1"/>
  <c r="G9" i="8"/>
  <c r="H9" i="8"/>
  <c r="I9" i="8"/>
  <c r="J9" i="8"/>
  <c r="K9" i="8"/>
  <c r="L9" i="8"/>
  <c r="M9" i="8"/>
  <c r="N9" i="8"/>
  <c r="O9" i="8"/>
  <c r="P9" i="8"/>
  <c r="Q9" i="8"/>
  <c r="R9" i="8"/>
  <c r="S9" i="8"/>
  <c r="T9" i="8"/>
  <c r="U9" i="8"/>
  <c r="V9" i="8"/>
  <c r="W9" i="8"/>
  <c r="X9" i="8"/>
  <c r="Y9" i="8"/>
  <c r="Z9" i="8"/>
  <c r="AA9" i="8"/>
  <c r="AB9" i="8"/>
  <c r="AC9" i="8"/>
  <c r="AD9" i="8"/>
  <c r="AE9" i="8"/>
  <c r="AF9" i="8"/>
  <c r="AG9" i="8"/>
  <c r="AH9" i="8"/>
  <c r="AI9" i="8"/>
  <c r="AJ9" i="8"/>
  <c r="AK9" i="8"/>
  <c r="AL9" i="8"/>
  <c r="AM9" i="8"/>
  <c r="AN9" i="8"/>
  <c r="AO9" i="8"/>
  <c r="AP9" i="8"/>
  <c r="AQ9" i="8"/>
  <c r="AR9" i="8"/>
  <c r="AS9" i="8"/>
  <c r="AT9" i="8"/>
  <c r="AU9" i="8"/>
  <c r="AV9" i="8"/>
  <c r="AW9" i="8"/>
  <c r="AX9" i="8"/>
  <c r="AY9" i="8"/>
  <c r="AZ9" i="8"/>
  <c r="BA9" i="8"/>
  <c r="BB9" i="8"/>
  <c r="BC9" i="8"/>
  <c r="BD9" i="8"/>
  <c r="BE9" i="8"/>
  <c r="BF9" i="8"/>
  <c r="BG9" i="8"/>
  <c r="BH9" i="8"/>
  <c r="BI9" i="8"/>
  <c r="BJ9" i="8"/>
  <c r="BK9" i="8"/>
  <c r="BL9" i="8"/>
  <c r="BM9" i="8"/>
  <c r="BN9" i="8"/>
  <c r="BO9" i="8"/>
  <c r="BP9" i="8"/>
  <c r="BQ9" i="8"/>
  <c r="BR9" i="8"/>
  <c r="BS9" i="8"/>
  <c r="BT9" i="8"/>
  <c r="BU9" i="8"/>
  <c r="BV9" i="8"/>
  <c r="E9" i="8"/>
  <c r="Y55" i="6" l="1"/>
  <c r="U55" i="6"/>
  <c r="Q55" i="6"/>
  <c r="M55" i="6"/>
  <c r="I55" i="6"/>
  <c r="E55" i="6"/>
  <c r="F53" i="10" l="1"/>
  <c r="F60" i="10" s="1"/>
  <c r="G53" i="10"/>
  <c r="G60" i="10" s="1"/>
  <c r="H53" i="10"/>
  <c r="H60" i="10" s="1"/>
  <c r="I53" i="10"/>
  <c r="I60" i="10" s="1"/>
  <c r="J53" i="10"/>
  <c r="J60" i="10" s="1"/>
  <c r="K53" i="10"/>
  <c r="K60" i="10" s="1"/>
  <c r="L53" i="10"/>
  <c r="L60" i="10" s="1"/>
  <c r="M53" i="10"/>
  <c r="M60" i="10" s="1"/>
  <c r="N53" i="10"/>
  <c r="N60" i="10" s="1"/>
  <c r="O53" i="10"/>
  <c r="O60" i="10" s="1"/>
  <c r="P53" i="10"/>
  <c r="P60" i="10" s="1"/>
  <c r="Q53" i="10"/>
  <c r="Q60" i="10" s="1"/>
  <c r="R53" i="10"/>
  <c r="R60" i="10" s="1"/>
  <c r="S53" i="10"/>
  <c r="S60" i="10" s="1"/>
  <c r="T53" i="10"/>
  <c r="T60" i="10" s="1"/>
  <c r="U53" i="10"/>
  <c r="U60" i="10" s="1"/>
  <c r="V53" i="10"/>
  <c r="V60" i="10" s="1"/>
  <c r="W53" i="10"/>
  <c r="W60" i="10" s="1"/>
  <c r="X53" i="10"/>
  <c r="X60" i="10" s="1"/>
  <c r="Y53" i="10"/>
  <c r="Y60" i="10" s="1"/>
  <c r="Z53" i="10"/>
  <c r="Z60" i="10" s="1"/>
  <c r="AA53" i="10"/>
  <c r="AA60" i="10" s="1"/>
  <c r="AB53" i="10"/>
  <c r="AB60" i="10" s="1"/>
  <c r="AC53" i="10"/>
  <c r="AC60" i="10" s="1"/>
  <c r="E53" i="10"/>
  <c r="E60" i="10" s="1"/>
  <c r="F77" i="9"/>
  <c r="G77" i="9"/>
  <c r="H77" i="9"/>
  <c r="I77" i="9"/>
  <c r="J77" i="9"/>
  <c r="K77" i="9"/>
  <c r="L77" i="9"/>
  <c r="M77" i="9"/>
  <c r="N77" i="9"/>
  <c r="O77" i="9"/>
  <c r="P77" i="9"/>
  <c r="Q77" i="9"/>
  <c r="R77" i="9"/>
  <c r="S77" i="9"/>
  <c r="T77" i="9"/>
  <c r="U77" i="9"/>
  <c r="E77" i="9"/>
  <c r="N38" i="9"/>
  <c r="O38" i="9"/>
  <c r="P38" i="9"/>
  <c r="Q38" i="9"/>
  <c r="R38" i="9"/>
  <c r="S38" i="9"/>
  <c r="T38" i="9"/>
  <c r="U38" i="9"/>
  <c r="N54" i="9"/>
  <c r="O54" i="9"/>
  <c r="P54" i="9"/>
  <c r="Q54" i="9"/>
  <c r="R54" i="9"/>
  <c r="S54" i="9"/>
  <c r="T54" i="9"/>
  <c r="U54" i="9"/>
  <c r="F66" i="9"/>
  <c r="G66" i="9"/>
  <c r="H66" i="9"/>
  <c r="I66" i="9"/>
  <c r="J66" i="9"/>
  <c r="K66" i="9"/>
  <c r="L66" i="9"/>
  <c r="M66" i="9"/>
  <c r="N66" i="9"/>
  <c r="O66" i="9"/>
  <c r="P66" i="9"/>
  <c r="Q66" i="9"/>
  <c r="R66" i="9"/>
  <c r="S66" i="9"/>
  <c r="T66" i="9"/>
  <c r="U66" i="9"/>
  <c r="E66" i="9"/>
  <c r="F54" i="9"/>
  <c r="G54" i="9"/>
  <c r="H54" i="9"/>
  <c r="I54" i="9"/>
  <c r="J54" i="9"/>
  <c r="K54" i="9"/>
  <c r="L54" i="9"/>
  <c r="M54" i="9"/>
  <c r="E54" i="9"/>
  <c r="Z17" i="7" l="1"/>
  <c r="AA17" i="7"/>
  <c r="AB17" i="7"/>
  <c r="AC17" i="7"/>
  <c r="AD17" i="7"/>
  <c r="AE17" i="7"/>
  <c r="AF17" i="7"/>
  <c r="AG17" i="7"/>
  <c r="AH17" i="7"/>
  <c r="AI17" i="7"/>
  <c r="AJ17" i="7"/>
  <c r="AK17" i="7"/>
  <c r="AL17" i="7"/>
  <c r="AM17" i="7"/>
  <c r="AN17" i="7"/>
  <c r="AO17" i="7"/>
  <c r="AP17" i="7"/>
  <c r="AQ17" i="7"/>
  <c r="AR17" i="7"/>
  <c r="AS17" i="7"/>
  <c r="AS19" i="7" s="1"/>
  <c r="AS21" i="7" s="1"/>
  <c r="AT17" i="7"/>
  <c r="AU17" i="7"/>
  <c r="AV17" i="7"/>
  <c r="V34" i="7"/>
  <c r="R12" i="7" s="1"/>
  <c r="W34" i="7"/>
  <c r="S12" i="7" s="1"/>
  <c r="X34" i="7"/>
  <c r="T12" i="7" s="1"/>
  <c r="Y34" i="7"/>
  <c r="U12" i="7" s="1"/>
  <c r="Z34" i="7"/>
  <c r="V12" i="7" s="1"/>
  <c r="AA34" i="7"/>
  <c r="W12" i="7" s="1"/>
  <c r="AB34" i="7"/>
  <c r="X12" i="7" s="1"/>
  <c r="AC34" i="7"/>
  <c r="Y12" i="7" s="1"/>
  <c r="AD34" i="7"/>
  <c r="Z12" i="7" s="1"/>
  <c r="AE34" i="7"/>
  <c r="AA12" i="7" s="1"/>
  <c r="AF34" i="7"/>
  <c r="AB12" i="7" s="1"/>
  <c r="AG34" i="7"/>
  <c r="AC12" i="7" s="1"/>
  <c r="AH34" i="7"/>
  <c r="AD12" i="7" s="1"/>
  <c r="AI34" i="7"/>
  <c r="AE12" i="7" s="1"/>
  <c r="AJ34" i="7"/>
  <c r="AF12" i="7" s="1"/>
  <c r="AK34" i="7"/>
  <c r="AG12" i="7" s="1"/>
  <c r="AL34" i="7"/>
  <c r="AH12" i="7" s="1"/>
  <c r="AM34" i="7"/>
  <c r="AI12" i="7" s="1"/>
  <c r="AN34" i="7"/>
  <c r="AJ12" i="7" s="1"/>
  <c r="AO34" i="7"/>
  <c r="AK12" i="7" s="1"/>
  <c r="AP34" i="7"/>
  <c r="AL12" i="7" s="1"/>
  <c r="AQ34" i="7"/>
  <c r="AM12" i="7" s="1"/>
  <c r="AR34" i="7"/>
  <c r="AN12" i="7" s="1"/>
  <c r="AS34" i="7"/>
  <c r="AO12" i="7" s="1"/>
  <c r="AT34" i="7"/>
  <c r="AP12" i="7" s="1"/>
  <c r="AU34" i="7"/>
  <c r="AQ12" i="7" s="1"/>
  <c r="AV34" i="7"/>
  <c r="AR12" i="7" s="1"/>
  <c r="AW34" i="7"/>
  <c r="AS12" i="7" s="1"/>
  <c r="AX34" i="7"/>
  <c r="AT12" i="7" s="1"/>
  <c r="AY34" i="7"/>
  <c r="AU12" i="7" s="1"/>
  <c r="AZ34" i="7"/>
  <c r="AV12" i="7" s="1"/>
  <c r="BA34" i="7"/>
  <c r="AW12" i="7" s="1"/>
  <c r="BB34" i="7"/>
  <c r="AX12" i="7" s="1"/>
  <c r="BC34" i="7"/>
  <c r="AY12" i="7" s="1"/>
  <c r="BD34" i="7"/>
  <c r="AZ12" i="7" s="1"/>
  <c r="BE34" i="7"/>
  <c r="BA12" i="7" s="1"/>
  <c r="BF34" i="7"/>
  <c r="BB12" i="7" s="1"/>
  <c r="BG34" i="7"/>
  <c r="BC12" i="7" s="1"/>
  <c r="BH34" i="7"/>
  <c r="BD12" i="7" s="1"/>
  <c r="BI34" i="7"/>
  <c r="BE12" i="7" s="1"/>
  <c r="BJ34" i="7"/>
  <c r="BF12" i="7" s="1"/>
  <c r="BK34" i="7"/>
  <c r="BG12" i="7" s="1"/>
  <c r="BL34" i="7"/>
  <c r="BH12" i="7" s="1"/>
  <c r="BM34" i="7"/>
  <c r="BI12" i="7" s="1"/>
  <c r="BN34" i="7"/>
  <c r="BJ12" i="7" s="1"/>
  <c r="BO34" i="7"/>
  <c r="BK12" i="7" s="1"/>
  <c r="BP34" i="7"/>
  <c r="BL12" i="7" s="1"/>
  <c r="AL42" i="7"/>
  <c r="AM42" i="7"/>
  <c r="AN42" i="7"/>
  <c r="AO42" i="7"/>
  <c r="AP42" i="7"/>
  <c r="AQ42" i="7"/>
  <c r="AR42" i="7"/>
  <c r="AS42" i="7"/>
  <c r="AT42" i="7"/>
  <c r="AU42" i="7"/>
  <c r="AV42" i="7"/>
  <c r="AW42" i="7"/>
  <c r="AX42" i="7"/>
  <c r="AY42" i="7"/>
  <c r="AZ42" i="7"/>
  <c r="BQ34" i="7"/>
  <c r="BM12" i="7" s="1"/>
  <c r="BR34" i="7"/>
  <c r="BN12" i="7" s="1"/>
  <c r="BS34" i="7"/>
  <c r="AS11" i="7"/>
  <c r="AT11" i="7"/>
  <c r="AU11" i="7"/>
  <c r="AV11" i="7"/>
  <c r="AW11" i="7"/>
  <c r="AX11" i="7"/>
  <c r="AY11" i="7"/>
  <c r="AZ11" i="7"/>
  <c r="BA11" i="7"/>
  <c r="BB11" i="7"/>
  <c r="BC11" i="7"/>
  <c r="BD11" i="7"/>
  <c r="BE11" i="7"/>
  <c r="BF11" i="7"/>
  <c r="BG11" i="7"/>
  <c r="BH11" i="7"/>
  <c r="BI11" i="7"/>
  <c r="BJ11" i="7"/>
  <c r="BK11" i="7"/>
  <c r="BL11" i="7"/>
  <c r="BM11" i="7"/>
  <c r="BN11" i="7"/>
  <c r="BO11" i="7"/>
  <c r="BP11" i="7"/>
  <c r="BQ11" i="7"/>
  <c r="BR11" i="7"/>
  <c r="BS11" i="7"/>
  <c r="AS56" i="6"/>
  <c r="B46" i="13" l="1"/>
  <c r="B51" i="13"/>
  <c r="B54" i="13"/>
  <c r="F38" i="9"/>
  <c r="G38" i="9"/>
  <c r="H38" i="9"/>
  <c r="I38" i="9"/>
  <c r="J38" i="9"/>
  <c r="K38" i="9"/>
  <c r="L38" i="9"/>
  <c r="M38" i="9"/>
  <c r="E38" i="9"/>
  <c r="Z45" i="7" l="1"/>
  <c r="Z49" i="7" s="1"/>
  <c r="AA45" i="7"/>
  <c r="AA49" i="7" s="1"/>
  <c r="AB45" i="7"/>
  <c r="AB49" i="7" s="1"/>
  <c r="AC45" i="7"/>
  <c r="AC49" i="7" s="1"/>
  <c r="AD45" i="7"/>
  <c r="AD49" i="7" s="1"/>
  <c r="AE45" i="7"/>
  <c r="AE49" i="7" s="1"/>
  <c r="AF45" i="7"/>
  <c r="AF49" i="7" s="1"/>
  <c r="AG45" i="7"/>
  <c r="AG49" i="7" s="1"/>
  <c r="AH45" i="7"/>
  <c r="AH49" i="7" s="1"/>
  <c r="AI45" i="7"/>
  <c r="AI49" i="7" s="1"/>
  <c r="AJ45" i="7"/>
  <c r="AJ49" i="7" s="1"/>
  <c r="AK45" i="7"/>
  <c r="AK49" i="7" s="1"/>
  <c r="AL45" i="7"/>
  <c r="AL49" i="7" s="1"/>
  <c r="AM45" i="7"/>
  <c r="AM49" i="7" s="1"/>
  <c r="AN45" i="7"/>
  <c r="AN49" i="7" s="1"/>
  <c r="AO45" i="7"/>
  <c r="AO49" i="7" s="1"/>
  <c r="AP45" i="7"/>
  <c r="AP49" i="7" s="1"/>
  <c r="AQ45" i="7"/>
  <c r="AQ49" i="7" s="1"/>
  <c r="AR45" i="7"/>
  <c r="AR49" i="7" s="1"/>
  <c r="AS45" i="7"/>
  <c r="AS49" i="7" s="1"/>
  <c r="AT45" i="7"/>
  <c r="AT49" i="7" s="1"/>
  <c r="AU45" i="7"/>
  <c r="AU49" i="7" s="1"/>
  <c r="AV45" i="7"/>
  <c r="AV49" i="7" s="1"/>
  <c r="AW45" i="7"/>
  <c r="AW49" i="7" s="1"/>
  <c r="AX45" i="7"/>
  <c r="AX49" i="7" s="1"/>
  <c r="AY45" i="7"/>
  <c r="AY49" i="7" s="1"/>
  <c r="AZ45" i="7"/>
  <c r="AZ49" i="7" s="1"/>
  <c r="BA45" i="7"/>
  <c r="BA49" i="7" s="1"/>
  <c r="BB45" i="7"/>
  <c r="BB49" i="7" s="1"/>
  <c r="BC45" i="7"/>
  <c r="BC49" i="7" s="1"/>
  <c r="BD45" i="7"/>
  <c r="BD49" i="7" s="1"/>
  <c r="BE45" i="7"/>
  <c r="BE49" i="7" s="1"/>
  <c r="BF45" i="7"/>
  <c r="BF49" i="7" s="1"/>
  <c r="BG45" i="7"/>
  <c r="BG49" i="7" s="1"/>
  <c r="BH45" i="7"/>
  <c r="BH49" i="7" s="1"/>
  <c r="BI45" i="7"/>
  <c r="BI49" i="7" s="1"/>
  <c r="BJ45" i="7"/>
  <c r="BJ49" i="7" s="1"/>
  <c r="BK45" i="7"/>
  <c r="BK49" i="7" s="1"/>
  <c r="BL45" i="7"/>
  <c r="BL49" i="7" s="1"/>
  <c r="BM45" i="7"/>
  <c r="BM49" i="7" s="1"/>
  <c r="BN45" i="7"/>
  <c r="BN49" i="7" s="1"/>
  <c r="BO45" i="7"/>
  <c r="BO49" i="7" s="1"/>
  <c r="BP45" i="7"/>
  <c r="BP49" i="7" s="1"/>
  <c r="BQ45" i="7"/>
  <c r="BQ49" i="7" s="1"/>
  <c r="BR45" i="7"/>
  <c r="BR49" i="7" s="1"/>
  <c r="BS45" i="7"/>
  <c r="BS49" i="7" s="1"/>
  <c r="BT45" i="7"/>
  <c r="BT49" i="7" s="1"/>
  <c r="BU45" i="7"/>
  <c r="BU49" i="7" s="1"/>
  <c r="BV45" i="7"/>
  <c r="BV49" i="7" s="1"/>
  <c r="Z42" i="7"/>
  <c r="AA42" i="7"/>
  <c r="AB42" i="7"/>
  <c r="AC42" i="7"/>
  <c r="AD42" i="7"/>
  <c r="AE42" i="7"/>
  <c r="AF42" i="7"/>
  <c r="AG42" i="7"/>
  <c r="AH42" i="7"/>
  <c r="AI42" i="7"/>
  <c r="AJ42" i="7"/>
  <c r="AK42" i="7"/>
  <c r="BA42" i="7"/>
  <c r="BB42" i="7"/>
  <c r="BC42" i="7"/>
  <c r="BD42" i="7"/>
  <c r="BE42" i="7"/>
  <c r="BF42" i="7"/>
  <c r="BG42" i="7"/>
  <c r="BH42" i="7"/>
  <c r="BI42" i="7"/>
  <c r="BJ42" i="7"/>
  <c r="BK42" i="7"/>
  <c r="BL42" i="7"/>
  <c r="BM42" i="7"/>
  <c r="BN42" i="7"/>
  <c r="BO42" i="7"/>
  <c r="BP42" i="7"/>
  <c r="BQ42" i="7"/>
  <c r="BR42" i="7"/>
  <c r="BS42" i="7"/>
  <c r="BT42" i="7"/>
  <c r="BU42" i="7"/>
  <c r="BV42" i="7"/>
  <c r="F27" i="7"/>
  <c r="G27" i="7"/>
  <c r="H27" i="7"/>
  <c r="I27" i="7"/>
  <c r="J27" i="7"/>
  <c r="K27" i="7"/>
  <c r="L27" i="7"/>
  <c r="M27" i="7"/>
  <c r="N27" i="7"/>
  <c r="O27" i="7"/>
  <c r="P27" i="7"/>
  <c r="Q27" i="7"/>
  <c r="R27" i="7"/>
  <c r="S27" i="7"/>
  <c r="T27" i="7"/>
  <c r="U27" i="7"/>
  <c r="V27" i="7"/>
  <c r="W27" i="7"/>
  <c r="X27" i="7"/>
  <c r="Y27" i="7"/>
  <c r="Z27" i="7"/>
  <c r="AA27" i="7"/>
  <c r="AB27" i="7"/>
  <c r="AC27" i="7"/>
  <c r="AD27" i="7"/>
  <c r="AE27" i="7"/>
  <c r="AF27" i="7"/>
  <c r="AG27" i="7"/>
  <c r="AH27" i="7"/>
  <c r="AI27" i="7"/>
  <c r="AJ27" i="7"/>
  <c r="AK27" i="7"/>
  <c r="AL27" i="7"/>
  <c r="AM27" i="7"/>
  <c r="AN27" i="7"/>
  <c r="AO27" i="7"/>
  <c r="AP27" i="7"/>
  <c r="AQ27" i="7"/>
  <c r="AR27" i="7"/>
  <c r="AS27" i="7"/>
  <c r="AT27" i="7"/>
  <c r="AU27" i="7"/>
  <c r="AV27" i="7"/>
  <c r="AW27" i="7"/>
  <c r="AX27" i="7"/>
  <c r="AY27" i="7"/>
  <c r="AZ27" i="7"/>
  <c r="BA27" i="7"/>
  <c r="BB27" i="7"/>
  <c r="BC27" i="7"/>
  <c r="BD27" i="7"/>
  <c r="BE27" i="7"/>
  <c r="BF27" i="7"/>
  <c r="BG27" i="7"/>
  <c r="BH27" i="7"/>
  <c r="BI27" i="7"/>
  <c r="BJ27" i="7"/>
  <c r="BK27" i="7"/>
  <c r="BL27" i="7"/>
  <c r="BM27" i="7"/>
  <c r="BN27" i="7"/>
  <c r="BO27" i="7"/>
  <c r="BP27" i="7"/>
  <c r="BQ27" i="7"/>
  <c r="BR27" i="7"/>
  <c r="BS27" i="7"/>
  <c r="BT27" i="7"/>
  <c r="BU27" i="7"/>
  <c r="BV27" i="7"/>
  <c r="F26" i="7"/>
  <c r="G26" i="7"/>
  <c r="H26" i="7"/>
  <c r="I26" i="7"/>
  <c r="J26" i="7"/>
  <c r="K26" i="7"/>
  <c r="L26" i="7"/>
  <c r="M26" i="7"/>
  <c r="N26" i="7"/>
  <c r="O26" i="7"/>
  <c r="P26" i="7"/>
  <c r="Q26" i="7"/>
  <c r="R26" i="7"/>
  <c r="S26" i="7"/>
  <c r="T26" i="7"/>
  <c r="U26" i="7"/>
  <c r="V26" i="7"/>
  <c r="W26" i="7"/>
  <c r="X26" i="7"/>
  <c r="Y26" i="7"/>
  <c r="Z26" i="7"/>
  <c r="AA26" i="7"/>
  <c r="AB26" i="7"/>
  <c r="AC26" i="7"/>
  <c r="AD26" i="7"/>
  <c r="AE26" i="7"/>
  <c r="AF26" i="7"/>
  <c r="AG26" i="7"/>
  <c r="AH26" i="7"/>
  <c r="AI26" i="7"/>
  <c r="AJ26" i="7"/>
  <c r="AK26" i="7"/>
  <c r="AL26" i="7"/>
  <c r="AM26" i="7"/>
  <c r="AN26" i="7"/>
  <c r="AO26" i="7"/>
  <c r="AP26" i="7"/>
  <c r="AQ26" i="7"/>
  <c r="AR26" i="7"/>
  <c r="AS26" i="7"/>
  <c r="AT26" i="7"/>
  <c r="AU26" i="7"/>
  <c r="AV26" i="7"/>
  <c r="AW26" i="7"/>
  <c r="AX26" i="7"/>
  <c r="AY26" i="7"/>
  <c r="AZ26" i="7"/>
  <c r="BA26" i="7"/>
  <c r="BB26" i="7"/>
  <c r="BC26" i="7"/>
  <c r="BD26" i="7"/>
  <c r="BE26" i="7"/>
  <c r="BF26" i="7"/>
  <c r="BG26" i="7"/>
  <c r="BH26" i="7"/>
  <c r="BI26" i="7"/>
  <c r="BJ26" i="7"/>
  <c r="BK26" i="7"/>
  <c r="BL26" i="7"/>
  <c r="BM26" i="7"/>
  <c r="BN26" i="7"/>
  <c r="BO26" i="7"/>
  <c r="BP26" i="7"/>
  <c r="BQ26" i="7"/>
  <c r="BR26" i="7"/>
  <c r="BS26" i="7"/>
  <c r="BT26" i="7"/>
  <c r="BU26" i="7"/>
  <c r="BV26" i="7"/>
  <c r="E27" i="7"/>
  <c r="E26" i="7"/>
  <c r="V5" i="7"/>
  <c r="W5" i="7"/>
  <c r="X5" i="7"/>
  <c r="Y5" i="7"/>
  <c r="Z5" i="7"/>
  <c r="AA5" i="7"/>
  <c r="AB5" i="7"/>
  <c r="AC5" i="7"/>
  <c r="AD5" i="7"/>
  <c r="AE5" i="7"/>
  <c r="AF5" i="7"/>
  <c r="AG5" i="7"/>
  <c r="AH5" i="7"/>
  <c r="AI5" i="7"/>
  <c r="AJ5" i="7"/>
  <c r="AK5" i="7"/>
  <c r="AL5" i="7"/>
  <c r="AM5" i="7"/>
  <c r="AN5" i="7"/>
  <c r="AO5" i="7"/>
  <c r="AP5" i="7"/>
  <c r="AQ5" i="7"/>
  <c r="AR5" i="7"/>
  <c r="AK56" i="6"/>
  <c r="Z56" i="6"/>
  <c r="AA56" i="6"/>
  <c r="AB56" i="6"/>
  <c r="AC56" i="6"/>
  <c r="AD56" i="6"/>
  <c r="AE56" i="6"/>
  <c r="AF56" i="6"/>
  <c r="AG56" i="6"/>
  <c r="AH56" i="6"/>
  <c r="AI56" i="6"/>
  <c r="AJ56" i="6"/>
  <c r="AL56" i="6"/>
  <c r="AM56" i="6"/>
  <c r="AN56" i="6"/>
  <c r="AO56" i="6"/>
  <c r="AP56" i="6"/>
  <c r="AQ56" i="6"/>
  <c r="AR56" i="6"/>
  <c r="AT56" i="6"/>
  <c r="AU56" i="6"/>
  <c r="U56" i="6"/>
  <c r="AQ11" i="7" l="1"/>
  <c r="AQ13" i="7" s="1"/>
  <c r="AQ19" i="7"/>
  <c r="AQ21" i="7" s="1"/>
  <c r="AO19" i="7"/>
  <c r="AO21" i="7" s="1"/>
  <c r="AO11" i="7"/>
  <c r="AO13" i="7" s="1"/>
  <c r="AL19" i="7"/>
  <c r="AL21" i="7" s="1"/>
  <c r="AL11" i="7"/>
  <c r="AL13" i="7" s="1"/>
  <c r="AR11" i="7"/>
  <c r="AR13" i="7" s="1"/>
  <c r="AR19" i="7"/>
  <c r="AR21" i="7" s="1"/>
  <c r="AN19" i="7"/>
  <c r="AN21" i="7" s="1"/>
  <c r="AN11" i="7"/>
  <c r="AN13" i="7" s="1"/>
  <c r="AP11" i="7"/>
  <c r="AP13" i="7" s="1"/>
  <c r="AP19" i="7"/>
  <c r="AP21" i="7" s="1"/>
  <c r="AM19" i="7"/>
  <c r="AM21" i="7" s="1"/>
  <c r="AM11" i="7"/>
  <c r="AM13" i="7" s="1"/>
  <c r="AD11" i="7"/>
  <c r="AD13" i="7" s="1"/>
  <c r="AD19" i="7"/>
  <c r="AD21" i="7" s="1"/>
  <c r="AB19" i="7"/>
  <c r="AB21" i="7" s="1"/>
  <c r="AB11" i="7"/>
  <c r="AB13" i="7" s="1"/>
  <c r="Z19" i="7"/>
  <c r="Z21" i="7" s="1"/>
  <c r="Z11" i="7"/>
  <c r="Z13" i="7" s="1"/>
  <c r="AC19" i="7"/>
  <c r="AC21" i="7" s="1"/>
  <c r="AC11" i="7"/>
  <c r="AC13" i="7" s="1"/>
  <c r="AJ11" i="7"/>
  <c r="AJ13" i="7" s="1"/>
  <c r="AJ19" i="7"/>
  <c r="AJ21" i="7" s="1"/>
  <c r="AI19" i="7"/>
  <c r="AI21" i="7" s="1"/>
  <c r="AI11" i="7"/>
  <c r="AI13" i="7" s="1"/>
  <c r="AA19" i="7"/>
  <c r="AA21" i="7" s="1"/>
  <c r="AA11" i="7"/>
  <c r="AA13" i="7" s="1"/>
  <c r="AG11" i="7"/>
  <c r="AG13" i="7" s="1"/>
  <c r="AG19" i="7"/>
  <c r="AG21" i="7" s="1"/>
  <c r="AF11" i="7"/>
  <c r="AF13" i="7" s="1"/>
  <c r="AF19" i="7"/>
  <c r="AF21" i="7" s="1"/>
  <c r="AK19" i="7"/>
  <c r="AK21" i="7" s="1"/>
  <c r="AK11" i="7"/>
  <c r="AK13" i="7" s="1"/>
  <c r="AH11" i="7"/>
  <c r="AH13" i="7" s="1"/>
  <c r="AH19" i="7"/>
  <c r="AH21" i="7" s="1"/>
  <c r="AE11" i="7"/>
  <c r="AE13" i="7" s="1"/>
  <c r="AE19" i="7"/>
  <c r="AE21" i="7" s="1"/>
  <c r="BV28" i="7"/>
  <c r="BU28" i="7"/>
  <c r="BM28" i="7"/>
  <c r="BE28" i="7"/>
  <c r="AW28" i="7"/>
  <c r="AO28" i="7"/>
  <c r="AG28" i="7"/>
  <c r="Y28" i="7"/>
  <c r="Q28" i="7"/>
  <c r="I28" i="7"/>
  <c r="E28" i="7"/>
  <c r="BN28" i="7"/>
  <c r="BF28" i="7"/>
  <c r="AX28" i="7"/>
  <c r="AP28" i="7"/>
  <c r="AH28" i="7"/>
  <c r="Z28" i="7"/>
  <c r="R28" i="7"/>
  <c r="J28" i="7"/>
  <c r="BT28" i="7"/>
  <c r="BL28" i="7"/>
  <c r="BD28" i="7"/>
  <c r="AV28" i="7"/>
  <c r="AN28" i="7"/>
  <c r="AF28" i="7"/>
  <c r="X28" i="7"/>
  <c r="P28" i="7"/>
  <c r="H28" i="7"/>
  <c r="BS28" i="7"/>
  <c r="BK28" i="7"/>
  <c r="BC28" i="7"/>
  <c r="AU28" i="7"/>
  <c r="AM28" i="7"/>
  <c r="AE28" i="7"/>
  <c r="W28" i="7"/>
  <c r="O28" i="7"/>
  <c r="G28" i="7"/>
  <c r="BR28" i="7"/>
  <c r="BJ28" i="7"/>
  <c r="BB28" i="7"/>
  <c r="AT28" i="7"/>
  <c r="AL28" i="7"/>
  <c r="AD28" i="7"/>
  <c r="V28" i="7"/>
  <c r="N28" i="7"/>
  <c r="F28" i="7"/>
  <c r="BQ28" i="7"/>
  <c r="BI28" i="7"/>
  <c r="BA28" i="7"/>
  <c r="AS28" i="7"/>
  <c r="AK28" i="7"/>
  <c r="AC28" i="7"/>
  <c r="U28" i="7"/>
  <c r="M28" i="7"/>
  <c r="BP28" i="7"/>
  <c r="BH28" i="7"/>
  <c r="AZ28" i="7"/>
  <c r="AR28" i="7"/>
  <c r="AJ28" i="7"/>
  <c r="AB28" i="7"/>
  <c r="T28" i="7"/>
  <c r="L28" i="7"/>
  <c r="BO28" i="7"/>
  <c r="BG28" i="7"/>
  <c r="AY28" i="7"/>
  <c r="AQ28" i="7"/>
  <c r="AI28" i="7"/>
  <c r="AA28" i="7"/>
  <c r="S28" i="7"/>
  <c r="K28" i="7"/>
  <c r="A64" i="13"/>
  <c r="A65" i="13"/>
  <c r="A66" i="13"/>
  <c r="E29" i="7" l="1"/>
  <c r="I70" i="13"/>
  <c r="K70" i="13" s="1"/>
  <c r="H70" i="13"/>
  <c r="J70" i="13" s="1"/>
  <c r="I69" i="13"/>
  <c r="K69" i="13" s="1"/>
  <c r="H69" i="13"/>
  <c r="J69" i="13" s="1"/>
  <c r="I65" i="13"/>
  <c r="I66" i="13"/>
  <c r="I64" i="13"/>
  <c r="H64" i="13"/>
  <c r="H65" i="13"/>
  <c r="H66" i="13"/>
  <c r="CK20" i="11" l="1"/>
  <c r="F19" i="11"/>
  <c r="G19" i="11"/>
  <c r="H19" i="11"/>
  <c r="I19" i="11"/>
  <c r="J19" i="11"/>
  <c r="K19" i="11"/>
  <c r="L19" i="11"/>
  <c r="M19" i="11"/>
  <c r="N19" i="11"/>
  <c r="O19" i="11"/>
  <c r="P19" i="11"/>
  <c r="Q19" i="11"/>
  <c r="R19" i="11"/>
  <c r="S19" i="11"/>
  <c r="T19" i="11"/>
  <c r="U19" i="11"/>
  <c r="V19" i="11"/>
  <c r="W19" i="11"/>
  <c r="X19" i="11"/>
  <c r="Y19" i="11"/>
  <c r="Z19" i="11"/>
  <c r="AA19" i="11"/>
  <c r="AB19" i="11"/>
  <c r="AC19" i="11"/>
  <c r="AD19" i="11"/>
  <c r="AE19" i="11"/>
  <c r="AF19" i="11"/>
  <c r="AG19" i="11"/>
  <c r="AH19" i="11"/>
  <c r="AI19" i="11"/>
  <c r="AJ19" i="11"/>
  <c r="AK19" i="11"/>
  <c r="AL19" i="11"/>
  <c r="AM19" i="11"/>
  <c r="AN19" i="11"/>
  <c r="AO19" i="11"/>
  <c r="AP19" i="11"/>
  <c r="AQ19" i="11"/>
  <c r="AR19" i="11"/>
  <c r="AS19" i="11"/>
  <c r="AT19" i="11"/>
  <c r="AU19" i="11"/>
  <c r="AV19" i="11"/>
  <c r="AW19" i="11"/>
  <c r="AX19" i="11"/>
  <c r="AY19" i="11"/>
  <c r="AZ19" i="11"/>
  <c r="BA19" i="11"/>
  <c r="BB19" i="11"/>
  <c r="BC19" i="11"/>
  <c r="BD19" i="11"/>
  <c r="BE19" i="11"/>
  <c r="BF19" i="11"/>
  <c r="BG19" i="11"/>
  <c r="BH19" i="11"/>
  <c r="BI19" i="11"/>
  <c r="BJ19" i="11"/>
  <c r="BK19" i="11"/>
  <c r="BL19" i="11"/>
  <c r="BM19" i="11"/>
  <c r="BN19" i="11"/>
  <c r="BO19" i="11"/>
  <c r="BP19" i="11"/>
  <c r="BQ19" i="11"/>
  <c r="BR19" i="11"/>
  <c r="BS19" i="11"/>
  <c r="BT19" i="11"/>
  <c r="BU19" i="11"/>
  <c r="BV19" i="11"/>
  <c r="BW19" i="11"/>
  <c r="BX19" i="11"/>
  <c r="BY19" i="11"/>
  <c r="BZ19" i="11"/>
  <c r="CA19" i="11"/>
  <c r="CB19" i="11"/>
  <c r="CC19" i="11"/>
  <c r="CD19" i="11"/>
  <c r="CE19" i="11"/>
  <c r="CF19" i="11"/>
  <c r="CG19" i="11"/>
  <c r="CH19" i="11"/>
  <c r="CI19" i="11"/>
  <c r="CJ19" i="11"/>
  <c r="CK19" i="11"/>
  <c r="E19" i="11"/>
  <c r="CK21" i="11" l="1"/>
  <c r="CK39" i="6"/>
  <c r="CK34" i="6"/>
  <c r="CK32" i="6"/>
  <c r="CK18" i="6"/>
  <c r="V56" i="6" l="1"/>
  <c r="W56" i="6"/>
  <c r="X56" i="6"/>
  <c r="Y56" i="6"/>
  <c r="F99" i="11" l="1"/>
  <c r="G99" i="11"/>
  <c r="H99" i="11"/>
  <c r="I99" i="11"/>
  <c r="J99" i="11"/>
  <c r="K99" i="11"/>
  <c r="L99" i="11"/>
  <c r="M99" i="11"/>
  <c r="N99" i="11"/>
  <c r="O99" i="11"/>
  <c r="P99" i="11"/>
  <c r="Q99" i="11"/>
  <c r="R99" i="11"/>
  <c r="S99" i="11"/>
  <c r="T99" i="11"/>
  <c r="U99" i="11"/>
  <c r="V99" i="11"/>
  <c r="W99" i="11"/>
  <c r="X99" i="11"/>
  <c r="Y99" i="11"/>
  <c r="Z99" i="11"/>
  <c r="AA99" i="11"/>
  <c r="AB99" i="11"/>
  <c r="AC99" i="11"/>
  <c r="AD99" i="11"/>
  <c r="AE99" i="11"/>
  <c r="AF99" i="11"/>
  <c r="AG99" i="11"/>
  <c r="AH99" i="11"/>
  <c r="AI99" i="11"/>
  <c r="AJ99" i="11"/>
  <c r="AK99" i="11"/>
  <c r="AL99" i="11"/>
  <c r="AM99" i="11"/>
  <c r="AN99" i="11"/>
  <c r="AO99" i="11"/>
  <c r="AP99" i="11"/>
  <c r="AQ99" i="11"/>
  <c r="AR99" i="11"/>
  <c r="AS99" i="11"/>
  <c r="AT99" i="11"/>
  <c r="AU99" i="11"/>
  <c r="AV99" i="11"/>
  <c r="AW99" i="11"/>
  <c r="AX99" i="11"/>
  <c r="AY99" i="11"/>
  <c r="AZ99" i="11"/>
  <c r="BA99" i="11"/>
  <c r="BB99" i="11"/>
  <c r="BC99" i="11"/>
  <c r="BD99" i="11"/>
  <c r="BE99" i="11"/>
  <c r="BF99" i="11"/>
  <c r="BG99" i="11"/>
  <c r="BH99" i="11"/>
  <c r="BI99" i="11"/>
  <c r="BJ99" i="11"/>
  <c r="BK99" i="11"/>
  <c r="BL99" i="11"/>
  <c r="BM99" i="11"/>
  <c r="BN99" i="11"/>
  <c r="BO99" i="11"/>
  <c r="BP99" i="11"/>
  <c r="BQ99" i="11"/>
  <c r="BR99" i="11"/>
  <c r="BS99" i="11"/>
  <c r="BT99" i="11"/>
  <c r="BU99" i="11"/>
  <c r="BV99" i="11"/>
  <c r="BW99" i="11"/>
  <c r="BX99" i="11"/>
  <c r="BY99" i="11"/>
  <c r="BZ99" i="11"/>
  <c r="CA99" i="11"/>
  <c r="CB99" i="11"/>
  <c r="CC99" i="11"/>
  <c r="CD99" i="11"/>
  <c r="CE99" i="11"/>
  <c r="CF99" i="11"/>
  <c r="CG99" i="11"/>
  <c r="CH99" i="11"/>
  <c r="CI99" i="11"/>
  <c r="CJ99" i="11"/>
  <c r="CK99" i="11"/>
  <c r="F98" i="11"/>
  <c r="G98" i="11"/>
  <c r="H98" i="11"/>
  <c r="I98" i="11"/>
  <c r="J98" i="11"/>
  <c r="K98" i="11"/>
  <c r="L98" i="11"/>
  <c r="M98" i="11"/>
  <c r="N98" i="11"/>
  <c r="O98" i="11"/>
  <c r="P98" i="11"/>
  <c r="Q98" i="11"/>
  <c r="R98" i="11"/>
  <c r="S98" i="11"/>
  <c r="T98" i="11"/>
  <c r="U98" i="11"/>
  <c r="V98" i="11"/>
  <c r="W98" i="11"/>
  <c r="X98" i="11"/>
  <c r="Y98" i="11"/>
  <c r="Z98" i="11"/>
  <c r="AA98" i="11"/>
  <c r="AB98" i="11"/>
  <c r="AC98" i="11"/>
  <c r="AD98" i="11"/>
  <c r="AE98" i="11"/>
  <c r="AF98" i="11"/>
  <c r="AG98" i="11"/>
  <c r="AH98" i="11"/>
  <c r="AI98" i="11"/>
  <c r="AJ98" i="11"/>
  <c r="AK98" i="11"/>
  <c r="AL98" i="11"/>
  <c r="AM98" i="11"/>
  <c r="AN98" i="11"/>
  <c r="AO98" i="11"/>
  <c r="AP98" i="11"/>
  <c r="AQ98" i="11"/>
  <c r="AR98" i="11"/>
  <c r="AS98" i="11"/>
  <c r="AT98" i="11"/>
  <c r="AU98" i="11"/>
  <c r="AV98" i="11"/>
  <c r="AW98" i="11"/>
  <c r="AX98" i="11"/>
  <c r="AY98" i="11"/>
  <c r="AZ98" i="11"/>
  <c r="BA98" i="11"/>
  <c r="BB98" i="11"/>
  <c r="BC98" i="11"/>
  <c r="BD98" i="11"/>
  <c r="BE98" i="11"/>
  <c r="BF98" i="11"/>
  <c r="BG98" i="11"/>
  <c r="BH98" i="11"/>
  <c r="BI98" i="11"/>
  <c r="BJ98" i="11"/>
  <c r="BK98" i="11"/>
  <c r="BL98" i="11"/>
  <c r="BM98" i="11"/>
  <c r="BN98" i="11"/>
  <c r="BO98" i="11"/>
  <c r="BP98" i="11"/>
  <c r="BQ98" i="11"/>
  <c r="BR98" i="11"/>
  <c r="BS98" i="11"/>
  <c r="BT98" i="11"/>
  <c r="BU98" i="11"/>
  <c r="BV98" i="11"/>
  <c r="BW98" i="11"/>
  <c r="BX98" i="11"/>
  <c r="BY98" i="11"/>
  <c r="BZ98" i="11"/>
  <c r="CA98" i="11"/>
  <c r="CB98" i="11"/>
  <c r="CC98" i="11"/>
  <c r="CD98" i="11"/>
  <c r="CE98" i="11"/>
  <c r="CF98" i="11"/>
  <c r="CG98" i="11"/>
  <c r="CH98" i="11"/>
  <c r="CI98" i="11"/>
  <c r="CJ98" i="11"/>
  <c r="CK98" i="11"/>
  <c r="E99" i="11"/>
  <c r="E98" i="11"/>
  <c r="F97" i="11"/>
  <c r="G97" i="11"/>
  <c r="H97" i="11"/>
  <c r="I97" i="11"/>
  <c r="J97" i="11"/>
  <c r="K97" i="11"/>
  <c r="L97" i="11"/>
  <c r="M97" i="11"/>
  <c r="N97" i="11"/>
  <c r="O97" i="11"/>
  <c r="P97" i="11"/>
  <c r="Q97" i="11"/>
  <c r="R97" i="11"/>
  <c r="S97" i="11"/>
  <c r="T97" i="11"/>
  <c r="U97" i="11"/>
  <c r="V97" i="11"/>
  <c r="W97" i="11"/>
  <c r="X97" i="11"/>
  <c r="Y97" i="11"/>
  <c r="Z97" i="11"/>
  <c r="AA97" i="11"/>
  <c r="AB97" i="11"/>
  <c r="AC97" i="11"/>
  <c r="AD97" i="11"/>
  <c r="AE97" i="11"/>
  <c r="AF97" i="11"/>
  <c r="AG97" i="11"/>
  <c r="AH97" i="11"/>
  <c r="AI97" i="11"/>
  <c r="AJ97" i="11"/>
  <c r="AK97" i="11"/>
  <c r="AL97" i="11"/>
  <c r="AM97" i="11"/>
  <c r="AN97" i="11"/>
  <c r="AO97" i="11"/>
  <c r="AP97" i="11"/>
  <c r="AQ97" i="11"/>
  <c r="AR97" i="11"/>
  <c r="AS97" i="11"/>
  <c r="AT97" i="11"/>
  <c r="AU97" i="11"/>
  <c r="AV97" i="11"/>
  <c r="AW97" i="11"/>
  <c r="AX97" i="11"/>
  <c r="AY97" i="11"/>
  <c r="AZ97" i="11"/>
  <c r="BA97" i="11"/>
  <c r="BB97" i="11"/>
  <c r="BC97" i="11"/>
  <c r="BD97" i="11"/>
  <c r="BE97" i="11"/>
  <c r="BF97" i="11"/>
  <c r="BG97" i="11"/>
  <c r="BH97" i="11"/>
  <c r="BI97" i="11"/>
  <c r="BJ97" i="11"/>
  <c r="BK97" i="11"/>
  <c r="BL97" i="11"/>
  <c r="BM97" i="11"/>
  <c r="BN97" i="11"/>
  <c r="BO97" i="11"/>
  <c r="BP97" i="11"/>
  <c r="BQ97" i="11"/>
  <c r="BR97" i="11"/>
  <c r="BS97" i="11"/>
  <c r="BT97" i="11"/>
  <c r="BU97" i="11"/>
  <c r="BV97" i="11"/>
  <c r="BW97" i="11"/>
  <c r="BX97" i="11"/>
  <c r="BY97" i="11"/>
  <c r="BZ97" i="11"/>
  <c r="CA97" i="11"/>
  <c r="CB97" i="11"/>
  <c r="CC97" i="11"/>
  <c r="CD97" i="11"/>
  <c r="CE97" i="11"/>
  <c r="CF97" i="11"/>
  <c r="CG97" i="11"/>
  <c r="CH97" i="11"/>
  <c r="CI97" i="11"/>
  <c r="CJ97" i="11"/>
  <c r="CK97" i="11"/>
  <c r="E97" i="11"/>
  <c r="F96" i="11"/>
  <c r="G96" i="11"/>
  <c r="H96" i="11"/>
  <c r="I96" i="11"/>
  <c r="J96" i="11"/>
  <c r="K96" i="11"/>
  <c r="L96" i="11"/>
  <c r="M96" i="11"/>
  <c r="N96" i="11"/>
  <c r="O96" i="11"/>
  <c r="P96" i="11"/>
  <c r="Q96" i="11"/>
  <c r="R96" i="11"/>
  <c r="S96" i="11"/>
  <c r="T96" i="11"/>
  <c r="U96" i="11"/>
  <c r="V96" i="11"/>
  <c r="W96" i="11"/>
  <c r="X96" i="11"/>
  <c r="Y96" i="11"/>
  <c r="Z96" i="11"/>
  <c r="AA96" i="11"/>
  <c r="AB96" i="11"/>
  <c r="AC96" i="11"/>
  <c r="AD96" i="11"/>
  <c r="AE96" i="11"/>
  <c r="AF96" i="11"/>
  <c r="AG96" i="11"/>
  <c r="AH96" i="11"/>
  <c r="AI96" i="11"/>
  <c r="AJ96" i="11"/>
  <c r="AK96" i="11"/>
  <c r="AL96" i="11"/>
  <c r="AM96" i="11"/>
  <c r="AN96" i="11"/>
  <c r="AO96" i="11"/>
  <c r="AP96" i="11"/>
  <c r="AQ96" i="11"/>
  <c r="AR96" i="11"/>
  <c r="AS96" i="11"/>
  <c r="AT96" i="11"/>
  <c r="AU96" i="11"/>
  <c r="AV96" i="11"/>
  <c r="AW96" i="11"/>
  <c r="AX96" i="11"/>
  <c r="AY96" i="11"/>
  <c r="AZ96" i="11"/>
  <c r="BA96" i="11"/>
  <c r="BB96" i="11"/>
  <c r="BC96" i="11"/>
  <c r="BD96" i="11"/>
  <c r="BE96" i="11"/>
  <c r="BF96" i="11"/>
  <c r="BG96" i="11"/>
  <c r="BH96" i="11"/>
  <c r="BI96" i="11"/>
  <c r="BJ96" i="11"/>
  <c r="BK96" i="11"/>
  <c r="BL96" i="11"/>
  <c r="BM96" i="11"/>
  <c r="BN96" i="11"/>
  <c r="BO96" i="11"/>
  <c r="BP96" i="11"/>
  <c r="BQ96" i="11"/>
  <c r="BR96" i="11"/>
  <c r="BS96" i="11"/>
  <c r="BT96" i="11"/>
  <c r="BU96" i="11"/>
  <c r="BV96" i="11"/>
  <c r="BW96" i="11"/>
  <c r="BX96" i="11"/>
  <c r="BY96" i="11"/>
  <c r="BZ96" i="11"/>
  <c r="CA96" i="11"/>
  <c r="CB96" i="11"/>
  <c r="CC96" i="11"/>
  <c r="CD96" i="11"/>
  <c r="CE96" i="11"/>
  <c r="CF96" i="11"/>
  <c r="CG96" i="11"/>
  <c r="CH96" i="11"/>
  <c r="CI96" i="11"/>
  <c r="CJ96" i="11"/>
  <c r="CK96" i="11"/>
  <c r="E96" i="11"/>
  <c r="F95" i="11"/>
  <c r="G95" i="11"/>
  <c r="H95" i="11"/>
  <c r="I95" i="11"/>
  <c r="J95" i="11"/>
  <c r="K95" i="11"/>
  <c r="L95" i="11"/>
  <c r="M95" i="11"/>
  <c r="N95" i="11"/>
  <c r="O95" i="11"/>
  <c r="P95" i="11"/>
  <c r="Q95" i="11"/>
  <c r="R95" i="11"/>
  <c r="S95" i="11"/>
  <c r="T95" i="11"/>
  <c r="U95" i="11"/>
  <c r="V95" i="11"/>
  <c r="W95" i="11"/>
  <c r="X95" i="11"/>
  <c r="Y95" i="11"/>
  <c r="Z95" i="11"/>
  <c r="AA95" i="11"/>
  <c r="AB95" i="11"/>
  <c r="AC95" i="11"/>
  <c r="AD95" i="11"/>
  <c r="AE95" i="11"/>
  <c r="AF95" i="11"/>
  <c r="AG95" i="11"/>
  <c r="AH95" i="11"/>
  <c r="AI95" i="11"/>
  <c r="AJ95" i="11"/>
  <c r="AK95" i="11"/>
  <c r="AL95" i="11"/>
  <c r="AM95" i="11"/>
  <c r="AN95" i="11"/>
  <c r="AO95" i="11"/>
  <c r="AP95" i="11"/>
  <c r="AQ95" i="11"/>
  <c r="AR95" i="11"/>
  <c r="AS95" i="11"/>
  <c r="AT95" i="11"/>
  <c r="AU95" i="11"/>
  <c r="AV95" i="11"/>
  <c r="AW95" i="11"/>
  <c r="AX95" i="11"/>
  <c r="AY95" i="11"/>
  <c r="AZ95" i="11"/>
  <c r="BA95" i="11"/>
  <c r="BB95" i="11"/>
  <c r="BC95" i="11"/>
  <c r="BD95" i="11"/>
  <c r="BE95" i="11"/>
  <c r="BF95" i="11"/>
  <c r="BG95" i="11"/>
  <c r="BH95" i="11"/>
  <c r="BI95" i="11"/>
  <c r="BJ95" i="11"/>
  <c r="BK95" i="11"/>
  <c r="BL95" i="11"/>
  <c r="BM95" i="11"/>
  <c r="BN95" i="11"/>
  <c r="BO95" i="11"/>
  <c r="BP95" i="11"/>
  <c r="BQ95" i="11"/>
  <c r="BR95" i="11"/>
  <c r="BS95" i="11"/>
  <c r="BT95" i="11"/>
  <c r="BU95" i="11"/>
  <c r="BV95" i="11"/>
  <c r="BW95" i="11"/>
  <c r="BX95" i="11"/>
  <c r="BY95" i="11"/>
  <c r="BZ95" i="11"/>
  <c r="CA95" i="11"/>
  <c r="CB95" i="11"/>
  <c r="CC95" i="11"/>
  <c r="CD95" i="11"/>
  <c r="CE95" i="11"/>
  <c r="CF95" i="11"/>
  <c r="CG95" i="11"/>
  <c r="CH95" i="11"/>
  <c r="CI95" i="11"/>
  <c r="CJ95" i="11"/>
  <c r="CK95" i="11"/>
  <c r="E95" i="11"/>
  <c r="F94" i="11"/>
  <c r="G94" i="11"/>
  <c r="H94" i="11"/>
  <c r="I94" i="11"/>
  <c r="J94" i="11"/>
  <c r="K94" i="11"/>
  <c r="L94" i="11"/>
  <c r="M94" i="11"/>
  <c r="N94" i="11"/>
  <c r="O94" i="11"/>
  <c r="P94" i="11"/>
  <c r="Q94" i="11"/>
  <c r="R94" i="11"/>
  <c r="S94" i="11"/>
  <c r="T94" i="11"/>
  <c r="U94" i="11"/>
  <c r="V94" i="11"/>
  <c r="W94" i="11"/>
  <c r="X94" i="11"/>
  <c r="Y94" i="11"/>
  <c r="Z94" i="11"/>
  <c r="AA94" i="11"/>
  <c r="AB94" i="11"/>
  <c r="AC94" i="11"/>
  <c r="AD94" i="11"/>
  <c r="AE94" i="11"/>
  <c r="AF94" i="11"/>
  <c r="AG94" i="11"/>
  <c r="AH94" i="11"/>
  <c r="AI94" i="11"/>
  <c r="AJ94" i="11"/>
  <c r="AK94" i="11"/>
  <c r="AL94" i="11"/>
  <c r="AM94" i="11"/>
  <c r="AN94" i="11"/>
  <c r="AO94" i="11"/>
  <c r="AP94" i="11"/>
  <c r="AQ94" i="11"/>
  <c r="AR94" i="11"/>
  <c r="AS94" i="11"/>
  <c r="AT94" i="11"/>
  <c r="AU94" i="11"/>
  <c r="AV94" i="11"/>
  <c r="AW94" i="11"/>
  <c r="AX94" i="11"/>
  <c r="AY94" i="11"/>
  <c r="AZ94" i="11"/>
  <c r="BA94" i="11"/>
  <c r="BB94" i="11"/>
  <c r="BC94" i="11"/>
  <c r="BD94" i="11"/>
  <c r="BE94" i="11"/>
  <c r="BF94" i="11"/>
  <c r="BG94" i="11"/>
  <c r="BH94" i="11"/>
  <c r="BI94" i="11"/>
  <c r="BJ94" i="11"/>
  <c r="BK94" i="11"/>
  <c r="BL94" i="11"/>
  <c r="BM94" i="11"/>
  <c r="BN94" i="11"/>
  <c r="BO94" i="11"/>
  <c r="BP94" i="11"/>
  <c r="BQ94" i="11"/>
  <c r="BR94" i="11"/>
  <c r="BS94" i="11"/>
  <c r="BT94" i="11"/>
  <c r="BU94" i="11"/>
  <c r="BV94" i="11"/>
  <c r="BW94" i="11"/>
  <c r="BX94" i="11"/>
  <c r="BY94" i="11"/>
  <c r="BZ94" i="11"/>
  <c r="CA94" i="11"/>
  <c r="CB94" i="11"/>
  <c r="CC94" i="11"/>
  <c r="CD94" i="11"/>
  <c r="CE94" i="11"/>
  <c r="CF94" i="11"/>
  <c r="CG94" i="11"/>
  <c r="CH94" i="11"/>
  <c r="CI94" i="11"/>
  <c r="CJ94" i="11"/>
  <c r="CK94" i="11"/>
  <c r="E94" i="11"/>
  <c r="F92" i="11"/>
  <c r="G92" i="11"/>
  <c r="H92" i="11"/>
  <c r="I92" i="11"/>
  <c r="J92" i="11"/>
  <c r="K92" i="11"/>
  <c r="L92" i="11"/>
  <c r="M92" i="11"/>
  <c r="N92" i="11"/>
  <c r="O92" i="11"/>
  <c r="P92" i="11"/>
  <c r="Q92" i="11"/>
  <c r="R92" i="11"/>
  <c r="S92" i="11"/>
  <c r="T92" i="11"/>
  <c r="U92" i="11"/>
  <c r="V92" i="11"/>
  <c r="W92" i="11"/>
  <c r="X92" i="11"/>
  <c r="Y92" i="11"/>
  <c r="Z92" i="11"/>
  <c r="AA92" i="11"/>
  <c r="AB92" i="11"/>
  <c r="AC92" i="11"/>
  <c r="AD92" i="11"/>
  <c r="AE92" i="11"/>
  <c r="AF92" i="11"/>
  <c r="AG92" i="11"/>
  <c r="AH92" i="11"/>
  <c r="AI92" i="11"/>
  <c r="AJ92" i="11"/>
  <c r="AK92" i="11"/>
  <c r="AL92" i="11"/>
  <c r="AM92" i="11"/>
  <c r="AN92" i="11"/>
  <c r="AO92" i="11"/>
  <c r="AP92" i="11"/>
  <c r="AQ92" i="11"/>
  <c r="AR92" i="11"/>
  <c r="AS92" i="11"/>
  <c r="AT92" i="11"/>
  <c r="AU92" i="11"/>
  <c r="AV92" i="11"/>
  <c r="AW92" i="11"/>
  <c r="AX92" i="11"/>
  <c r="AY92" i="11"/>
  <c r="AZ92" i="11"/>
  <c r="BA92" i="11"/>
  <c r="BB92" i="11"/>
  <c r="BC92" i="11"/>
  <c r="BD92" i="11"/>
  <c r="BE92" i="11"/>
  <c r="BF92" i="11"/>
  <c r="BG92" i="11"/>
  <c r="BH92" i="11"/>
  <c r="BI92" i="11"/>
  <c r="BJ92" i="11"/>
  <c r="BK92" i="11"/>
  <c r="BL92" i="11"/>
  <c r="BM92" i="11"/>
  <c r="BN92" i="11"/>
  <c r="BO92" i="11"/>
  <c r="BP92" i="11"/>
  <c r="BQ92" i="11"/>
  <c r="BR92" i="11"/>
  <c r="BS92" i="11"/>
  <c r="BT92" i="11"/>
  <c r="BU92" i="11"/>
  <c r="BV92" i="11"/>
  <c r="BW92" i="11"/>
  <c r="BX92" i="11"/>
  <c r="BY92" i="11"/>
  <c r="BZ92" i="11"/>
  <c r="CA92" i="11"/>
  <c r="CB92" i="11"/>
  <c r="CC92" i="11"/>
  <c r="CD92" i="11"/>
  <c r="CE92" i="11"/>
  <c r="CF92" i="11"/>
  <c r="CG92" i="11"/>
  <c r="CH92" i="11"/>
  <c r="CI92" i="11"/>
  <c r="CJ92" i="11"/>
  <c r="CK92" i="11"/>
  <c r="E92" i="11"/>
  <c r="F91" i="11"/>
  <c r="G91" i="11"/>
  <c r="H91" i="11"/>
  <c r="I91" i="11"/>
  <c r="J91" i="11"/>
  <c r="K91" i="11"/>
  <c r="L91" i="11"/>
  <c r="M91" i="11"/>
  <c r="N91" i="11"/>
  <c r="O91" i="11"/>
  <c r="P91" i="11"/>
  <c r="Q91" i="11"/>
  <c r="R91" i="11"/>
  <c r="S91" i="11"/>
  <c r="T91" i="11"/>
  <c r="U91" i="11"/>
  <c r="V91" i="11"/>
  <c r="W91" i="11"/>
  <c r="X91" i="11"/>
  <c r="Y91" i="11"/>
  <c r="Z91" i="11"/>
  <c r="AA91" i="11"/>
  <c r="AB91" i="11"/>
  <c r="AC91" i="11"/>
  <c r="AD91" i="11"/>
  <c r="AE91" i="11"/>
  <c r="AF91" i="11"/>
  <c r="AG91" i="11"/>
  <c r="AH91" i="11"/>
  <c r="AI91" i="11"/>
  <c r="AJ91" i="11"/>
  <c r="AK91" i="11"/>
  <c r="AL91" i="11"/>
  <c r="AM91" i="11"/>
  <c r="AN91" i="11"/>
  <c r="AO91" i="11"/>
  <c r="AP91" i="11"/>
  <c r="AQ91" i="11"/>
  <c r="AR91" i="11"/>
  <c r="AS91" i="11"/>
  <c r="AT91" i="11"/>
  <c r="AU91" i="11"/>
  <c r="AV91" i="11"/>
  <c r="AW91" i="11"/>
  <c r="AX91" i="11"/>
  <c r="AY91" i="11"/>
  <c r="AZ91" i="11"/>
  <c r="BA91" i="11"/>
  <c r="BB91" i="11"/>
  <c r="BC91" i="11"/>
  <c r="BD91" i="11"/>
  <c r="BE91" i="11"/>
  <c r="BF91" i="11"/>
  <c r="BG91" i="11"/>
  <c r="BH91" i="11"/>
  <c r="BI91" i="11"/>
  <c r="BJ91" i="11"/>
  <c r="BK91" i="11"/>
  <c r="BL91" i="11"/>
  <c r="BM91" i="11"/>
  <c r="BN91" i="11"/>
  <c r="BO91" i="11"/>
  <c r="BP91" i="11"/>
  <c r="BQ91" i="11"/>
  <c r="BR91" i="11"/>
  <c r="BS91" i="11"/>
  <c r="BT91" i="11"/>
  <c r="BU91" i="11"/>
  <c r="BV91" i="11"/>
  <c r="BW91" i="11"/>
  <c r="BX91" i="11"/>
  <c r="BY91" i="11"/>
  <c r="BZ91" i="11"/>
  <c r="CA91" i="11"/>
  <c r="CB91" i="11"/>
  <c r="CC91" i="11"/>
  <c r="CD91" i="11"/>
  <c r="CE91" i="11"/>
  <c r="CF91" i="11"/>
  <c r="CG91" i="11"/>
  <c r="CH91" i="11"/>
  <c r="CI91" i="11"/>
  <c r="CJ91" i="11"/>
  <c r="CK91" i="11"/>
  <c r="E91" i="11"/>
  <c r="F90" i="11"/>
  <c r="G90" i="11"/>
  <c r="H90" i="11"/>
  <c r="I90" i="11"/>
  <c r="J90" i="11"/>
  <c r="K90" i="11"/>
  <c r="L90" i="11"/>
  <c r="M90" i="11"/>
  <c r="N90" i="11"/>
  <c r="O90" i="11"/>
  <c r="P90" i="11"/>
  <c r="Q90" i="11"/>
  <c r="R90" i="11"/>
  <c r="S90" i="11"/>
  <c r="T90" i="11"/>
  <c r="U90" i="11"/>
  <c r="V90" i="11"/>
  <c r="W90" i="11"/>
  <c r="X90" i="11"/>
  <c r="Y90" i="11"/>
  <c r="Z90" i="11"/>
  <c r="AA90" i="11"/>
  <c r="AB90" i="11"/>
  <c r="AC90" i="11"/>
  <c r="AD90" i="11"/>
  <c r="AE90" i="11"/>
  <c r="AF90" i="11"/>
  <c r="AG90" i="11"/>
  <c r="AH90" i="11"/>
  <c r="AI90" i="11"/>
  <c r="AJ90" i="11"/>
  <c r="AK90" i="11"/>
  <c r="AL90" i="11"/>
  <c r="AM90" i="11"/>
  <c r="AN90" i="11"/>
  <c r="AO90" i="11"/>
  <c r="AP90" i="11"/>
  <c r="AQ90" i="11"/>
  <c r="AR90" i="11"/>
  <c r="AS90" i="11"/>
  <c r="AT90" i="11"/>
  <c r="AU90" i="11"/>
  <c r="AV90" i="11"/>
  <c r="AW90" i="11"/>
  <c r="AX90" i="11"/>
  <c r="AY90" i="11"/>
  <c r="AZ90" i="11"/>
  <c r="BA90" i="11"/>
  <c r="BB90" i="11"/>
  <c r="BC90" i="11"/>
  <c r="BD90" i="11"/>
  <c r="BE90" i="11"/>
  <c r="BF90" i="11"/>
  <c r="BG90" i="11"/>
  <c r="BH90" i="11"/>
  <c r="BI90" i="11"/>
  <c r="BJ90" i="11"/>
  <c r="BK90" i="11"/>
  <c r="BL90" i="11"/>
  <c r="BM90" i="11"/>
  <c r="BN90" i="11"/>
  <c r="BO90" i="11"/>
  <c r="BP90" i="11"/>
  <c r="BQ90" i="11"/>
  <c r="BR90" i="11"/>
  <c r="BS90" i="11"/>
  <c r="BT90" i="11"/>
  <c r="BU90" i="11"/>
  <c r="BV90" i="11"/>
  <c r="BW90" i="11"/>
  <c r="BX90" i="11"/>
  <c r="BY90" i="11"/>
  <c r="BZ90" i="11"/>
  <c r="CA90" i="11"/>
  <c r="CB90" i="11"/>
  <c r="CC90" i="11"/>
  <c r="CD90" i="11"/>
  <c r="CE90" i="11"/>
  <c r="CF90" i="11"/>
  <c r="CG90" i="11"/>
  <c r="CH90" i="11"/>
  <c r="CI90" i="11"/>
  <c r="CJ90" i="11"/>
  <c r="CK90" i="11"/>
  <c r="E90" i="11"/>
  <c r="F89" i="11"/>
  <c r="G89" i="11"/>
  <c r="H89" i="11"/>
  <c r="I89" i="11"/>
  <c r="J89" i="11"/>
  <c r="K89" i="11"/>
  <c r="L89" i="11"/>
  <c r="M89" i="11"/>
  <c r="N89" i="11"/>
  <c r="O89" i="11"/>
  <c r="P89" i="11"/>
  <c r="Q89" i="11"/>
  <c r="R89" i="11"/>
  <c r="S89" i="11"/>
  <c r="T89" i="11"/>
  <c r="U89" i="11"/>
  <c r="V89" i="11"/>
  <c r="W89" i="11"/>
  <c r="X89" i="11"/>
  <c r="Y89" i="11"/>
  <c r="Z89" i="11"/>
  <c r="AA89" i="11"/>
  <c r="AB89" i="11"/>
  <c r="AC89" i="11"/>
  <c r="AD89" i="11"/>
  <c r="AE89" i="11"/>
  <c r="AF89" i="11"/>
  <c r="AG89" i="11"/>
  <c r="AH89" i="11"/>
  <c r="AI89" i="11"/>
  <c r="AJ89" i="11"/>
  <c r="AK89" i="11"/>
  <c r="AL89" i="11"/>
  <c r="AM89" i="11"/>
  <c r="AN89" i="11"/>
  <c r="AO89" i="11"/>
  <c r="AP89" i="11"/>
  <c r="AQ89" i="11"/>
  <c r="AR89" i="11"/>
  <c r="AS89" i="11"/>
  <c r="AT89" i="11"/>
  <c r="AU89" i="11"/>
  <c r="AV89" i="11"/>
  <c r="AW89" i="11"/>
  <c r="AX89" i="11"/>
  <c r="AY89" i="11"/>
  <c r="AZ89" i="11"/>
  <c r="BA89" i="11"/>
  <c r="BB89" i="11"/>
  <c r="BC89" i="11"/>
  <c r="BD89" i="11"/>
  <c r="BE89" i="11"/>
  <c r="BF89" i="11"/>
  <c r="BG89" i="11"/>
  <c r="BH89" i="11"/>
  <c r="BI89" i="11"/>
  <c r="BJ89" i="11"/>
  <c r="BK89" i="11"/>
  <c r="BL89" i="11"/>
  <c r="BM89" i="11"/>
  <c r="BN89" i="11"/>
  <c r="BO89" i="11"/>
  <c r="BP89" i="11"/>
  <c r="BQ89" i="11"/>
  <c r="BR89" i="11"/>
  <c r="BS89" i="11"/>
  <c r="BT89" i="11"/>
  <c r="BU89" i="11"/>
  <c r="BV89" i="11"/>
  <c r="BW89" i="11"/>
  <c r="BX89" i="11"/>
  <c r="BY89" i="11"/>
  <c r="BZ89" i="11"/>
  <c r="CA89" i="11"/>
  <c r="CB89" i="11"/>
  <c r="CC89" i="11"/>
  <c r="CD89" i="11"/>
  <c r="CE89" i="11"/>
  <c r="CF89" i="11"/>
  <c r="CG89" i="11"/>
  <c r="CH89" i="11"/>
  <c r="CI89" i="11"/>
  <c r="CJ89" i="11"/>
  <c r="CK89" i="11"/>
  <c r="E89" i="11"/>
  <c r="F88" i="11"/>
  <c r="G88" i="11"/>
  <c r="H88" i="11"/>
  <c r="I88" i="11"/>
  <c r="J88" i="11"/>
  <c r="K88" i="11"/>
  <c r="L88" i="11"/>
  <c r="M88" i="11"/>
  <c r="N88" i="11"/>
  <c r="O88" i="11"/>
  <c r="P88" i="11"/>
  <c r="Q88" i="11"/>
  <c r="R88" i="11"/>
  <c r="S88" i="11"/>
  <c r="T88" i="11"/>
  <c r="U88" i="11"/>
  <c r="V88" i="11"/>
  <c r="W88" i="11"/>
  <c r="X88" i="11"/>
  <c r="Y88" i="11"/>
  <c r="Z88" i="11"/>
  <c r="AA88" i="11"/>
  <c r="AB88" i="11"/>
  <c r="AC88" i="11"/>
  <c r="AD88" i="11"/>
  <c r="AE88" i="11"/>
  <c r="AF88" i="11"/>
  <c r="AG88" i="11"/>
  <c r="AH88" i="11"/>
  <c r="AI88" i="11"/>
  <c r="AJ88" i="11"/>
  <c r="AK88" i="11"/>
  <c r="AL88" i="11"/>
  <c r="AM88" i="11"/>
  <c r="AN88" i="11"/>
  <c r="AO88" i="11"/>
  <c r="AP88" i="11"/>
  <c r="AQ88" i="11"/>
  <c r="AR88" i="11"/>
  <c r="AS88" i="11"/>
  <c r="AT88" i="11"/>
  <c r="AU88" i="11"/>
  <c r="AV88" i="11"/>
  <c r="AW88" i="11"/>
  <c r="AX88" i="11"/>
  <c r="AY88" i="11"/>
  <c r="AZ88" i="11"/>
  <c r="BA88" i="11"/>
  <c r="BB88" i="11"/>
  <c r="BC88" i="11"/>
  <c r="BD88" i="11"/>
  <c r="BE88" i="11"/>
  <c r="BF88" i="11"/>
  <c r="BG88" i="11"/>
  <c r="BH88" i="11"/>
  <c r="BI88" i="11"/>
  <c r="BJ88" i="11"/>
  <c r="BK88" i="11"/>
  <c r="BL88" i="11"/>
  <c r="BM88" i="11"/>
  <c r="BN88" i="11"/>
  <c r="BO88" i="11"/>
  <c r="BP88" i="11"/>
  <c r="BQ88" i="11"/>
  <c r="BR88" i="11"/>
  <c r="BS88" i="11"/>
  <c r="BT88" i="11"/>
  <c r="BU88" i="11"/>
  <c r="BV88" i="11"/>
  <c r="BW88" i="11"/>
  <c r="BX88" i="11"/>
  <c r="BY88" i="11"/>
  <c r="BZ88" i="11"/>
  <c r="CA88" i="11"/>
  <c r="CB88" i="11"/>
  <c r="CC88" i="11"/>
  <c r="CD88" i="11"/>
  <c r="CE88" i="11"/>
  <c r="CF88" i="11"/>
  <c r="CG88" i="11"/>
  <c r="CH88" i="11"/>
  <c r="CI88" i="11"/>
  <c r="CJ88" i="11"/>
  <c r="CK88" i="11"/>
  <c r="E88" i="11"/>
  <c r="F86" i="11"/>
  <c r="G86" i="11"/>
  <c r="H86" i="11"/>
  <c r="I86" i="11"/>
  <c r="J86" i="11"/>
  <c r="K86" i="11"/>
  <c r="L86" i="11"/>
  <c r="M86" i="11"/>
  <c r="N86" i="11"/>
  <c r="O86" i="11"/>
  <c r="P86" i="11"/>
  <c r="Q86" i="11"/>
  <c r="R86" i="11"/>
  <c r="S86" i="11"/>
  <c r="T86" i="11"/>
  <c r="U86" i="11"/>
  <c r="V86" i="11"/>
  <c r="W86" i="11"/>
  <c r="X86" i="11"/>
  <c r="Y86" i="11"/>
  <c r="Z86" i="11"/>
  <c r="AA86" i="11"/>
  <c r="AB86" i="11"/>
  <c r="AC86" i="11"/>
  <c r="AD86" i="11"/>
  <c r="AE86" i="11"/>
  <c r="AF86" i="11"/>
  <c r="AG86" i="11"/>
  <c r="AH86" i="11"/>
  <c r="AI86" i="11"/>
  <c r="AJ86" i="11"/>
  <c r="AK86" i="11"/>
  <c r="AL86" i="11"/>
  <c r="AM86" i="11"/>
  <c r="AN86" i="11"/>
  <c r="AO86" i="11"/>
  <c r="AP86" i="11"/>
  <c r="AQ86" i="11"/>
  <c r="AR86" i="11"/>
  <c r="AS86" i="11"/>
  <c r="AT86" i="11"/>
  <c r="AU86" i="11"/>
  <c r="AV86" i="11"/>
  <c r="AW86" i="11"/>
  <c r="AX86" i="11"/>
  <c r="AY86" i="11"/>
  <c r="AZ86" i="11"/>
  <c r="BA86" i="11"/>
  <c r="BB86" i="11"/>
  <c r="BC86" i="11"/>
  <c r="BD86" i="11"/>
  <c r="BE86" i="11"/>
  <c r="BF86" i="11"/>
  <c r="BG86" i="11"/>
  <c r="BH86" i="11"/>
  <c r="BI86" i="11"/>
  <c r="BJ86" i="11"/>
  <c r="BK86" i="11"/>
  <c r="BL86" i="11"/>
  <c r="BM86" i="11"/>
  <c r="BN86" i="11"/>
  <c r="BO86" i="11"/>
  <c r="BP86" i="11"/>
  <c r="BQ86" i="11"/>
  <c r="BR86" i="11"/>
  <c r="BS86" i="11"/>
  <c r="BT86" i="11"/>
  <c r="BU86" i="11"/>
  <c r="BV86" i="11"/>
  <c r="BW86" i="11"/>
  <c r="BX86" i="11"/>
  <c r="BY86" i="11"/>
  <c r="BZ86" i="11"/>
  <c r="CA86" i="11"/>
  <c r="CB86" i="11"/>
  <c r="CC86" i="11"/>
  <c r="CD86" i="11"/>
  <c r="CE86" i="11"/>
  <c r="CF86" i="11"/>
  <c r="CG86" i="11"/>
  <c r="CH86" i="11"/>
  <c r="CI86" i="11"/>
  <c r="CJ86" i="11"/>
  <c r="CK86" i="11"/>
  <c r="E86" i="11"/>
  <c r="F84" i="11"/>
  <c r="G84" i="11"/>
  <c r="H84" i="11"/>
  <c r="I84" i="11"/>
  <c r="I100" i="11" s="1"/>
  <c r="I101" i="11" s="1"/>
  <c r="J84" i="11"/>
  <c r="K84" i="11"/>
  <c r="L84" i="11"/>
  <c r="M84" i="11"/>
  <c r="N84" i="11"/>
  <c r="O84" i="11"/>
  <c r="P84" i="11"/>
  <c r="Q84" i="11"/>
  <c r="Q100" i="11" s="1"/>
  <c r="Q101" i="11" s="1"/>
  <c r="R84" i="11"/>
  <c r="S84" i="11"/>
  <c r="T84" i="11"/>
  <c r="U84" i="11"/>
  <c r="V84" i="11"/>
  <c r="W84" i="11"/>
  <c r="X84" i="11"/>
  <c r="Y84" i="11"/>
  <c r="Y100" i="11" s="1"/>
  <c r="Y101" i="11" s="1"/>
  <c r="Z84" i="11"/>
  <c r="AA84" i="11"/>
  <c r="AB84" i="11"/>
  <c r="AC84" i="11"/>
  <c r="AD84" i="11"/>
  <c r="AE84" i="11"/>
  <c r="AF84" i="11"/>
  <c r="AG84" i="11"/>
  <c r="AG100" i="11" s="1"/>
  <c r="AG101" i="11" s="1"/>
  <c r="AH84" i="11"/>
  <c r="AI84" i="11"/>
  <c r="AJ84" i="11"/>
  <c r="AK84" i="11"/>
  <c r="AL84" i="11"/>
  <c r="AM84" i="11"/>
  <c r="AN84" i="11"/>
  <c r="AO84" i="11"/>
  <c r="AO100" i="11" s="1"/>
  <c r="AO101" i="11" s="1"/>
  <c r="AP84" i="11"/>
  <c r="AQ84" i="11"/>
  <c r="AR84" i="11"/>
  <c r="AS84" i="11"/>
  <c r="AT84" i="11"/>
  <c r="AU84" i="11"/>
  <c r="AV84" i="11"/>
  <c r="AW84" i="11"/>
  <c r="AW100" i="11" s="1"/>
  <c r="AW101" i="11" s="1"/>
  <c r="AX84" i="11"/>
  <c r="AY84" i="11"/>
  <c r="AZ84" i="11"/>
  <c r="BA84" i="11"/>
  <c r="BB84" i="11"/>
  <c r="BC84" i="11"/>
  <c r="BD84" i="11"/>
  <c r="BE84" i="11"/>
  <c r="BE100" i="11" s="1"/>
  <c r="BE101" i="11" s="1"/>
  <c r="BF84" i="11"/>
  <c r="BG84" i="11"/>
  <c r="BH84" i="11"/>
  <c r="BI84" i="11"/>
  <c r="BJ84" i="11"/>
  <c r="BK84" i="11"/>
  <c r="BL84" i="11"/>
  <c r="BM84" i="11"/>
  <c r="BM100" i="11" s="1"/>
  <c r="BM101" i="11" s="1"/>
  <c r="BN84" i="11"/>
  <c r="BO84" i="11"/>
  <c r="BP84" i="11"/>
  <c r="BQ84" i="11"/>
  <c r="BR84" i="11"/>
  <c r="BS84" i="11"/>
  <c r="BT84" i="11"/>
  <c r="BU84" i="11"/>
  <c r="BU100" i="11" s="1"/>
  <c r="BU101" i="11" s="1"/>
  <c r="BV84" i="11"/>
  <c r="BW84" i="11"/>
  <c r="BX84" i="11"/>
  <c r="BY84" i="11"/>
  <c r="BZ84" i="11"/>
  <c r="BZ100" i="11" s="1"/>
  <c r="BZ101" i="11" s="1"/>
  <c r="CA84" i="11"/>
  <c r="CB84" i="11"/>
  <c r="CB100" i="11" s="1"/>
  <c r="CB101" i="11" s="1"/>
  <c r="CC84" i="11"/>
  <c r="CC100" i="11" s="1"/>
  <c r="CC101" i="11" s="1"/>
  <c r="CD84" i="11"/>
  <c r="CE84" i="11"/>
  <c r="CF84" i="11"/>
  <c r="CG84" i="11"/>
  <c r="CH84" i="11"/>
  <c r="CI84" i="11"/>
  <c r="CI100" i="11" s="1"/>
  <c r="CI101" i="11" s="1"/>
  <c r="CJ84" i="11"/>
  <c r="CJ100" i="11" s="1"/>
  <c r="CJ101" i="11" s="1"/>
  <c r="CK84" i="11"/>
  <c r="CK100" i="11" s="1"/>
  <c r="CK101" i="11" s="1"/>
  <c r="E84" i="11"/>
  <c r="AK82" i="11"/>
  <c r="AL82" i="11"/>
  <c r="AM82" i="11"/>
  <c r="AN82" i="11"/>
  <c r="AO82" i="11"/>
  <c r="AP82" i="11"/>
  <c r="AQ82" i="11"/>
  <c r="AR82" i="11"/>
  <c r="AS82" i="11"/>
  <c r="AT82" i="11"/>
  <c r="AU82" i="11"/>
  <c r="AV82" i="11"/>
  <c r="AW82" i="11"/>
  <c r="AX82" i="11"/>
  <c r="AY82" i="11"/>
  <c r="AZ82" i="11"/>
  <c r="BA82" i="11"/>
  <c r="BB82" i="11"/>
  <c r="BC82" i="11"/>
  <c r="BD82" i="11"/>
  <c r="BE82" i="11"/>
  <c r="BF82" i="11"/>
  <c r="BG82" i="11"/>
  <c r="BH82" i="11"/>
  <c r="BI82" i="11"/>
  <c r="BJ82" i="11"/>
  <c r="BK82" i="11"/>
  <c r="BL82" i="11"/>
  <c r="BM82" i="11"/>
  <c r="BN82" i="11"/>
  <c r="BO82" i="11"/>
  <c r="BP82" i="11"/>
  <c r="BQ82" i="11"/>
  <c r="BR82" i="11"/>
  <c r="BS82" i="11"/>
  <c r="BT82" i="11"/>
  <c r="BU82" i="11"/>
  <c r="BV82" i="11"/>
  <c r="BW82" i="11"/>
  <c r="BX82" i="11"/>
  <c r="BY82" i="11"/>
  <c r="BZ82" i="11"/>
  <c r="CA82" i="11"/>
  <c r="CB82" i="11"/>
  <c r="CC82" i="11"/>
  <c r="CD82" i="11"/>
  <c r="CE82" i="11"/>
  <c r="CF82" i="11"/>
  <c r="CG82" i="11"/>
  <c r="CH82" i="11"/>
  <c r="CI82" i="11"/>
  <c r="CJ82" i="11"/>
  <c r="CK82" i="11"/>
  <c r="F81" i="11"/>
  <c r="G81" i="11"/>
  <c r="H81" i="11"/>
  <c r="I81" i="11"/>
  <c r="J81" i="11"/>
  <c r="K81" i="11"/>
  <c r="L81" i="11"/>
  <c r="M81" i="11"/>
  <c r="N81" i="11"/>
  <c r="O81" i="11"/>
  <c r="P81" i="11"/>
  <c r="Q81" i="11"/>
  <c r="R81" i="11"/>
  <c r="S81" i="11"/>
  <c r="T81" i="11"/>
  <c r="U81" i="11"/>
  <c r="V81" i="11"/>
  <c r="W81" i="11"/>
  <c r="X81" i="11"/>
  <c r="Y81" i="11"/>
  <c r="Z81" i="11"/>
  <c r="AA81" i="11"/>
  <c r="AB81" i="11"/>
  <c r="AC81" i="11"/>
  <c r="AD81" i="11"/>
  <c r="AE81" i="11"/>
  <c r="AF81" i="11"/>
  <c r="AG81" i="11"/>
  <c r="AH81" i="11"/>
  <c r="AI81" i="11"/>
  <c r="AJ81" i="11"/>
  <c r="AK81" i="11"/>
  <c r="AL81" i="11"/>
  <c r="AM81" i="11"/>
  <c r="AN81" i="11"/>
  <c r="AO81" i="11"/>
  <c r="AP81" i="11"/>
  <c r="AQ81" i="11"/>
  <c r="AR81" i="11"/>
  <c r="AR93" i="11" s="1"/>
  <c r="AS81" i="11"/>
  <c r="AT81" i="11"/>
  <c r="AU81" i="11"/>
  <c r="AV81" i="11"/>
  <c r="AV93" i="11" s="1"/>
  <c r="AW81" i="11"/>
  <c r="AX81" i="11"/>
  <c r="AY81" i="11"/>
  <c r="AZ81" i="11"/>
  <c r="BA81" i="11"/>
  <c r="BB81" i="11"/>
  <c r="BC81" i="11"/>
  <c r="BD81" i="11"/>
  <c r="BD93" i="11" s="1"/>
  <c r="BE81" i="11"/>
  <c r="BE87" i="11" s="1"/>
  <c r="BF81" i="11"/>
  <c r="BG81" i="11"/>
  <c r="BH81" i="11"/>
  <c r="BH93" i="11" s="1"/>
  <c r="BI81" i="11"/>
  <c r="BJ81" i="11"/>
  <c r="BK81" i="11"/>
  <c r="BL81" i="11"/>
  <c r="BL93" i="11" s="1"/>
  <c r="BM81" i="11"/>
  <c r="BM87" i="11" s="1"/>
  <c r="BN81" i="11"/>
  <c r="BO81" i="11"/>
  <c r="BP81" i="11"/>
  <c r="BQ81" i="11"/>
  <c r="BR81" i="11"/>
  <c r="BS81" i="11"/>
  <c r="BT81" i="11"/>
  <c r="BT93" i="11" s="1"/>
  <c r="BU81" i="11"/>
  <c r="BU87" i="11" s="1"/>
  <c r="BV81" i="11"/>
  <c r="BW81" i="11"/>
  <c r="BX81" i="11"/>
  <c r="BX93" i="11" s="1"/>
  <c r="BY81" i="11"/>
  <c r="BZ81" i="11"/>
  <c r="CA81" i="11"/>
  <c r="CB81" i="11"/>
  <c r="CB93" i="11" s="1"/>
  <c r="CC81" i="11"/>
  <c r="CC87" i="11" s="1"/>
  <c r="CD81" i="11"/>
  <c r="CE81" i="11"/>
  <c r="CF81" i="11"/>
  <c r="CF93" i="11" s="1"/>
  <c r="CG81" i="11"/>
  <c r="CH81" i="11"/>
  <c r="CI81" i="11"/>
  <c r="CJ81" i="11"/>
  <c r="CJ93" i="11" s="1"/>
  <c r="CK81" i="11"/>
  <c r="CK87" i="11" s="1"/>
  <c r="E81" i="11"/>
  <c r="F56" i="6"/>
  <c r="G56" i="6"/>
  <c r="H56" i="6"/>
  <c r="I56" i="6"/>
  <c r="J56" i="6"/>
  <c r="K56" i="6"/>
  <c r="L56" i="6"/>
  <c r="M56" i="6"/>
  <c r="N56" i="6"/>
  <c r="O56" i="6"/>
  <c r="P56" i="6"/>
  <c r="Q56" i="6"/>
  <c r="R56" i="6"/>
  <c r="S56" i="6"/>
  <c r="T56" i="6"/>
  <c r="AV56" i="6"/>
  <c r="AW56" i="6"/>
  <c r="AX56" i="6"/>
  <c r="AY56" i="6"/>
  <c r="AZ56" i="6"/>
  <c r="BA56" i="6"/>
  <c r="BB56" i="6"/>
  <c r="BC56" i="6"/>
  <c r="BD56" i="6"/>
  <c r="BE56" i="6"/>
  <c r="BF56" i="6"/>
  <c r="BG56" i="6"/>
  <c r="BH56" i="6"/>
  <c r="BI56" i="6"/>
  <c r="BJ56" i="6"/>
  <c r="BK56" i="6"/>
  <c r="BL56" i="6"/>
  <c r="BM56" i="6"/>
  <c r="BN56" i="6"/>
  <c r="BO56" i="6"/>
  <c r="BP56" i="6"/>
  <c r="BQ56" i="6"/>
  <c r="BR56" i="6"/>
  <c r="BS56" i="6"/>
  <c r="BT56" i="6"/>
  <c r="BU56" i="6"/>
  <c r="BV56" i="6"/>
  <c r="BW56" i="6"/>
  <c r="BX56" i="6"/>
  <c r="BY56" i="6"/>
  <c r="BZ56" i="6"/>
  <c r="CA56" i="6"/>
  <c r="CB56" i="6"/>
  <c r="CC56" i="6"/>
  <c r="CD56" i="6"/>
  <c r="CE56" i="6"/>
  <c r="CF56" i="6"/>
  <c r="CG56" i="6"/>
  <c r="CH56" i="6"/>
  <c r="CI56" i="6"/>
  <c r="CJ56" i="6"/>
  <c r="CK56" i="6"/>
  <c r="E56" i="6"/>
  <c r="CE100" i="11" l="1"/>
  <c r="CE101" i="11" s="1"/>
  <c r="BW100" i="11"/>
  <c r="BW101" i="11" s="1"/>
  <c r="BO100" i="11"/>
  <c r="BO101" i="11" s="1"/>
  <c r="BG100" i="11"/>
  <c r="BG101" i="11" s="1"/>
  <c r="CA100" i="11"/>
  <c r="CA101" i="11" s="1"/>
  <c r="CH85" i="11"/>
  <c r="CH100" i="11"/>
  <c r="CH101" i="11" s="1"/>
  <c r="CG100" i="11"/>
  <c r="CG101" i="11" s="1"/>
  <c r="BY100" i="11"/>
  <c r="BY101" i="11" s="1"/>
  <c r="CF100" i="11"/>
  <c r="CF101" i="11" s="1"/>
  <c r="BX100" i="11"/>
  <c r="BX101" i="11" s="1"/>
  <c r="BP100" i="11"/>
  <c r="BP101" i="11" s="1"/>
  <c r="BH100" i="11"/>
  <c r="BH101" i="11" s="1"/>
  <c r="AZ100" i="11"/>
  <c r="AZ101" i="11" s="1"/>
  <c r="AR100" i="11"/>
  <c r="AR101" i="11" s="1"/>
  <c r="AJ100" i="11"/>
  <c r="AJ101" i="11" s="1"/>
  <c r="AB100" i="11"/>
  <c r="AB101" i="11" s="1"/>
  <c r="T100" i="11"/>
  <c r="T101" i="11" s="1"/>
  <c r="AY100" i="11"/>
  <c r="AY101" i="11" s="1"/>
  <c r="AQ100" i="11"/>
  <c r="AQ101" i="11" s="1"/>
  <c r="AI100" i="11"/>
  <c r="AI101" i="11" s="1"/>
  <c r="K100" i="11"/>
  <c r="K101" i="11" s="1"/>
  <c r="CD100" i="11"/>
  <c r="CD101" i="11" s="1"/>
  <c r="BV100" i="11"/>
  <c r="BV101" i="11" s="1"/>
  <c r="BN100" i="11"/>
  <c r="BN101" i="11" s="1"/>
  <c r="BF100" i="11"/>
  <c r="BF101" i="11" s="1"/>
  <c r="AX100" i="11"/>
  <c r="AX101" i="11" s="1"/>
  <c r="AP100" i="11"/>
  <c r="AP101" i="11" s="1"/>
  <c r="AH100" i="11"/>
  <c r="AH101" i="11" s="1"/>
  <c r="AA100" i="11"/>
  <c r="AA101" i="11" s="1"/>
  <c r="S100" i="11"/>
  <c r="S101" i="11" s="1"/>
  <c r="E100" i="11"/>
  <c r="E101" i="11" s="1"/>
  <c r="Z100" i="11"/>
  <c r="Z101" i="11" s="1"/>
  <c r="R100" i="11"/>
  <c r="R101" i="11" s="1"/>
  <c r="J100" i="11"/>
  <c r="J101" i="11" s="1"/>
  <c r="BT100" i="11"/>
  <c r="BT101" i="11" s="1"/>
  <c r="BL100" i="11"/>
  <c r="BL101" i="11" s="1"/>
  <c r="BD100" i="11"/>
  <c r="BD101" i="11" s="1"/>
  <c r="AV100" i="11"/>
  <c r="AV101" i="11" s="1"/>
  <c r="AN100" i="11"/>
  <c r="AN101" i="11" s="1"/>
  <c r="AF100" i="11"/>
  <c r="AF101" i="11" s="1"/>
  <c r="X100" i="11"/>
  <c r="X101" i="11" s="1"/>
  <c r="P100" i="11"/>
  <c r="P101" i="11" s="1"/>
  <c r="H100" i="11"/>
  <c r="H101" i="11" s="1"/>
  <c r="BS100" i="11"/>
  <c r="BS101" i="11" s="1"/>
  <c r="O100" i="11"/>
  <c r="O101" i="11" s="1"/>
  <c r="AU100" i="11"/>
  <c r="AU101" i="11" s="1"/>
  <c r="W100" i="11"/>
  <c r="W101" i="11" s="1"/>
  <c r="BR100" i="11"/>
  <c r="BR101" i="11" s="1"/>
  <c r="BJ100" i="11"/>
  <c r="BJ101" i="11" s="1"/>
  <c r="BB100" i="11"/>
  <c r="BB101" i="11" s="1"/>
  <c r="AT100" i="11"/>
  <c r="AT101" i="11" s="1"/>
  <c r="AL100" i="11"/>
  <c r="AL101" i="11" s="1"/>
  <c r="AD100" i="11"/>
  <c r="AD101" i="11" s="1"/>
  <c r="V100" i="11"/>
  <c r="V101" i="11" s="1"/>
  <c r="N100" i="11"/>
  <c r="N101" i="11" s="1"/>
  <c r="F100" i="11"/>
  <c r="F101" i="11" s="1"/>
  <c r="BK100" i="11"/>
  <c r="BK101" i="11" s="1"/>
  <c r="AM100" i="11"/>
  <c r="AM101" i="11" s="1"/>
  <c r="G100" i="11"/>
  <c r="G101" i="11" s="1"/>
  <c r="BQ100" i="11"/>
  <c r="BQ101" i="11" s="1"/>
  <c r="BI100" i="11"/>
  <c r="BI101" i="11" s="1"/>
  <c r="BA100" i="11"/>
  <c r="BA101" i="11" s="1"/>
  <c r="AS100" i="11"/>
  <c r="AS101" i="11" s="1"/>
  <c r="AK100" i="11"/>
  <c r="AK101" i="11" s="1"/>
  <c r="AC100" i="11"/>
  <c r="AC101" i="11" s="1"/>
  <c r="U100" i="11"/>
  <c r="U101" i="11" s="1"/>
  <c r="M100" i="11"/>
  <c r="M101" i="11" s="1"/>
  <c r="BC100" i="11"/>
  <c r="BC101" i="11" s="1"/>
  <c r="AE100" i="11"/>
  <c r="AE101" i="11" s="1"/>
  <c r="L100" i="11"/>
  <c r="L101" i="11" s="1"/>
  <c r="CF83" i="11"/>
  <c r="CI85" i="11"/>
  <c r="BS85" i="11"/>
  <c r="BC85" i="11"/>
  <c r="AU85" i="11"/>
  <c r="AN83" i="11"/>
  <c r="CA85" i="11"/>
  <c r="BK85" i="11"/>
  <c r="BZ85" i="11"/>
  <c r="CD85" i="11"/>
  <c r="BV85" i="11"/>
  <c r="BN85" i="11"/>
  <c r="BF85" i="11"/>
  <c r="CA93" i="11"/>
  <c r="CG87" i="11"/>
  <c r="BY87" i="11"/>
  <c r="BQ87" i="11"/>
  <c r="BI87" i="11"/>
  <c r="BA87" i="11"/>
  <c r="AS93" i="11"/>
  <c r="CK83" i="11"/>
  <c r="CC83" i="11"/>
  <c r="BU83" i="11"/>
  <c r="BM83" i="11"/>
  <c r="CF87" i="11"/>
  <c r="AK83" i="11"/>
  <c r="AP83" i="11"/>
  <c r="BP87" i="11"/>
  <c r="BK93" i="11"/>
  <c r="BX83" i="11"/>
  <c r="BP83" i="11"/>
  <c r="BE83" i="11"/>
  <c r="AW83" i="11"/>
  <c r="AX85" i="11"/>
  <c r="AW93" i="11"/>
  <c r="CC85" i="11"/>
  <c r="BS87" i="11"/>
  <c r="CC93" i="11"/>
  <c r="BU85" i="11"/>
  <c r="CI87" i="11"/>
  <c r="BN87" i="11"/>
  <c r="CH87" i="11"/>
  <c r="BZ87" i="11"/>
  <c r="BR87" i="11"/>
  <c r="BJ87" i="11"/>
  <c r="BB87" i="11"/>
  <c r="AT87" i="11"/>
  <c r="AL83" i="11"/>
  <c r="BR85" i="11"/>
  <c r="BK87" i="11"/>
  <c r="BU93" i="11"/>
  <c r="BM85" i="11"/>
  <c r="CD87" i="11"/>
  <c r="BS93" i="11"/>
  <c r="BV87" i="11"/>
  <c r="BX85" i="11"/>
  <c r="BP85" i="11"/>
  <c r="AZ85" i="11"/>
  <c r="CA87" i="11"/>
  <c r="CK93" i="11"/>
  <c r="BP93" i="11"/>
  <c r="CF85" i="11"/>
  <c r="BH85" i="11"/>
  <c r="CE87" i="11"/>
  <c r="BW87" i="11"/>
  <c r="BO87" i="11"/>
  <c r="BG87" i="11"/>
  <c r="AY87" i="11"/>
  <c r="CI83" i="11"/>
  <c r="CA83" i="11"/>
  <c r="BS83" i="11"/>
  <c r="BK83" i="11"/>
  <c r="CK85" i="11"/>
  <c r="BX87" i="11"/>
  <c r="CI93" i="11"/>
  <c r="BM93" i="11"/>
  <c r="BB85" i="11"/>
  <c r="AT85" i="11"/>
  <c r="BJ85" i="11"/>
  <c r="AZ87" i="11"/>
  <c r="BE93" i="11"/>
  <c r="BC83" i="11"/>
  <c r="AU83" i="11"/>
  <c r="BE85" i="11"/>
  <c r="BH87" i="11"/>
  <c r="BF87" i="11"/>
  <c r="AX87" i="11"/>
  <c r="AU87" i="11"/>
  <c r="BC93" i="11"/>
  <c r="AU93" i="11"/>
  <c r="BH83" i="11"/>
  <c r="AZ83" i="11"/>
  <c r="AW85" i="11"/>
  <c r="BC87" i="11"/>
  <c r="AZ93" i="11"/>
  <c r="CH83" i="11"/>
  <c r="BZ83" i="11"/>
  <c r="BR83" i="11"/>
  <c r="BJ83" i="11"/>
  <c r="BB83" i="11"/>
  <c r="AT83" i="11"/>
  <c r="CJ85" i="11"/>
  <c r="CB85" i="11"/>
  <c r="BT85" i="11"/>
  <c r="BL85" i="11"/>
  <c r="BD85" i="11"/>
  <c r="AV85" i="11"/>
  <c r="AW87" i="11"/>
  <c r="CH93" i="11"/>
  <c r="BZ93" i="11"/>
  <c r="BR93" i="11"/>
  <c r="BJ93" i="11"/>
  <c r="BB93" i="11"/>
  <c r="AT93" i="11"/>
  <c r="CG83" i="11"/>
  <c r="BY83" i="11"/>
  <c r="BQ83" i="11"/>
  <c r="BI83" i="11"/>
  <c r="BA83" i="11"/>
  <c r="CJ87" i="11"/>
  <c r="CB87" i="11"/>
  <c r="BT87" i="11"/>
  <c r="BL87" i="11"/>
  <c r="BD87" i="11"/>
  <c r="AV87" i="11"/>
  <c r="CG93" i="11"/>
  <c r="BY93" i="11"/>
  <c r="BQ93" i="11"/>
  <c r="BI93" i="11"/>
  <c r="BA93" i="11"/>
  <c r="CE83" i="11"/>
  <c r="BW83" i="11"/>
  <c r="BO83" i="11"/>
  <c r="BG83" i="11"/>
  <c r="AY83" i="11"/>
  <c r="CG85" i="11"/>
  <c r="BY85" i="11"/>
  <c r="BQ85" i="11"/>
  <c r="BI85" i="11"/>
  <c r="BA85" i="11"/>
  <c r="CE93" i="11"/>
  <c r="BW93" i="11"/>
  <c r="BO93" i="11"/>
  <c r="BG93" i="11"/>
  <c r="AY93" i="11"/>
  <c r="CD83" i="11"/>
  <c r="BV83" i="11"/>
  <c r="BN83" i="11"/>
  <c r="BF83" i="11"/>
  <c r="AX83" i="11"/>
  <c r="CD93" i="11"/>
  <c r="BV93" i="11"/>
  <c r="BN93" i="11"/>
  <c r="BF93" i="11"/>
  <c r="AX93" i="11"/>
  <c r="CE85" i="11"/>
  <c r="BO85" i="11"/>
  <c r="AY85" i="11"/>
  <c r="BW85" i="11"/>
  <c r="BG85" i="11"/>
  <c r="CJ83" i="11"/>
  <c r="CB83" i="11"/>
  <c r="BT83" i="11"/>
  <c r="BL83" i="11"/>
  <c r="BD83" i="11"/>
  <c r="AV83" i="11"/>
  <c r="AQ83" i="11"/>
  <c r="AM83" i="11"/>
  <c r="AO83" i="11"/>
  <c r="AQ85" i="11"/>
  <c r="AI85" i="11"/>
  <c r="AA85" i="11"/>
  <c r="S85" i="11"/>
  <c r="K85" i="11"/>
  <c r="AM87" i="11"/>
  <c r="AE87" i="11"/>
  <c r="W87" i="11"/>
  <c r="O87" i="11"/>
  <c r="G87" i="11"/>
  <c r="AO87" i="11"/>
  <c r="AE93" i="11"/>
  <c r="W93" i="11"/>
  <c r="G93" i="11"/>
  <c r="AM93" i="11"/>
  <c r="AS83" i="11"/>
  <c r="E85" i="11"/>
  <c r="AP85" i="11"/>
  <c r="AH85" i="11"/>
  <c r="Z85" i="11"/>
  <c r="R85" i="11"/>
  <c r="J85" i="11"/>
  <c r="AL87" i="11"/>
  <c r="AD87" i="11"/>
  <c r="V87" i="11"/>
  <c r="N87" i="11"/>
  <c r="F87" i="11"/>
  <c r="AL93" i="11"/>
  <c r="AD93" i="11"/>
  <c r="V93" i="11"/>
  <c r="N93" i="11"/>
  <c r="F93" i="11"/>
  <c r="O93" i="11"/>
  <c r="AR83" i="11"/>
  <c r="AO85" i="11"/>
  <c r="AG85" i="11"/>
  <c r="Y85" i="11"/>
  <c r="Q85" i="11"/>
  <c r="I85" i="11"/>
  <c r="AS85" i="11"/>
  <c r="AK87" i="11"/>
  <c r="AC87" i="11"/>
  <c r="U87" i="11"/>
  <c r="M87" i="11"/>
  <c r="AK93" i="11"/>
  <c r="AC93" i="11"/>
  <c r="U93" i="11"/>
  <c r="M93" i="11"/>
  <c r="AN85" i="11"/>
  <c r="AF85" i="11"/>
  <c r="X85" i="11"/>
  <c r="P85" i="11"/>
  <c r="H85" i="11"/>
  <c r="AR85" i="11"/>
  <c r="AJ87" i="11"/>
  <c r="AB87" i="11"/>
  <c r="T87" i="11"/>
  <c r="L87" i="11"/>
  <c r="AJ93" i="11"/>
  <c r="AB93" i="11"/>
  <c r="T93" i="11"/>
  <c r="L93" i="11"/>
  <c r="AE85" i="11"/>
  <c r="W85" i="11"/>
  <c r="O85" i="11"/>
  <c r="G85" i="11"/>
  <c r="AM85" i="11"/>
  <c r="AQ87" i="11"/>
  <c r="AI87" i="11"/>
  <c r="AA87" i="11"/>
  <c r="S87" i="11"/>
  <c r="K87" i="11"/>
  <c r="AQ93" i="11"/>
  <c r="AI93" i="11"/>
  <c r="AA93" i="11"/>
  <c r="S93" i="11"/>
  <c r="K93" i="11"/>
  <c r="AL85" i="11"/>
  <c r="AD85" i="11"/>
  <c r="V85" i="11"/>
  <c r="N85" i="11"/>
  <c r="F85" i="11"/>
  <c r="E87" i="11"/>
  <c r="AP87" i="11"/>
  <c r="AH87" i="11"/>
  <c r="Z87" i="11"/>
  <c r="R87" i="11"/>
  <c r="J87" i="11"/>
  <c r="E93" i="11"/>
  <c r="AP93" i="11"/>
  <c r="AH93" i="11"/>
  <c r="Z93" i="11"/>
  <c r="R93" i="11"/>
  <c r="J93" i="11"/>
  <c r="AK85" i="11"/>
  <c r="AC85" i="11"/>
  <c r="U85" i="11"/>
  <c r="M85" i="11"/>
  <c r="AG87" i="11"/>
  <c r="Y87" i="11"/>
  <c r="Q87" i="11"/>
  <c r="I87" i="11"/>
  <c r="AS87" i="11"/>
  <c r="AO93" i="11"/>
  <c r="AG93" i="11"/>
  <c r="Y93" i="11"/>
  <c r="Q93" i="11"/>
  <c r="I93" i="11"/>
  <c r="AJ85" i="11"/>
  <c r="AB85" i="11"/>
  <c r="T85" i="11"/>
  <c r="L85" i="11"/>
  <c r="AN87" i="11"/>
  <c r="AF87" i="11"/>
  <c r="X87" i="11"/>
  <c r="P87" i="11"/>
  <c r="H87" i="11"/>
  <c r="AR87" i="11"/>
  <c r="AN93" i="11"/>
  <c r="AF93" i="11"/>
  <c r="X93" i="11"/>
  <c r="P93" i="11"/>
  <c r="H93" i="11"/>
  <c r="CK44" i="11"/>
  <c r="CL27" i="9"/>
  <c r="B31" i="13" l="1"/>
  <c r="B26" i="13"/>
  <c r="B12" i="13"/>
  <c r="B7" i="13"/>
  <c r="B1" i="13"/>
  <c r="CL27" i="12"/>
  <c r="CK24" i="12"/>
  <c r="CJ24" i="12"/>
  <c r="CI24" i="12"/>
  <c r="CH24" i="12"/>
  <c r="CG24" i="12"/>
  <c r="CF24" i="12"/>
  <c r="CE24" i="12"/>
  <c r="CD24" i="12"/>
  <c r="CC24" i="12"/>
  <c r="CB24" i="12"/>
  <c r="CA24" i="12"/>
  <c r="BZ24" i="12"/>
  <c r="BY24" i="12"/>
  <c r="BX24" i="12"/>
  <c r="BW24" i="12"/>
  <c r="BV24" i="12"/>
  <c r="BU24" i="12"/>
  <c r="BT24" i="12"/>
  <c r="BS24" i="12"/>
  <c r="BR24" i="12"/>
  <c r="BQ24" i="12"/>
  <c r="BP24" i="12"/>
  <c r="BO24" i="12"/>
  <c r="BN24" i="12"/>
  <c r="BM24" i="12"/>
  <c r="BL24" i="12"/>
  <c r="BK24" i="12"/>
  <c r="BJ24" i="12"/>
  <c r="BI24" i="12"/>
  <c r="BH24" i="12"/>
  <c r="BG24" i="12"/>
  <c r="BF24" i="12"/>
  <c r="BE24" i="12"/>
  <c r="BD24" i="12"/>
  <c r="BC24" i="12"/>
  <c r="BB24" i="12"/>
  <c r="BA24" i="12"/>
  <c r="AZ24" i="12"/>
  <c r="AY24" i="12"/>
  <c r="AX24" i="12"/>
  <c r="AW24" i="12"/>
  <c r="AV24" i="12"/>
  <c r="AU24" i="12"/>
  <c r="AT24" i="12"/>
  <c r="AS24" i="12"/>
  <c r="AR24" i="12"/>
  <c r="AQ24" i="12"/>
  <c r="AP24" i="12"/>
  <c r="AO24" i="12"/>
  <c r="AN24" i="12"/>
  <c r="AM24" i="12"/>
  <c r="AL24" i="12"/>
  <c r="AK24" i="12"/>
  <c r="AJ24" i="12"/>
  <c r="AI24" i="12"/>
  <c r="AH24" i="12"/>
  <c r="AG24" i="12"/>
  <c r="AF24" i="12"/>
  <c r="AE24" i="12"/>
  <c r="AD24" i="12"/>
  <c r="AC24" i="12"/>
  <c r="AB24" i="12"/>
  <c r="AA24" i="12"/>
  <c r="Z24" i="12"/>
  <c r="Y24" i="12"/>
  <c r="X24" i="12"/>
  <c r="W24" i="12"/>
  <c r="V24" i="12"/>
  <c r="U24" i="12"/>
  <c r="T24" i="12"/>
  <c r="S24" i="12"/>
  <c r="R24" i="12"/>
  <c r="Q24" i="12"/>
  <c r="P24" i="12"/>
  <c r="O24" i="12"/>
  <c r="N24" i="12"/>
  <c r="M24" i="12"/>
  <c r="L24" i="12"/>
  <c r="K24" i="12"/>
  <c r="J24" i="12"/>
  <c r="I24" i="12"/>
  <c r="H24" i="12"/>
  <c r="G24" i="12"/>
  <c r="F24" i="12"/>
  <c r="E24" i="12"/>
  <c r="CK23" i="12"/>
  <c r="CJ23" i="12"/>
  <c r="CI23" i="12"/>
  <c r="CH23" i="12"/>
  <c r="CG23" i="12"/>
  <c r="CF23" i="12"/>
  <c r="CE23" i="12"/>
  <c r="CD23" i="12"/>
  <c r="CC23" i="12"/>
  <c r="CB23" i="12"/>
  <c r="CA23" i="12"/>
  <c r="BZ23" i="12"/>
  <c r="BY23" i="12"/>
  <c r="BX23" i="12"/>
  <c r="BW23" i="12"/>
  <c r="BV23" i="12"/>
  <c r="BU23" i="12"/>
  <c r="BT23" i="12"/>
  <c r="BS23" i="12"/>
  <c r="BR23" i="12"/>
  <c r="BQ23" i="12"/>
  <c r="BP23" i="12"/>
  <c r="BO23" i="12"/>
  <c r="BN23" i="12"/>
  <c r="BM23" i="12"/>
  <c r="BL23" i="12"/>
  <c r="BK23" i="12"/>
  <c r="BJ23" i="12"/>
  <c r="BI23" i="12"/>
  <c r="BH23" i="12"/>
  <c r="BG23" i="12"/>
  <c r="BF23" i="12"/>
  <c r="BE23" i="12"/>
  <c r="BD23" i="12"/>
  <c r="BC23" i="12"/>
  <c r="BB23" i="12"/>
  <c r="BA23" i="12"/>
  <c r="AZ23" i="12"/>
  <c r="AY23" i="12"/>
  <c r="AX23" i="12"/>
  <c r="AW23" i="12"/>
  <c r="AV23" i="12"/>
  <c r="AU23" i="12"/>
  <c r="AT23" i="12"/>
  <c r="AS23" i="12"/>
  <c r="AR23" i="12"/>
  <c r="AQ23" i="12"/>
  <c r="AP23" i="12"/>
  <c r="AO23" i="12"/>
  <c r="AN23" i="12"/>
  <c r="AM23" i="12"/>
  <c r="AL23" i="12"/>
  <c r="AK23" i="12"/>
  <c r="AJ23" i="12"/>
  <c r="AI23" i="12"/>
  <c r="AH23" i="12"/>
  <c r="AG23" i="12"/>
  <c r="AF23" i="12"/>
  <c r="AE23" i="12"/>
  <c r="AD23" i="12"/>
  <c r="AC23" i="12"/>
  <c r="AB23" i="12"/>
  <c r="AA23" i="12"/>
  <c r="Z23" i="12"/>
  <c r="Y23" i="12"/>
  <c r="X23" i="12"/>
  <c r="W23" i="12"/>
  <c r="V23" i="12"/>
  <c r="U23" i="12"/>
  <c r="T23" i="12"/>
  <c r="S23" i="12"/>
  <c r="R23" i="12"/>
  <c r="Q23" i="12"/>
  <c r="P23" i="12"/>
  <c r="O23" i="12"/>
  <c r="N23" i="12"/>
  <c r="M23" i="12"/>
  <c r="L23" i="12"/>
  <c r="K23" i="12"/>
  <c r="J23" i="12"/>
  <c r="I23" i="12"/>
  <c r="H23" i="12"/>
  <c r="G23" i="12"/>
  <c r="F23" i="12"/>
  <c r="E23" i="12"/>
  <c r="CK22" i="12"/>
  <c r="CJ22" i="12"/>
  <c r="CI22" i="12"/>
  <c r="CH22" i="12"/>
  <c r="CG22" i="12"/>
  <c r="CF22" i="12"/>
  <c r="CE22" i="12"/>
  <c r="CD22" i="12"/>
  <c r="CC22" i="12"/>
  <c r="CB22" i="12"/>
  <c r="CA22" i="12"/>
  <c r="BZ22" i="12"/>
  <c r="BY22" i="12"/>
  <c r="BX22" i="12"/>
  <c r="BW22" i="12"/>
  <c r="BV22" i="12"/>
  <c r="BU22" i="12"/>
  <c r="BT22" i="12"/>
  <c r="BS22" i="12"/>
  <c r="BR22" i="12"/>
  <c r="BQ22" i="12"/>
  <c r="BP22" i="12"/>
  <c r="BO22" i="12"/>
  <c r="BN22" i="12"/>
  <c r="BM22" i="12"/>
  <c r="BL22" i="12"/>
  <c r="BK22" i="12"/>
  <c r="BJ22" i="12"/>
  <c r="BI22" i="12"/>
  <c r="BH22" i="12"/>
  <c r="BG22" i="12"/>
  <c r="BF22" i="12"/>
  <c r="BE22" i="12"/>
  <c r="BD22" i="12"/>
  <c r="BC22" i="12"/>
  <c r="BB22" i="12"/>
  <c r="BA22" i="12"/>
  <c r="AZ22" i="12"/>
  <c r="AY22" i="12"/>
  <c r="AX22" i="12"/>
  <c r="AW22" i="12"/>
  <c r="AV22" i="12"/>
  <c r="AU22" i="12"/>
  <c r="AT22" i="12"/>
  <c r="AS22" i="12"/>
  <c r="AR22" i="12"/>
  <c r="AQ22" i="12"/>
  <c r="AP22" i="12"/>
  <c r="AO22" i="12"/>
  <c r="AN22" i="12"/>
  <c r="AM22" i="12"/>
  <c r="AL22" i="12"/>
  <c r="AK22" i="12"/>
  <c r="AJ22" i="12"/>
  <c r="AI22" i="12"/>
  <c r="AH22" i="12"/>
  <c r="AG22" i="12"/>
  <c r="AF22" i="12"/>
  <c r="AE22" i="12"/>
  <c r="AD22" i="12"/>
  <c r="AC22" i="12"/>
  <c r="AB22" i="12"/>
  <c r="AA22" i="12"/>
  <c r="Z22" i="12"/>
  <c r="Y22" i="12"/>
  <c r="X22" i="12"/>
  <c r="W22" i="12"/>
  <c r="V22" i="12"/>
  <c r="U22" i="12"/>
  <c r="T22" i="12"/>
  <c r="S22" i="12"/>
  <c r="R22" i="12"/>
  <c r="Q22" i="12"/>
  <c r="P22" i="12"/>
  <c r="O22" i="12"/>
  <c r="N22" i="12"/>
  <c r="M22" i="12"/>
  <c r="L22" i="12"/>
  <c r="K22" i="12"/>
  <c r="J22" i="12"/>
  <c r="I22" i="12"/>
  <c r="H22" i="12"/>
  <c r="G22" i="12"/>
  <c r="F22" i="12"/>
  <c r="E22" i="12"/>
  <c r="CL21" i="12"/>
  <c r="CK21" i="12"/>
  <c r="CJ21" i="12"/>
  <c r="CI21" i="12"/>
  <c r="CH21" i="12"/>
  <c r="CG21" i="12"/>
  <c r="CF21" i="12"/>
  <c r="CE21" i="12"/>
  <c r="CD21" i="12"/>
  <c r="CC21" i="12"/>
  <c r="CB21" i="12"/>
  <c r="CA21" i="12"/>
  <c r="BZ21" i="12"/>
  <c r="BY21" i="12"/>
  <c r="BX21" i="12"/>
  <c r="BW21" i="12"/>
  <c r="BV21" i="12"/>
  <c r="BU21" i="12"/>
  <c r="BT21" i="12"/>
  <c r="BS21" i="12"/>
  <c r="BR21" i="12"/>
  <c r="BQ21" i="12"/>
  <c r="BP21" i="12"/>
  <c r="BO21" i="12"/>
  <c r="BN21" i="12"/>
  <c r="BM21" i="12"/>
  <c r="BL21" i="12"/>
  <c r="BK21" i="12"/>
  <c r="BJ21" i="12"/>
  <c r="BI21" i="12"/>
  <c r="BH21" i="12"/>
  <c r="BG21" i="12"/>
  <c r="BF21" i="12"/>
  <c r="BE21" i="12"/>
  <c r="BD21" i="12"/>
  <c r="BC21" i="12"/>
  <c r="BB21" i="12"/>
  <c r="BA21" i="12"/>
  <c r="AZ21" i="12"/>
  <c r="AY21" i="12"/>
  <c r="AX21" i="12"/>
  <c r="AW21" i="12"/>
  <c r="AV21" i="12"/>
  <c r="AU21" i="12"/>
  <c r="AT21" i="12"/>
  <c r="AS21" i="12"/>
  <c r="AR21" i="12"/>
  <c r="AQ21" i="12"/>
  <c r="AP21" i="12"/>
  <c r="AO21" i="12"/>
  <c r="AN21" i="12"/>
  <c r="AM21" i="12"/>
  <c r="AL21" i="12"/>
  <c r="AK21" i="12"/>
  <c r="AJ21" i="12"/>
  <c r="AI21" i="12"/>
  <c r="AH21" i="12"/>
  <c r="AG21" i="12"/>
  <c r="AF21" i="12"/>
  <c r="AE21" i="12"/>
  <c r="AD21" i="12"/>
  <c r="AC21" i="12"/>
  <c r="AB21" i="12"/>
  <c r="AA21" i="12"/>
  <c r="Z21" i="12"/>
  <c r="Y21" i="12"/>
  <c r="X21" i="12"/>
  <c r="W21" i="12"/>
  <c r="V21" i="12"/>
  <c r="U21" i="12"/>
  <c r="T21" i="12"/>
  <c r="S21" i="12"/>
  <c r="R21" i="12"/>
  <c r="Q21" i="12"/>
  <c r="P21" i="12"/>
  <c r="O21" i="12"/>
  <c r="N21" i="12"/>
  <c r="M21" i="12"/>
  <c r="L21" i="12"/>
  <c r="K21" i="12"/>
  <c r="J21" i="12"/>
  <c r="I21" i="12"/>
  <c r="H21" i="12"/>
  <c r="G21" i="12"/>
  <c r="F21" i="12"/>
  <c r="E21" i="12"/>
  <c r="CL20" i="12"/>
  <c r="CK20" i="12"/>
  <c r="CJ20" i="12"/>
  <c r="CI20" i="12"/>
  <c r="CH20" i="12"/>
  <c r="CG20" i="12"/>
  <c r="CF20" i="12"/>
  <c r="CE20" i="12"/>
  <c r="CD20" i="12"/>
  <c r="CC20" i="12"/>
  <c r="CB20" i="12"/>
  <c r="CA20" i="12"/>
  <c r="BZ20" i="12"/>
  <c r="BY20" i="12"/>
  <c r="BX20" i="12"/>
  <c r="BW20" i="12"/>
  <c r="BV20" i="12"/>
  <c r="BU20" i="12"/>
  <c r="BT20" i="12"/>
  <c r="BS20" i="12"/>
  <c r="BR20" i="12"/>
  <c r="BQ20" i="12"/>
  <c r="BP20" i="12"/>
  <c r="BO20" i="12"/>
  <c r="BN20" i="12"/>
  <c r="BM20" i="12"/>
  <c r="BL20" i="12"/>
  <c r="BK20" i="12"/>
  <c r="BJ20" i="12"/>
  <c r="BI20" i="12"/>
  <c r="BH20" i="12"/>
  <c r="BG20" i="12"/>
  <c r="BF20" i="12"/>
  <c r="BE20" i="12"/>
  <c r="BD20" i="12"/>
  <c r="BC20" i="12"/>
  <c r="BB20" i="12"/>
  <c r="BA20" i="12"/>
  <c r="AZ20" i="12"/>
  <c r="AY20" i="12"/>
  <c r="AX20" i="12"/>
  <c r="AW20" i="12"/>
  <c r="AV20" i="12"/>
  <c r="AU20" i="12"/>
  <c r="AT20" i="12"/>
  <c r="AS20" i="12"/>
  <c r="AR20" i="12"/>
  <c r="AQ20" i="12"/>
  <c r="AP20" i="12"/>
  <c r="AO20" i="12"/>
  <c r="AN20" i="12"/>
  <c r="AM20" i="12"/>
  <c r="AL20" i="12"/>
  <c r="AK20" i="12"/>
  <c r="AJ20" i="12"/>
  <c r="AI20" i="12"/>
  <c r="AH20" i="12"/>
  <c r="AG20" i="12"/>
  <c r="AF20" i="12"/>
  <c r="AE20" i="12"/>
  <c r="AD20" i="12"/>
  <c r="AC20" i="12"/>
  <c r="AB20" i="12"/>
  <c r="AA20" i="12"/>
  <c r="Z20" i="12"/>
  <c r="Y20" i="12"/>
  <c r="X20" i="12"/>
  <c r="W20" i="12"/>
  <c r="V20" i="12"/>
  <c r="U20" i="12"/>
  <c r="T20" i="12"/>
  <c r="S20" i="12"/>
  <c r="R20" i="12"/>
  <c r="Q20" i="12"/>
  <c r="P20" i="12"/>
  <c r="O20" i="12"/>
  <c r="N20" i="12"/>
  <c r="M20" i="12"/>
  <c r="L20" i="12"/>
  <c r="K20" i="12"/>
  <c r="J20" i="12"/>
  <c r="I20" i="12"/>
  <c r="H20" i="12"/>
  <c r="G20" i="12"/>
  <c r="F20" i="12"/>
  <c r="E20" i="12"/>
  <c r="CK19" i="12"/>
  <c r="CJ19" i="12"/>
  <c r="CI19" i="12"/>
  <c r="CH19" i="12"/>
  <c r="CG19" i="12"/>
  <c r="CF19" i="12"/>
  <c r="CE19" i="12"/>
  <c r="CD19" i="12"/>
  <c r="CC19" i="12"/>
  <c r="CB19" i="12"/>
  <c r="CA19" i="12"/>
  <c r="BZ19" i="12"/>
  <c r="BY19" i="12"/>
  <c r="BX19" i="12"/>
  <c r="BW19" i="12"/>
  <c r="BV19" i="12"/>
  <c r="BU19" i="12"/>
  <c r="BT19" i="12"/>
  <c r="BS19" i="12"/>
  <c r="BR19" i="12"/>
  <c r="BQ19" i="12"/>
  <c r="BP19" i="12"/>
  <c r="BO19" i="12"/>
  <c r="BN19" i="12"/>
  <c r="BM19" i="12"/>
  <c r="BL19" i="12"/>
  <c r="BK19" i="12"/>
  <c r="BJ19" i="12"/>
  <c r="BI19" i="12"/>
  <c r="BH19" i="12"/>
  <c r="BG19" i="12"/>
  <c r="BF19" i="12"/>
  <c r="BE19" i="12"/>
  <c r="BD19" i="12"/>
  <c r="BC19" i="12"/>
  <c r="BB19" i="12"/>
  <c r="BA19" i="12"/>
  <c r="AZ19" i="12"/>
  <c r="AY19" i="12"/>
  <c r="AX19" i="12"/>
  <c r="AW19" i="12"/>
  <c r="AV19" i="12"/>
  <c r="AU19" i="12"/>
  <c r="AT19" i="12"/>
  <c r="AS19" i="12"/>
  <c r="AR19" i="12"/>
  <c r="AQ19" i="12"/>
  <c r="AP19" i="12"/>
  <c r="AO19" i="12"/>
  <c r="AN19" i="12"/>
  <c r="AM19" i="12"/>
  <c r="AL19" i="12"/>
  <c r="AK19" i="12"/>
  <c r="AJ19" i="12"/>
  <c r="AI19" i="12"/>
  <c r="AH19" i="12"/>
  <c r="AG19" i="12"/>
  <c r="AF19" i="12"/>
  <c r="AE19" i="12"/>
  <c r="AD19" i="12"/>
  <c r="AC19" i="12"/>
  <c r="AB19" i="12"/>
  <c r="AA19" i="12"/>
  <c r="Z19" i="12"/>
  <c r="Y19" i="12"/>
  <c r="X19" i="12"/>
  <c r="W19" i="12"/>
  <c r="V19" i="12"/>
  <c r="U19" i="12"/>
  <c r="T19" i="12"/>
  <c r="S19" i="12"/>
  <c r="R19" i="12"/>
  <c r="Q19" i="12"/>
  <c r="P19" i="12"/>
  <c r="O19" i="12"/>
  <c r="N19" i="12"/>
  <c r="M19" i="12"/>
  <c r="L19" i="12"/>
  <c r="K19" i="12"/>
  <c r="J19" i="12"/>
  <c r="I19" i="12"/>
  <c r="H19" i="12"/>
  <c r="G19" i="12"/>
  <c r="F19" i="12"/>
  <c r="E19" i="12"/>
  <c r="CL17" i="12"/>
  <c r="CL16" i="12"/>
  <c r="CK15" i="12"/>
  <c r="CK14" i="12"/>
  <c r="CJ14" i="12"/>
  <c r="CI14" i="12"/>
  <c r="CH14" i="12"/>
  <c r="CG14" i="12"/>
  <c r="CF14" i="12"/>
  <c r="CE14" i="12"/>
  <c r="CD14" i="12"/>
  <c r="CC14" i="12"/>
  <c r="CB14" i="12"/>
  <c r="CA14" i="12"/>
  <c r="BZ14" i="12"/>
  <c r="BY14" i="12"/>
  <c r="BX14" i="12"/>
  <c r="BW14" i="12"/>
  <c r="BV14" i="12"/>
  <c r="BU14" i="12"/>
  <c r="BT14" i="12"/>
  <c r="BS14" i="12"/>
  <c r="BR14" i="12"/>
  <c r="BQ14" i="12"/>
  <c r="BP14" i="12"/>
  <c r="BO14" i="12"/>
  <c r="BN14" i="12"/>
  <c r="BM14" i="12"/>
  <c r="BL14" i="12"/>
  <c r="BK14" i="12"/>
  <c r="BJ14" i="12"/>
  <c r="BI14" i="12"/>
  <c r="BH14" i="12"/>
  <c r="BG14" i="12"/>
  <c r="BF14" i="12"/>
  <c r="BE14" i="12"/>
  <c r="BD14" i="12"/>
  <c r="BC14" i="12"/>
  <c r="BB14" i="12"/>
  <c r="BA14" i="12"/>
  <c r="AZ14" i="12"/>
  <c r="AY14" i="12"/>
  <c r="AX14" i="12"/>
  <c r="AW14" i="12"/>
  <c r="AV14" i="12"/>
  <c r="AU14" i="12"/>
  <c r="AT14" i="12"/>
  <c r="AS14" i="12"/>
  <c r="AR14" i="12"/>
  <c r="AQ14" i="12"/>
  <c r="AP14" i="12"/>
  <c r="AO14" i="12"/>
  <c r="AN14" i="12"/>
  <c r="AM14" i="12"/>
  <c r="AL14" i="12"/>
  <c r="AK14" i="12"/>
  <c r="AJ14" i="12"/>
  <c r="AI14" i="12"/>
  <c r="AH14" i="12"/>
  <c r="AG14" i="12"/>
  <c r="AF14" i="12"/>
  <c r="AE14" i="12"/>
  <c r="AD14" i="12"/>
  <c r="AC14" i="12"/>
  <c r="AB14" i="12"/>
  <c r="AA14" i="12"/>
  <c r="Z14" i="12"/>
  <c r="Y14" i="12"/>
  <c r="X14" i="12"/>
  <c r="W14" i="12"/>
  <c r="V14" i="12"/>
  <c r="U14" i="12"/>
  <c r="T14" i="12"/>
  <c r="S14" i="12"/>
  <c r="R14" i="12"/>
  <c r="Q14" i="12"/>
  <c r="P14" i="12"/>
  <c r="O14" i="12"/>
  <c r="N14" i="12"/>
  <c r="M14" i="12"/>
  <c r="L14" i="12"/>
  <c r="K14" i="12"/>
  <c r="J14" i="12"/>
  <c r="I14" i="12"/>
  <c r="H14" i="12"/>
  <c r="G14" i="12"/>
  <c r="F14" i="12"/>
  <c r="E14" i="12"/>
  <c r="CK11" i="12"/>
  <c r="CJ11" i="12"/>
  <c r="CI11" i="12"/>
  <c r="CH11" i="12"/>
  <c r="CG11" i="12"/>
  <c r="CF11" i="12"/>
  <c r="CE11" i="12"/>
  <c r="CD11" i="12"/>
  <c r="CC11" i="12"/>
  <c r="CB11" i="12"/>
  <c r="CA11" i="12"/>
  <c r="BZ11" i="12"/>
  <c r="BY11" i="12"/>
  <c r="BX11" i="12"/>
  <c r="BW11" i="12"/>
  <c r="BV11" i="12"/>
  <c r="BU11" i="12"/>
  <c r="BT11" i="12"/>
  <c r="BS11" i="12"/>
  <c r="BR11" i="12"/>
  <c r="BQ11" i="12"/>
  <c r="BP11" i="12"/>
  <c r="BO11" i="12"/>
  <c r="BN11" i="12"/>
  <c r="BM11" i="12"/>
  <c r="BL11" i="12"/>
  <c r="BK11" i="12"/>
  <c r="BJ11" i="12"/>
  <c r="BI11" i="12"/>
  <c r="BH11" i="12"/>
  <c r="BG11" i="12"/>
  <c r="BF11" i="12"/>
  <c r="BE11" i="12"/>
  <c r="BD11" i="12"/>
  <c r="BC11" i="12"/>
  <c r="BB11" i="12"/>
  <c r="BA11" i="12"/>
  <c r="AZ11" i="12"/>
  <c r="AY11" i="12"/>
  <c r="AX11" i="12"/>
  <c r="AW11" i="12"/>
  <c r="AV11" i="12"/>
  <c r="AU11" i="12"/>
  <c r="AT11" i="12"/>
  <c r="AS11" i="12"/>
  <c r="AR11" i="12"/>
  <c r="AQ11" i="12"/>
  <c r="AP11" i="12"/>
  <c r="AO11" i="12"/>
  <c r="AN11" i="12"/>
  <c r="AM11" i="12"/>
  <c r="AL11" i="12"/>
  <c r="AK11" i="12"/>
  <c r="AJ11" i="12"/>
  <c r="AI11" i="12"/>
  <c r="AH11" i="12"/>
  <c r="AG11" i="12"/>
  <c r="AF11" i="12"/>
  <c r="AE11" i="12"/>
  <c r="AD11" i="12"/>
  <c r="AC11" i="12"/>
  <c r="AB11" i="12"/>
  <c r="AA11" i="12"/>
  <c r="Z11" i="12"/>
  <c r="Y11" i="12"/>
  <c r="X11" i="12"/>
  <c r="W11" i="12"/>
  <c r="V11" i="12"/>
  <c r="U11" i="12"/>
  <c r="T11" i="12"/>
  <c r="S11" i="12"/>
  <c r="R11" i="12"/>
  <c r="Q11" i="12"/>
  <c r="P11" i="12"/>
  <c r="O11" i="12"/>
  <c r="N11" i="12"/>
  <c r="M11" i="12"/>
  <c r="L11" i="12"/>
  <c r="K11" i="12"/>
  <c r="J11" i="12"/>
  <c r="I11" i="12"/>
  <c r="H11" i="12"/>
  <c r="G11" i="12"/>
  <c r="F11" i="12"/>
  <c r="E11" i="12"/>
  <c r="CK10" i="12"/>
  <c r="CJ10" i="12"/>
  <c r="CI10" i="12"/>
  <c r="CH10" i="12"/>
  <c r="CG10" i="12"/>
  <c r="CF10" i="12"/>
  <c r="CE10" i="12"/>
  <c r="CD10" i="12"/>
  <c r="CC10" i="12"/>
  <c r="CB10" i="12"/>
  <c r="CA10" i="12"/>
  <c r="BZ10" i="12"/>
  <c r="BY10" i="12"/>
  <c r="BX10" i="12"/>
  <c r="BW10" i="12"/>
  <c r="BV10" i="12"/>
  <c r="BU10" i="12"/>
  <c r="BT10" i="12"/>
  <c r="BS10" i="12"/>
  <c r="BR10" i="12"/>
  <c r="BQ10" i="12"/>
  <c r="BP10" i="12"/>
  <c r="BO10" i="12"/>
  <c r="BN10" i="12"/>
  <c r="BM10" i="12"/>
  <c r="BL10" i="12"/>
  <c r="BK10" i="12"/>
  <c r="BJ10" i="12"/>
  <c r="BI10" i="12"/>
  <c r="BH10" i="12"/>
  <c r="BG10" i="12"/>
  <c r="BF10" i="12"/>
  <c r="BE10" i="12"/>
  <c r="BD10" i="12"/>
  <c r="BC10" i="12"/>
  <c r="BB10" i="12"/>
  <c r="BA10" i="12"/>
  <c r="AZ10" i="12"/>
  <c r="AY10" i="12"/>
  <c r="AX10" i="12"/>
  <c r="AW10" i="12"/>
  <c r="AV10" i="12"/>
  <c r="AU10" i="12"/>
  <c r="AT10" i="12"/>
  <c r="AS10" i="12"/>
  <c r="AR10" i="12"/>
  <c r="AQ10" i="12"/>
  <c r="AP10" i="12"/>
  <c r="AO10" i="12"/>
  <c r="AN10" i="12"/>
  <c r="AM10" i="12"/>
  <c r="AL10" i="12"/>
  <c r="AK10" i="12"/>
  <c r="AJ10" i="12"/>
  <c r="AI10" i="12"/>
  <c r="AH10" i="12"/>
  <c r="AG10" i="12"/>
  <c r="AF10" i="12"/>
  <c r="AE10" i="12"/>
  <c r="AD10" i="12"/>
  <c r="AC10" i="12"/>
  <c r="AB10" i="12"/>
  <c r="AA10" i="12"/>
  <c r="Z10" i="12"/>
  <c r="Y10" i="12"/>
  <c r="X10" i="12"/>
  <c r="W10" i="12"/>
  <c r="V10" i="12"/>
  <c r="U10" i="12"/>
  <c r="T10" i="12"/>
  <c r="S10" i="12"/>
  <c r="R10" i="12"/>
  <c r="Q10" i="12"/>
  <c r="P10" i="12"/>
  <c r="O10" i="12"/>
  <c r="N10" i="12"/>
  <c r="M10" i="12"/>
  <c r="L10" i="12"/>
  <c r="K10" i="12"/>
  <c r="J10" i="12"/>
  <c r="I10" i="12"/>
  <c r="H10" i="12"/>
  <c r="G10" i="12"/>
  <c r="F10" i="12"/>
  <c r="E10" i="12"/>
  <c r="CK9" i="12"/>
  <c r="CJ9" i="12"/>
  <c r="CI9" i="12"/>
  <c r="CH9" i="12"/>
  <c r="CG9" i="12"/>
  <c r="CF9" i="12"/>
  <c r="CE9" i="12"/>
  <c r="CD9" i="12"/>
  <c r="CC9" i="12"/>
  <c r="CB9" i="12"/>
  <c r="CA9" i="12"/>
  <c r="BZ9" i="12"/>
  <c r="BY9" i="12"/>
  <c r="BX9" i="12"/>
  <c r="BW9" i="12"/>
  <c r="BV9" i="12"/>
  <c r="BU9" i="12"/>
  <c r="BT9" i="12"/>
  <c r="BS9" i="12"/>
  <c r="BR9" i="12"/>
  <c r="BQ9" i="12"/>
  <c r="BP9" i="12"/>
  <c r="BO9" i="12"/>
  <c r="BN9" i="12"/>
  <c r="BM9" i="12"/>
  <c r="BL9" i="12"/>
  <c r="BK9" i="12"/>
  <c r="BJ9" i="12"/>
  <c r="BI9" i="12"/>
  <c r="BH9" i="12"/>
  <c r="BG9" i="12"/>
  <c r="BF9" i="12"/>
  <c r="BE9" i="12"/>
  <c r="BD9" i="12"/>
  <c r="BC9" i="12"/>
  <c r="BB9" i="12"/>
  <c r="BA9" i="12"/>
  <c r="AZ9" i="12"/>
  <c r="AY9" i="12"/>
  <c r="AX9" i="12"/>
  <c r="AW9" i="12"/>
  <c r="AV9" i="12"/>
  <c r="AU9" i="12"/>
  <c r="AT9" i="12"/>
  <c r="AS9" i="12"/>
  <c r="AR9" i="12"/>
  <c r="AQ9" i="12"/>
  <c r="AP9" i="12"/>
  <c r="AO9" i="12"/>
  <c r="AN9" i="12"/>
  <c r="AM9" i="12"/>
  <c r="AL9" i="12"/>
  <c r="AK9" i="12"/>
  <c r="AJ9" i="12"/>
  <c r="AI9" i="12"/>
  <c r="AH9" i="12"/>
  <c r="AG9" i="12"/>
  <c r="AF9" i="12"/>
  <c r="AE9" i="12"/>
  <c r="AD9" i="12"/>
  <c r="AC9" i="12"/>
  <c r="AB9" i="12"/>
  <c r="AA9" i="12"/>
  <c r="Z9" i="12"/>
  <c r="Y9" i="12"/>
  <c r="X9" i="12"/>
  <c r="W9" i="12"/>
  <c r="V9" i="12"/>
  <c r="U9" i="12"/>
  <c r="T9" i="12"/>
  <c r="S9" i="12"/>
  <c r="R9" i="12"/>
  <c r="Q9" i="12"/>
  <c r="P9" i="12"/>
  <c r="O9" i="12"/>
  <c r="N9" i="12"/>
  <c r="M9" i="12"/>
  <c r="L9" i="12"/>
  <c r="K9" i="12"/>
  <c r="J9" i="12"/>
  <c r="I9" i="12"/>
  <c r="H9" i="12"/>
  <c r="G9" i="12"/>
  <c r="F9" i="12"/>
  <c r="E9" i="12"/>
  <c r="CL8" i="12"/>
  <c r="CL12" i="12" s="1"/>
  <c r="CK8" i="12"/>
  <c r="CJ8" i="12"/>
  <c r="CI8" i="12"/>
  <c r="CH8" i="12"/>
  <c r="CG8" i="12"/>
  <c r="CF8" i="12"/>
  <c r="CE8" i="12"/>
  <c r="CD8" i="12"/>
  <c r="CC8" i="12"/>
  <c r="CB8" i="12"/>
  <c r="CA8" i="12"/>
  <c r="BZ8" i="12"/>
  <c r="BY8" i="12"/>
  <c r="BX8" i="12"/>
  <c r="BW8" i="12"/>
  <c r="BV8" i="12"/>
  <c r="BU8" i="12"/>
  <c r="BT8" i="12"/>
  <c r="BS8" i="12"/>
  <c r="BR8" i="12"/>
  <c r="BQ8" i="12"/>
  <c r="BP8" i="12"/>
  <c r="BO8" i="12"/>
  <c r="BN8" i="12"/>
  <c r="BM8" i="12"/>
  <c r="BL8" i="12"/>
  <c r="BK8" i="12"/>
  <c r="BJ8" i="12"/>
  <c r="BI8" i="12"/>
  <c r="BH8" i="12"/>
  <c r="BG8" i="12"/>
  <c r="BF8" i="12"/>
  <c r="BE8" i="12"/>
  <c r="BD8" i="12"/>
  <c r="BC8" i="12"/>
  <c r="BB8" i="12"/>
  <c r="BA8" i="12"/>
  <c r="AZ8" i="12"/>
  <c r="AY8" i="12"/>
  <c r="AX8" i="12"/>
  <c r="AW8" i="12"/>
  <c r="AV8" i="12"/>
  <c r="AU8" i="12"/>
  <c r="AT8" i="12"/>
  <c r="AS8" i="12"/>
  <c r="AR8" i="12"/>
  <c r="AQ8" i="12"/>
  <c r="AP8" i="12"/>
  <c r="AO8" i="12"/>
  <c r="AN8" i="12"/>
  <c r="AM8" i="12"/>
  <c r="AL8" i="12"/>
  <c r="AK8" i="12"/>
  <c r="AJ8" i="12"/>
  <c r="AI8" i="12"/>
  <c r="AH8" i="12"/>
  <c r="AG8" i="12"/>
  <c r="AF8" i="12"/>
  <c r="AE8" i="12"/>
  <c r="AD8" i="12"/>
  <c r="AC8" i="12"/>
  <c r="AB8" i="12"/>
  <c r="AA8" i="12"/>
  <c r="Z8" i="12"/>
  <c r="Y8" i="12"/>
  <c r="X8" i="12"/>
  <c r="W8" i="12"/>
  <c r="V8" i="12"/>
  <c r="U8" i="12"/>
  <c r="T8" i="12"/>
  <c r="S8" i="12"/>
  <c r="R8" i="12"/>
  <c r="Q8" i="12"/>
  <c r="P8" i="12"/>
  <c r="O8" i="12"/>
  <c r="N8" i="12"/>
  <c r="M8" i="12"/>
  <c r="L8" i="12"/>
  <c r="K8" i="12"/>
  <c r="J8" i="12"/>
  <c r="I8" i="12"/>
  <c r="H8" i="12"/>
  <c r="G8" i="12"/>
  <c r="F8" i="12"/>
  <c r="E8" i="12"/>
  <c r="CL7" i="12"/>
  <c r="CK7" i="12"/>
  <c r="CJ7" i="12"/>
  <c r="CI7" i="12"/>
  <c r="CH7" i="12"/>
  <c r="CG7" i="12"/>
  <c r="CF7" i="12"/>
  <c r="CE7" i="12"/>
  <c r="CD7" i="12"/>
  <c r="CC7" i="12"/>
  <c r="CB7" i="12"/>
  <c r="CA7" i="12"/>
  <c r="BZ7" i="12"/>
  <c r="BY7" i="12"/>
  <c r="BX7" i="12"/>
  <c r="BW7" i="12"/>
  <c r="BV7" i="12"/>
  <c r="BU7" i="12"/>
  <c r="BT7" i="12"/>
  <c r="BS7" i="12"/>
  <c r="BR7" i="12"/>
  <c r="BQ7" i="12"/>
  <c r="BP7" i="12"/>
  <c r="BO7" i="12"/>
  <c r="BN7" i="12"/>
  <c r="BM7" i="12"/>
  <c r="BL7" i="12"/>
  <c r="BK7" i="12"/>
  <c r="BJ7" i="12"/>
  <c r="BI7" i="12"/>
  <c r="BH7" i="12"/>
  <c r="BG7" i="12"/>
  <c r="BF7" i="12"/>
  <c r="BE7" i="12"/>
  <c r="BD7" i="12"/>
  <c r="BC7" i="12"/>
  <c r="BB7" i="12"/>
  <c r="BA7" i="12"/>
  <c r="AZ7" i="12"/>
  <c r="AY7" i="12"/>
  <c r="AX7" i="12"/>
  <c r="AW7" i="12"/>
  <c r="AV7" i="12"/>
  <c r="AU7" i="12"/>
  <c r="AT7" i="12"/>
  <c r="AS7" i="12"/>
  <c r="AR7" i="12"/>
  <c r="AQ7" i="12"/>
  <c r="AP7" i="12"/>
  <c r="AO7" i="12"/>
  <c r="AN7" i="12"/>
  <c r="AM7" i="12"/>
  <c r="AL7" i="12"/>
  <c r="AK7" i="12"/>
  <c r="AJ7" i="12"/>
  <c r="AI7" i="12"/>
  <c r="AH7" i="12"/>
  <c r="AG7" i="12"/>
  <c r="AF7" i="12"/>
  <c r="AE7" i="12"/>
  <c r="AD7" i="12"/>
  <c r="AC7" i="12"/>
  <c r="AB7" i="12"/>
  <c r="AA7" i="12"/>
  <c r="Z7" i="12"/>
  <c r="Y7" i="12"/>
  <c r="X7" i="12"/>
  <c r="W7" i="12"/>
  <c r="V7" i="12"/>
  <c r="U7" i="12"/>
  <c r="T7" i="12"/>
  <c r="S7" i="12"/>
  <c r="R7" i="12"/>
  <c r="Q7" i="12"/>
  <c r="P7" i="12"/>
  <c r="O7" i="12"/>
  <c r="N7" i="12"/>
  <c r="M7" i="12"/>
  <c r="L7" i="12"/>
  <c r="K7" i="12"/>
  <c r="J7" i="12"/>
  <c r="I7" i="12"/>
  <c r="H7" i="12"/>
  <c r="G7" i="12"/>
  <c r="F7" i="12"/>
  <c r="E7" i="12"/>
  <c r="CK6" i="12"/>
  <c r="CJ6" i="12"/>
  <c r="CI6" i="12"/>
  <c r="CH6" i="12"/>
  <c r="CG6" i="12"/>
  <c r="CF6" i="12"/>
  <c r="CE6" i="12"/>
  <c r="CD6" i="12"/>
  <c r="CC6" i="12"/>
  <c r="CB6" i="12"/>
  <c r="CA6" i="12"/>
  <c r="BZ6" i="12"/>
  <c r="BY6" i="12"/>
  <c r="BX6" i="12"/>
  <c r="BW6" i="12"/>
  <c r="BV6" i="12"/>
  <c r="BU6" i="12"/>
  <c r="BT6" i="12"/>
  <c r="BS6" i="12"/>
  <c r="BR6" i="12"/>
  <c r="BQ6" i="12"/>
  <c r="BP6" i="12"/>
  <c r="BO6" i="12"/>
  <c r="BN6" i="12"/>
  <c r="BM6" i="12"/>
  <c r="BL6" i="12"/>
  <c r="BK6" i="12"/>
  <c r="BJ6" i="12"/>
  <c r="BI6" i="12"/>
  <c r="BH6" i="12"/>
  <c r="BG6" i="12"/>
  <c r="BF6" i="12"/>
  <c r="BE6" i="12"/>
  <c r="BD6" i="12"/>
  <c r="BC6" i="12"/>
  <c r="BB6" i="12"/>
  <c r="BA6" i="12"/>
  <c r="AZ6" i="12"/>
  <c r="AY6" i="12"/>
  <c r="AX6" i="12"/>
  <c r="AW6" i="12"/>
  <c r="AV6" i="12"/>
  <c r="AU6" i="12"/>
  <c r="AT6" i="12"/>
  <c r="AS6" i="12"/>
  <c r="AR6" i="12"/>
  <c r="AQ6" i="12"/>
  <c r="AP6" i="12"/>
  <c r="AO6" i="12"/>
  <c r="AN6" i="12"/>
  <c r="AM6" i="12"/>
  <c r="AL6" i="12"/>
  <c r="AK6" i="12"/>
  <c r="AJ6" i="12"/>
  <c r="AI6" i="12"/>
  <c r="AH6" i="12"/>
  <c r="AG6" i="12"/>
  <c r="AF6" i="12"/>
  <c r="AE6" i="12"/>
  <c r="AD6" i="12"/>
  <c r="AC6" i="12"/>
  <c r="AB6" i="12"/>
  <c r="AA6" i="12"/>
  <c r="Z6" i="12"/>
  <c r="Y6" i="12"/>
  <c r="X6" i="12"/>
  <c r="W6" i="12"/>
  <c r="V6" i="12"/>
  <c r="U6" i="12"/>
  <c r="T6" i="12"/>
  <c r="S6" i="12"/>
  <c r="R6" i="12"/>
  <c r="Q6" i="12"/>
  <c r="P6" i="12"/>
  <c r="O6" i="12"/>
  <c r="N6" i="12"/>
  <c r="M6" i="12"/>
  <c r="L6" i="12"/>
  <c r="K6" i="12"/>
  <c r="J6" i="12"/>
  <c r="I6" i="12"/>
  <c r="H6" i="12"/>
  <c r="G6" i="12"/>
  <c r="F6" i="12"/>
  <c r="E6" i="12"/>
  <c r="CK4" i="12"/>
  <c r="CJ4" i="12"/>
  <c r="CI4" i="12"/>
  <c r="CH4" i="12"/>
  <c r="CG4" i="12"/>
  <c r="CF4" i="12"/>
  <c r="CE4" i="12"/>
  <c r="CD4" i="12"/>
  <c r="CC4" i="12"/>
  <c r="CB4" i="12"/>
  <c r="CA4" i="12"/>
  <c r="BZ4" i="12"/>
  <c r="BY4" i="12"/>
  <c r="BX4" i="12"/>
  <c r="BW4" i="12"/>
  <c r="BV4" i="12"/>
  <c r="BU4" i="12"/>
  <c r="BT4" i="12"/>
  <c r="BS4" i="12"/>
  <c r="BR4" i="12"/>
  <c r="BQ4" i="12"/>
  <c r="BP4" i="12"/>
  <c r="BO4" i="12"/>
  <c r="BN4" i="12"/>
  <c r="BM4" i="12"/>
  <c r="BL4" i="12"/>
  <c r="BK4" i="12"/>
  <c r="BJ4" i="12"/>
  <c r="BI4" i="12"/>
  <c r="BH4" i="12"/>
  <c r="BG4" i="12"/>
  <c r="BF4" i="12"/>
  <c r="BE4" i="12"/>
  <c r="BD4" i="12"/>
  <c r="BC4" i="12"/>
  <c r="BB4" i="12"/>
  <c r="BA4" i="12"/>
  <c r="AZ4" i="12"/>
  <c r="AY4" i="12"/>
  <c r="AX4" i="12"/>
  <c r="AW4" i="12"/>
  <c r="AV4" i="12"/>
  <c r="AU4" i="12"/>
  <c r="AT4" i="12"/>
  <c r="AS4" i="12"/>
  <c r="AR4" i="12"/>
  <c r="AQ4" i="12"/>
  <c r="AP4" i="12"/>
  <c r="AO4" i="12"/>
  <c r="AN4" i="12"/>
  <c r="AM4" i="12"/>
  <c r="AL4" i="12"/>
  <c r="AK4" i="12"/>
  <c r="AJ4" i="12"/>
  <c r="AI4" i="12"/>
  <c r="AH4" i="12"/>
  <c r="AG4" i="12"/>
  <c r="AF4" i="12"/>
  <c r="AE4" i="12"/>
  <c r="AD4" i="12"/>
  <c r="AC4" i="12"/>
  <c r="AB4" i="12"/>
  <c r="AA4" i="12"/>
  <c r="Z4" i="12"/>
  <c r="Y4" i="12"/>
  <c r="X4" i="12"/>
  <c r="W4" i="12"/>
  <c r="V4" i="12"/>
  <c r="U4" i="12"/>
  <c r="T4" i="12"/>
  <c r="S4" i="12"/>
  <c r="R4" i="12"/>
  <c r="Q4" i="12"/>
  <c r="P4" i="12"/>
  <c r="O4" i="12"/>
  <c r="N4" i="12"/>
  <c r="M4" i="12"/>
  <c r="L4" i="12"/>
  <c r="K4" i="12"/>
  <c r="J4" i="12"/>
  <c r="I4" i="12"/>
  <c r="H4" i="12"/>
  <c r="G4" i="12"/>
  <c r="F4" i="12"/>
  <c r="E4" i="12"/>
  <c r="CK3" i="12"/>
  <c r="CJ3" i="12"/>
  <c r="CI3" i="12"/>
  <c r="CH3" i="12"/>
  <c r="CG3" i="12"/>
  <c r="CF3" i="12"/>
  <c r="CE3" i="12"/>
  <c r="CD3" i="12"/>
  <c r="CC3" i="12"/>
  <c r="CB3" i="12"/>
  <c r="CA3" i="12"/>
  <c r="BZ3" i="12"/>
  <c r="BY3" i="12"/>
  <c r="BX3" i="12"/>
  <c r="BW3" i="12"/>
  <c r="BV3" i="12"/>
  <c r="BU3" i="12"/>
  <c r="BT3" i="12"/>
  <c r="BS3" i="12"/>
  <c r="BR3" i="12"/>
  <c r="BQ3" i="12"/>
  <c r="BP3" i="12"/>
  <c r="BO3" i="12"/>
  <c r="BN3" i="12"/>
  <c r="BM3" i="12"/>
  <c r="BL3" i="12"/>
  <c r="BK3" i="12"/>
  <c r="BJ3" i="12"/>
  <c r="BI3" i="12"/>
  <c r="BH3" i="12"/>
  <c r="BG3" i="12"/>
  <c r="BF3" i="12"/>
  <c r="BE3" i="12"/>
  <c r="BD3" i="12"/>
  <c r="BC3" i="12"/>
  <c r="BB3" i="12"/>
  <c r="BA3" i="12"/>
  <c r="AZ3" i="12"/>
  <c r="AY3" i="12"/>
  <c r="AX3" i="12"/>
  <c r="AW3" i="12"/>
  <c r="AV3" i="12"/>
  <c r="AU3" i="12"/>
  <c r="AT3" i="12"/>
  <c r="AS3" i="12"/>
  <c r="AR3" i="12"/>
  <c r="AQ3" i="12"/>
  <c r="AP3" i="12"/>
  <c r="AO3" i="12"/>
  <c r="AN3" i="12"/>
  <c r="AM3" i="12"/>
  <c r="AL3" i="12"/>
  <c r="AK3" i="12"/>
  <c r="AJ3" i="12"/>
  <c r="AI3" i="12"/>
  <c r="AH3" i="12"/>
  <c r="AG3" i="12"/>
  <c r="AF3" i="12"/>
  <c r="AE3" i="12"/>
  <c r="AD3" i="12"/>
  <c r="AC3" i="12"/>
  <c r="AB3" i="12"/>
  <c r="AA3" i="12"/>
  <c r="Z3" i="12"/>
  <c r="Y3" i="12"/>
  <c r="X3" i="12"/>
  <c r="W3" i="12"/>
  <c r="V3" i="12"/>
  <c r="U3" i="12"/>
  <c r="T3" i="12"/>
  <c r="S3" i="12"/>
  <c r="R3" i="12"/>
  <c r="Q3" i="12"/>
  <c r="P3" i="12"/>
  <c r="O3" i="12"/>
  <c r="N3" i="12"/>
  <c r="M3" i="12"/>
  <c r="L3" i="12"/>
  <c r="K3" i="12"/>
  <c r="J3" i="12"/>
  <c r="I3" i="12"/>
  <c r="H3" i="12"/>
  <c r="G3" i="12"/>
  <c r="F3" i="12"/>
  <c r="E3" i="12"/>
  <c r="CL2" i="12"/>
  <c r="CL5" i="12" s="1"/>
  <c r="CK2" i="12"/>
  <c r="CJ2" i="12"/>
  <c r="CI2" i="12"/>
  <c r="CH2" i="12"/>
  <c r="CG2" i="12"/>
  <c r="CF2" i="12"/>
  <c r="CE2" i="12"/>
  <c r="CD2" i="12"/>
  <c r="CC2" i="12"/>
  <c r="CB2" i="12"/>
  <c r="CA2" i="12"/>
  <c r="BZ2" i="12"/>
  <c r="BY2" i="12"/>
  <c r="BX2" i="12"/>
  <c r="BW2" i="12"/>
  <c r="BV2" i="12"/>
  <c r="BU2" i="12"/>
  <c r="BT2" i="12"/>
  <c r="BS2" i="12"/>
  <c r="BR2" i="12"/>
  <c r="BQ2" i="12"/>
  <c r="BP2" i="12"/>
  <c r="BO2" i="12"/>
  <c r="BN2" i="12"/>
  <c r="BM2" i="12"/>
  <c r="BL2" i="12"/>
  <c r="BK2" i="12"/>
  <c r="BJ2" i="12"/>
  <c r="BI2" i="12"/>
  <c r="BH2" i="12"/>
  <c r="BG2" i="12"/>
  <c r="BF2" i="12"/>
  <c r="BE2" i="12"/>
  <c r="BD2" i="12"/>
  <c r="BC2" i="12"/>
  <c r="BB2" i="12"/>
  <c r="BA2" i="12"/>
  <c r="AZ2" i="12"/>
  <c r="AY2" i="12"/>
  <c r="AX2" i="12"/>
  <c r="AW2" i="12"/>
  <c r="AV2" i="12"/>
  <c r="AU2" i="12"/>
  <c r="AT2" i="12"/>
  <c r="AS2" i="12"/>
  <c r="AR2" i="12"/>
  <c r="AQ2" i="12"/>
  <c r="AP2" i="12"/>
  <c r="AO2" i="12"/>
  <c r="AN2" i="12"/>
  <c r="AM2" i="12"/>
  <c r="AL2" i="12"/>
  <c r="AK2" i="12"/>
  <c r="AJ2" i="12"/>
  <c r="AI2" i="12"/>
  <c r="AH2" i="12"/>
  <c r="AG2" i="12"/>
  <c r="AF2" i="12"/>
  <c r="AE2" i="12"/>
  <c r="AD2" i="12"/>
  <c r="AC2" i="12"/>
  <c r="AB2" i="12"/>
  <c r="AA2" i="12"/>
  <c r="Z2" i="12"/>
  <c r="Y2" i="12"/>
  <c r="X2" i="12"/>
  <c r="W2" i="12"/>
  <c r="V2" i="12"/>
  <c r="U2" i="12"/>
  <c r="T2" i="12"/>
  <c r="S2" i="12"/>
  <c r="R2" i="12"/>
  <c r="Q2" i="12"/>
  <c r="P2" i="12"/>
  <c r="O2" i="12"/>
  <c r="N2" i="12"/>
  <c r="M2" i="12"/>
  <c r="L2" i="12"/>
  <c r="K2" i="12"/>
  <c r="J2" i="12"/>
  <c r="I2" i="12"/>
  <c r="H2" i="12"/>
  <c r="G2" i="12"/>
  <c r="F2" i="12"/>
  <c r="E2" i="12"/>
  <c r="CK74" i="11"/>
  <c r="CK71" i="11"/>
  <c r="CJ71" i="11"/>
  <c r="CI71" i="11"/>
  <c r="CH71" i="11"/>
  <c r="CG71" i="11"/>
  <c r="CF71" i="11"/>
  <c r="CE71" i="11"/>
  <c r="CD71" i="11"/>
  <c r="CC71" i="11"/>
  <c r="CB71" i="11"/>
  <c r="CA71" i="11"/>
  <c r="BZ71" i="11"/>
  <c r="BY71" i="11"/>
  <c r="BX71" i="11"/>
  <c r="BW71" i="11"/>
  <c r="BV71" i="11"/>
  <c r="BU71" i="11"/>
  <c r="BT71" i="11"/>
  <c r="BS71" i="11"/>
  <c r="BR71" i="11"/>
  <c r="BQ71" i="11"/>
  <c r="BP71" i="11"/>
  <c r="BO71" i="11"/>
  <c r="BN71" i="11"/>
  <c r="BM71" i="11"/>
  <c r="BL71" i="11"/>
  <c r="BK71" i="11"/>
  <c r="BJ71" i="11"/>
  <c r="BI71" i="11"/>
  <c r="BH71" i="11"/>
  <c r="BG71" i="11"/>
  <c r="BF71" i="11"/>
  <c r="BE71" i="11"/>
  <c r="BD71" i="11"/>
  <c r="BC71" i="11"/>
  <c r="BB71" i="11"/>
  <c r="BA71" i="11"/>
  <c r="AZ71" i="11"/>
  <c r="AY71" i="11"/>
  <c r="AX71" i="11"/>
  <c r="AW71" i="11"/>
  <c r="AV71" i="11"/>
  <c r="AU71" i="11"/>
  <c r="AT71" i="11"/>
  <c r="AS71" i="11"/>
  <c r="AR71" i="11"/>
  <c r="AQ71" i="11"/>
  <c r="AP71" i="11"/>
  <c r="AO71" i="11"/>
  <c r="AN71" i="11"/>
  <c r="AM71" i="11"/>
  <c r="AL71" i="11"/>
  <c r="AK71" i="11"/>
  <c r="AJ71" i="11"/>
  <c r="AI71" i="11"/>
  <c r="AH71" i="11"/>
  <c r="AG71" i="11"/>
  <c r="AF71" i="11"/>
  <c r="AE71" i="11"/>
  <c r="AD71" i="11"/>
  <c r="AC71" i="11"/>
  <c r="AB71" i="11"/>
  <c r="AA71" i="11"/>
  <c r="Z71" i="11"/>
  <c r="Y71" i="11"/>
  <c r="X71" i="11"/>
  <c r="W71" i="11"/>
  <c r="V71" i="11"/>
  <c r="U71" i="11"/>
  <c r="T71" i="11"/>
  <c r="S71" i="11"/>
  <c r="R71" i="11"/>
  <c r="Q71" i="11"/>
  <c r="P71" i="11"/>
  <c r="O71" i="11"/>
  <c r="N71" i="11"/>
  <c r="M71" i="11"/>
  <c r="L71" i="11"/>
  <c r="K71" i="11"/>
  <c r="J71" i="11"/>
  <c r="I71" i="11"/>
  <c r="H71" i="11"/>
  <c r="G71" i="11"/>
  <c r="F71" i="11"/>
  <c r="E71" i="11"/>
  <c r="CJ68" i="11"/>
  <c r="CI68" i="11"/>
  <c r="CH68" i="11"/>
  <c r="CG68" i="11"/>
  <c r="CF68" i="11"/>
  <c r="CE68" i="11"/>
  <c r="CD68" i="11"/>
  <c r="CC68" i="11"/>
  <c r="CB68" i="11"/>
  <c r="CA68" i="11"/>
  <c r="BZ68" i="11"/>
  <c r="BY68" i="11"/>
  <c r="BX68" i="11"/>
  <c r="BW68" i="11"/>
  <c r="BV68" i="11"/>
  <c r="BU68" i="11"/>
  <c r="BT68" i="11"/>
  <c r="BS68" i="11"/>
  <c r="BR68" i="11"/>
  <c r="BQ68" i="11"/>
  <c r="BP68" i="11"/>
  <c r="BO68" i="11"/>
  <c r="BN68" i="11"/>
  <c r="BM68" i="11"/>
  <c r="BL68" i="11"/>
  <c r="BK68" i="11"/>
  <c r="BJ68" i="11"/>
  <c r="BI68" i="11"/>
  <c r="BH68" i="11"/>
  <c r="BG68" i="11"/>
  <c r="BF68" i="11"/>
  <c r="BE68" i="11"/>
  <c r="BD68" i="11"/>
  <c r="BC68" i="11"/>
  <c r="BB68" i="11"/>
  <c r="BA68" i="11"/>
  <c r="AZ68" i="11"/>
  <c r="AY68" i="11"/>
  <c r="AX68" i="11"/>
  <c r="AW68" i="11"/>
  <c r="AV68" i="11"/>
  <c r="AU68" i="11"/>
  <c r="AT68" i="11"/>
  <c r="AS68" i="11"/>
  <c r="AR68" i="11"/>
  <c r="AQ68" i="11"/>
  <c r="AP68" i="11"/>
  <c r="AO68" i="11"/>
  <c r="AN68" i="11"/>
  <c r="AM68" i="11"/>
  <c r="AL68" i="11"/>
  <c r="AK68" i="11"/>
  <c r="AJ68" i="11"/>
  <c r="AI68" i="11"/>
  <c r="AH68" i="11"/>
  <c r="AG68" i="11"/>
  <c r="AF68" i="11"/>
  <c r="AE68" i="11"/>
  <c r="AD68" i="11"/>
  <c r="AC68" i="11"/>
  <c r="AB68" i="11"/>
  <c r="AA68" i="11"/>
  <c r="Z68" i="11"/>
  <c r="Y68" i="11"/>
  <c r="X68" i="11"/>
  <c r="W68" i="11"/>
  <c r="V68" i="11"/>
  <c r="U68" i="11"/>
  <c r="T68" i="11"/>
  <c r="S68" i="11"/>
  <c r="R68" i="11"/>
  <c r="Q68" i="11"/>
  <c r="P68" i="11"/>
  <c r="O68" i="11"/>
  <c r="N68" i="11"/>
  <c r="M68" i="11"/>
  <c r="L68" i="11"/>
  <c r="K68" i="11"/>
  <c r="J68" i="11"/>
  <c r="I68" i="11"/>
  <c r="H68" i="11"/>
  <c r="G68" i="11"/>
  <c r="F68" i="11"/>
  <c r="E68" i="11"/>
  <c r="CK67" i="11"/>
  <c r="CJ67" i="11"/>
  <c r="CI67" i="11"/>
  <c r="CH67" i="11"/>
  <c r="CG67" i="11"/>
  <c r="CF67" i="11"/>
  <c r="CE67" i="11"/>
  <c r="CD67" i="11"/>
  <c r="CC67" i="11"/>
  <c r="CB67" i="11"/>
  <c r="CA67" i="11"/>
  <c r="BZ67" i="11"/>
  <c r="BY67" i="11"/>
  <c r="BX67" i="11"/>
  <c r="BW67" i="11"/>
  <c r="BV67" i="11"/>
  <c r="BU67" i="11"/>
  <c r="BT67" i="11"/>
  <c r="BS67" i="11"/>
  <c r="BR67" i="11"/>
  <c r="BQ67" i="11"/>
  <c r="BP67" i="11"/>
  <c r="BO67" i="11"/>
  <c r="BN67" i="11"/>
  <c r="BM67" i="11"/>
  <c r="BL67" i="11"/>
  <c r="BK67" i="11"/>
  <c r="BJ67" i="11"/>
  <c r="BI67" i="11"/>
  <c r="BH67" i="11"/>
  <c r="BG67" i="11"/>
  <c r="BF67" i="11"/>
  <c r="BE67" i="11"/>
  <c r="BD67" i="11"/>
  <c r="BC67" i="11"/>
  <c r="BB67" i="11"/>
  <c r="BA67" i="11"/>
  <c r="AZ67" i="11"/>
  <c r="AY67" i="11"/>
  <c r="AX67" i="11"/>
  <c r="AW67" i="11"/>
  <c r="AV67" i="11"/>
  <c r="AU67" i="11"/>
  <c r="AT67" i="11"/>
  <c r="AS67" i="11"/>
  <c r="AR67" i="11"/>
  <c r="AQ67" i="11"/>
  <c r="AP67" i="11"/>
  <c r="AO67" i="11"/>
  <c r="AN67" i="11"/>
  <c r="AM67" i="11"/>
  <c r="AL67" i="11"/>
  <c r="AK67" i="11"/>
  <c r="AJ67" i="11"/>
  <c r="AI67" i="11"/>
  <c r="AH67" i="11"/>
  <c r="AG67" i="11"/>
  <c r="AF67" i="11"/>
  <c r="AE67" i="11"/>
  <c r="AD67" i="11"/>
  <c r="AC67" i="11"/>
  <c r="AB67" i="11"/>
  <c r="AA67" i="11"/>
  <c r="Z67" i="11"/>
  <c r="Y67" i="11"/>
  <c r="X67" i="11"/>
  <c r="W67" i="11"/>
  <c r="V67" i="11"/>
  <c r="U67" i="11"/>
  <c r="T67" i="11"/>
  <c r="S67" i="11"/>
  <c r="R67" i="11"/>
  <c r="Q67" i="11"/>
  <c r="P67" i="11"/>
  <c r="O67" i="11"/>
  <c r="N67" i="11"/>
  <c r="M67" i="11"/>
  <c r="L67" i="11"/>
  <c r="K67" i="11"/>
  <c r="J67" i="11"/>
  <c r="I67" i="11"/>
  <c r="H67" i="11"/>
  <c r="G67" i="11"/>
  <c r="F67" i="11"/>
  <c r="E67" i="11"/>
  <c r="CK64" i="11"/>
  <c r="CK65" i="11" s="1"/>
  <c r="CJ64" i="11"/>
  <c r="CI64" i="11"/>
  <c r="CH64" i="11"/>
  <c r="CG64" i="11"/>
  <c r="CF64" i="11"/>
  <c r="CE64" i="11"/>
  <c r="CD64" i="11"/>
  <c r="CC64" i="11"/>
  <c r="CB64" i="11"/>
  <c r="CA64" i="11"/>
  <c r="BZ64" i="11"/>
  <c r="BY64" i="11"/>
  <c r="BX64" i="11"/>
  <c r="BW64" i="11"/>
  <c r="BV64" i="11"/>
  <c r="BU64" i="11"/>
  <c r="BT64" i="11"/>
  <c r="BS64" i="11"/>
  <c r="BR64" i="11"/>
  <c r="BQ64" i="11"/>
  <c r="BP64" i="11"/>
  <c r="BO64" i="11"/>
  <c r="BN64" i="11"/>
  <c r="BM64" i="11"/>
  <c r="BL64" i="11"/>
  <c r="BK64" i="11"/>
  <c r="BJ64" i="11"/>
  <c r="BI64" i="11"/>
  <c r="BH64" i="11"/>
  <c r="BG64" i="11"/>
  <c r="BF64" i="11"/>
  <c r="BE64" i="11"/>
  <c r="BD64" i="11"/>
  <c r="BC64" i="11"/>
  <c r="BB64" i="11"/>
  <c r="BA64" i="11"/>
  <c r="AZ64" i="11"/>
  <c r="AY64" i="11"/>
  <c r="AX64" i="11"/>
  <c r="AW64" i="11"/>
  <c r="AV64" i="11"/>
  <c r="AU64" i="11"/>
  <c r="AT64" i="11"/>
  <c r="AS64" i="11"/>
  <c r="AR64" i="11"/>
  <c r="AQ64" i="11"/>
  <c r="AP64" i="11"/>
  <c r="AO64" i="11"/>
  <c r="AN64" i="11"/>
  <c r="AM64" i="11"/>
  <c r="AL64" i="11"/>
  <c r="AK64" i="11"/>
  <c r="AJ64" i="11"/>
  <c r="AI64" i="11"/>
  <c r="AH64" i="11"/>
  <c r="AG64" i="11"/>
  <c r="AF64" i="11"/>
  <c r="AE64" i="11"/>
  <c r="AD64" i="11"/>
  <c r="AC64" i="11"/>
  <c r="AB64" i="11"/>
  <c r="AA64" i="11"/>
  <c r="Z64" i="11"/>
  <c r="Y64" i="11"/>
  <c r="X64" i="11"/>
  <c r="W64" i="11"/>
  <c r="V64" i="11"/>
  <c r="U64" i="11"/>
  <c r="T64" i="11"/>
  <c r="S64" i="11"/>
  <c r="R64" i="11"/>
  <c r="Q64" i="11"/>
  <c r="P64" i="11"/>
  <c r="O64" i="11"/>
  <c r="N64" i="11"/>
  <c r="M64" i="11"/>
  <c r="L64" i="11"/>
  <c r="K64" i="11"/>
  <c r="J64" i="11"/>
  <c r="I64" i="11"/>
  <c r="H64" i="11"/>
  <c r="G64" i="11"/>
  <c r="F64" i="11"/>
  <c r="E64" i="11"/>
  <c r="CJ56" i="11"/>
  <c r="CI56" i="11"/>
  <c r="CH56" i="11"/>
  <c r="CG56" i="11"/>
  <c r="CF56" i="11"/>
  <c r="CE56" i="11"/>
  <c r="CD56" i="11"/>
  <c r="CC56" i="11"/>
  <c r="CB56" i="11"/>
  <c r="CA56" i="11"/>
  <c r="BZ56" i="11"/>
  <c r="BY56" i="11"/>
  <c r="BX56" i="11"/>
  <c r="BW56" i="11"/>
  <c r="BV56" i="11"/>
  <c r="BU56" i="11"/>
  <c r="BT56" i="11"/>
  <c r="BS56" i="11"/>
  <c r="BR56" i="11"/>
  <c r="BQ56" i="11"/>
  <c r="BP56" i="11"/>
  <c r="BO56" i="11"/>
  <c r="BN56" i="11"/>
  <c r="BM56" i="11"/>
  <c r="BL56" i="11"/>
  <c r="BK56" i="11"/>
  <c r="BJ56" i="11"/>
  <c r="BI56" i="11"/>
  <c r="BH56" i="11"/>
  <c r="BG56" i="11"/>
  <c r="BF56" i="11"/>
  <c r="BE56" i="11"/>
  <c r="BD56" i="11"/>
  <c r="BC56" i="11"/>
  <c r="BB56" i="11"/>
  <c r="BA56" i="11"/>
  <c r="AZ56" i="11"/>
  <c r="AY56" i="11"/>
  <c r="AX56" i="11"/>
  <c r="AW56" i="11"/>
  <c r="AV56" i="11"/>
  <c r="AU56" i="11"/>
  <c r="AT56" i="11"/>
  <c r="AS56" i="11"/>
  <c r="AR56" i="11"/>
  <c r="AQ56" i="11"/>
  <c r="AP56" i="11"/>
  <c r="AO56" i="11"/>
  <c r="AN56" i="11"/>
  <c r="AM56" i="11"/>
  <c r="AL56" i="11"/>
  <c r="AK56" i="11"/>
  <c r="AJ56" i="11"/>
  <c r="AI56" i="11"/>
  <c r="AH56" i="11"/>
  <c r="AG56" i="11"/>
  <c r="AF56" i="11"/>
  <c r="AE56" i="11"/>
  <c r="AD56" i="11"/>
  <c r="AC56" i="11"/>
  <c r="AB56" i="11"/>
  <c r="AA56" i="11"/>
  <c r="Z56" i="11"/>
  <c r="Y56" i="11"/>
  <c r="X56" i="11"/>
  <c r="W56" i="11"/>
  <c r="V56" i="11"/>
  <c r="U56" i="11"/>
  <c r="T56" i="11"/>
  <c r="S56" i="11"/>
  <c r="R56" i="11"/>
  <c r="Q56" i="11"/>
  <c r="P56" i="11"/>
  <c r="O56" i="11"/>
  <c r="N56" i="11"/>
  <c r="M56" i="11"/>
  <c r="L56" i="11"/>
  <c r="K56" i="11"/>
  <c r="J56" i="11"/>
  <c r="I56" i="11"/>
  <c r="H56" i="11"/>
  <c r="G56" i="11"/>
  <c r="F56" i="11"/>
  <c r="E56" i="11"/>
  <c r="CK49" i="11"/>
  <c r="CJ49" i="11"/>
  <c r="CJ63" i="11" s="1"/>
  <c r="CI49" i="11"/>
  <c r="CI63" i="11" s="1"/>
  <c r="CH49" i="11"/>
  <c r="CH63" i="11" s="1"/>
  <c r="CG49" i="11"/>
  <c r="CF49" i="11"/>
  <c r="CF63" i="11" s="1"/>
  <c r="CE49" i="11"/>
  <c r="CE63" i="11" s="1"/>
  <c r="CD49" i="11"/>
  <c r="CC49" i="11"/>
  <c r="CC63" i="11" s="1"/>
  <c r="CB49" i="11"/>
  <c r="CB63" i="11" s="1"/>
  <c r="CA49" i="11"/>
  <c r="CA63" i="11" s="1"/>
  <c r="BZ49" i="11"/>
  <c r="BZ63" i="11" s="1"/>
  <c r="BY49" i="11"/>
  <c r="BX49" i="11"/>
  <c r="BX63" i="11" s="1"/>
  <c r="BW49" i="11"/>
  <c r="BW63" i="11" s="1"/>
  <c r="BV49" i="11"/>
  <c r="BU49" i="11"/>
  <c r="BU63" i="11" s="1"/>
  <c r="BT49" i="11"/>
  <c r="BT63" i="11" s="1"/>
  <c r="BS49" i="11"/>
  <c r="BS63" i="11" s="1"/>
  <c r="BR49" i="11"/>
  <c r="BR63" i="11" s="1"/>
  <c r="BQ49" i="11"/>
  <c r="BP49" i="11"/>
  <c r="BP63" i="11" s="1"/>
  <c r="BO49" i="11"/>
  <c r="BO63" i="11" s="1"/>
  <c r="BN49" i="11"/>
  <c r="BM49" i="11"/>
  <c r="BM63" i="11" s="1"/>
  <c r="BL49" i="11"/>
  <c r="BL63" i="11" s="1"/>
  <c r="BK49" i="11"/>
  <c r="BK63" i="11" s="1"/>
  <c r="BJ49" i="11"/>
  <c r="BJ63" i="11" s="1"/>
  <c r="BI49" i="11"/>
  <c r="BH49" i="11"/>
  <c r="BG49" i="11"/>
  <c r="BG63" i="11" s="1"/>
  <c r="BF49" i="11"/>
  <c r="BE49" i="11"/>
  <c r="BE63" i="11" s="1"/>
  <c r="BD49" i="11"/>
  <c r="BD63" i="11" s="1"/>
  <c r="BC49" i="11"/>
  <c r="BC63" i="11" s="1"/>
  <c r="BB49" i="11"/>
  <c r="BB63" i="11" s="1"/>
  <c r="BA49" i="11"/>
  <c r="AZ49" i="11"/>
  <c r="AZ63" i="11" s="1"/>
  <c r="AY49" i="11"/>
  <c r="AY63" i="11" s="1"/>
  <c r="AX49" i="11"/>
  <c r="AW49" i="11"/>
  <c r="AW63" i="11" s="1"/>
  <c r="AV49" i="11"/>
  <c r="AV63" i="11" s="1"/>
  <c r="AU49" i="11"/>
  <c r="AU63" i="11" s="1"/>
  <c r="AT49" i="11"/>
  <c r="AT63" i="11" s="1"/>
  <c r="AS49" i="11"/>
  <c r="AR49" i="11"/>
  <c r="AR63" i="11" s="1"/>
  <c r="AQ49" i="11"/>
  <c r="AQ63" i="11" s="1"/>
  <c r="AP49" i="11"/>
  <c r="AO49" i="11"/>
  <c r="AO63" i="11" s="1"/>
  <c r="AN49" i="11"/>
  <c r="AN63" i="11" s="1"/>
  <c r="AM49" i="11"/>
  <c r="AM63" i="11" s="1"/>
  <c r="AL49" i="11"/>
  <c r="AL63" i="11" s="1"/>
  <c r="AK49" i="11"/>
  <c r="AJ49" i="11"/>
  <c r="AI49" i="11"/>
  <c r="AH49" i="11"/>
  <c r="AG49" i="11"/>
  <c r="AG63" i="11" s="1"/>
  <c r="AF49" i="11"/>
  <c r="AE49" i="11"/>
  <c r="AE63" i="11" s="1"/>
  <c r="AD49" i="11"/>
  <c r="AC49" i="11"/>
  <c r="AB49" i="11"/>
  <c r="AB63" i="11" s="1"/>
  <c r="AA49" i="11"/>
  <c r="AA63" i="11" s="1"/>
  <c r="Z49" i="11"/>
  <c r="Y49" i="11"/>
  <c r="Y63" i="11" s="1"/>
  <c r="X49" i="11"/>
  <c r="W49" i="11"/>
  <c r="V49" i="11"/>
  <c r="U49" i="11"/>
  <c r="T49" i="11"/>
  <c r="T63" i="11" s="1"/>
  <c r="S49" i="11"/>
  <c r="S63" i="11" s="1"/>
  <c r="R49" i="11"/>
  <c r="Q49" i="11"/>
  <c r="Q63" i="11" s="1"/>
  <c r="P49" i="11"/>
  <c r="O49" i="11"/>
  <c r="N49" i="11"/>
  <c r="M49" i="11"/>
  <c r="L49" i="11"/>
  <c r="K49" i="11"/>
  <c r="J49" i="11"/>
  <c r="J63" i="11" s="1"/>
  <c r="I49" i="11"/>
  <c r="I63" i="11" s="1"/>
  <c r="H49" i="11"/>
  <c r="H63" i="11" s="1"/>
  <c r="G49" i="11"/>
  <c r="F49" i="11"/>
  <c r="E49" i="11"/>
  <c r="CJ42" i="11"/>
  <c r="CI42" i="11"/>
  <c r="CH42" i="11"/>
  <c r="CG42" i="11"/>
  <c r="CF42" i="11"/>
  <c r="CE42" i="11"/>
  <c r="CD42" i="11"/>
  <c r="CC42" i="11"/>
  <c r="CB42" i="11"/>
  <c r="CA42" i="11"/>
  <c r="BZ42" i="11"/>
  <c r="BY42" i="11"/>
  <c r="BX42" i="11"/>
  <c r="BW42" i="11"/>
  <c r="BV42" i="11"/>
  <c r="BU42" i="11"/>
  <c r="BT42" i="11"/>
  <c r="BS42" i="11"/>
  <c r="BR42" i="11"/>
  <c r="BQ42" i="11"/>
  <c r="BP42" i="11"/>
  <c r="BO42" i="11"/>
  <c r="BN42" i="11"/>
  <c r="BM42" i="11"/>
  <c r="BL42" i="11"/>
  <c r="BK42" i="11"/>
  <c r="BJ42" i="11"/>
  <c r="BI42" i="11"/>
  <c r="BH42" i="11"/>
  <c r="BG42" i="11"/>
  <c r="BF42" i="11"/>
  <c r="BE42" i="11"/>
  <c r="BD42" i="11"/>
  <c r="BC42" i="11"/>
  <c r="BB42" i="11"/>
  <c r="BA42" i="11"/>
  <c r="AZ42" i="11"/>
  <c r="AY42" i="11"/>
  <c r="AX42" i="11"/>
  <c r="AW42" i="11"/>
  <c r="AV42" i="11"/>
  <c r="AU42" i="11"/>
  <c r="AT42" i="11"/>
  <c r="AS42" i="11"/>
  <c r="AR42" i="11"/>
  <c r="AQ42" i="11"/>
  <c r="AP42" i="11"/>
  <c r="AO42" i="11"/>
  <c r="AN42" i="11"/>
  <c r="AM42" i="11"/>
  <c r="AL42" i="11"/>
  <c r="AK42" i="11"/>
  <c r="AJ42" i="11"/>
  <c r="AI42" i="11"/>
  <c r="AH42" i="11"/>
  <c r="AG42" i="11"/>
  <c r="AF42" i="11"/>
  <c r="AE42" i="11"/>
  <c r="AD42" i="11"/>
  <c r="AC42" i="11"/>
  <c r="AB42" i="11"/>
  <c r="AA42" i="11"/>
  <c r="Z42" i="11"/>
  <c r="Y42" i="11"/>
  <c r="X42" i="11"/>
  <c r="W42" i="11"/>
  <c r="V42" i="11"/>
  <c r="U42" i="11"/>
  <c r="T42" i="11"/>
  <c r="S42" i="11"/>
  <c r="R42" i="11"/>
  <c r="Q42" i="11"/>
  <c r="P42" i="11"/>
  <c r="O42" i="11"/>
  <c r="N42" i="11"/>
  <c r="M42" i="11"/>
  <c r="L42" i="11"/>
  <c r="K42" i="11"/>
  <c r="J42" i="11"/>
  <c r="I42" i="11"/>
  <c r="H42" i="11"/>
  <c r="G42" i="11"/>
  <c r="F42" i="11"/>
  <c r="E42" i="11"/>
  <c r="CJ41" i="11"/>
  <c r="CI41" i="11"/>
  <c r="CH41" i="11"/>
  <c r="CG41" i="11"/>
  <c r="CF41" i="11"/>
  <c r="CE41" i="11"/>
  <c r="CD41" i="11"/>
  <c r="CC41" i="11"/>
  <c r="CB41" i="11"/>
  <c r="CA41" i="11"/>
  <c r="BZ41" i="11"/>
  <c r="BY41" i="11"/>
  <c r="BX41" i="11"/>
  <c r="BW41" i="11"/>
  <c r="BV41" i="11"/>
  <c r="BU41" i="11"/>
  <c r="BT41" i="11"/>
  <c r="BS41" i="11"/>
  <c r="BR41" i="11"/>
  <c r="BQ41" i="11"/>
  <c r="BP41" i="11"/>
  <c r="BO41" i="11"/>
  <c r="BN41" i="11"/>
  <c r="BM41" i="11"/>
  <c r="BL41" i="11"/>
  <c r="BK41" i="11"/>
  <c r="BJ41" i="11"/>
  <c r="BI41" i="11"/>
  <c r="BH41" i="11"/>
  <c r="BG41" i="11"/>
  <c r="BF41" i="11"/>
  <c r="BE41" i="11"/>
  <c r="BD41" i="11"/>
  <c r="BC41" i="11"/>
  <c r="BB41" i="11"/>
  <c r="BA41" i="11"/>
  <c r="AZ41" i="11"/>
  <c r="AY41" i="11"/>
  <c r="AX41" i="11"/>
  <c r="AW41" i="11"/>
  <c r="AV41" i="11"/>
  <c r="AU41" i="11"/>
  <c r="AT41" i="11"/>
  <c r="AS41" i="11"/>
  <c r="AR41" i="11"/>
  <c r="AQ41" i="11"/>
  <c r="AP41" i="11"/>
  <c r="AO41" i="11"/>
  <c r="AN41" i="11"/>
  <c r="AM41" i="11"/>
  <c r="AL41" i="11"/>
  <c r="AK41" i="11"/>
  <c r="AJ41" i="11"/>
  <c r="AI41" i="11"/>
  <c r="AH41" i="11"/>
  <c r="AG41" i="11"/>
  <c r="AF41" i="11"/>
  <c r="AE41" i="11"/>
  <c r="AD41" i="11"/>
  <c r="AC41" i="11"/>
  <c r="AB41" i="11"/>
  <c r="AA41" i="11"/>
  <c r="Z41" i="11"/>
  <c r="Y41" i="11"/>
  <c r="X41" i="11"/>
  <c r="W41" i="11"/>
  <c r="V41" i="11"/>
  <c r="U41" i="11"/>
  <c r="T41" i="11"/>
  <c r="S41" i="11"/>
  <c r="R41" i="11"/>
  <c r="Q41" i="11"/>
  <c r="P41" i="11"/>
  <c r="O41" i="11"/>
  <c r="N41" i="11"/>
  <c r="M41" i="11"/>
  <c r="L41" i="11"/>
  <c r="K41" i="11"/>
  <c r="J41" i="11"/>
  <c r="I41" i="11"/>
  <c r="H41" i="11"/>
  <c r="G41" i="11"/>
  <c r="F41" i="11"/>
  <c r="E41" i="11"/>
  <c r="CK40" i="11"/>
  <c r="CJ40" i="11"/>
  <c r="CI40" i="11"/>
  <c r="CH40" i="11"/>
  <c r="CG40" i="11"/>
  <c r="CF40" i="11"/>
  <c r="CE40" i="11"/>
  <c r="CD40" i="11"/>
  <c r="CC40" i="11"/>
  <c r="CB40" i="11"/>
  <c r="CA40" i="11"/>
  <c r="BZ40" i="11"/>
  <c r="BY40" i="11"/>
  <c r="BX40" i="11"/>
  <c r="BW40" i="11"/>
  <c r="BV40" i="11"/>
  <c r="BU40" i="11"/>
  <c r="BT40" i="11"/>
  <c r="BS40" i="11"/>
  <c r="BR40" i="11"/>
  <c r="BQ40" i="11"/>
  <c r="BP40" i="11"/>
  <c r="BO40" i="11"/>
  <c r="BN40" i="11"/>
  <c r="BM40" i="11"/>
  <c r="BL40" i="11"/>
  <c r="BK40" i="11"/>
  <c r="BJ40" i="11"/>
  <c r="BI40" i="11"/>
  <c r="BH40" i="11"/>
  <c r="BG40" i="11"/>
  <c r="BF40" i="11"/>
  <c r="BE40" i="11"/>
  <c r="BD40" i="11"/>
  <c r="BC40" i="11"/>
  <c r="BB40" i="11"/>
  <c r="BA40" i="11"/>
  <c r="AZ40" i="11"/>
  <c r="AY40" i="11"/>
  <c r="AX40" i="11"/>
  <c r="AW40" i="11"/>
  <c r="AV40" i="11"/>
  <c r="AU40" i="11"/>
  <c r="AT40" i="11"/>
  <c r="AS40" i="11"/>
  <c r="AR40" i="11"/>
  <c r="AQ40" i="11"/>
  <c r="AP40" i="11"/>
  <c r="AO40" i="11"/>
  <c r="AN40" i="11"/>
  <c r="AM40" i="11"/>
  <c r="AL40" i="11"/>
  <c r="AK40" i="11"/>
  <c r="AJ40" i="11"/>
  <c r="AI40" i="11"/>
  <c r="AH40" i="11"/>
  <c r="AG40" i="11"/>
  <c r="AF40" i="11"/>
  <c r="AE40" i="11"/>
  <c r="AD40" i="11"/>
  <c r="AC40" i="11"/>
  <c r="AB40" i="11"/>
  <c r="AA40" i="11"/>
  <c r="Z40" i="11"/>
  <c r="Y40" i="11"/>
  <c r="X40" i="11"/>
  <c r="W40" i="11"/>
  <c r="V40" i="11"/>
  <c r="U40" i="11"/>
  <c r="T40" i="11"/>
  <c r="S40" i="11"/>
  <c r="R40" i="11"/>
  <c r="Q40" i="11"/>
  <c r="P40" i="11"/>
  <c r="O40" i="11"/>
  <c r="N40" i="11"/>
  <c r="M40" i="11"/>
  <c r="L40" i="11"/>
  <c r="K40" i="11"/>
  <c r="J40" i="11"/>
  <c r="I40" i="11"/>
  <c r="H40" i="11"/>
  <c r="G40" i="11"/>
  <c r="F40" i="11"/>
  <c r="E40" i="11"/>
  <c r="CK39" i="11"/>
  <c r="CJ39" i="11"/>
  <c r="CI39" i="11"/>
  <c r="CH39" i="11"/>
  <c r="CG39" i="11"/>
  <c r="CF39" i="11"/>
  <c r="CE39" i="11"/>
  <c r="CD39" i="11"/>
  <c r="CC39" i="11"/>
  <c r="CB39" i="11"/>
  <c r="CA39" i="11"/>
  <c r="BZ39" i="11"/>
  <c r="BY39" i="11"/>
  <c r="BX39" i="11"/>
  <c r="BW39" i="11"/>
  <c r="BV39" i="11"/>
  <c r="BU39" i="11"/>
  <c r="BT39" i="11"/>
  <c r="BS39" i="11"/>
  <c r="BR39" i="11"/>
  <c r="BQ39" i="11"/>
  <c r="BP39" i="11"/>
  <c r="BO39" i="11"/>
  <c r="BN39" i="11"/>
  <c r="BM39" i="11"/>
  <c r="BL39" i="11"/>
  <c r="BK39" i="11"/>
  <c r="BJ39" i="11"/>
  <c r="BI39" i="11"/>
  <c r="BH39" i="11"/>
  <c r="BG39" i="11"/>
  <c r="BF39" i="11"/>
  <c r="BE39" i="11"/>
  <c r="BD39" i="11"/>
  <c r="BC39" i="11"/>
  <c r="BB39" i="11"/>
  <c r="BA39" i="11"/>
  <c r="AZ39" i="11"/>
  <c r="AY39" i="11"/>
  <c r="AX39" i="11"/>
  <c r="AW39" i="11"/>
  <c r="AV39" i="11"/>
  <c r="AU39" i="11"/>
  <c r="AT39" i="11"/>
  <c r="AS39" i="11"/>
  <c r="AR39" i="11"/>
  <c r="AQ39" i="11"/>
  <c r="AP39" i="11"/>
  <c r="AO39" i="11"/>
  <c r="AN39" i="11"/>
  <c r="AM39" i="11"/>
  <c r="AL39" i="11"/>
  <c r="AK39" i="11"/>
  <c r="AJ39" i="11"/>
  <c r="AI39" i="11"/>
  <c r="AH39" i="11"/>
  <c r="AG39" i="11"/>
  <c r="AF39" i="11"/>
  <c r="AE39" i="11"/>
  <c r="AD39" i="11"/>
  <c r="AC39" i="11"/>
  <c r="AB39" i="11"/>
  <c r="AA39" i="11"/>
  <c r="Z39" i="11"/>
  <c r="Y39" i="11"/>
  <c r="X39" i="11"/>
  <c r="W39" i="11"/>
  <c r="V39" i="11"/>
  <c r="U39" i="11"/>
  <c r="T39" i="11"/>
  <c r="S39" i="11"/>
  <c r="R39" i="11"/>
  <c r="Q39" i="11"/>
  <c r="P39" i="11"/>
  <c r="O39" i="11"/>
  <c r="N39" i="11"/>
  <c r="M39" i="11"/>
  <c r="L39" i="11"/>
  <c r="K39" i="11"/>
  <c r="J39" i="11"/>
  <c r="I39" i="11"/>
  <c r="H39" i="11"/>
  <c r="G39" i="11"/>
  <c r="F39" i="11"/>
  <c r="E39" i="11"/>
  <c r="CK38" i="11"/>
  <c r="CJ38" i="11"/>
  <c r="CI38" i="11"/>
  <c r="CH38" i="11"/>
  <c r="CG38" i="11"/>
  <c r="CF38" i="11"/>
  <c r="CE38" i="11"/>
  <c r="CD38" i="11"/>
  <c r="CC38" i="11"/>
  <c r="CB38" i="11"/>
  <c r="CA38" i="11"/>
  <c r="BZ38" i="11"/>
  <c r="BY38" i="11"/>
  <c r="BX38" i="11"/>
  <c r="BW38" i="11"/>
  <c r="BV38" i="11"/>
  <c r="BU38" i="11"/>
  <c r="BT38" i="11"/>
  <c r="BS38" i="11"/>
  <c r="BR38" i="11"/>
  <c r="BQ38" i="11"/>
  <c r="BP38" i="11"/>
  <c r="BO38" i="11"/>
  <c r="BN38" i="11"/>
  <c r="BM38" i="11"/>
  <c r="BL38" i="11"/>
  <c r="BK38" i="11"/>
  <c r="BJ38" i="11"/>
  <c r="BI38" i="11"/>
  <c r="BH38" i="11"/>
  <c r="BG38" i="11"/>
  <c r="BF38" i="11"/>
  <c r="BE38" i="11"/>
  <c r="BD38" i="11"/>
  <c r="BC38" i="11"/>
  <c r="BB38" i="11"/>
  <c r="BA38" i="11"/>
  <c r="AZ38" i="11"/>
  <c r="AY38" i="11"/>
  <c r="AX38" i="11"/>
  <c r="AW38" i="11"/>
  <c r="AV38" i="11"/>
  <c r="AU38" i="11"/>
  <c r="AT38" i="11"/>
  <c r="AS38" i="11"/>
  <c r="AR38" i="11"/>
  <c r="AQ38" i="11"/>
  <c r="AP38" i="11"/>
  <c r="AO38" i="11"/>
  <c r="AN38" i="11"/>
  <c r="AM38" i="11"/>
  <c r="AL38" i="11"/>
  <c r="AK38" i="11"/>
  <c r="AJ38" i="11"/>
  <c r="AI38" i="11"/>
  <c r="AH38" i="11"/>
  <c r="AG38" i="11"/>
  <c r="AF38" i="11"/>
  <c r="AE38" i="11"/>
  <c r="AD38" i="11"/>
  <c r="AC38" i="11"/>
  <c r="AB38" i="11"/>
  <c r="AA38" i="11"/>
  <c r="Z38" i="11"/>
  <c r="Y38" i="11"/>
  <c r="X38" i="11"/>
  <c r="W38" i="11"/>
  <c r="V38" i="11"/>
  <c r="U38" i="11"/>
  <c r="T38" i="11"/>
  <c r="S38" i="11"/>
  <c r="R38" i="11"/>
  <c r="Q38" i="11"/>
  <c r="P38" i="11"/>
  <c r="O38" i="11"/>
  <c r="N38" i="11"/>
  <c r="M38" i="11"/>
  <c r="L38" i="11"/>
  <c r="K38" i="11"/>
  <c r="J38" i="11"/>
  <c r="I38" i="11"/>
  <c r="H38" i="11"/>
  <c r="G38" i="11"/>
  <c r="F38" i="11"/>
  <c r="E38" i="11"/>
  <c r="CJ37" i="11"/>
  <c r="CI37" i="11"/>
  <c r="CH37" i="11"/>
  <c r="CG37" i="11"/>
  <c r="CF37" i="11"/>
  <c r="CE37" i="11"/>
  <c r="CD37" i="11"/>
  <c r="CC37" i="11"/>
  <c r="CB37" i="11"/>
  <c r="CA37" i="11"/>
  <c r="BZ37" i="11"/>
  <c r="BY37" i="11"/>
  <c r="BX37" i="11"/>
  <c r="BW37" i="11"/>
  <c r="BV37" i="11"/>
  <c r="BU37" i="11"/>
  <c r="BT37" i="11"/>
  <c r="BS37" i="11"/>
  <c r="BR37" i="11"/>
  <c r="BQ37" i="11"/>
  <c r="BP37" i="11"/>
  <c r="BO37" i="11"/>
  <c r="BN37" i="11"/>
  <c r="BM37" i="11"/>
  <c r="BL37" i="11"/>
  <c r="BK37" i="11"/>
  <c r="BJ37" i="11"/>
  <c r="BI37" i="11"/>
  <c r="BH37" i="11"/>
  <c r="BG37" i="11"/>
  <c r="BF37" i="11"/>
  <c r="BE37" i="11"/>
  <c r="BD37" i="11"/>
  <c r="BC37" i="11"/>
  <c r="BB37" i="11"/>
  <c r="BA37" i="11"/>
  <c r="AZ37" i="11"/>
  <c r="AY37" i="11"/>
  <c r="AX37" i="11"/>
  <c r="AW37" i="11"/>
  <c r="AV37" i="11"/>
  <c r="AU37" i="11"/>
  <c r="AT37" i="11"/>
  <c r="AS37" i="11"/>
  <c r="AR37" i="11"/>
  <c r="AQ37" i="11"/>
  <c r="AP37" i="11"/>
  <c r="AO37" i="11"/>
  <c r="AN37" i="11"/>
  <c r="AM37" i="11"/>
  <c r="AL37" i="11"/>
  <c r="AK37" i="11"/>
  <c r="AJ37" i="11"/>
  <c r="AI37" i="11"/>
  <c r="AH37" i="11"/>
  <c r="AG37" i="11"/>
  <c r="AF37" i="11"/>
  <c r="AE37" i="11"/>
  <c r="AD37" i="11"/>
  <c r="AC37" i="11"/>
  <c r="AB37" i="11"/>
  <c r="AA37" i="11"/>
  <c r="Z37" i="11"/>
  <c r="Y37" i="11"/>
  <c r="X37" i="11"/>
  <c r="W37" i="11"/>
  <c r="V37" i="11"/>
  <c r="U37" i="11"/>
  <c r="T37" i="11"/>
  <c r="S37" i="11"/>
  <c r="R37" i="11"/>
  <c r="Q37" i="11"/>
  <c r="P37" i="11"/>
  <c r="O37" i="11"/>
  <c r="N37" i="11"/>
  <c r="M37" i="11"/>
  <c r="L37" i="11"/>
  <c r="K37" i="11"/>
  <c r="J37" i="11"/>
  <c r="I37" i="11"/>
  <c r="H37" i="11"/>
  <c r="G37" i="11"/>
  <c r="F37" i="11"/>
  <c r="E37" i="11"/>
  <c r="CJ36" i="11"/>
  <c r="CI36" i="11"/>
  <c r="CH36" i="11"/>
  <c r="CG36" i="11"/>
  <c r="CF36" i="11"/>
  <c r="CE36" i="11"/>
  <c r="CD36" i="11"/>
  <c r="CC36" i="11"/>
  <c r="CB36" i="11"/>
  <c r="CA36" i="11"/>
  <c r="BZ36" i="11"/>
  <c r="BY36" i="11"/>
  <c r="BX36" i="11"/>
  <c r="BW36" i="11"/>
  <c r="BV36" i="11"/>
  <c r="BU36" i="11"/>
  <c r="BT36" i="11"/>
  <c r="BS36" i="11"/>
  <c r="BR36" i="11"/>
  <c r="BQ36" i="11"/>
  <c r="BP36" i="11"/>
  <c r="BO36" i="11"/>
  <c r="BN36" i="11"/>
  <c r="BM36" i="11"/>
  <c r="BL36" i="11"/>
  <c r="BK36" i="11"/>
  <c r="BJ36" i="11"/>
  <c r="BI36" i="11"/>
  <c r="BH36" i="11"/>
  <c r="BG36" i="11"/>
  <c r="BF36" i="11"/>
  <c r="BE36" i="11"/>
  <c r="BD36" i="11"/>
  <c r="BC36" i="11"/>
  <c r="BB36" i="11"/>
  <c r="BA36" i="11"/>
  <c r="AZ36" i="11"/>
  <c r="AY36" i="11"/>
  <c r="AX36" i="11"/>
  <c r="AW36" i="11"/>
  <c r="AV36" i="11"/>
  <c r="AU36" i="11"/>
  <c r="AT36" i="11"/>
  <c r="AS36" i="11"/>
  <c r="AR36" i="11"/>
  <c r="AQ36" i="11"/>
  <c r="AP36" i="11"/>
  <c r="AO36" i="11"/>
  <c r="AN36" i="11"/>
  <c r="AM36" i="11"/>
  <c r="AL36" i="11"/>
  <c r="AK36" i="11"/>
  <c r="AJ36" i="11"/>
  <c r="AI36" i="11"/>
  <c r="AH36" i="11"/>
  <c r="AG36" i="11"/>
  <c r="AF36" i="11"/>
  <c r="AE36" i="11"/>
  <c r="AD36" i="11"/>
  <c r="AC36" i="11"/>
  <c r="AB36" i="11"/>
  <c r="AA36" i="11"/>
  <c r="Z36" i="11"/>
  <c r="Y36" i="11"/>
  <c r="X36" i="11"/>
  <c r="W36" i="11"/>
  <c r="V36" i="11"/>
  <c r="U36" i="11"/>
  <c r="T36" i="11"/>
  <c r="S36" i="11"/>
  <c r="R36" i="11"/>
  <c r="Q36" i="11"/>
  <c r="P36" i="11"/>
  <c r="O36" i="11"/>
  <c r="N36" i="11"/>
  <c r="M36" i="11"/>
  <c r="L36" i="11"/>
  <c r="K36" i="11"/>
  <c r="J36" i="11"/>
  <c r="I36" i="11"/>
  <c r="H36" i="11"/>
  <c r="G36" i="11"/>
  <c r="F36" i="11"/>
  <c r="E36" i="11"/>
  <c r="CJ35" i="11"/>
  <c r="CI35" i="11"/>
  <c r="CH35" i="11"/>
  <c r="CG35" i="11"/>
  <c r="CF35" i="11"/>
  <c r="CE35" i="11"/>
  <c r="CD35" i="11"/>
  <c r="CC35" i="11"/>
  <c r="CB35" i="11"/>
  <c r="CA35" i="11"/>
  <c r="BZ35" i="11"/>
  <c r="BY35" i="11"/>
  <c r="BX35" i="11"/>
  <c r="BW35" i="11"/>
  <c r="BV35" i="11"/>
  <c r="BU35" i="11"/>
  <c r="BT35" i="11"/>
  <c r="BS35" i="11"/>
  <c r="BR35" i="11"/>
  <c r="BQ35" i="11"/>
  <c r="BP35" i="11"/>
  <c r="BO35" i="11"/>
  <c r="BN35" i="11"/>
  <c r="BM35" i="11"/>
  <c r="BL35" i="11"/>
  <c r="BK35" i="11"/>
  <c r="BJ35" i="11"/>
  <c r="BI35" i="11"/>
  <c r="BH35" i="11"/>
  <c r="BG35" i="11"/>
  <c r="BF35" i="11"/>
  <c r="BE35" i="11"/>
  <c r="BD35" i="11"/>
  <c r="BC35" i="11"/>
  <c r="BB35" i="11"/>
  <c r="BA35" i="11"/>
  <c r="AZ35" i="11"/>
  <c r="AY35" i="11"/>
  <c r="AX35" i="11"/>
  <c r="AW35" i="11"/>
  <c r="AV35" i="11"/>
  <c r="AU35" i="11"/>
  <c r="AT35" i="11"/>
  <c r="AS35" i="11"/>
  <c r="AR35" i="11"/>
  <c r="AQ35" i="11"/>
  <c r="AP35" i="11"/>
  <c r="AO35" i="11"/>
  <c r="AN35" i="11"/>
  <c r="AM35" i="11"/>
  <c r="AL35" i="11"/>
  <c r="AK35" i="11"/>
  <c r="AJ35" i="11"/>
  <c r="AI35" i="11"/>
  <c r="AH35" i="11"/>
  <c r="AG35" i="11"/>
  <c r="AF35" i="11"/>
  <c r="AE35" i="11"/>
  <c r="AD35" i="11"/>
  <c r="AC35" i="11"/>
  <c r="AB35" i="11"/>
  <c r="AA35" i="11"/>
  <c r="Z35" i="11"/>
  <c r="Y35" i="11"/>
  <c r="X35" i="11"/>
  <c r="W35" i="11"/>
  <c r="V35" i="11"/>
  <c r="U35" i="11"/>
  <c r="T35" i="11"/>
  <c r="S35" i="11"/>
  <c r="R35" i="11"/>
  <c r="Q35" i="11"/>
  <c r="P35" i="11"/>
  <c r="O35" i="11"/>
  <c r="N35" i="11"/>
  <c r="M35" i="11"/>
  <c r="L35" i="11"/>
  <c r="K35" i="11"/>
  <c r="J35" i="11"/>
  <c r="I35" i="11"/>
  <c r="H35" i="11"/>
  <c r="G35" i="11"/>
  <c r="F35" i="11"/>
  <c r="E35" i="11"/>
  <c r="CJ34" i="11"/>
  <c r="CI34" i="11"/>
  <c r="CH34" i="11"/>
  <c r="CG34" i="11"/>
  <c r="CF34" i="11"/>
  <c r="CE34" i="11"/>
  <c r="CD34" i="11"/>
  <c r="CC34" i="11"/>
  <c r="CB34" i="11"/>
  <c r="CA34" i="11"/>
  <c r="BZ34" i="11"/>
  <c r="BY34" i="11"/>
  <c r="BX34" i="11"/>
  <c r="BW34" i="11"/>
  <c r="BV34" i="11"/>
  <c r="BU34" i="11"/>
  <c r="BT34" i="11"/>
  <c r="BS34" i="11"/>
  <c r="BR34" i="11"/>
  <c r="BQ34" i="11"/>
  <c r="BP34" i="11"/>
  <c r="BO34" i="11"/>
  <c r="BN34" i="11"/>
  <c r="BM34" i="11"/>
  <c r="BL34" i="11"/>
  <c r="BK34" i="11"/>
  <c r="BJ34" i="11"/>
  <c r="BI34" i="11"/>
  <c r="BH34" i="11"/>
  <c r="BG34" i="11"/>
  <c r="BF34" i="11"/>
  <c r="BE34" i="11"/>
  <c r="BD34" i="11"/>
  <c r="BC34" i="11"/>
  <c r="BB34" i="11"/>
  <c r="BA34" i="11"/>
  <c r="AZ34" i="11"/>
  <c r="AY34" i="11"/>
  <c r="AX34" i="11"/>
  <c r="AW34" i="11"/>
  <c r="AV34" i="11"/>
  <c r="AU34" i="11"/>
  <c r="AT34" i="11"/>
  <c r="AS34" i="11"/>
  <c r="AR34" i="11"/>
  <c r="AQ34" i="11"/>
  <c r="AP34" i="11"/>
  <c r="AO34" i="11"/>
  <c r="AN34" i="11"/>
  <c r="AM34" i="11"/>
  <c r="AL34" i="11"/>
  <c r="AK34" i="11"/>
  <c r="AJ34" i="11"/>
  <c r="AI34" i="11"/>
  <c r="AH34" i="11"/>
  <c r="AG34" i="11"/>
  <c r="AF34" i="11"/>
  <c r="AE34" i="11"/>
  <c r="AD34" i="11"/>
  <c r="AC34" i="11"/>
  <c r="AB34" i="11"/>
  <c r="AA34" i="11"/>
  <c r="Z34" i="11"/>
  <c r="Y34" i="11"/>
  <c r="X34" i="11"/>
  <c r="W34" i="11"/>
  <c r="V34" i="11"/>
  <c r="U34" i="11"/>
  <c r="T34" i="11"/>
  <c r="S34" i="11"/>
  <c r="R34" i="11"/>
  <c r="Q34" i="11"/>
  <c r="P34" i="11"/>
  <c r="O34" i="11"/>
  <c r="N34" i="11"/>
  <c r="M34" i="11"/>
  <c r="L34" i="11"/>
  <c r="K34" i="11"/>
  <c r="J34" i="11"/>
  <c r="I34" i="11"/>
  <c r="H34" i="11"/>
  <c r="G34" i="11"/>
  <c r="F34" i="11"/>
  <c r="E34" i="11"/>
  <c r="CK27" i="11"/>
  <c r="CJ27" i="11"/>
  <c r="CI27" i="11"/>
  <c r="CH27" i="11"/>
  <c r="CG27" i="11"/>
  <c r="CF27" i="11"/>
  <c r="CE27" i="11"/>
  <c r="CD27" i="11"/>
  <c r="CC27" i="11"/>
  <c r="CB27" i="11"/>
  <c r="CA27" i="11"/>
  <c r="BZ27" i="11"/>
  <c r="BY27" i="11"/>
  <c r="BX27" i="11"/>
  <c r="BW27" i="11"/>
  <c r="BV27" i="11"/>
  <c r="BU27" i="11"/>
  <c r="BT27" i="11"/>
  <c r="BS27" i="11"/>
  <c r="BR27" i="11"/>
  <c r="BQ27" i="11"/>
  <c r="BP27" i="11"/>
  <c r="BO27" i="11"/>
  <c r="BN27" i="11"/>
  <c r="BM27" i="11"/>
  <c r="BL27" i="11"/>
  <c r="BK27" i="11"/>
  <c r="BJ27" i="11"/>
  <c r="BI27" i="11"/>
  <c r="BH27" i="11"/>
  <c r="BG27" i="11"/>
  <c r="BF27" i="11"/>
  <c r="BE27" i="11"/>
  <c r="BD27" i="11"/>
  <c r="BC27" i="11"/>
  <c r="BB27" i="11"/>
  <c r="BA27" i="11"/>
  <c r="AZ27" i="11"/>
  <c r="AY27" i="11"/>
  <c r="AX27" i="11"/>
  <c r="AW27" i="11"/>
  <c r="AV27" i="11"/>
  <c r="AU27" i="11"/>
  <c r="AT27" i="11"/>
  <c r="AS27" i="11"/>
  <c r="AR27" i="11"/>
  <c r="AQ27" i="11"/>
  <c r="AP27" i="11"/>
  <c r="AO27" i="11"/>
  <c r="AN27" i="11"/>
  <c r="AM27" i="11"/>
  <c r="AL27" i="11"/>
  <c r="AK27" i="11"/>
  <c r="AJ27" i="11"/>
  <c r="AI27" i="11"/>
  <c r="AH27" i="11"/>
  <c r="AG27" i="11"/>
  <c r="AF27" i="11"/>
  <c r="AE27" i="11"/>
  <c r="AD27" i="11"/>
  <c r="AC27" i="11"/>
  <c r="AB27" i="11"/>
  <c r="AA27" i="11"/>
  <c r="Z27" i="11"/>
  <c r="Y27" i="11"/>
  <c r="X27" i="11"/>
  <c r="W27" i="11"/>
  <c r="V27" i="11"/>
  <c r="U27" i="11"/>
  <c r="T27" i="11"/>
  <c r="S27" i="11"/>
  <c r="R27" i="11"/>
  <c r="Q27" i="11"/>
  <c r="P27" i="11"/>
  <c r="O27" i="11"/>
  <c r="N27" i="11"/>
  <c r="M27" i="11"/>
  <c r="L27" i="11"/>
  <c r="K27" i="11"/>
  <c r="J27" i="11"/>
  <c r="I27" i="11"/>
  <c r="H27" i="11"/>
  <c r="G27" i="11"/>
  <c r="F27" i="11"/>
  <c r="E27" i="11"/>
  <c r="CJ26" i="11"/>
  <c r="CI26" i="11"/>
  <c r="CH26" i="11"/>
  <c r="CG26" i="11"/>
  <c r="CF26" i="11"/>
  <c r="CE26" i="11"/>
  <c r="CD26" i="11"/>
  <c r="CC26" i="11"/>
  <c r="CB26" i="11"/>
  <c r="CA26" i="11"/>
  <c r="BZ26" i="11"/>
  <c r="BY26" i="11"/>
  <c r="BX26" i="11"/>
  <c r="BW26" i="11"/>
  <c r="BV26" i="11"/>
  <c r="BU26" i="11"/>
  <c r="BT26" i="11"/>
  <c r="BS26" i="11"/>
  <c r="BR26" i="11"/>
  <c r="BQ26" i="11"/>
  <c r="BP26" i="11"/>
  <c r="BO26" i="11"/>
  <c r="BN26" i="11"/>
  <c r="BM26" i="11"/>
  <c r="BL26" i="11"/>
  <c r="BK26" i="11"/>
  <c r="BJ26" i="11"/>
  <c r="BI26" i="11"/>
  <c r="BH26" i="11"/>
  <c r="BG26" i="11"/>
  <c r="BF26" i="11"/>
  <c r="BE26" i="11"/>
  <c r="BD26" i="11"/>
  <c r="BC26" i="11"/>
  <c r="BB26" i="11"/>
  <c r="BA26" i="11"/>
  <c r="AZ26" i="11"/>
  <c r="AY26" i="11"/>
  <c r="AX26" i="11"/>
  <c r="AW26" i="11"/>
  <c r="AV26" i="11"/>
  <c r="AU26" i="11"/>
  <c r="AT26" i="11"/>
  <c r="AS26" i="11"/>
  <c r="AR26" i="11"/>
  <c r="AQ26" i="11"/>
  <c r="AP26" i="11"/>
  <c r="AO26" i="11"/>
  <c r="AN26" i="11"/>
  <c r="AM26" i="11"/>
  <c r="AL26" i="11"/>
  <c r="AK26" i="11"/>
  <c r="AJ26" i="11"/>
  <c r="AI26" i="11"/>
  <c r="AH26" i="11"/>
  <c r="AG26" i="11"/>
  <c r="AF26" i="11"/>
  <c r="AE26" i="11"/>
  <c r="AD26" i="11"/>
  <c r="AC26" i="11"/>
  <c r="AB26" i="11"/>
  <c r="AA26" i="11"/>
  <c r="Z26" i="11"/>
  <c r="Y26" i="11"/>
  <c r="X26" i="11"/>
  <c r="W26" i="11"/>
  <c r="V26" i="11"/>
  <c r="U26" i="11"/>
  <c r="T26" i="11"/>
  <c r="S26" i="11"/>
  <c r="R26" i="11"/>
  <c r="Q26" i="11"/>
  <c r="P26" i="11"/>
  <c r="O26" i="11"/>
  <c r="N26" i="11"/>
  <c r="M26" i="11"/>
  <c r="L26" i="11"/>
  <c r="K26" i="11"/>
  <c r="J26" i="11"/>
  <c r="I26" i="11"/>
  <c r="H26" i="11"/>
  <c r="G26" i="11"/>
  <c r="F26" i="11"/>
  <c r="E26" i="11"/>
  <c r="CK5" i="11"/>
  <c r="CK42" i="10"/>
  <c r="CK41" i="10"/>
  <c r="CK34" i="10"/>
  <c r="CK32" i="10"/>
  <c r="CK31" i="10"/>
  <c r="CJ30" i="10"/>
  <c r="CI30" i="10"/>
  <c r="CH30" i="10"/>
  <c r="CG30" i="10"/>
  <c r="CF30" i="10"/>
  <c r="CE30" i="10"/>
  <c r="CD30" i="10"/>
  <c r="CC30" i="10"/>
  <c r="CB30" i="10"/>
  <c r="CA30" i="10"/>
  <c r="BZ30" i="10"/>
  <c r="BY30" i="10"/>
  <c r="BX30" i="10"/>
  <c r="BW30" i="10"/>
  <c r="BV30" i="10"/>
  <c r="BU30" i="10"/>
  <c r="BT30" i="10"/>
  <c r="BS30" i="10"/>
  <c r="BR30" i="10"/>
  <c r="BQ30" i="10"/>
  <c r="BP30" i="10"/>
  <c r="BO30" i="10"/>
  <c r="BN30" i="10"/>
  <c r="BM30" i="10"/>
  <c r="BL30" i="10"/>
  <c r="BK30" i="10"/>
  <c r="BJ30" i="10"/>
  <c r="BI30" i="10"/>
  <c r="BH30" i="10"/>
  <c r="BG30" i="10"/>
  <c r="BF30" i="10"/>
  <c r="BE30" i="10"/>
  <c r="BD30" i="10"/>
  <c r="BC30" i="10"/>
  <c r="BB30" i="10"/>
  <c r="BA30" i="10"/>
  <c r="AZ30" i="10"/>
  <c r="AY30" i="10"/>
  <c r="AX30" i="10"/>
  <c r="AW30" i="10"/>
  <c r="AV30" i="10"/>
  <c r="AU30" i="10"/>
  <c r="AT30" i="10"/>
  <c r="AS30" i="10"/>
  <c r="AR30" i="10"/>
  <c r="AQ30" i="10"/>
  <c r="AP30" i="10"/>
  <c r="AO30" i="10"/>
  <c r="AN30" i="10"/>
  <c r="AM30" i="10"/>
  <c r="AL30" i="10"/>
  <c r="AK30" i="10"/>
  <c r="AJ30" i="10"/>
  <c r="AI30" i="10"/>
  <c r="AH30" i="10"/>
  <c r="AG30" i="10"/>
  <c r="AF30" i="10"/>
  <c r="AE30" i="10"/>
  <c r="AD30" i="10"/>
  <c r="AC30" i="10"/>
  <c r="AB30" i="10"/>
  <c r="AA30" i="10"/>
  <c r="Z30" i="10"/>
  <c r="Y30" i="10"/>
  <c r="X30" i="10"/>
  <c r="W30" i="10"/>
  <c r="V30" i="10"/>
  <c r="U30" i="10"/>
  <c r="T30" i="10"/>
  <c r="S30" i="10"/>
  <c r="R30" i="10"/>
  <c r="Q30" i="10"/>
  <c r="P30" i="10"/>
  <c r="O30" i="10"/>
  <c r="N30" i="10"/>
  <c r="M30" i="10"/>
  <c r="L30" i="10"/>
  <c r="K30" i="10"/>
  <c r="J30" i="10"/>
  <c r="I30" i="10"/>
  <c r="H30" i="10"/>
  <c r="G30" i="10"/>
  <c r="F30" i="10"/>
  <c r="E30" i="10"/>
  <c r="CK28" i="10"/>
  <c r="CK29" i="10" s="1"/>
  <c r="CK21" i="10"/>
  <c r="CJ20" i="10"/>
  <c r="CI20" i="10"/>
  <c r="CH20" i="10"/>
  <c r="CG20" i="10"/>
  <c r="CF20" i="10"/>
  <c r="CE20" i="10"/>
  <c r="CD20" i="10"/>
  <c r="CC20" i="10"/>
  <c r="CB20" i="10"/>
  <c r="CA20" i="10"/>
  <c r="BZ20" i="10"/>
  <c r="BY20" i="10"/>
  <c r="BX20" i="10"/>
  <c r="BW20" i="10"/>
  <c r="BV20" i="10"/>
  <c r="BU20" i="10"/>
  <c r="BT20" i="10"/>
  <c r="BS20" i="10"/>
  <c r="BR20" i="10"/>
  <c r="BQ20" i="10"/>
  <c r="BP20" i="10"/>
  <c r="BO20" i="10"/>
  <c r="BN20" i="10"/>
  <c r="BM20" i="10"/>
  <c r="BL20" i="10"/>
  <c r="BK20" i="10"/>
  <c r="BJ20" i="10"/>
  <c r="BI20" i="10"/>
  <c r="BH20" i="10"/>
  <c r="BG20" i="10"/>
  <c r="BF20" i="10"/>
  <c r="BE20" i="10"/>
  <c r="BD20" i="10"/>
  <c r="BC20" i="10"/>
  <c r="BB20" i="10"/>
  <c r="BA20" i="10"/>
  <c r="AZ20" i="10"/>
  <c r="AY20" i="10"/>
  <c r="AX20" i="10"/>
  <c r="AW20" i="10"/>
  <c r="AV20" i="10"/>
  <c r="AU20" i="10"/>
  <c r="AT20" i="10"/>
  <c r="AS20" i="10"/>
  <c r="AR20" i="10"/>
  <c r="AQ20" i="10"/>
  <c r="AP20" i="10"/>
  <c r="AO20" i="10"/>
  <c r="AN20" i="10"/>
  <c r="AM20" i="10"/>
  <c r="AL20" i="10"/>
  <c r="AK20" i="10"/>
  <c r="AJ20" i="10"/>
  <c r="AI20" i="10"/>
  <c r="AH20" i="10"/>
  <c r="AG20" i="10"/>
  <c r="AF20" i="10"/>
  <c r="AE20" i="10"/>
  <c r="AD20" i="10"/>
  <c r="AC20" i="10"/>
  <c r="AB20" i="10"/>
  <c r="AA20" i="10"/>
  <c r="Z20" i="10"/>
  <c r="Y20" i="10"/>
  <c r="X20" i="10"/>
  <c r="W20" i="10"/>
  <c r="V20" i="10"/>
  <c r="U20" i="10"/>
  <c r="T20" i="10"/>
  <c r="S20" i="10"/>
  <c r="R20" i="10"/>
  <c r="Q20" i="10"/>
  <c r="P20" i="10"/>
  <c r="O20" i="10"/>
  <c r="N20" i="10"/>
  <c r="M20" i="10"/>
  <c r="L20" i="10"/>
  <c r="K20" i="10"/>
  <c r="J20" i="10"/>
  <c r="I20" i="10"/>
  <c r="H20" i="10"/>
  <c r="G20" i="10"/>
  <c r="F20" i="10"/>
  <c r="E20" i="10"/>
  <c r="CK18" i="10"/>
  <c r="CK19" i="10" s="1"/>
  <c r="CK17" i="10"/>
  <c r="CJ16" i="10"/>
  <c r="CI16" i="10"/>
  <c r="CH16" i="10"/>
  <c r="CG16" i="10"/>
  <c r="CF16" i="10"/>
  <c r="CE16" i="10"/>
  <c r="CD16" i="10"/>
  <c r="CC16" i="10"/>
  <c r="CB16" i="10"/>
  <c r="CA16" i="10"/>
  <c r="BZ16" i="10"/>
  <c r="BY16" i="10"/>
  <c r="BX16" i="10"/>
  <c r="BW16" i="10"/>
  <c r="BV16" i="10"/>
  <c r="BU16" i="10"/>
  <c r="BT16" i="10"/>
  <c r="BS16" i="10"/>
  <c r="BR16" i="10"/>
  <c r="BQ16" i="10"/>
  <c r="BP16" i="10"/>
  <c r="BO16" i="10"/>
  <c r="BN16" i="10"/>
  <c r="BM16" i="10"/>
  <c r="BL16" i="10"/>
  <c r="BK16" i="10"/>
  <c r="BJ16" i="10"/>
  <c r="BI16" i="10"/>
  <c r="BH16" i="10"/>
  <c r="BG16" i="10"/>
  <c r="BF16" i="10"/>
  <c r="BE16" i="10"/>
  <c r="BD16" i="10"/>
  <c r="BC16" i="10"/>
  <c r="BB16" i="10"/>
  <c r="BA16" i="10"/>
  <c r="AZ16" i="10"/>
  <c r="AY16" i="10"/>
  <c r="AX16" i="10"/>
  <c r="AW16" i="10"/>
  <c r="AV16" i="10"/>
  <c r="AU16" i="10"/>
  <c r="AT16" i="10"/>
  <c r="AS16" i="10"/>
  <c r="AR16" i="10"/>
  <c r="AQ16" i="10"/>
  <c r="AP16" i="10"/>
  <c r="AO16" i="10"/>
  <c r="AN16" i="10"/>
  <c r="AM16" i="10"/>
  <c r="AL16" i="10"/>
  <c r="AK16" i="10"/>
  <c r="AJ16" i="10"/>
  <c r="AI16" i="10"/>
  <c r="AH16" i="10"/>
  <c r="AG16" i="10"/>
  <c r="AF16" i="10"/>
  <c r="AE16" i="10"/>
  <c r="AD16" i="10"/>
  <c r="AC16" i="10"/>
  <c r="AB16" i="10"/>
  <c r="AA16" i="10"/>
  <c r="Z16" i="10"/>
  <c r="Y16" i="10"/>
  <c r="X16" i="10"/>
  <c r="W16" i="10"/>
  <c r="V16" i="10"/>
  <c r="U16" i="10"/>
  <c r="T16" i="10"/>
  <c r="S16" i="10"/>
  <c r="R16" i="10"/>
  <c r="Q16" i="10"/>
  <c r="P16" i="10"/>
  <c r="O16" i="10"/>
  <c r="N16" i="10"/>
  <c r="M16" i="10"/>
  <c r="L16" i="10"/>
  <c r="K16" i="10"/>
  <c r="J16" i="10"/>
  <c r="I16" i="10"/>
  <c r="H16" i="10"/>
  <c r="G16" i="10"/>
  <c r="F16" i="10"/>
  <c r="E16" i="10"/>
  <c r="CK14" i="10"/>
  <c r="CK15" i="10" s="1"/>
  <c r="CJ14" i="10"/>
  <c r="CI14" i="10"/>
  <c r="CH14" i="10"/>
  <c r="CG14" i="10"/>
  <c r="CF14" i="10"/>
  <c r="CE14" i="10"/>
  <c r="CD14" i="10"/>
  <c r="CC14" i="10"/>
  <c r="CB14" i="10"/>
  <c r="CA14" i="10"/>
  <c r="BZ14" i="10"/>
  <c r="BY14" i="10"/>
  <c r="BX14" i="10"/>
  <c r="BW14" i="10"/>
  <c r="BV14" i="10"/>
  <c r="BU14" i="10"/>
  <c r="BT14" i="10"/>
  <c r="BS14" i="10"/>
  <c r="BR14" i="10"/>
  <c r="BQ14" i="10"/>
  <c r="BP14" i="10"/>
  <c r="BO14" i="10"/>
  <c r="BN14" i="10"/>
  <c r="BM14" i="10"/>
  <c r="BL14" i="10"/>
  <c r="BK14" i="10"/>
  <c r="BJ14" i="10"/>
  <c r="BI14" i="10"/>
  <c r="BH14" i="10"/>
  <c r="BG14" i="10"/>
  <c r="BF14" i="10"/>
  <c r="BE14" i="10"/>
  <c r="BD14" i="10"/>
  <c r="BC14" i="10"/>
  <c r="BB14" i="10"/>
  <c r="BA14" i="10"/>
  <c r="AZ14" i="10"/>
  <c r="AY14" i="10"/>
  <c r="AX14" i="10"/>
  <c r="AW14" i="10"/>
  <c r="AV14" i="10"/>
  <c r="AU14" i="10"/>
  <c r="AT14" i="10"/>
  <c r="AS14" i="10"/>
  <c r="AR14" i="10"/>
  <c r="AQ14" i="10"/>
  <c r="AP14" i="10"/>
  <c r="AO14" i="10"/>
  <c r="AN14" i="10"/>
  <c r="AM14" i="10"/>
  <c r="AL14" i="10"/>
  <c r="AK14" i="10"/>
  <c r="AJ14" i="10"/>
  <c r="AI14" i="10"/>
  <c r="AH14" i="10"/>
  <c r="AG14" i="10"/>
  <c r="AF14" i="10"/>
  <c r="AE14" i="10"/>
  <c r="AD14" i="10"/>
  <c r="AC14" i="10"/>
  <c r="AB14" i="10"/>
  <c r="AA14" i="10"/>
  <c r="Z14" i="10"/>
  <c r="Y14" i="10"/>
  <c r="X14" i="10"/>
  <c r="W14" i="10"/>
  <c r="V14" i="10"/>
  <c r="U14" i="10"/>
  <c r="T14" i="10"/>
  <c r="S14" i="10"/>
  <c r="R14" i="10"/>
  <c r="Q14" i="10"/>
  <c r="P14" i="10"/>
  <c r="O14" i="10"/>
  <c r="N14" i="10"/>
  <c r="M14" i="10"/>
  <c r="L14" i="10"/>
  <c r="K14" i="10"/>
  <c r="J14" i="10"/>
  <c r="I14" i="10"/>
  <c r="H14" i="10"/>
  <c r="G14" i="10"/>
  <c r="F14" i="10"/>
  <c r="E14" i="10"/>
  <c r="CJ12" i="10"/>
  <c r="CI12" i="10"/>
  <c r="CH12" i="10"/>
  <c r="CG12" i="10"/>
  <c r="CF12" i="10"/>
  <c r="CE12" i="10"/>
  <c r="CD12" i="10"/>
  <c r="CC12" i="10"/>
  <c r="CB12" i="10"/>
  <c r="CA12" i="10"/>
  <c r="BZ12" i="10"/>
  <c r="BY12" i="10"/>
  <c r="BX12" i="10"/>
  <c r="BW12" i="10"/>
  <c r="BV12" i="10"/>
  <c r="BU12" i="10"/>
  <c r="BT12" i="10"/>
  <c r="BS12" i="10"/>
  <c r="BR12" i="10"/>
  <c r="BQ12" i="10"/>
  <c r="BP12" i="10"/>
  <c r="BO12" i="10"/>
  <c r="BN12" i="10"/>
  <c r="BM12" i="10"/>
  <c r="BL12" i="10"/>
  <c r="BK12" i="10"/>
  <c r="BJ12" i="10"/>
  <c r="BI12" i="10"/>
  <c r="BH12" i="10"/>
  <c r="BG12" i="10"/>
  <c r="BF12" i="10"/>
  <c r="BE12" i="10"/>
  <c r="BD12" i="10"/>
  <c r="BC12" i="10"/>
  <c r="BB12" i="10"/>
  <c r="BA12" i="10"/>
  <c r="AZ12" i="10"/>
  <c r="AY12" i="10"/>
  <c r="AX12" i="10"/>
  <c r="AW12" i="10"/>
  <c r="AV12" i="10"/>
  <c r="AU12" i="10"/>
  <c r="AT12" i="10"/>
  <c r="AS12" i="10"/>
  <c r="AR12" i="10"/>
  <c r="AQ12" i="10"/>
  <c r="AP12" i="10"/>
  <c r="AO12" i="10"/>
  <c r="AN12" i="10"/>
  <c r="AM12" i="10"/>
  <c r="AL12" i="10"/>
  <c r="AK12" i="10"/>
  <c r="AJ12" i="10"/>
  <c r="AI12" i="10"/>
  <c r="AH12" i="10"/>
  <c r="AG12" i="10"/>
  <c r="AF12" i="10"/>
  <c r="AE12" i="10"/>
  <c r="AD12" i="10"/>
  <c r="AC12" i="10"/>
  <c r="AB12" i="10"/>
  <c r="AA12" i="10"/>
  <c r="Z12" i="10"/>
  <c r="Y12" i="10"/>
  <c r="X12" i="10"/>
  <c r="W12" i="10"/>
  <c r="V12" i="10"/>
  <c r="U12" i="10"/>
  <c r="T12" i="10"/>
  <c r="S12" i="10"/>
  <c r="R12" i="10"/>
  <c r="Q12" i="10"/>
  <c r="P12" i="10"/>
  <c r="O12" i="10"/>
  <c r="N12" i="10"/>
  <c r="M12" i="10"/>
  <c r="L12" i="10"/>
  <c r="K12" i="10"/>
  <c r="J12" i="10"/>
  <c r="I12" i="10"/>
  <c r="H12" i="10"/>
  <c r="G12" i="10"/>
  <c r="F12" i="10"/>
  <c r="E12" i="10"/>
  <c r="CJ10" i="10"/>
  <c r="CI10" i="10"/>
  <c r="CH10" i="10"/>
  <c r="CG10" i="10"/>
  <c r="CF10" i="10"/>
  <c r="CE10" i="10"/>
  <c r="CD10" i="10"/>
  <c r="CC10" i="10"/>
  <c r="CB10" i="10"/>
  <c r="CA10" i="10"/>
  <c r="BZ10" i="10"/>
  <c r="BY10" i="10"/>
  <c r="BX10" i="10"/>
  <c r="BW10" i="10"/>
  <c r="BV10" i="10"/>
  <c r="BU10" i="10"/>
  <c r="BT10" i="10"/>
  <c r="BS10" i="10"/>
  <c r="BR10" i="10"/>
  <c r="BQ10" i="10"/>
  <c r="BP10" i="10"/>
  <c r="BO10" i="10"/>
  <c r="BN10" i="10"/>
  <c r="BM10" i="10"/>
  <c r="BL10" i="10"/>
  <c r="BK10" i="10"/>
  <c r="BJ10" i="10"/>
  <c r="BI10" i="10"/>
  <c r="BH10" i="10"/>
  <c r="BG10" i="10"/>
  <c r="BF10" i="10"/>
  <c r="BE10" i="10"/>
  <c r="BD10" i="10"/>
  <c r="BC10" i="10"/>
  <c r="BB10" i="10"/>
  <c r="BA10" i="10"/>
  <c r="AZ10" i="10"/>
  <c r="AY10" i="10"/>
  <c r="AX10" i="10"/>
  <c r="AW10" i="10"/>
  <c r="AV10" i="10"/>
  <c r="AU10" i="10"/>
  <c r="AT10" i="10"/>
  <c r="AS10" i="10"/>
  <c r="AR10" i="10"/>
  <c r="AQ10" i="10"/>
  <c r="AP10" i="10"/>
  <c r="AO10" i="10"/>
  <c r="AN10" i="10"/>
  <c r="AM10" i="10"/>
  <c r="AL10" i="10"/>
  <c r="AK10" i="10"/>
  <c r="AJ10" i="10"/>
  <c r="AI10" i="10"/>
  <c r="AH10" i="10"/>
  <c r="AG10" i="10"/>
  <c r="AF10" i="10"/>
  <c r="AE10" i="10"/>
  <c r="AD10" i="10"/>
  <c r="AC10" i="10"/>
  <c r="AB10" i="10"/>
  <c r="AA10" i="10"/>
  <c r="Z10" i="10"/>
  <c r="Y10" i="10"/>
  <c r="X10" i="10"/>
  <c r="W10" i="10"/>
  <c r="V10" i="10"/>
  <c r="U10" i="10"/>
  <c r="T10" i="10"/>
  <c r="S10" i="10"/>
  <c r="R10" i="10"/>
  <c r="Q10" i="10"/>
  <c r="P10" i="10"/>
  <c r="O10" i="10"/>
  <c r="N10" i="10"/>
  <c r="M10" i="10"/>
  <c r="L10" i="10"/>
  <c r="K10" i="10"/>
  <c r="J10" i="10"/>
  <c r="I10" i="10"/>
  <c r="H10" i="10"/>
  <c r="G10" i="10"/>
  <c r="F10" i="10"/>
  <c r="E10" i="10"/>
  <c r="CK5" i="10"/>
  <c r="CJ4" i="10"/>
  <c r="CJ6" i="10" s="1"/>
  <c r="CI4" i="10"/>
  <c r="CH4" i="10"/>
  <c r="CG4" i="10"/>
  <c r="CG6" i="10" s="1"/>
  <c r="CF4" i="10"/>
  <c r="CE4" i="10"/>
  <c r="CD4" i="10"/>
  <c r="CC4" i="10"/>
  <c r="CB4" i="10"/>
  <c r="CA4" i="10"/>
  <c r="BZ4" i="10"/>
  <c r="BY4" i="10"/>
  <c r="BX4" i="10"/>
  <c r="BW4" i="10"/>
  <c r="BV4" i="10"/>
  <c r="BU4" i="10"/>
  <c r="BT4" i="10"/>
  <c r="BS4" i="10"/>
  <c r="BR4" i="10"/>
  <c r="BQ4" i="10"/>
  <c r="BP4" i="10"/>
  <c r="BO4" i="10"/>
  <c r="BN4" i="10"/>
  <c r="BM4" i="10"/>
  <c r="BL4" i="10"/>
  <c r="BK4" i="10"/>
  <c r="BJ4" i="10"/>
  <c r="BI4" i="10"/>
  <c r="BH4" i="10"/>
  <c r="BG4" i="10"/>
  <c r="BF4" i="10"/>
  <c r="BE4" i="10"/>
  <c r="BD4" i="10"/>
  <c r="BC4" i="10"/>
  <c r="BB4" i="10"/>
  <c r="BA4" i="10"/>
  <c r="AZ4" i="10"/>
  <c r="AY4" i="10"/>
  <c r="AX4" i="10"/>
  <c r="AW4" i="10"/>
  <c r="AV4" i="10"/>
  <c r="AU4" i="10"/>
  <c r="AT4" i="10"/>
  <c r="AS4" i="10"/>
  <c r="AR4" i="10"/>
  <c r="AQ4" i="10"/>
  <c r="AP4" i="10"/>
  <c r="AO4" i="10"/>
  <c r="AN4" i="10"/>
  <c r="AM4" i="10"/>
  <c r="AL4" i="10"/>
  <c r="AK4" i="10"/>
  <c r="AJ4" i="10"/>
  <c r="AI4" i="10"/>
  <c r="AH4" i="10"/>
  <c r="AG4" i="10"/>
  <c r="AF4" i="10"/>
  <c r="AE4" i="10"/>
  <c r="AD4" i="10"/>
  <c r="AC4" i="10"/>
  <c r="AB4" i="10"/>
  <c r="AA4" i="10"/>
  <c r="Z4" i="10"/>
  <c r="Y4" i="10"/>
  <c r="X4" i="10"/>
  <c r="W4" i="10"/>
  <c r="V4" i="10"/>
  <c r="U4" i="10"/>
  <c r="T4" i="10"/>
  <c r="S4" i="10"/>
  <c r="R4" i="10"/>
  <c r="Q4" i="10"/>
  <c r="P4" i="10"/>
  <c r="O4" i="10"/>
  <c r="N4" i="10"/>
  <c r="M4" i="10"/>
  <c r="L4" i="10"/>
  <c r="K4" i="10"/>
  <c r="J4" i="10"/>
  <c r="I4" i="10"/>
  <c r="H4" i="10"/>
  <c r="G4" i="10"/>
  <c r="F4" i="10"/>
  <c r="E4" i="10"/>
  <c r="CJ2" i="10"/>
  <c r="CI2" i="10"/>
  <c r="CH2" i="10"/>
  <c r="CH3" i="10" s="1"/>
  <c r="CG2" i="10"/>
  <c r="CG3" i="10" s="1"/>
  <c r="CF2" i="10"/>
  <c r="CE2" i="10"/>
  <c r="CD2" i="10"/>
  <c r="CC2" i="10"/>
  <c r="CB2" i="10"/>
  <c r="CA2" i="10"/>
  <c r="BZ2" i="10"/>
  <c r="BZ3" i="10" s="1"/>
  <c r="BY2" i="10"/>
  <c r="BX2" i="10"/>
  <c r="BW2" i="10"/>
  <c r="BV2" i="10"/>
  <c r="BU2" i="10"/>
  <c r="BT2" i="10"/>
  <c r="BS2" i="10"/>
  <c r="BR2" i="10"/>
  <c r="BR3" i="10" s="1"/>
  <c r="BQ2" i="10"/>
  <c r="BP2" i="10"/>
  <c r="BO2" i="10"/>
  <c r="BN2" i="10"/>
  <c r="BM2" i="10"/>
  <c r="BL2" i="10"/>
  <c r="BK2" i="10"/>
  <c r="BJ2" i="10"/>
  <c r="BJ3" i="10" s="1"/>
  <c r="BI2" i="10"/>
  <c r="BH2" i="10"/>
  <c r="BG2" i="10"/>
  <c r="BF2" i="10"/>
  <c r="BE2" i="10"/>
  <c r="BD2" i="10"/>
  <c r="BC2" i="10"/>
  <c r="BB2" i="10"/>
  <c r="BB3" i="10" s="1"/>
  <c r="BA2" i="10"/>
  <c r="AZ2" i="10"/>
  <c r="AY2" i="10"/>
  <c r="AX2" i="10"/>
  <c r="AW2" i="10"/>
  <c r="AV2" i="10"/>
  <c r="AU2" i="10"/>
  <c r="AT2" i="10"/>
  <c r="AT3" i="10" s="1"/>
  <c r="AS2" i="10"/>
  <c r="AR2" i="10"/>
  <c r="AQ2" i="10"/>
  <c r="AP2" i="10"/>
  <c r="AO2" i="10"/>
  <c r="AN2" i="10"/>
  <c r="AM2" i="10"/>
  <c r="AL2" i="10"/>
  <c r="AL3" i="10" s="1"/>
  <c r="AK2" i="10"/>
  <c r="AJ2" i="10"/>
  <c r="AI2" i="10"/>
  <c r="AH2" i="10"/>
  <c r="AG2" i="10"/>
  <c r="AF2" i="10"/>
  <c r="AE2" i="10"/>
  <c r="AD2" i="10"/>
  <c r="AD3" i="10" s="1"/>
  <c r="AC2" i="10"/>
  <c r="AB2" i="10"/>
  <c r="AA2" i="10"/>
  <c r="Z2" i="10"/>
  <c r="Y2" i="10"/>
  <c r="X2" i="10"/>
  <c r="W2" i="10"/>
  <c r="V2" i="10"/>
  <c r="V3" i="10" s="1"/>
  <c r="U2" i="10"/>
  <c r="T2" i="10"/>
  <c r="S2" i="10"/>
  <c r="R2" i="10"/>
  <c r="Q2" i="10"/>
  <c r="P2" i="10"/>
  <c r="O2" i="10"/>
  <c r="N2" i="10"/>
  <c r="N3" i="10" s="1"/>
  <c r="M2" i="10"/>
  <c r="L2" i="10"/>
  <c r="K2" i="10"/>
  <c r="J2" i="10"/>
  <c r="I2" i="10"/>
  <c r="H2" i="10"/>
  <c r="G2" i="10"/>
  <c r="F2" i="10"/>
  <c r="F3" i="10" s="1"/>
  <c r="E2" i="10"/>
  <c r="CL12" i="9"/>
  <c r="CL6" i="9"/>
  <c r="CL5" i="9"/>
  <c r="CK3" i="9"/>
  <c r="CJ3" i="9"/>
  <c r="CI3" i="9"/>
  <c r="CH3" i="9"/>
  <c r="CG3" i="9"/>
  <c r="CF3" i="9"/>
  <c r="CE3" i="9"/>
  <c r="CD3" i="9"/>
  <c r="CC3" i="9"/>
  <c r="CB3" i="9"/>
  <c r="CA3" i="9"/>
  <c r="BZ3" i="9"/>
  <c r="BY3" i="9"/>
  <c r="BX3" i="9"/>
  <c r="BW3" i="9"/>
  <c r="BV3" i="9"/>
  <c r="BU3" i="9"/>
  <c r="BT3" i="9"/>
  <c r="BS3" i="9"/>
  <c r="BR3" i="9"/>
  <c r="BQ3" i="9"/>
  <c r="BP3" i="9"/>
  <c r="BO3" i="9"/>
  <c r="BN3" i="9"/>
  <c r="BM3" i="9"/>
  <c r="BL3" i="9"/>
  <c r="BK3" i="9"/>
  <c r="BJ3" i="9"/>
  <c r="BI3" i="9"/>
  <c r="BH3" i="9"/>
  <c r="BG3" i="9"/>
  <c r="BF3" i="9"/>
  <c r="BE3" i="9"/>
  <c r="BD3" i="9"/>
  <c r="BC3" i="9"/>
  <c r="BB3" i="9"/>
  <c r="BA3" i="9"/>
  <c r="AZ3" i="9"/>
  <c r="AY3" i="9"/>
  <c r="AX3" i="9"/>
  <c r="AW3" i="9"/>
  <c r="AV3" i="9"/>
  <c r="AU3" i="9"/>
  <c r="AT3" i="9"/>
  <c r="AS3" i="9"/>
  <c r="AR3" i="9"/>
  <c r="AQ3" i="9"/>
  <c r="AP3" i="9"/>
  <c r="AO3" i="9"/>
  <c r="AN3" i="9"/>
  <c r="AM3" i="9"/>
  <c r="AL3" i="9"/>
  <c r="AK3" i="9"/>
  <c r="AJ3" i="9"/>
  <c r="AI3" i="9"/>
  <c r="AH3" i="9"/>
  <c r="AG3" i="9"/>
  <c r="AF3" i="9"/>
  <c r="AE3" i="9"/>
  <c r="AD3" i="9"/>
  <c r="AC3" i="9"/>
  <c r="AB3" i="9"/>
  <c r="AA3" i="9"/>
  <c r="Z3" i="9"/>
  <c r="Y3" i="9"/>
  <c r="X3" i="9"/>
  <c r="W3" i="9"/>
  <c r="V3" i="9"/>
  <c r="U3" i="9"/>
  <c r="T3" i="9"/>
  <c r="S3" i="9"/>
  <c r="R3" i="9"/>
  <c r="Q3" i="9"/>
  <c r="P3" i="9"/>
  <c r="O3" i="9"/>
  <c r="N3" i="9"/>
  <c r="M3" i="9"/>
  <c r="L3" i="9"/>
  <c r="K3" i="9"/>
  <c r="J3" i="9"/>
  <c r="I3" i="9"/>
  <c r="H3" i="9"/>
  <c r="G3" i="9"/>
  <c r="F3" i="9"/>
  <c r="E3" i="9"/>
  <c r="CL2" i="9"/>
  <c r="CL16" i="9" s="1"/>
  <c r="BV12" i="8"/>
  <c r="BV3" i="8"/>
  <c r="BU3" i="8"/>
  <c r="BT3" i="8"/>
  <c r="BS3" i="8"/>
  <c r="BR3" i="8"/>
  <c r="BQ3" i="8"/>
  <c r="BP3" i="8"/>
  <c r="BO3" i="8"/>
  <c r="BN3" i="8"/>
  <c r="BM3" i="8"/>
  <c r="BL3" i="8"/>
  <c r="BK3" i="8"/>
  <c r="BJ3" i="8"/>
  <c r="BI3" i="8"/>
  <c r="BH3" i="8"/>
  <c r="BG3" i="8"/>
  <c r="BF3" i="8"/>
  <c r="BE3" i="8"/>
  <c r="BD3" i="8"/>
  <c r="BC3" i="8"/>
  <c r="BB3" i="8"/>
  <c r="BA3" i="8"/>
  <c r="AZ3" i="8"/>
  <c r="AY3" i="8"/>
  <c r="AX3" i="8"/>
  <c r="AW3" i="8"/>
  <c r="AV3" i="8"/>
  <c r="AU3" i="8"/>
  <c r="AT3" i="8"/>
  <c r="AS3" i="8"/>
  <c r="AR3" i="8"/>
  <c r="AQ3" i="8"/>
  <c r="AP3" i="8"/>
  <c r="AO3" i="8"/>
  <c r="AN3" i="8"/>
  <c r="AM3" i="8"/>
  <c r="AL3" i="8"/>
  <c r="AK3" i="8"/>
  <c r="AJ3" i="8"/>
  <c r="AI3" i="8"/>
  <c r="AH3" i="8"/>
  <c r="AG3" i="8"/>
  <c r="AF3" i="8"/>
  <c r="AE3" i="8"/>
  <c r="AD3" i="8"/>
  <c r="AC3" i="8"/>
  <c r="AB3" i="8"/>
  <c r="AA3" i="8"/>
  <c r="Z3" i="8"/>
  <c r="Y3" i="8"/>
  <c r="X3" i="8"/>
  <c r="W3" i="8"/>
  <c r="V3" i="8"/>
  <c r="U3" i="8"/>
  <c r="T3" i="8"/>
  <c r="S3" i="8"/>
  <c r="R3" i="8"/>
  <c r="Q3" i="8"/>
  <c r="P3" i="8"/>
  <c r="O3" i="8"/>
  <c r="N3" i="8"/>
  <c r="M3" i="8"/>
  <c r="L3" i="8"/>
  <c r="K3" i="8"/>
  <c r="J3" i="8"/>
  <c r="I3" i="8"/>
  <c r="H3" i="8"/>
  <c r="G3" i="8"/>
  <c r="F3" i="8"/>
  <c r="E3" i="8"/>
  <c r="B3" i="8"/>
  <c r="Y45" i="7"/>
  <c r="Y49" i="7" s="1"/>
  <c r="X45" i="7"/>
  <c r="X49" i="7" s="1"/>
  <c r="W45" i="7"/>
  <c r="W49" i="7" s="1"/>
  <c r="V45" i="7"/>
  <c r="V49" i="7" s="1"/>
  <c r="U45" i="7"/>
  <c r="U49" i="7" s="1"/>
  <c r="T45" i="7"/>
  <c r="T49" i="7" s="1"/>
  <c r="S45" i="7"/>
  <c r="S49" i="7" s="1"/>
  <c r="R45" i="7"/>
  <c r="R49" i="7" s="1"/>
  <c r="Q45" i="7"/>
  <c r="Q49" i="7" s="1"/>
  <c r="P45" i="7"/>
  <c r="P49" i="7" s="1"/>
  <c r="O45" i="7"/>
  <c r="O49" i="7" s="1"/>
  <c r="N45" i="7"/>
  <c r="N49" i="7" s="1"/>
  <c r="M45" i="7"/>
  <c r="M49" i="7" s="1"/>
  <c r="L45" i="7"/>
  <c r="L49" i="7" s="1"/>
  <c r="K45" i="7"/>
  <c r="K49" i="7" s="1"/>
  <c r="J45" i="7"/>
  <c r="J49" i="7" s="1"/>
  <c r="I45" i="7"/>
  <c r="I49" i="7" s="1"/>
  <c r="H45" i="7"/>
  <c r="H49" i="7" s="1"/>
  <c r="G45" i="7"/>
  <c r="G49" i="7" s="1"/>
  <c r="F45" i="7"/>
  <c r="F49" i="7" s="1"/>
  <c r="E45" i="7"/>
  <c r="E49" i="7" s="1"/>
  <c r="Y42" i="7"/>
  <c r="X42" i="7"/>
  <c r="W42" i="7"/>
  <c r="V42" i="7"/>
  <c r="U42" i="7"/>
  <c r="T42" i="7"/>
  <c r="S42" i="7"/>
  <c r="R42" i="7"/>
  <c r="Q42" i="7"/>
  <c r="P42" i="7"/>
  <c r="O42" i="7"/>
  <c r="N42" i="7"/>
  <c r="M42" i="7"/>
  <c r="L42" i="7"/>
  <c r="K42" i="7"/>
  <c r="J42" i="7"/>
  <c r="I42" i="7"/>
  <c r="H42" i="7"/>
  <c r="G42" i="7"/>
  <c r="F42" i="7"/>
  <c r="E42" i="7"/>
  <c r="D35" i="7"/>
  <c r="C35" i="7"/>
  <c r="B35" i="7"/>
  <c r="AJ82" i="11"/>
  <c r="AJ83" i="11" s="1"/>
  <c r="AI82" i="11"/>
  <c r="AI83" i="11" s="1"/>
  <c r="AH82" i="11"/>
  <c r="AH83" i="11" s="1"/>
  <c r="AG82" i="11"/>
  <c r="AG83" i="11" s="1"/>
  <c r="AF82" i="11"/>
  <c r="AF83" i="11" s="1"/>
  <c r="AB82" i="11"/>
  <c r="AB83" i="11" s="1"/>
  <c r="AA82" i="11"/>
  <c r="AA83" i="11" s="1"/>
  <c r="Z82" i="11"/>
  <c r="Z83" i="11" s="1"/>
  <c r="Y82" i="11"/>
  <c r="Y83" i="11" s="1"/>
  <c r="X82" i="11"/>
  <c r="X83" i="11" s="1"/>
  <c r="U34" i="7"/>
  <c r="T34" i="7"/>
  <c r="T82" i="11" s="1"/>
  <c r="T83" i="11" s="1"/>
  <c r="S34" i="7"/>
  <c r="S82" i="11" s="1"/>
  <c r="S83" i="11" s="1"/>
  <c r="R34" i="7"/>
  <c r="R82" i="11" s="1"/>
  <c r="R83" i="11" s="1"/>
  <c r="Q34" i="7"/>
  <c r="Q82" i="11" s="1"/>
  <c r="Q83" i="11" s="1"/>
  <c r="P34" i="7"/>
  <c r="P82" i="11" s="1"/>
  <c r="P83" i="11" s="1"/>
  <c r="O34" i="7"/>
  <c r="O82" i="11" s="1"/>
  <c r="O83" i="11" s="1"/>
  <c r="N34" i="7"/>
  <c r="M34" i="7"/>
  <c r="L34" i="7"/>
  <c r="L82" i="11" s="1"/>
  <c r="L83" i="11" s="1"/>
  <c r="K34" i="7"/>
  <c r="K82" i="11" s="1"/>
  <c r="K83" i="11" s="1"/>
  <c r="J34" i="7"/>
  <c r="J82" i="11" s="1"/>
  <c r="J83" i="11" s="1"/>
  <c r="I34" i="7"/>
  <c r="I82" i="11" s="1"/>
  <c r="I83" i="11" s="1"/>
  <c r="H34" i="7"/>
  <c r="H82" i="11" s="1"/>
  <c r="H83" i="11" s="1"/>
  <c r="G34" i="7"/>
  <c r="G82" i="11" s="1"/>
  <c r="G83" i="11" s="1"/>
  <c r="F34" i="7"/>
  <c r="F82" i="11" s="1"/>
  <c r="F83" i="11" s="1"/>
  <c r="E34" i="7"/>
  <c r="E82" i="11" s="1"/>
  <c r="E83" i="11" s="1"/>
  <c r="Y17" i="7"/>
  <c r="X17" i="7"/>
  <c r="W17" i="7"/>
  <c r="V17" i="7"/>
  <c r="U17" i="7"/>
  <c r="T17" i="7"/>
  <c r="S17" i="7"/>
  <c r="R17" i="7"/>
  <c r="Q17" i="7"/>
  <c r="P17" i="7"/>
  <c r="O17" i="7"/>
  <c r="N17" i="7"/>
  <c r="M17" i="7"/>
  <c r="L17" i="7"/>
  <c r="K17" i="7"/>
  <c r="J17" i="7"/>
  <c r="I17" i="7"/>
  <c r="H17" i="7"/>
  <c r="G17" i="7"/>
  <c r="F17" i="7"/>
  <c r="E17" i="7"/>
  <c r="Y11" i="7"/>
  <c r="Y13" i="7" s="1"/>
  <c r="X11" i="7"/>
  <c r="X13" i="7" s="1"/>
  <c r="W11" i="7"/>
  <c r="W13" i="7" s="1"/>
  <c r="U5" i="7"/>
  <c r="T5" i="7"/>
  <c r="T11" i="7" s="1"/>
  <c r="S5" i="7"/>
  <c r="S11" i="7" s="1"/>
  <c r="R5" i="7"/>
  <c r="R11" i="7" s="1"/>
  <c r="Q5" i="7"/>
  <c r="Q11" i="7" s="1"/>
  <c r="P5" i="7"/>
  <c r="P11" i="7" s="1"/>
  <c r="O5" i="7"/>
  <c r="O11" i="7" s="1"/>
  <c r="N5" i="7"/>
  <c r="M5" i="7"/>
  <c r="L5" i="7"/>
  <c r="L11" i="7" s="1"/>
  <c r="K5" i="7"/>
  <c r="K11" i="7" s="1"/>
  <c r="J5" i="7"/>
  <c r="J11" i="7" s="1"/>
  <c r="I5" i="7"/>
  <c r="I11" i="7" s="1"/>
  <c r="H5" i="7"/>
  <c r="H11" i="7" s="1"/>
  <c r="G5" i="7"/>
  <c r="G11" i="7" s="1"/>
  <c r="F5" i="7"/>
  <c r="E5" i="7"/>
  <c r="CJ67" i="6"/>
  <c r="CI67" i="6"/>
  <c r="CI24" i="6" s="1"/>
  <c r="CH67" i="6"/>
  <c r="CH24" i="6" s="1"/>
  <c r="CG67" i="6"/>
  <c r="CF67" i="6"/>
  <c r="CE67" i="6"/>
  <c r="CE24" i="6" s="1"/>
  <c r="CD67" i="6"/>
  <c r="CD24" i="6" s="1"/>
  <c r="CC67" i="6"/>
  <c r="CC24" i="6" s="1"/>
  <c r="CB67" i="6"/>
  <c r="CA67" i="6"/>
  <c r="CA24" i="6" s="1"/>
  <c r="BZ67" i="6"/>
  <c r="BZ24" i="6" s="1"/>
  <c r="BY67" i="6"/>
  <c r="BY24" i="6" s="1"/>
  <c r="BX67" i="6"/>
  <c r="BX24" i="6" s="1"/>
  <c r="BW67" i="6"/>
  <c r="BW24" i="6" s="1"/>
  <c r="BV67" i="6"/>
  <c r="BU67" i="6"/>
  <c r="BU24" i="6" s="1"/>
  <c r="BT67" i="6"/>
  <c r="BT24" i="6" s="1"/>
  <c r="BS67" i="6"/>
  <c r="BS24" i="6" s="1"/>
  <c r="BR67" i="6"/>
  <c r="BR24" i="6" s="1"/>
  <c r="BQ67" i="6"/>
  <c r="BQ24" i="6" s="1"/>
  <c r="BP67" i="6"/>
  <c r="BP24" i="6" s="1"/>
  <c r="BO67" i="6"/>
  <c r="BO24" i="6" s="1"/>
  <c r="BN67" i="6"/>
  <c r="BN24" i="6" s="1"/>
  <c r="BM67" i="6"/>
  <c r="BM24" i="6" s="1"/>
  <c r="BL67" i="6"/>
  <c r="BL24" i="6" s="1"/>
  <c r="BK67" i="6"/>
  <c r="BK24" i="6" s="1"/>
  <c r="BJ67" i="6"/>
  <c r="BJ24" i="6" s="1"/>
  <c r="BI67" i="6"/>
  <c r="BI24" i="6" s="1"/>
  <c r="BH67" i="6"/>
  <c r="BH24" i="6" s="1"/>
  <c r="BG67" i="6"/>
  <c r="BG24" i="6" s="1"/>
  <c r="BF67" i="6"/>
  <c r="BF24" i="6" s="1"/>
  <c r="BE67" i="6"/>
  <c r="BE24" i="6" s="1"/>
  <c r="BD67" i="6"/>
  <c r="BD24" i="6" s="1"/>
  <c r="BC67" i="6"/>
  <c r="BC24" i="6" s="1"/>
  <c r="BB67" i="6"/>
  <c r="BB24" i="6" s="1"/>
  <c r="BA67" i="6"/>
  <c r="BA24" i="6" s="1"/>
  <c r="AZ67" i="6"/>
  <c r="AZ24" i="6" s="1"/>
  <c r="AY67" i="6"/>
  <c r="AY24" i="6" s="1"/>
  <c r="AX67" i="6"/>
  <c r="AW67" i="6"/>
  <c r="AW24" i="6" s="1"/>
  <c r="AV67" i="6"/>
  <c r="AV24" i="6" s="1"/>
  <c r="AU67" i="6"/>
  <c r="AU24" i="6" s="1"/>
  <c r="AT67" i="6"/>
  <c r="AT24" i="6" s="1"/>
  <c r="AS67" i="6"/>
  <c r="AS24" i="6" s="1"/>
  <c r="AR67" i="6"/>
  <c r="AR24" i="6" s="1"/>
  <c r="AQ67" i="6"/>
  <c r="AQ24" i="6" s="1"/>
  <c r="AP67" i="6"/>
  <c r="AP24" i="6" s="1"/>
  <c r="AO67" i="6"/>
  <c r="AO24" i="6" s="1"/>
  <c r="AN67" i="6"/>
  <c r="AN24" i="6" s="1"/>
  <c r="AM67" i="6"/>
  <c r="AM24" i="6" s="1"/>
  <c r="AL67" i="6"/>
  <c r="AL24" i="6" s="1"/>
  <c r="AK67" i="6"/>
  <c r="AK24" i="6" s="1"/>
  <c r="AJ67" i="6"/>
  <c r="AJ24" i="6" s="1"/>
  <c r="AI67" i="6"/>
  <c r="AI24" i="6" s="1"/>
  <c r="AH67" i="6"/>
  <c r="AH24" i="6" s="1"/>
  <c r="AG67" i="6"/>
  <c r="AG24" i="6" s="1"/>
  <c r="AF67" i="6"/>
  <c r="AF24" i="6" s="1"/>
  <c r="AE67" i="6"/>
  <c r="AE24" i="6" s="1"/>
  <c r="AD67" i="6"/>
  <c r="AD24" i="6" s="1"/>
  <c r="AC67" i="6"/>
  <c r="AC24" i="6" s="1"/>
  <c r="AB67" i="6"/>
  <c r="AB24" i="6" s="1"/>
  <c r="AA67" i="6"/>
  <c r="AA24" i="6" s="1"/>
  <c r="Z67" i="6"/>
  <c r="Y67" i="6"/>
  <c r="Y24" i="6" s="1"/>
  <c r="X67" i="6"/>
  <c r="X24" i="6" s="1"/>
  <c r="W67" i="6"/>
  <c r="W24" i="6" s="1"/>
  <c r="V67" i="6"/>
  <c r="V24" i="6" s="1"/>
  <c r="U67" i="6"/>
  <c r="U24" i="6" s="1"/>
  <c r="T67" i="6"/>
  <c r="T24" i="6" s="1"/>
  <c r="S67" i="6"/>
  <c r="S24" i="6" s="1"/>
  <c r="R67" i="6"/>
  <c r="R24" i="6" s="1"/>
  <c r="Q67" i="6"/>
  <c r="Q24" i="6" s="1"/>
  <c r="P67" i="6"/>
  <c r="P24" i="6" s="1"/>
  <c r="O67" i="6"/>
  <c r="O24" i="6" s="1"/>
  <c r="N67" i="6"/>
  <c r="N24" i="6" s="1"/>
  <c r="M67" i="6"/>
  <c r="M24" i="6" s="1"/>
  <c r="L67" i="6"/>
  <c r="L24" i="6" s="1"/>
  <c r="K67" i="6"/>
  <c r="K24" i="6" s="1"/>
  <c r="J67" i="6"/>
  <c r="J24" i="6" s="1"/>
  <c r="I67" i="6"/>
  <c r="I24" i="6" s="1"/>
  <c r="H67" i="6"/>
  <c r="H24" i="6" s="1"/>
  <c r="G67" i="6"/>
  <c r="G24" i="6" s="1"/>
  <c r="F67" i="6"/>
  <c r="F24" i="6" s="1"/>
  <c r="E67" i="6"/>
  <c r="E24" i="6" s="1"/>
  <c r="D67" i="6"/>
  <c r="D24" i="6" s="1"/>
  <c r="C67" i="6"/>
  <c r="C24" i="6" s="1"/>
  <c r="B67" i="6"/>
  <c r="B24" i="6" s="1"/>
  <c r="D56" i="6"/>
  <c r="C56" i="6"/>
  <c r="B56" i="6"/>
  <c r="CJ46" i="6"/>
  <c r="CI46" i="6"/>
  <c r="CH46" i="6"/>
  <c r="CG46" i="6"/>
  <c r="CF46" i="6"/>
  <c r="CE46" i="6"/>
  <c r="CD46" i="6"/>
  <c r="CC46" i="6"/>
  <c r="CB46" i="6"/>
  <c r="CA46" i="6"/>
  <c r="BZ46" i="6"/>
  <c r="BY46" i="6"/>
  <c r="BX46" i="6"/>
  <c r="BW46" i="6"/>
  <c r="BV46" i="6"/>
  <c r="BU46" i="6"/>
  <c r="BT46" i="6"/>
  <c r="BS46" i="6"/>
  <c r="BR46" i="6"/>
  <c r="BQ46" i="6"/>
  <c r="BP46" i="6"/>
  <c r="BO46" i="6"/>
  <c r="BN46" i="6"/>
  <c r="BM46" i="6"/>
  <c r="BL46" i="6"/>
  <c r="BK46" i="6"/>
  <c r="BJ46" i="6"/>
  <c r="BI46" i="6"/>
  <c r="BH46" i="6"/>
  <c r="BG46" i="6"/>
  <c r="BF46" i="6"/>
  <c r="BE46" i="6"/>
  <c r="BD46" i="6"/>
  <c r="BC46" i="6"/>
  <c r="BB46" i="6"/>
  <c r="BA46" i="6"/>
  <c r="AZ46" i="6"/>
  <c r="AY46" i="6"/>
  <c r="AX46" i="6"/>
  <c r="AW46" i="6"/>
  <c r="AV46" i="6"/>
  <c r="AU46" i="6"/>
  <c r="AT46" i="6"/>
  <c r="AS46" i="6"/>
  <c r="AR46" i="6"/>
  <c r="AQ46" i="6"/>
  <c r="AP46" i="6"/>
  <c r="AO46" i="6"/>
  <c r="AN46" i="6"/>
  <c r="AM46" i="6"/>
  <c r="AL46" i="6"/>
  <c r="AK46" i="6"/>
  <c r="AJ46" i="6"/>
  <c r="AI46" i="6"/>
  <c r="AH46" i="6"/>
  <c r="AG46" i="6"/>
  <c r="AF46" i="6"/>
  <c r="AE46" i="6"/>
  <c r="AD46" i="6"/>
  <c r="AC46" i="6"/>
  <c r="AB46" i="6"/>
  <c r="AA46" i="6"/>
  <c r="Z46" i="6"/>
  <c r="Y46" i="6"/>
  <c r="X46" i="6"/>
  <c r="W46" i="6"/>
  <c r="V46" i="6"/>
  <c r="U46" i="6"/>
  <c r="T46" i="6"/>
  <c r="S46" i="6"/>
  <c r="R46" i="6"/>
  <c r="Q46" i="6"/>
  <c r="P46" i="6"/>
  <c r="O46" i="6"/>
  <c r="N46" i="6"/>
  <c r="M46" i="6"/>
  <c r="L46" i="6"/>
  <c r="K46" i="6"/>
  <c r="J46" i="6"/>
  <c r="I46" i="6"/>
  <c r="H46" i="6"/>
  <c r="G46" i="6"/>
  <c r="F46" i="6"/>
  <c r="E46" i="6"/>
  <c r="D46" i="6"/>
  <c r="C46" i="6"/>
  <c r="B46" i="6"/>
  <c r="CJ45" i="6"/>
  <c r="CI45" i="6"/>
  <c r="CH45" i="6"/>
  <c r="CG45" i="6"/>
  <c r="CF45" i="6"/>
  <c r="CE45" i="6"/>
  <c r="CD45" i="6"/>
  <c r="CC45" i="6"/>
  <c r="CB45" i="6"/>
  <c r="CA45" i="6"/>
  <c r="BZ45" i="6"/>
  <c r="BY45" i="6"/>
  <c r="BX45" i="6"/>
  <c r="BW45" i="6"/>
  <c r="BV45" i="6"/>
  <c r="BU45" i="6"/>
  <c r="BT45" i="6"/>
  <c r="BS45" i="6"/>
  <c r="BR45" i="6"/>
  <c r="BQ45" i="6"/>
  <c r="BP45" i="6"/>
  <c r="BO45" i="6"/>
  <c r="BN45" i="6"/>
  <c r="BM45" i="6"/>
  <c r="BL45" i="6"/>
  <c r="BK45" i="6"/>
  <c r="BJ45" i="6"/>
  <c r="BI45" i="6"/>
  <c r="BH45" i="6"/>
  <c r="BG45" i="6"/>
  <c r="BF45" i="6"/>
  <c r="BE45" i="6"/>
  <c r="BD45" i="6"/>
  <c r="BC45" i="6"/>
  <c r="BB45" i="6"/>
  <c r="BA45" i="6"/>
  <c r="AZ45" i="6"/>
  <c r="AY45" i="6"/>
  <c r="AX45" i="6"/>
  <c r="AW45" i="6"/>
  <c r="AV45" i="6"/>
  <c r="AU45" i="6"/>
  <c r="AT45" i="6"/>
  <c r="AS45" i="6"/>
  <c r="AR45" i="6"/>
  <c r="AQ45" i="6"/>
  <c r="AP45" i="6"/>
  <c r="AO45" i="6"/>
  <c r="AN45" i="6"/>
  <c r="AM45" i="6"/>
  <c r="AL45" i="6"/>
  <c r="AK45" i="6"/>
  <c r="AJ45" i="6"/>
  <c r="AI45" i="6"/>
  <c r="AH45" i="6"/>
  <c r="AG45" i="6"/>
  <c r="AF45" i="6"/>
  <c r="AE45" i="6"/>
  <c r="AD45" i="6"/>
  <c r="AC45" i="6"/>
  <c r="AB45" i="6"/>
  <c r="AA45" i="6"/>
  <c r="Z45" i="6"/>
  <c r="Y45" i="6"/>
  <c r="X45" i="6"/>
  <c r="W45" i="6"/>
  <c r="V45" i="6"/>
  <c r="U45" i="6"/>
  <c r="T45" i="6"/>
  <c r="S45" i="6"/>
  <c r="R45" i="6"/>
  <c r="Q45" i="6"/>
  <c r="P45" i="6"/>
  <c r="O45" i="6"/>
  <c r="N45" i="6"/>
  <c r="M45" i="6"/>
  <c r="L45" i="6"/>
  <c r="K45" i="6"/>
  <c r="J45" i="6"/>
  <c r="I45" i="6"/>
  <c r="H45" i="6"/>
  <c r="G45" i="6"/>
  <c r="F45" i="6"/>
  <c r="E45" i="6"/>
  <c r="D45" i="6"/>
  <c r="C45" i="6"/>
  <c r="B45" i="6"/>
  <c r="CK42" i="6"/>
  <c r="CK43" i="6" s="1"/>
  <c r="CJ40" i="6"/>
  <c r="CI40" i="6"/>
  <c r="CH40" i="6"/>
  <c r="CG40" i="6"/>
  <c r="CF40" i="6"/>
  <c r="CE40" i="6"/>
  <c r="CD40" i="6"/>
  <c r="CC40" i="6"/>
  <c r="CB40" i="6"/>
  <c r="CA40" i="6"/>
  <c r="BZ40" i="6"/>
  <c r="BY40" i="6"/>
  <c r="BX40" i="6"/>
  <c r="BW40" i="6"/>
  <c r="BV40" i="6"/>
  <c r="BU40" i="6"/>
  <c r="BT40" i="6"/>
  <c r="BS40" i="6"/>
  <c r="BR40" i="6"/>
  <c r="BQ40" i="6"/>
  <c r="BP40" i="6"/>
  <c r="BO40" i="6"/>
  <c r="BN40" i="6"/>
  <c r="BM40" i="6"/>
  <c r="BL40" i="6"/>
  <c r="BK40" i="6"/>
  <c r="BJ40" i="6"/>
  <c r="BI40" i="6"/>
  <c r="BH40" i="6"/>
  <c r="BG40" i="6"/>
  <c r="BF40" i="6"/>
  <c r="BE40" i="6"/>
  <c r="BD40" i="6"/>
  <c r="BC40" i="6"/>
  <c r="BB40" i="6"/>
  <c r="BA40" i="6"/>
  <c r="AZ40" i="6"/>
  <c r="AY40" i="6"/>
  <c r="AX40" i="6"/>
  <c r="AW40" i="6"/>
  <c r="AV40" i="6"/>
  <c r="AU40" i="6"/>
  <c r="AT40" i="6"/>
  <c r="AS40" i="6"/>
  <c r="AR40" i="6"/>
  <c r="AQ40" i="6"/>
  <c r="AP40" i="6"/>
  <c r="AO40" i="6"/>
  <c r="AN40" i="6"/>
  <c r="AM40" i="6"/>
  <c r="AL40" i="6"/>
  <c r="AK40" i="6"/>
  <c r="AJ40" i="6"/>
  <c r="AI40" i="6"/>
  <c r="AH40" i="6"/>
  <c r="AG40" i="6"/>
  <c r="AF40" i="6"/>
  <c r="AE40" i="6"/>
  <c r="AD40" i="6"/>
  <c r="AC40" i="6"/>
  <c r="AC62" i="10" s="1"/>
  <c r="AB40" i="6"/>
  <c r="AB62" i="10" s="1"/>
  <c r="AA40" i="6"/>
  <c r="AA62" i="10" s="1"/>
  <c r="Z40" i="6"/>
  <c r="Z62" i="10" s="1"/>
  <c r="Y40" i="6"/>
  <c r="Y62" i="10" s="1"/>
  <c r="X40" i="6"/>
  <c r="X62" i="10" s="1"/>
  <c r="W40" i="6"/>
  <c r="W62" i="10" s="1"/>
  <c r="V40" i="6"/>
  <c r="V62" i="10" s="1"/>
  <c r="U40" i="6"/>
  <c r="U62" i="10" s="1"/>
  <c r="T40" i="6"/>
  <c r="T62" i="10" s="1"/>
  <c r="S40" i="6"/>
  <c r="S62" i="10" s="1"/>
  <c r="R40" i="6"/>
  <c r="R62" i="10" s="1"/>
  <c r="Q40" i="6"/>
  <c r="Q62" i="10" s="1"/>
  <c r="P40" i="6"/>
  <c r="P62" i="10" s="1"/>
  <c r="O40" i="6"/>
  <c r="O62" i="10" s="1"/>
  <c r="N40" i="6"/>
  <c r="N62" i="10" s="1"/>
  <c r="M40" i="6"/>
  <c r="M62" i="10" s="1"/>
  <c r="L40" i="6"/>
  <c r="L62" i="10" s="1"/>
  <c r="K40" i="6"/>
  <c r="K62" i="10" s="1"/>
  <c r="J40" i="6"/>
  <c r="J62" i="10" s="1"/>
  <c r="I40" i="6"/>
  <c r="I62" i="10" s="1"/>
  <c r="H40" i="6"/>
  <c r="H62" i="10" s="1"/>
  <c r="G40" i="6"/>
  <c r="G62" i="10" s="1"/>
  <c r="F40" i="6"/>
  <c r="F62" i="10" s="1"/>
  <c r="E40" i="6"/>
  <c r="E62" i="10" s="1"/>
  <c r="D40" i="6"/>
  <c r="C40" i="6"/>
  <c r="B40" i="6"/>
  <c r="CG35" i="6"/>
  <c r="CE35" i="6"/>
  <c r="BY35" i="6"/>
  <c r="BW35" i="6"/>
  <c r="B35" i="6"/>
  <c r="CK29" i="6"/>
  <c r="CK25" i="6"/>
  <c r="CJ25" i="6"/>
  <c r="CI25" i="6"/>
  <c r="CH25" i="6"/>
  <c r="CG25" i="6"/>
  <c r="CF25" i="6"/>
  <c r="CE25" i="6"/>
  <c r="CD25" i="6"/>
  <c r="CC25" i="6"/>
  <c r="CB25" i="6"/>
  <c r="CA25" i="6"/>
  <c r="BZ25" i="6"/>
  <c r="BY25" i="6"/>
  <c r="BX25" i="6"/>
  <c r="BW25" i="6"/>
  <c r="BV25" i="6"/>
  <c r="BU25" i="6"/>
  <c r="BT25" i="6"/>
  <c r="BS25" i="6"/>
  <c r="BR25" i="6"/>
  <c r="BQ25" i="6"/>
  <c r="BP25" i="6"/>
  <c r="BO25" i="6"/>
  <c r="BN25" i="6"/>
  <c r="BM25" i="6"/>
  <c r="BL25" i="6"/>
  <c r="BK25" i="6"/>
  <c r="BJ25" i="6"/>
  <c r="BI25" i="6"/>
  <c r="BH25" i="6"/>
  <c r="BG25" i="6"/>
  <c r="BF25" i="6"/>
  <c r="BE25" i="6"/>
  <c r="BD25" i="6"/>
  <c r="BC25" i="6"/>
  <c r="BB25" i="6"/>
  <c r="BA25" i="6"/>
  <c r="AZ25" i="6"/>
  <c r="AY25" i="6"/>
  <c r="AX25" i="6"/>
  <c r="AW25" i="6"/>
  <c r="AV25" i="6"/>
  <c r="AU25" i="6"/>
  <c r="AT25" i="6"/>
  <c r="AS25" i="6"/>
  <c r="AR25" i="6"/>
  <c r="AQ25" i="6"/>
  <c r="AP25" i="6"/>
  <c r="AO25" i="6"/>
  <c r="AN25" i="6"/>
  <c r="AM25" i="6"/>
  <c r="AL25" i="6"/>
  <c r="AK25" i="6"/>
  <c r="AJ25" i="6"/>
  <c r="AI25" i="6"/>
  <c r="AH25" i="6"/>
  <c r="AG25" i="6"/>
  <c r="AF25" i="6"/>
  <c r="AE25" i="6"/>
  <c r="AD25" i="6"/>
  <c r="AC25" i="6"/>
  <c r="AB25" i="6"/>
  <c r="AA25" i="6"/>
  <c r="Z25" i="6"/>
  <c r="Y25" i="6"/>
  <c r="X25" i="6"/>
  <c r="W25" i="6"/>
  <c r="V25" i="6"/>
  <c r="U25" i="6"/>
  <c r="T25" i="6"/>
  <c r="S25" i="6"/>
  <c r="R25" i="6"/>
  <c r="Q25" i="6"/>
  <c r="P25" i="6"/>
  <c r="O25" i="6"/>
  <c r="N25" i="6"/>
  <c r="M25" i="6"/>
  <c r="L25" i="6"/>
  <c r="K25" i="6"/>
  <c r="J25" i="6"/>
  <c r="I25" i="6"/>
  <c r="H25" i="6"/>
  <c r="G25" i="6"/>
  <c r="F25" i="6"/>
  <c r="E25" i="6"/>
  <c r="D25" i="6"/>
  <c r="C25" i="6"/>
  <c r="B25" i="6"/>
  <c r="CJ24" i="6"/>
  <c r="CG24" i="6"/>
  <c r="CF24" i="6"/>
  <c r="CB24" i="6"/>
  <c r="BV24" i="6"/>
  <c r="AX24" i="6"/>
  <c r="Z24" i="6"/>
  <c r="CK23" i="6"/>
  <c r="CJ23" i="6"/>
  <c r="CJ35" i="6" s="1"/>
  <c r="CI23" i="6"/>
  <c r="CI35" i="6" s="1"/>
  <c r="CH23" i="6"/>
  <c r="CH35" i="6" s="1"/>
  <c r="CG23" i="6"/>
  <c r="CF23" i="6"/>
  <c r="CF35" i="6" s="1"/>
  <c r="CE23" i="6"/>
  <c r="CD23" i="6"/>
  <c r="CD35" i="6" s="1"/>
  <c r="CC23" i="6"/>
  <c r="CC35" i="6" s="1"/>
  <c r="CB23" i="6"/>
  <c r="CB35" i="6" s="1"/>
  <c r="CA23" i="6"/>
  <c r="CA35" i="6" s="1"/>
  <c r="BZ23" i="6"/>
  <c r="BZ35" i="6" s="1"/>
  <c r="BY23" i="6"/>
  <c r="BX23" i="6"/>
  <c r="BW23" i="6"/>
  <c r="BV23" i="6"/>
  <c r="BV35" i="6" s="1"/>
  <c r="BU23" i="6"/>
  <c r="BU35" i="6" s="1"/>
  <c r="BT23" i="6"/>
  <c r="BT35" i="6" s="1"/>
  <c r="BS23" i="6"/>
  <c r="BS35" i="6" s="1"/>
  <c r="BR23" i="6"/>
  <c r="BR35" i="6" s="1"/>
  <c r="BQ23" i="6"/>
  <c r="BQ35" i="6" s="1"/>
  <c r="BP23" i="6"/>
  <c r="BO23" i="6"/>
  <c r="BN23" i="6"/>
  <c r="BN35" i="6" s="1"/>
  <c r="BM23" i="6"/>
  <c r="BM35" i="6" s="1"/>
  <c r="BL23" i="6"/>
  <c r="BL35" i="6" s="1"/>
  <c r="BK23" i="6"/>
  <c r="BK35" i="6" s="1"/>
  <c r="BJ23" i="6"/>
  <c r="BJ35" i="6" s="1"/>
  <c r="BI23" i="6"/>
  <c r="BI35" i="6" s="1"/>
  <c r="BH23" i="6"/>
  <c r="BG23" i="6"/>
  <c r="BF23" i="6"/>
  <c r="BF35" i="6" s="1"/>
  <c r="BE23" i="6"/>
  <c r="BE35" i="6" s="1"/>
  <c r="BD23" i="6"/>
  <c r="BD35" i="6" s="1"/>
  <c r="BC23" i="6"/>
  <c r="BC35" i="6" s="1"/>
  <c r="BB23" i="6"/>
  <c r="BB35" i="6" s="1"/>
  <c r="BA23" i="6"/>
  <c r="BA35" i="6" s="1"/>
  <c r="AZ23" i="6"/>
  <c r="AZ35" i="6" s="1"/>
  <c r="AY23" i="6"/>
  <c r="AX23" i="6"/>
  <c r="AX35" i="6" s="1"/>
  <c r="AW23" i="6"/>
  <c r="AW35" i="6" s="1"/>
  <c r="AV23" i="6"/>
  <c r="AV35" i="6" s="1"/>
  <c r="AU23" i="6"/>
  <c r="AU35" i="6" s="1"/>
  <c r="AT23" i="6"/>
  <c r="AT35" i="6" s="1"/>
  <c r="AS23" i="6"/>
  <c r="AS35" i="6" s="1"/>
  <c r="AR23" i="6"/>
  <c r="AR35" i="6" s="1"/>
  <c r="AQ23" i="6"/>
  <c r="AQ35" i="6" s="1"/>
  <c r="AP23" i="6"/>
  <c r="AP35" i="6" s="1"/>
  <c r="AO23" i="6"/>
  <c r="AO35" i="6" s="1"/>
  <c r="AN23" i="6"/>
  <c r="AN35" i="6" s="1"/>
  <c r="AM23" i="6"/>
  <c r="AM35" i="6" s="1"/>
  <c r="AL23" i="6"/>
  <c r="AL35" i="6" s="1"/>
  <c r="AK23" i="6"/>
  <c r="AK35" i="6" s="1"/>
  <c r="AJ23" i="6"/>
  <c r="AJ35" i="6" s="1"/>
  <c r="AI23" i="6"/>
  <c r="AI35" i="6" s="1"/>
  <c r="AH23" i="6"/>
  <c r="AH35" i="6" s="1"/>
  <c r="AG23" i="6"/>
  <c r="AG35" i="6" s="1"/>
  <c r="AF23" i="6"/>
  <c r="AF35" i="6" s="1"/>
  <c r="AE23" i="6"/>
  <c r="AE35" i="6" s="1"/>
  <c r="AD23" i="6"/>
  <c r="AD35" i="6" s="1"/>
  <c r="AC23" i="6"/>
  <c r="AC35" i="6" s="1"/>
  <c r="AB23" i="6"/>
  <c r="AB35" i="6" s="1"/>
  <c r="AA23" i="6"/>
  <c r="AA35" i="6" s="1"/>
  <c r="Z23" i="6"/>
  <c r="Z35" i="6" s="1"/>
  <c r="Y23" i="6"/>
  <c r="Y35" i="6" s="1"/>
  <c r="X23" i="6"/>
  <c r="X35" i="6" s="1"/>
  <c r="W23" i="6"/>
  <c r="W35" i="6" s="1"/>
  <c r="V23" i="6"/>
  <c r="V35" i="6" s="1"/>
  <c r="U23" i="6"/>
  <c r="U35" i="6" s="1"/>
  <c r="T23" i="6"/>
  <c r="T35" i="6" s="1"/>
  <c r="S23" i="6"/>
  <c r="S35" i="6" s="1"/>
  <c r="R23" i="6"/>
  <c r="R35" i="6" s="1"/>
  <c r="Q23" i="6"/>
  <c r="Q35" i="6" s="1"/>
  <c r="P23" i="6"/>
  <c r="P35" i="6" s="1"/>
  <c r="O23" i="6"/>
  <c r="O35" i="6" s="1"/>
  <c r="N23" i="6"/>
  <c r="N35" i="6" s="1"/>
  <c r="M23" i="6"/>
  <c r="M35" i="6" s="1"/>
  <c r="L23" i="6"/>
  <c r="L35" i="6" s="1"/>
  <c r="K23" i="6"/>
  <c r="K35" i="6" s="1"/>
  <c r="J23" i="6"/>
  <c r="J35" i="6" s="1"/>
  <c r="I23" i="6"/>
  <c r="I35" i="6" s="1"/>
  <c r="H23" i="6"/>
  <c r="H35" i="6" s="1"/>
  <c r="G23" i="6"/>
  <c r="G35" i="6" s="1"/>
  <c r="F23" i="6"/>
  <c r="F35" i="6" s="1"/>
  <c r="E23" i="6"/>
  <c r="E35" i="6" s="1"/>
  <c r="D23" i="6"/>
  <c r="D35" i="6" s="1"/>
  <c r="C23" i="6"/>
  <c r="C35" i="6" s="1"/>
  <c r="B23" i="6"/>
  <c r="CK16" i="6"/>
  <c r="CJ12" i="6"/>
  <c r="CJ18" i="10" s="1"/>
  <c r="CI12" i="6"/>
  <c r="CI18" i="10" s="1"/>
  <c r="CH12" i="6"/>
  <c r="CH18" i="10" s="1"/>
  <c r="CG12" i="6"/>
  <c r="CG18" i="10" s="1"/>
  <c r="CF12" i="6"/>
  <c r="CF18" i="10" s="1"/>
  <c r="CE12" i="6"/>
  <c r="CE18" i="10" s="1"/>
  <c r="CD12" i="6"/>
  <c r="CD18" i="10" s="1"/>
  <c r="CC12" i="6"/>
  <c r="CC18" i="10" s="1"/>
  <c r="CB12" i="6"/>
  <c r="CB18" i="10" s="1"/>
  <c r="CA12" i="6"/>
  <c r="CA18" i="10" s="1"/>
  <c r="BZ12" i="6"/>
  <c r="BZ18" i="10" s="1"/>
  <c r="BY12" i="6"/>
  <c r="BY18" i="10" s="1"/>
  <c r="BX12" i="6"/>
  <c r="BX18" i="10" s="1"/>
  <c r="BW12" i="6"/>
  <c r="BW18" i="10" s="1"/>
  <c r="BV12" i="6"/>
  <c r="BV18" i="10" s="1"/>
  <c r="BU12" i="6"/>
  <c r="BU18" i="10" s="1"/>
  <c r="BT12" i="6"/>
  <c r="BT18" i="10" s="1"/>
  <c r="BS12" i="6"/>
  <c r="BS18" i="10" s="1"/>
  <c r="BR12" i="6"/>
  <c r="BR18" i="10" s="1"/>
  <c r="BQ12" i="6"/>
  <c r="BQ18" i="10" s="1"/>
  <c r="BP12" i="6"/>
  <c r="BP18" i="10" s="1"/>
  <c r="BO12" i="6"/>
  <c r="BO18" i="10" s="1"/>
  <c r="BN12" i="6"/>
  <c r="BN18" i="10" s="1"/>
  <c r="BM12" i="6"/>
  <c r="BM18" i="10" s="1"/>
  <c r="BL12" i="6"/>
  <c r="BL18" i="10" s="1"/>
  <c r="BK12" i="6"/>
  <c r="BK18" i="10" s="1"/>
  <c r="BJ12" i="6"/>
  <c r="BJ18" i="10" s="1"/>
  <c r="BI12" i="6"/>
  <c r="BI18" i="10" s="1"/>
  <c r="BH12" i="6"/>
  <c r="BH18" i="10" s="1"/>
  <c r="BG12" i="6"/>
  <c r="BG18" i="10" s="1"/>
  <c r="BF12" i="6"/>
  <c r="BF18" i="10" s="1"/>
  <c r="BE12" i="6"/>
  <c r="BE18" i="10" s="1"/>
  <c r="BD12" i="6"/>
  <c r="BD18" i="10" s="1"/>
  <c r="BC12" i="6"/>
  <c r="BC18" i="10" s="1"/>
  <c r="BB12" i="6"/>
  <c r="BB18" i="10" s="1"/>
  <c r="BA12" i="6"/>
  <c r="BA18" i="10" s="1"/>
  <c r="AZ12" i="6"/>
  <c r="AZ18" i="10" s="1"/>
  <c r="AY12" i="6"/>
  <c r="AY18" i="10" s="1"/>
  <c r="AX12" i="6"/>
  <c r="AX18" i="10" s="1"/>
  <c r="AW12" i="6"/>
  <c r="AW18" i="10" s="1"/>
  <c r="AV12" i="6"/>
  <c r="AV18" i="10" s="1"/>
  <c r="AU12" i="6"/>
  <c r="AU18" i="10" s="1"/>
  <c r="AT12" i="6"/>
  <c r="AT18" i="10" s="1"/>
  <c r="AS12" i="6"/>
  <c r="AS18" i="10" s="1"/>
  <c r="AR12" i="6"/>
  <c r="AR18" i="10" s="1"/>
  <c r="AQ12" i="6"/>
  <c r="AQ18" i="10" s="1"/>
  <c r="AP12" i="6"/>
  <c r="AP18" i="10" s="1"/>
  <c r="AO12" i="6"/>
  <c r="AO18" i="10" s="1"/>
  <c r="AN12" i="6"/>
  <c r="AN18" i="10" s="1"/>
  <c r="AM12" i="6"/>
  <c r="AM18" i="10" s="1"/>
  <c r="AL12" i="6"/>
  <c r="AL18" i="10" s="1"/>
  <c r="AK12" i="6"/>
  <c r="AK18" i="10" s="1"/>
  <c r="AJ12" i="6"/>
  <c r="AJ18" i="10" s="1"/>
  <c r="AI12" i="6"/>
  <c r="AI18" i="10" s="1"/>
  <c r="AH12" i="6"/>
  <c r="AH18" i="10" s="1"/>
  <c r="AG12" i="6"/>
  <c r="AG18" i="10" s="1"/>
  <c r="AF12" i="6"/>
  <c r="AF18" i="10" s="1"/>
  <c r="AE12" i="6"/>
  <c r="AE18" i="10" s="1"/>
  <c r="AD12" i="6"/>
  <c r="AD18" i="10" s="1"/>
  <c r="AC12" i="6"/>
  <c r="AC18" i="10" s="1"/>
  <c r="AB12" i="6"/>
  <c r="AB18" i="10" s="1"/>
  <c r="AA12" i="6"/>
  <c r="AA18" i="10" s="1"/>
  <c r="Z12" i="6"/>
  <c r="Z18" i="10" s="1"/>
  <c r="Y12" i="6"/>
  <c r="Y18" i="10" s="1"/>
  <c r="X12" i="6"/>
  <c r="X18" i="10" s="1"/>
  <c r="W12" i="6"/>
  <c r="W18" i="10" s="1"/>
  <c r="V12" i="6"/>
  <c r="V18" i="10" s="1"/>
  <c r="U12" i="6"/>
  <c r="U18" i="10" s="1"/>
  <c r="T12" i="6"/>
  <c r="T18" i="10" s="1"/>
  <c r="S12" i="6"/>
  <c r="S18" i="10" s="1"/>
  <c r="R12" i="6"/>
  <c r="R18" i="10" s="1"/>
  <c r="Q12" i="6"/>
  <c r="Q18" i="10" s="1"/>
  <c r="P12" i="6"/>
  <c r="P18" i="10" s="1"/>
  <c r="O12" i="6"/>
  <c r="O18" i="10" s="1"/>
  <c r="N12" i="6"/>
  <c r="N18" i="10" s="1"/>
  <c r="M12" i="6"/>
  <c r="M18" i="10" s="1"/>
  <c r="L12" i="6"/>
  <c r="L18" i="10" s="1"/>
  <c r="K12" i="6"/>
  <c r="K18" i="10" s="1"/>
  <c r="J12" i="6"/>
  <c r="J18" i="10" s="1"/>
  <c r="I12" i="6"/>
  <c r="I18" i="10" s="1"/>
  <c r="H12" i="6"/>
  <c r="H18" i="10" s="1"/>
  <c r="G12" i="6"/>
  <c r="G18" i="10" s="1"/>
  <c r="F12" i="6"/>
  <c r="F18" i="10" s="1"/>
  <c r="E12" i="6"/>
  <c r="E18" i="10" s="1"/>
  <c r="D12" i="6"/>
  <c r="C12" i="6"/>
  <c r="B12" i="6"/>
  <c r="CK6" i="6"/>
  <c r="CJ6" i="6"/>
  <c r="CI6" i="6"/>
  <c r="CH6" i="6"/>
  <c r="CG6" i="6"/>
  <c r="CF6" i="6"/>
  <c r="CE6" i="6"/>
  <c r="CD6" i="6"/>
  <c r="CC6" i="6"/>
  <c r="CB6" i="6"/>
  <c r="CA6" i="6"/>
  <c r="BZ6" i="6"/>
  <c r="BZ15" i="6" s="1"/>
  <c r="BZ20" i="11" s="1"/>
  <c r="BZ21" i="11" s="1"/>
  <c r="BY6" i="6"/>
  <c r="BX6" i="6"/>
  <c r="BW6" i="6"/>
  <c r="BV6" i="6"/>
  <c r="BU6" i="6"/>
  <c r="BT6" i="6"/>
  <c r="BS6" i="6"/>
  <c r="BR6" i="6"/>
  <c r="BR15" i="6" s="1"/>
  <c r="BR20" i="11" s="1"/>
  <c r="BR21" i="11" s="1"/>
  <c r="BQ6" i="6"/>
  <c r="BP6" i="6"/>
  <c r="BO6" i="6"/>
  <c r="BN6" i="6"/>
  <c r="BM6" i="6"/>
  <c r="BL6" i="6"/>
  <c r="BK6" i="6"/>
  <c r="BJ6" i="6"/>
  <c r="BJ15" i="6" s="1"/>
  <c r="BJ20" i="11" s="1"/>
  <c r="BJ21" i="11" s="1"/>
  <c r="BI6" i="6"/>
  <c r="BH6" i="6"/>
  <c r="BG6" i="6"/>
  <c r="BF6" i="6"/>
  <c r="BE6" i="6"/>
  <c r="BD6" i="6"/>
  <c r="BC6" i="6"/>
  <c r="BB6" i="6"/>
  <c r="BB15" i="6" s="1"/>
  <c r="BB20" i="11" s="1"/>
  <c r="BB21" i="11" s="1"/>
  <c r="BA6" i="6"/>
  <c r="AZ6" i="6"/>
  <c r="AY6" i="6"/>
  <c r="AX6" i="6"/>
  <c r="AW6" i="6"/>
  <c r="AV6" i="6"/>
  <c r="AU6" i="6"/>
  <c r="AT6" i="6"/>
  <c r="AS6" i="6"/>
  <c r="AR6" i="6"/>
  <c r="AQ6" i="6"/>
  <c r="AP6" i="6"/>
  <c r="AO6" i="6"/>
  <c r="AN6" i="6"/>
  <c r="AM6" i="6"/>
  <c r="AL6" i="6"/>
  <c r="AK6" i="6"/>
  <c r="AJ6" i="6"/>
  <c r="AI6" i="6"/>
  <c r="AH6" i="6"/>
  <c r="AG6" i="6"/>
  <c r="AF6" i="6"/>
  <c r="AE6" i="6"/>
  <c r="AD6" i="6"/>
  <c r="AC6" i="6"/>
  <c r="AB6" i="6"/>
  <c r="AA6" i="6"/>
  <c r="Z6" i="6"/>
  <c r="Y6" i="6"/>
  <c r="X6" i="6"/>
  <c r="W6" i="6"/>
  <c r="V6" i="6"/>
  <c r="U6" i="6"/>
  <c r="T6" i="6"/>
  <c r="S6" i="6"/>
  <c r="R6" i="6"/>
  <c r="Q6" i="6"/>
  <c r="P6" i="6"/>
  <c r="O6" i="6"/>
  <c r="N6" i="6"/>
  <c r="M6" i="6"/>
  <c r="L6" i="6"/>
  <c r="K6" i="6"/>
  <c r="J6" i="6"/>
  <c r="I6" i="6"/>
  <c r="H6" i="6"/>
  <c r="G6" i="6"/>
  <c r="F6" i="6"/>
  <c r="E6" i="6"/>
  <c r="D6" i="6"/>
  <c r="D7" i="6" s="1"/>
  <c r="C6" i="6"/>
  <c r="C7" i="6" s="1"/>
  <c r="B6" i="6"/>
  <c r="B7" i="6" s="1"/>
  <c r="CL107" i="5"/>
  <c r="CK107" i="5"/>
  <c r="CK3" i="11" s="1"/>
  <c r="CJ107" i="5"/>
  <c r="CJ3" i="11" s="1"/>
  <c r="CI107" i="5"/>
  <c r="CI3" i="11" s="1"/>
  <c r="CH107" i="5"/>
  <c r="CH3" i="11" s="1"/>
  <c r="CG107" i="5"/>
  <c r="CG3" i="11" s="1"/>
  <c r="CF107" i="5"/>
  <c r="CF3" i="11" s="1"/>
  <c r="CE107" i="5"/>
  <c r="CE3" i="11" s="1"/>
  <c r="CD107" i="5"/>
  <c r="CD3" i="11" s="1"/>
  <c r="CC107" i="5"/>
  <c r="CC3" i="11" s="1"/>
  <c r="CB107" i="5"/>
  <c r="CB3" i="11" s="1"/>
  <c r="CA107" i="5"/>
  <c r="CA3" i="11" s="1"/>
  <c r="BZ107" i="5"/>
  <c r="BZ3" i="11" s="1"/>
  <c r="BY107" i="5"/>
  <c r="BY3" i="11" s="1"/>
  <c r="BX107" i="5"/>
  <c r="BX3" i="11" s="1"/>
  <c r="BW107" i="5"/>
  <c r="BW3" i="11" s="1"/>
  <c r="BV107" i="5"/>
  <c r="BV3" i="11" s="1"/>
  <c r="BU107" i="5"/>
  <c r="BU8" i="8" s="1"/>
  <c r="BT107" i="5"/>
  <c r="BT8" i="8" s="1"/>
  <c r="BS107" i="5"/>
  <c r="BS8" i="8" s="1"/>
  <c r="BR107" i="5"/>
  <c r="BR8" i="8" s="1"/>
  <c r="BQ107" i="5"/>
  <c r="BQ3" i="11" s="1"/>
  <c r="BP107" i="5"/>
  <c r="BP3" i="11" s="1"/>
  <c r="BO107" i="5"/>
  <c r="BO3" i="11" s="1"/>
  <c r="BN107" i="5"/>
  <c r="BN3" i="11" s="1"/>
  <c r="BM107" i="5"/>
  <c r="BM8" i="8" s="1"/>
  <c r="BL107" i="5"/>
  <c r="BL8" i="8" s="1"/>
  <c r="BK107" i="5"/>
  <c r="BK8" i="8" s="1"/>
  <c r="BJ107" i="5"/>
  <c r="BJ8" i="8" s="1"/>
  <c r="BI107" i="5"/>
  <c r="BI3" i="11" s="1"/>
  <c r="BH107" i="5"/>
  <c r="BH3" i="11" s="1"/>
  <c r="BG107" i="5"/>
  <c r="BG3" i="11" s="1"/>
  <c r="BF107" i="5"/>
  <c r="BF3" i="11" s="1"/>
  <c r="BE107" i="5"/>
  <c r="BE8" i="8" s="1"/>
  <c r="BD107" i="5"/>
  <c r="BD8" i="8" s="1"/>
  <c r="BC107" i="5"/>
  <c r="BC8" i="8" s="1"/>
  <c r="BB107" i="5"/>
  <c r="BB8" i="8" s="1"/>
  <c r="BA107" i="5"/>
  <c r="BA3" i="11" s="1"/>
  <c r="AZ107" i="5"/>
  <c r="AZ3" i="11" s="1"/>
  <c r="AY107" i="5"/>
  <c r="AY3" i="11" s="1"/>
  <c r="AX107" i="5"/>
  <c r="AX3" i="11" s="1"/>
  <c r="AW107" i="5"/>
  <c r="AW8" i="8" s="1"/>
  <c r="AV107" i="5"/>
  <c r="AV8" i="8" s="1"/>
  <c r="AU107" i="5"/>
  <c r="AU8" i="8" s="1"/>
  <c r="AT107" i="5"/>
  <c r="AT8" i="8" s="1"/>
  <c r="AS107" i="5"/>
  <c r="AS3" i="11" s="1"/>
  <c r="AR107" i="5"/>
  <c r="AR3" i="11" s="1"/>
  <c r="AQ107" i="5"/>
  <c r="AQ3" i="11" s="1"/>
  <c r="AP107" i="5"/>
  <c r="AP3" i="11" s="1"/>
  <c r="AO107" i="5"/>
  <c r="AO3" i="11" s="1"/>
  <c r="AN107" i="5"/>
  <c r="AN3" i="11" s="1"/>
  <c r="AM107" i="5"/>
  <c r="AM3" i="11" s="1"/>
  <c r="AL107" i="5"/>
  <c r="AL8" i="8" s="1"/>
  <c r="AK107" i="5"/>
  <c r="AK8" i="8" s="1"/>
  <c r="AJ107" i="5"/>
  <c r="AJ8" i="8" s="1"/>
  <c r="AI107" i="5"/>
  <c r="AI3" i="11" s="1"/>
  <c r="AH107" i="5"/>
  <c r="AH3" i="11" s="1"/>
  <c r="AG107" i="5"/>
  <c r="AG3" i="11" s="1"/>
  <c r="AF107" i="5"/>
  <c r="AF3" i="11" s="1"/>
  <c r="AE107" i="5"/>
  <c r="AE3" i="11" s="1"/>
  <c r="AD107" i="5"/>
  <c r="AD8" i="8" s="1"/>
  <c r="AC107" i="5"/>
  <c r="AC8" i="8" s="1"/>
  <c r="AB107" i="5"/>
  <c r="AB8" i="8" s="1"/>
  <c r="AA107" i="5"/>
  <c r="AA3" i="11" s="1"/>
  <c r="Z107" i="5"/>
  <c r="Z3" i="11" s="1"/>
  <c r="Y107" i="5"/>
  <c r="Y3" i="11" s="1"/>
  <c r="X107" i="5"/>
  <c r="X3" i="11" s="1"/>
  <c r="W107" i="5"/>
  <c r="W3" i="11" s="1"/>
  <c r="V107" i="5"/>
  <c r="V8" i="8" s="1"/>
  <c r="U107" i="5"/>
  <c r="U8" i="8" s="1"/>
  <c r="T107" i="5"/>
  <c r="T8" i="8" s="1"/>
  <c r="S107" i="5"/>
  <c r="S3" i="11" s="1"/>
  <c r="R107" i="5"/>
  <c r="R3" i="11" s="1"/>
  <c r="Q107" i="5"/>
  <c r="Q3" i="11" s="1"/>
  <c r="P107" i="5"/>
  <c r="P3" i="11" s="1"/>
  <c r="O107" i="5"/>
  <c r="O3" i="11" s="1"/>
  <c r="N107" i="5"/>
  <c r="N8" i="8" s="1"/>
  <c r="M107" i="5"/>
  <c r="M8" i="8" s="1"/>
  <c r="L107" i="5"/>
  <c r="L8" i="8" s="1"/>
  <c r="K107" i="5"/>
  <c r="K3" i="11" s="1"/>
  <c r="J107" i="5"/>
  <c r="J3" i="11" s="1"/>
  <c r="I107" i="5"/>
  <c r="I3" i="11" s="1"/>
  <c r="H107" i="5"/>
  <c r="H3" i="11" s="1"/>
  <c r="G107" i="5"/>
  <c r="G3" i="11" s="1"/>
  <c r="F107" i="5"/>
  <c r="F8" i="8" s="1"/>
  <c r="E107" i="5"/>
  <c r="D107" i="5"/>
  <c r="C107" i="5"/>
  <c r="B107" i="5"/>
  <c r="D89" i="5"/>
  <c r="C89" i="5"/>
  <c r="B89" i="5"/>
  <c r="CK81" i="5"/>
  <c r="CK11" i="9" s="1"/>
  <c r="CJ81" i="5"/>
  <c r="CJ11" i="9" s="1"/>
  <c r="CI81" i="5"/>
  <c r="CI11" i="9" s="1"/>
  <c r="CH81" i="5"/>
  <c r="CH11" i="9" s="1"/>
  <c r="CG81" i="5"/>
  <c r="CG11" i="9" s="1"/>
  <c r="CF81" i="5"/>
  <c r="CF11" i="9" s="1"/>
  <c r="CE81" i="5"/>
  <c r="CE11" i="9" s="1"/>
  <c r="CD81" i="5"/>
  <c r="CD11" i="9" s="1"/>
  <c r="CC81" i="5"/>
  <c r="CC11" i="9" s="1"/>
  <c r="CB81" i="5"/>
  <c r="CB11" i="9" s="1"/>
  <c r="CA81" i="5"/>
  <c r="CA11" i="9" s="1"/>
  <c r="BZ81" i="5"/>
  <c r="BZ11" i="9" s="1"/>
  <c r="BY81" i="5"/>
  <c r="BY11" i="9" s="1"/>
  <c r="BX81" i="5"/>
  <c r="BX11" i="9" s="1"/>
  <c r="BW81" i="5"/>
  <c r="BW11" i="9" s="1"/>
  <c r="BV81" i="5"/>
  <c r="BV11" i="9" s="1"/>
  <c r="BU81" i="5"/>
  <c r="BU11" i="9" s="1"/>
  <c r="BT81" i="5"/>
  <c r="BT11" i="9" s="1"/>
  <c r="BS81" i="5"/>
  <c r="BS11" i="9" s="1"/>
  <c r="BR81" i="5"/>
  <c r="BR11" i="9" s="1"/>
  <c r="BQ81" i="5"/>
  <c r="BQ11" i="9" s="1"/>
  <c r="BP81" i="5"/>
  <c r="BP11" i="9" s="1"/>
  <c r="BO81" i="5"/>
  <c r="BO11" i="9" s="1"/>
  <c r="BN81" i="5"/>
  <c r="BN11" i="9" s="1"/>
  <c r="BM81" i="5"/>
  <c r="BM11" i="9" s="1"/>
  <c r="BL81" i="5"/>
  <c r="BL11" i="9" s="1"/>
  <c r="BK81" i="5"/>
  <c r="BK11" i="9" s="1"/>
  <c r="BJ81" i="5"/>
  <c r="BJ11" i="9" s="1"/>
  <c r="BI81" i="5"/>
  <c r="BI11" i="9" s="1"/>
  <c r="BH81" i="5"/>
  <c r="BH11" i="9" s="1"/>
  <c r="BG81" i="5"/>
  <c r="BG11" i="9" s="1"/>
  <c r="BF81" i="5"/>
  <c r="BF11" i="9" s="1"/>
  <c r="BE81" i="5"/>
  <c r="BE11" i="9" s="1"/>
  <c r="BD81" i="5"/>
  <c r="BD11" i="9" s="1"/>
  <c r="BC81" i="5"/>
  <c r="BC11" i="9" s="1"/>
  <c r="BB81" i="5"/>
  <c r="BB11" i="9" s="1"/>
  <c r="BA81" i="5"/>
  <c r="BA11" i="9" s="1"/>
  <c r="AZ81" i="5"/>
  <c r="AZ11" i="9" s="1"/>
  <c r="AY81" i="5"/>
  <c r="AY11" i="9" s="1"/>
  <c r="AX81" i="5"/>
  <c r="AX11" i="9" s="1"/>
  <c r="AW81" i="5"/>
  <c r="AW11" i="9" s="1"/>
  <c r="AV81" i="5"/>
  <c r="AV11" i="9" s="1"/>
  <c r="AU81" i="5"/>
  <c r="AU11" i="9" s="1"/>
  <c r="AT81" i="5"/>
  <c r="AT11" i="9" s="1"/>
  <c r="AS81" i="5"/>
  <c r="AS11" i="9" s="1"/>
  <c r="AR81" i="5"/>
  <c r="AR11" i="9" s="1"/>
  <c r="AQ81" i="5"/>
  <c r="AQ11" i="9" s="1"/>
  <c r="AP81" i="5"/>
  <c r="AP11" i="9" s="1"/>
  <c r="AO81" i="5"/>
  <c r="AO11" i="9" s="1"/>
  <c r="AN81" i="5"/>
  <c r="AN11" i="9" s="1"/>
  <c r="AM81" i="5"/>
  <c r="AM11" i="9" s="1"/>
  <c r="AL81" i="5"/>
  <c r="AL11" i="9" s="1"/>
  <c r="AK81" i="5"/>
  <c r="AK11" i="9" s="1"/>
  <c r="AJ81" i="5"/>
  <c r="AJ11" i="9" s="1"/>
  <c r="AI81" i="5"/>
  <c r="AI11" i="9" s="1"/>
  <c r="AH81" i="5"/>
  <c r="AH11" i="9" s="1"/>
  <c r="AG81" i="5"/>
  <c r="AG11" i="9" s="1"/>
  <c r="AF81" i="5"/>
  <c r="AF11" i="9" s="1"/>
  <c r="AE81" i="5"/>
  <c r="AE11" i="9" s="1"/>
  <c r="AD81" i="5"/>
  <c r="AD11" i="9" s="1"/>
  <c r="AC81" i="5"/>
  <c r="AC11" i="9" s="1"/>
  <c r="AB81" i="5"/>
  <c r="AB11" i="9" s="1"/>
  <c r="AA81" i="5"/>
  <c r="AA11" i="9" s="1"/>
  <c r="Z81" i="5"/>
  <c r="Z11" i="9" s="1"/>
  <c r="Y81" i="5"/>
  <c r="Y11" i="9" s="1"/>
  <c r="X81" i="5"/>
  <c r="X11" i="9" s="1"/>
  <c r="W81" i="5"/>
  <c r="W11" i="9" s="1"/>
  <c r="V81" i="5"/>
  <c r="V11" i="9" s="1"/>
  <c r="U81" i="5"/>
  <c r="U11" i="9" s="1"/>
  <c r="U81" i="9" s="1"/>
  <c r="T81" i="5"/>
  <c r="T11" i="9" s="1"/>
  <c r="T81" i="9" s="1"/>
  <c r="S81" i="5"/>
  <c r="S11" i="9" s="1"/>
  <c r="S81" i="9" s="1"/>
  <c r="R81" i="5"/>
  <c r="R11" i="9" s="1"/>
  <c r="R81" i="9" s="1"/>
  <c r="Q81" i="5"/>
  <c r="Q11" i="9" s="1"/>
  <c r="Q81" i="9" s="1"/>
  <c r="P81" i="5"/>
  <c r="P11" i="9" s="1"/>
  <c r="P81" i="9" s="1"/>
  <c r="O81" i="5"/>
  <c r="O11" i="9" s="1"/>
  <c r="O81" i="9" s="1"/>
  <c r="N81" i="5"/>
  <c r="N11" i="9" s="1"/>
  <c r="N81" i="9" s="1"/>
  <c r="M81" i="5"/>
  <c r="M11" i="9" s="1"/>
  <c r="L81" i="5"/>
  <c r="L11" i="9" s="1"/>
  <c r="K81" i="5"/>
  <c r="K11" i="9" s="1"/>
  <c r="J81" i="5"/>
  <c r="J11" i="9" s="1"/>
  <c r="I81" i="5"/>
  <c r="I11" i="9" s="1"/>
  <c r="H81" i="5"/>
  <c r="H11" i="9" s="1"/>
  <c r="G81" i="5"/>
  <c r="G11" i="9" s="1"/>
  <c r="F81" i="5"/>
  <c r="F11" i="9" s="1"/>
  <c r="E81" i="5"/>
  <c r="E11" i="9" s="1"/>
  <c r="CL72" i="5"/>
  <c r="CK72" i="5"/>
  <c r="CK10" i="9" s="1"/>
  <c r="CJ72" i="5"/>
  <c r="CJ10" i="9" s="1"/>
  <c r="CI72" i="5"/>
  <c r="CI10" i="9" s="1"/>
  <c r="CH72" i="5"/>
  <c r="CH10" i="9" s="1"/>
  <c r="CG72" i="5"/>
  <c r="CG10" i="9" s="1"/>
  <c r="CF72" i="5"/>
  <c r="CF10" i="9" s="1"/>
  <c r="CE72" i="5"/>
  <c r="CE10" i="9" s="1"/>
  <c r="CD72" i="5"/>
  <c r="CC72" i="5"/>
  <c r="CC10" i="9" s="1"/>
  <c r="CB72" i="5"/>
  <c r="CB10" i="9" s="1"/>
  <c r="CA72" i="5"/>
  <c r="CA10" i="9" s="1"/>
  <c r="BZ72" i="5"/>
  <c r="BZ10" i="9" s="1"/>
  <c r="BY72" i="5"/>
  <c r="BY10" i="9" s="1"/>
  <c r="BX72" i="5"/>
  <c r="BX10" i="9" s="1"/>
  <c r="BW72" i="5"/>
  <c r="BW10" i="9" s="1"/>
  <c r="BV72" i="5"/>
  <c r="BU72" i="5"/>
  <c r="BU10" i="9" s="1"/>
  <c r="BT72" i="5"/>
  <c r="BT10" i="9" s="1"/>
  <c r="BS72" i="5"/>
  <c r="BS10" i="9" s="1"/>
  <c r="BR72" i="5"/>
  <c r="BR10" i="9" s="1"/>
  <c r="BQ72" i="5"/>
  <c r="BQ10" i="9" s="1"/>
  <c r="BP72" i="5"/>
  <c r="BP10" i="9" s="1"/>
  <c r="BO72" i="5"/>
  <c r="BO10" i="9" s="1"/>
  <c r="BN72" i="5"/>
  <c r="BM72" i="5"/>
  <c r="BM10" i="9" s="1"/>
  <c r="BL72" i="5"/>
  <c r="BL10" i="9" s="1"/>
  <c r="BK72" i="5"/>
  <c r="BK10" i="9" s="1"/>
  <c r="BJ72" i="5"/>
  <c r="BJ10" i="9" s="1"/>
  <c r="BI72" i="5"/>
  <c r="BI10" i="9" s="1"/>
  <c r="BH72" i="5"/>
  <c r="BH10" i="9" s="1"/>
  <c r="BG72" i="5"/>
  <c r="BG10" i="9" s="1"/>
  <c r="BF72" i="5"/>
  <c r="BE72" i="5"/>
  <c r="BE10" i="9" s="1"/>
  <c r="BD72" i="5"/>
  <c r="BD10" i="9" s="1"/>
  <c r="BC72" i="5"/>
  <c r="BC10" i="9" s="1"/>
  <c r="BB72" i="5"/>
  <c r="BB10" i="9" s="1"/>
  <c r="BA72" i="5"/>
  <c r="BA10" i="9" s="1"/>
  <c r="AZ72" i="5"/>
  <c r="AZ10" i="9" s="1"/>
  <c r="AY72" i="5"/>
  <c r="AY10" i="9" s="1"/>
  <c r="AX72" i="5"/>
  <c r="AW72" i="5"/>
  <c r="AW10" i="9" s="1"/>
  <c r="AV72" i="5"/>
  <c r="AV10" i="9" s="1"/>
  <c r="AU72" i="5"/>
  <c r="AU10" i="9" s="1"/>
  <c r="AT72" i="5"/>
  <c r="AT10" i="9" s="1"/>
  <c r="AS72" i="5"/>
  <c r="AS10" i="9" s="1"/>
  <c r="AR72" i="5"/>
  <c r="AR10" i="9" s="1"/>
  <c r="AQ72" i="5"/>
  <c r="AQ10" i="9" s="1"/>
  <c r="AP72" i="5"/>
  <c r="AO72" i="5"/>
  <c r="AO10" i="9" s="1"/>
  <c r="AN72" i="5"/>
  <c r="AN10" i="9" s="1"/>
  <c r="AM72" i="5"/>
  <c r="AM10" i="9" s="1"/>
  <c r="AL72" i="5"/>
  <c r="AL10" i="9" s="1"/>
  <c r="AK72" i="5"/>
  <c r="AK10" i="9" s="1"/>
  <c r="AJ72" i="5"/>
  <c r="AJ10" i="9" s="1"/>
  <c r="AI72" i="5"/>
  <c r="AI10" i="9" s="1"/>
  <c r="AH72" i="5"/>
  <c r="AG72" i="5"/>
  <c r="AG10" i="9" s="1"/>
  <c r="AF72" i="5"/>
  <c r="AF10" i="9" s="1"/>
  <c r="AE72" i="5"/>
  <c r="AE10" i="9" s="1"/>
  <c r="AD72" i="5"/>
  <c r="AD10" i="9" s="1"/>
  <c r="AC72" i="5"/>
  <c r="AC10" i="9" s="1"/>
  <c r="AB72" i="5"/>
  <c r="AB10" i="9" s="1"/>
  <c r="AA72" i="5"/>
  <c r="AA10" i="9" s="1"/>
  <c r="Z72" i="5"/>
  <c r="Y72" i="5"/>
  <c r="Y10" i="9" s="1"/>
  <c r="X72" i="5"/>
  <c r="X10" i="9" s="1"/>
  <c r="W72" i="5"/>
  <c r="W10" i="9" s="1"/>
  <c r="V72" i="5"/>
  <c r="V10" i="9" s="1"/>
  <c r="U72" i="5"/>
  <c r="U10" i="9" s="1"/>
  <c r="U78" i="9" s="1"/>
  <c r="U79" i="9" s="1"/>
  <c r="T72" i="5"/>
  <c r="T10" i="9" s="1"/>
  <c r="T78" i="9" s="1"/>
  <c r="T79" i="9" s="1"/>
  <c r="S72" i="5"/>
  <c r="S10" i="9" s="1"/>
  <c r="S78" i="9" s="1"/>
  <c r="S79" i="9" s="1"/>
  <c r="R72" i="5"/>
  <c r="Q72" i="5"/>
  <c r="Q10" i="9" s="1"/>
  <c r="Q78" i="9" s="1"/>
  <c r="Q79" i="9" s="1"/>
  <c r="P72" i="5"/>
  <c r="P10" i="9" s="1"/>
  <c r="P78" i="9" s="1"/>
  <c r="P79" i="9" s="1"/>
  <c r="O72" i="5"/>
  <c r="O10" i="9" s="1"/>
  <c r="O78" i="9" s="1"/>
  <c r="O79" i="9" s="1"/>
  <c r="N72" i="5"/>
  <c r="N10" i="9" s="1"/>
  <c r="N78" i="9" s="1"/>
  <c r="N79" i="9" s="1"/>
  <c r="M72" i="5"/>
  <c r="L72" i="5"/>
  <c r="L10" i="9" s="1"/>
  <c r="K72" i="5"/>
  <c r="K10" i="9" s="1"/>
  <c r="J72" i="5"/>
  <c r="I72" i="5"/>
  <c r="H72" i="5"/>
  <c r="H10" i="9" s="1"/>
  <c r="G72" i="5"/>
  <c r="G10" i="9" s="1"/>
  <c r="F72" i="5"/>
  <c r="F10" i="9" s="1"/>
  <c r="E72" i="5"/>
  <c r="CL70" i="5"/>
  <c r="CL9" i="9" s="1"/>
  <c r="CL69" i="5"/>
  <c r="CL8" i="9" s="1"/>
  <c r="CK68" i="5"/>
  <c r="CJ68" i="5"/>
  <c r="CI68" i="5"/>
  <c r="CH68" i="5"/>
  <c r="CG68" i="5"/>
  <c r="CF68" i="5"/>
  <c r="CE68" i="5"/>
  <c r="CD68" i="5"/>
  <c r="CC68" i="5"/>
  <c r="CB68" i="5"/>
  <c r="CA68" i="5"/>
  <c r="BZ68" i="5"/>
  <c r="BY68" i="5"/>
  <c r="BX68" i="5"/>
  <c r="BW68" i="5"/>
  <c r="BV68" i="5"/>
  <c r="BU68" i="5"/>
  <c r="BT68" i="5"/>
  <c r="BS68" i="5"/>
  <c r="BR68" i="5"/>
  <c r="BQ68" i="5"/>
  <c r="BP68" i="5"/>
  <c r="BO68" i="5"/>
  <c r="BN68" i="5"/>
  <c r="BM68" i="5"/>
  <c r="BL68" i="5"/>
  <c r="BK68" i="5"/>
  <c r="BJ68" i="5"/>
  <c r="BI68" i="5"/>
  <c r="BH68" i="5"/>
  <c r="BG68" i="5"/>
  <c r="BF68" i="5"/>
  <c r="BE68" i="5"/>
  <c r="BD68" i="5"/>
  <c r="BC68" i="5"/>
  <c r="BB68" i="5"/>
  <c r="BA68" i="5"/>
  <c r="AZ68" i="5"/>
  <c r="AY68" i="5"/>
  <c r="AX68" i="5"/>
  <c r="AW68" i="5"/>
  <c r="AV68" i="5"/>
  <c r="AU68" i="5"/>
  <c r="AT68" i="5"/>
  <c r="AS68" i="5"/>
  <c r="AR68" i="5"/>
  <c r="AQ68" i="5"/>
  <c r="AP68" i="5"/>
  <c r="AO68" i="5"/>
  <c r="AN68" i="5"/>
  <c r="AM68" i="5"/>
  <c r="AL68" i="5"/>
  <c r="AK68" i="5"/>
  <c r="AJ68" i="5"/>
  <c r="AI68" i="5"/>
  <c r="AH68" i="5"/>
  <c r="AG68" i="5"/>
  <c r="AF68" i="5"/>
  <c r="AE68" i="5"/>
  <c r="AD68" i="5"/>
  <c r="AC68" i="5"/>
  <c r="AB68" i="5"/>
  <c r="AA68" i="5"/>
  <c r="Z68" i="5"/>
  <c r="Y68" i="5"/>
  <c r="X68" i="5"/>
  <c r="W68" i="5"/>
  <c r="V68" i="5"/>
  <c r="U68" i="5"/>
  <c r="T68" i="5"/>
  <c r="S68" i="5"/>
  <c r="R68" i="5"/>
  <c r="Q68" i="5"/>
  <c r="P68" i="5"/>
  <c r="O68" i="5"/>
  <c r="N68" i="5"/>
  <c r="M68" i="5"/>
  <c r="L68" i="5"/>
  <c r="K68" i="5"/>
  <c r="J68" i="5"/>
  <c r="I68" i="5"/>
  <c r="H68" i="5"/>
  <c r="G68" i="5"/>
  <c r="F68" i="5"/>
  <c r="E68" i="5"/>
  <c r="D68" i="5"/>
  <c r="C68" i="5"/>
  <c r="B68" i="5"/>
  <c r="CK49" i="5"/>
  <c r="CK6" i="9" s="1"/>
  <c r="CK31" i="9" s="1"/>
  <c r="CJ49" i="5"/>
  <c r="CJ6" i="9" s="1"/>
  <c r="CJ31" i="9" s="1"/>
  <c r="CI49" i="5"/>
  <c r="CI6" i="9" s="1"/>
  <c r="CI31" i="9" s="1"/>
  <c r="CH49" i="5"/>
  <c r="CH6" i="9" s="1"/>
  <c r="CG49" i="5"/>
  <c r="CG6" i="9" s="1"/>
  <c r="CF49" i="5"/>
  <c r="CF6" i="9" s="1"/>
  <c r="CE49" i="5"/>
  <c r="CE6" i="9" s="1"/>
  <c r="CD49" i="5"/>
  <c r="CD6" i="9" s="1"/>
  <c r="CC49" i="5"/>
  <c r="CC6" i="9" s="1"/>
  <c r="CB49" i="5"/>
  <c r="CB6" i="9" s="1"/>
  <c r="CA49" i="5"/>
  <c r="CA6" i="9" s="1"/>
  <c r="BZ49" i="5"/>
  <c r="BZ6" i="9" s="1"/>
  <c r="BY49" i="5"/>
  <c r="BY6" i="9" s="1"/>
  <c r="BX49" i="5"/>
  <c r="BX6" i="9" s="1"/>
  <c r="BW49" i="5"/>
  <c r="BW6" i="9" s="1"/>
  <c r="BV49" i="5"/>
  <c r="BV6" i="9" s="1"/>
  <c r="BU49" i="5"/>
  <c r="BU6" i="9" s="1"/>
  <c r="BT49" i="5"/>
  <c r="BT6" i="9" s="1"/>
  <c r="BS49" i="5"/>
  <c r="BS6" i="9" s="1"/>
  <c r="BR49" i="5"/>
  <c r="BR6" i="9" s="1"/>
  <c r="BQ49" i="5"/>
  <c r="BQ6" i="9" s="1"/>
  <c r="BP49" i="5"/>
  <c r="BP6" i="9" s="1"/>
  <c r="BO49" i="5"/>
  <c r="BO6" i="9" s="1"/>
  <c r="BN49" i="5"/>
  <c r="BN6" i="9" s="1"/>
  <c r="BM49" i="5"/>
  <c r="BM6" i="9" s="1"/>
  <c r="BL49" i="5"/>
  <c r="BL6" i="9" s="1"/>
  <c r="BK49" i="5"/>
  <c r="BK6" i="9" s="1"/>
  <c r="BJ49" i="5"/>
  <c r="BJ6" i="9" s="1"/>
  <c r="BI49" i="5"/>
  <c r="BI6" i="9" s="1"/>
  <c r="BH49" i="5"/>
  <c r="BH6" i="9" s="1"/>
  <c r="BG49" i="5"/>
  <c r="BG6" i="9" s="1"/>
  <c r="BF49" i="5"/>
  <c r="BF6" i="9" s="1"/>
  <c r="BE49" i="5"/>
  <c r="BE6" i="9" s="1"/>
  <c r="BD49" i="5"/>
  <c r="BD6" i="9" s="1"/>
  <c r="BC49" i="5"/>
  <c r="BC6" i="9" s="1"/>
  <c r="BB49" i="5"/>
  <c r="BB6" i="9" s="1"/>
  <c r="BA49" i="5"/>
  <c r="BA6" i="9" s="1"/>
  <c r="AZ49" i="5"/>
  <c r="AZ6" i="9" s="1"/>
  <c r="AY49" i="5"/>
  <c r="AY6" i="9" s="1"/>
  <c r="AX49" i="5"/>
  <c r="AX6" i="9" s="1"/>
  <c r="AW49" i="5"/>
  <c r="AW6" i="9" s="1"/>
  <c r="AV49" i="5"/>
  <c r="AV6" i="9" s="1"/>
  <c r="AU49" i="5"/>
  <c r="AU6" i="9" s="1"/>
  <c r="AT49" i="5"/>
  <c r="AT6" i="9" s="1"/>
  <c r="AS49" i="5"/>
  <c r="AS6" i="9" s="1"/>
  <c r="AR49" i="5"/>
  <c r="AR6" i="9" s="1"/>
  <c r="AQ49" i="5"/>
  <c r="AQ6" i="9" s="1"/>
  <c r="AP49" i="5"/>
  <c r="AP6" i="9" s="1"/>
  <c r="AO49" i="5"/>
  <c r="AO6" i="9" s="1"/>
  <c r="AN49" i="5"/>
  <c r="AN6" i="9" s="1"/>
  <c r="AM49" i="5"/>
  <c r="AM6" i="9" s="1"/>
  <c r="AL49" i="5"/>
  <c r="AL6" i="9" s="1"/>
  <c r="AK49" i="5"/>
  <c r="AK6" i="9" s="1"/>
  <c r="AJ49" i="5"/>
  <c r="AJ6" i="9" s="1"/>
  <c r="AI49" i="5"/>
  <c r="AI6" i="9" s="1"/>
  <c r="AH49" i="5"/>
  <c r="AH6" i="9" s="1"/>
  <c r="AG49" i="5"/>
  <c r="AG6" i="9" s="1"/>
  <c r="AF49" i="5"/>
  <c r="AF6" i="9" s="1"/>
  <c r="AE49" i="5"/>
  <c r="AE6" i="9" s="1"/>
  <c r="AD49" i="5"/>
  <c r="AD6" i="9" s="1"/>
  <c r="AC49" i="5"/>
  <c r="AC6" i="9" s="1"/>
  <c r="AB49" i="5"/>
  <c r="AB6" i="9" s="1"/>
  <c r="AA49" i="5"/>
  <c r="AA6" i="9" s="1"/>
  <c r="Z49" i="5"/>
  <c r="Z6" i="9" s="1"/>
  <c r="Y49" i="5"/>
  <c r="Y6" i="9" s="1"/>
  <c r="X49" i="5"/>
  <c r="X6" i="9" s="1"/>
  <c r="W49" i="5"/>
  <c r="W6" i="9" s="1"/>
  <c r="V49" i="5"/>
  <c r="V6" i="9" s="1"/>
  <c r="U49" i="5"/>
  <c r="U6" i="9" s="1"/>
  <c r="T49" i="5"/>
  <c r="T6" i="9" s="1"/>
  <c r="S49" i="5"/>
  <c r="S6" i="9" s="1"/>
  <c r="R49" i="5"/>
  <c r="R6" i="9" s="1"/>
  <c r="Q49" i="5"/>
  <c r="Q6" i="9" s="1"/>
  <c r="P49" i="5"/>
  <c r="P6" i="9" s="1"/>
  <c r="O49" i="5"/>
  <c r="O6" i="9" s="1"/>
  <c r="N49" i="5"/>
  <c r="N6" i="9" s="1"/>
  <c r="M49" i="5"/>
  <c r="M6" i="9" s="1"/>
  <c r="L49" i="5"/>
  <c r="L6" i="9" s="1"/>
  <c r="K49" i="5"/>
  <c r="K6" i="9" s="1"/>
  <c r="J49" i="5"/>
  <c r="J6" i="9" s="1"/>
  <c r="I49" i="5"/>
  <c r="I6" i="9" s="1"/>
  <c r="H49" i="5"/>
  <c r="H6" i="9" s="1"/>
  <c r="G49" i="5"/>
  <c r="G6" i="9" s="1"/>
  <c r="F49" i="5"/>
  <c r="F6" i="9" s="1"/>
  <c r="E49" i="5"/>
  <c r="E6" i="9" s="1"/>
  <c r="D49" i="5"/>
  <c r="C49" i="5"/>
  <c r="B49" i="5"/>
  <c r="CK33" i="5"/>
  <c r="CK5" i="9" s="1"/>
  <c r="CK30" i="9" s="1"/>
  <c r="CJ33" i="5"/>
  <c r="CJ5" i="9" s="1"/>
  <c r="CJ30" i="9" s="1"/>
  <c r="CI33" i="5"/>
  <c r="CI5" i="9" s="1"/>
  <c r="CI30" i="9" s="1"/>
  <c r="CH33" i="5"/>
  <c r="CH5" i="9" s="1"/>
  <c r="CG33" i="5"/>
  <c r="CG5" i="9" s="1"/>
  <c r="CF33" i="5"/>
  <c r="CF5" i="9" s="1"/>
  <c r="CE33" i="5"/>
  <c r="CE5" i="9" s="1"/>
  <c r="CD33" i="5"/>
  <c r="CD5" i="9" s="1"/>
  <c r="CC33" i="5"/>
  <c r="CC5" i="9" s="1"/>
  <c r="CB33" i="5"/>
  <c r="CB5" i="9" s="1"/>
  <c r="CA33" i="5"/>
  <c r="CA5" i="9" s="1"/>
  <c r="BZ33" i="5"/>
  <c r="BZ5" i="9" s="1"/>
  <c r="BY33" i="5"/>
  <c r="BY5" i="9" s="1"/>
  <c r="BX33" i="5"/>
  <c r="BX5" i="9" s="1"/>
  <c r="BW33" i="5"/>
  <c r="BW5" i="9" s="1"/>
  <c r="BV33" i="5"/>
  <c r="BV5" i="9" s="1"/>
  <c r="BU33" i="5"/>
  <c r="BU5" i="9" s="1"/>
  <c r="BT33" i="5"/>
  <c r="BT5" i="9" s="1"/>
  <c r="BS33" i="5"/>
  <c r="BS5" i="9" s="1"/>
  <c r="BR33" i="5"/>
  <c r="BR5" i="9" s="1"/>
  <c r="BQ33" i="5"/>
  <c r="BQ5" i="9" s="1"/>
  <c r="BP33" i="5"/>
  <c r="BP5" i="9" s="1"/>
  <c r="BO33" i="5"/>
  <c r="BO5" i="9" s="1"/>
  <c r="BN33" i="5"/>
  <c r="BN5" i="9" s="1"/>
  <c r="BM33" i="5"/>
  <c r="BM5" i="9" s="1"/>
  <c r="BL33" i="5"/>
  <c r="BL5" i="9" s="1"/>
  <c r="BK33" i="5"/>
  <c r="BK5" i="9" s="1"/>
  <c r="BJ33" i="5"/>
  <c r="BJ5" i="9" s="1"/>
  <c r="BI33" i="5"/>
  <c r="BI5" i="9" s="1"/>
  <c r="BH33" i="5"/>
  <c r="BH5" i="9" s="1"/>
  <c r="BG33" i="5"/>
  <c r="BG5" i="9" s="1"/>
  <c r="BF33" i="5"/>
  <c r="BF5" i="9" s="1"/>
  <c r="BE33" i="5"/>
  <c r="BE5" i="9" s="1"/>
  <c r="BD33" i="5"/>
  <c r="BD5" i="9" s="1"/>
  <c r="BC33" i="5"/>
  <c r="BC5" i="9" s="1"/>
  <c r="BB33" i="5"/>
  <c r="BB5" i="9" s="1"/>
  <c r="BA33" i="5"/>
  <c r="BA5" i="9" s="1"/>
  <c r="AZ33" i="5"/>
  <c r="AZ5" i="9" s="1"/>
  <c r="AY33" i="5"/>
  <c r="AY5" i="9" s="1"/>
  <c r="AX33" i="5"/>
  <c r="AX5" i="9" s="1"/>
  <c r="AW33" i="5"/>
  <c r="AW5" i="9" s="1"/>
  <c r="AV33" i="5"/>
  <c r="AV5" i="9" s="1"/>
  <c r="AU33" i="5"/>
  <c r="AU5" i="9" s="1"/>
  <c r="AT33" i="5"/>
  <c r="AT5" i="9" s="1"/>
  <c r="AS33" i="5"/>
  <c r="AS5" i="9" s="1"/>
  <c r="AR33" i="5"/>
  <c r="AR5" i="9" s="1"/>
  <c r="AQ33" i="5"/>
  <c r="AQ5" i="9" s="1"/>
  <c r="AP33" i="5"/>
  <c r="AP5" i="9" s="1"/>
  <c r="AO33" i="5"/>
  <c r="AO5" i="9" s="1"/>
  <c r="AN33" i="5"/>
  <c r="AN5" i="9" s="1"/>
  <c r="AM33" i="5"/>
  <c r="AM5" i="9" s="1"/>
  <c r="AL33" i="5"/>
  <c r="AL5" i="9" s="1"/>
  <c r="AK33" i="5"/>
  <c r="AK5" i="9" s="1"/>
  <c r="AJ33" i="5"/>
  <c r="AJ5" i="9" s="1"/>
  <c r="AI33" i="5"/>
  <c r="AI5" i="9" s="1"/>
  <c r="AH33" i="5"/>
  <c r="AH5" i="9" s="1"/>
  <c r="AG33" i="5"/>
  <c r="AG5" i="9" s="1"/>
  <c r="AF33" i="5"/>
  <c r="AF5" i="9" s="1"/>
  <c r="AE33" i="5"/>
  <c r="AE5" i="9" s="1"/>
  <c r="AD33" i="5"/>
  <c r="AD5" i="9" s="1"/>
  <c r="AC33" i="5"/>
  <c r="AC5" i="9" s="1"/>
  <c r="AB33" i="5"/>
  <c r="AB5" i="9" s="1"/>
  <c r="AA33" i="5"/>
  <c r="AA5" i="9" s="1"/>
  <c r="Z33" i="5"/>
  <c r="Z5" i="9" s="1"/>
  <c r="Y33" i="5"/>
  <c r="Y5" i="9" s="1"/>
  <c r="X33" i="5"/>
  <c r="X5" i="9" s="1"/>
  <c r="W33" i="5"/>
  <c r="W5" i="9" s="1"/>
  <c r="V33" i="5"/>
  <c r="V5" i="9" s="1"/>
  <c r="U33" i="5"/>
  <c r="U5" i="9" s="1"/>
  <c r="T33" i="5"/>
  <c r="T5" i="9" s="1"/>
  <c r="S33" i="5"/>
  <c r="S5" i="9" s="1"/>
  <c r="R33" i="5"/>
  <c r="R5" i="9" s="1"/>
  <c r="Q33" i="5"/>
  <c r="Q5" i="9" s="1"/>
  <c r="P33" i="5"/>
  <c r="P5" i="9" s="1"/>
  <c r="O33" i="5"/>
  <c r="O5" i="9" s="1"/>
  <c r="N33" i="5"/>
  <c r="N5" i="9" s="1"/>
  <c r="M33" i="5"/>
  <c r="M5" i="9" s="1"/>
  <c r="L33" i="5"/>
  <c r="L5" i="9" s="1"/>
  <c r="K33" i="5"/>
  <c r="K5" i="9" s="1"/>
  <c r="J33" i="5"/>
  <c r="J5" i="9" s="1"/>
  <c r="I33" i="5"/>
  <c r="I5" i="9" s="1"/>
  <c r="H33" i="5"/>
  <c r="H5" i="9" s="1"/>
  <c r="G33" i="5"/>
  <c r="G5" i="9" s="1"/>
  <c r="F33" i="5"/>
  <c r="F5" i="9" s="1"/>
  <c r="E33" i="5"/>
  <c r="E5" i="9" s="1"/>
  <c r="D33" i="5"/>
  <c r="C33" i="5"/>
  <c r="C50" i="5" s="1"/>
  <c r="C69" i="5" s="1"/>
  <c r="B33" i="5"/>
  <c r="CK17" i="5"/>
  <c r="CJ17" i="5"/>
  <c r="CI17" i="5"/>
  <c r="CH17" i="5"/>
  <c r="CG17" i="5"/>
  <c r="CF17" i="5"/>
  <c r="CE17" i="5"/>
  <c r="CD17" i="5"/>
  <c r="CC17" i="5"/>
  <c r="CB17" i="5"/>
  <c r="CA17" i="5"/>
  <c r="BZ17" i="5"/>
  <c r="BY17" i="5"/>
  <c r="BX17" i="5"/>
  <c r="BW17" i="5"/>
  <c r="BV17" i="5"/>
  <c r="BV35" i="7" s="1"/>
  <c r="BU17" i="5"/>
  <c r="BU35" i="7" s="1"/>
  <c r="BT17" i="5"/>
  <c r="BT35" i="7" s="1"/>
  <c r="BS17" i="5"/>
  <c r="BS35" i="7" s="1"/>
  <c r="BR17" i="5"/>
  <c r="BR35" i="7" s="1"/>
  <c r="BQ17" i="5"/>
  <c r="BQ35" i="7" s="1"/>
  <c r="BP17" i="5"/>
  <c r="BP35" i="7" s="1"/>
  <c r="BO17" i="5"/>
  <c r="BO35" i="7" s="1"/>
  <c r="BN17" i="5"/>
  <c r="BN35" i="7" s="1"/>
  <c r="BM17" i="5"/>
  <c r="BM35" i="7" s="1"/>
  <c r="BL17" i="5"/>
  <c r="BL35" i="7" s="1"/>
  <c r="BK17" i="5"/>
  <c r="BK35" i="7" s="1"/>
  <c r="BJ17" i="5"/>
  <c r="BJ35" i="7" s="1"/>
  <c r="BI17" i="5"/>
  <c r="BI35" i="7" s="1"/>
  <c r="BH17" i="5"/>
  <c r="BH35" i="7" s="1"/>
  <c r="BG17" i="5"/>
  <c r="BG35" i="7" s="1"/>
  <c r="BF17" i="5"/>
  <c r="BF35" i="7" s="1"/>
  <c r="BE17" i="5"/>
  <c r="BE35" i="7" s="1"/>
  <c r="BD17" i="5"/>
  <c r="BD35" i="7" s="1"/>
  <c r="BC17" i="5"/>
  <c r="BC35" i="7" s="1"/>
  <c r="BB17" i="5"/>
  <c r="BB35" i="7" s="1"/>
  <c r="BA17" i="5"/>
  <c r="BA35" i="7" s="1"/>
  <c r="AZ17" i="5"/>
  <c r="AZ35" i="7" s="1"/>
  <c r="AY17" i="5"/>
  <c r="AY35" i="7" s="1"/>
  <c r="AX17" i="5"/>
  <c r="AX35" i="7" s="1"/>
  <c r="AW17" i="5"/>
  <c r="AW35" i="7" s="1"/>
  <c r="AS22" i="7" s="1"/>
  <c r="AS23" i="7" s="1"/>
  <c r="AV17" i="5"/>
  <c r="AV35" i="7" s="1"/>
  <c r="AR22" i="7" s="1"/>
  <c r="AR23" i="7" s="1"/>
  <c r="AU17" i="5"/>
  <c r="AU35" i="7" s="1"/>
  <c r="AQ22" i="7" s="1"/>
  <c r="AQ23" i="7" s="1"/>
  <c r="AT17" i="5"/>
  <c r="AT35" i="7" s="1"/>
  <c r="AP22" i="7" s="1"/>
  <c r="AP23" i="7" s="1"/>
  <c r="AS17" i="5"/>
  <c r="AS35" i="7" s="1"/>
  <c r="AO22" i="7" s="1"/>
  <c r="AO23" i="7" s="1"/>
  <c r="AR17" i="5"/>
  <c r="AR35" i="7" s="1"/>
  <c r="AN22" i="7" s="1"/>
  <c r="AN23" i="7" s="1"/>
  <c r="AQ17" i="5"/>
  <c r="AQ35" i="7" s="1"/>
  <c r="AM22" i="7" s="1"/>
  <c r="AM23" i="7" s="1"/>
  <c r="AP17" i="5"/>
  <c r="AP35" i="7" s="1"/>
  <c r="AL22" i="7" s="1"/>
  <c r="AL23" i="7" s="1"/>
  <c r="AO17" i="5"/>
  <c r="AO35" i="7" s="1"/>
  <c r="AK22" i="7" s="1"/>
  <c r="AK23" i="7" s="1"/>
  <c r="AN17" i="5"/>
  <c r="AN35" i="7" s="1"/>
  <c r="AJ22" i="7" s="1"/>
  <c r="AJ23" i="7" s="1"/>
  <c r="AM17" i="5"/>
  <c r="AM35" i="7" s="1"/>
  <c r="AI22" i="7" s="1"/>
  <c r="AI23" i="7" s="1"/>
  <c r="AL17" i="5"/>
  <c r="AL35" i="7" s="1"/>
  <c r="AH22" i="7" s="1"/>
  <c r="AH23" i="7" s="1"/>
  <c r="AK17" i="5"/>
  <c r="AK35" i="7" s="1"/>
  <c r="AG22" i="7" s="1"/>
  <c r="AG23" i="7" s="1"/>
  <c r="AJ17" i="5"/>
  <c r="AJ35" i="7" s="1"/>
  <c r="AF22" i="7" s="1"/>
  <c r="AF23" i="7" s="1"/>
  <c r="AI17" i="5"/>
  <c r="AI35" i="7" s="1"/>
  <c r="AE22" i="7" s="1"/>
  <c r="AE23" i="7" s="1"/>
  <c r="AH17" i="5"/>
  <c r="AH35" i="7" s="1"/>
  <c r="AD22" i="7" s="1"/>
  <c r="AD23" i="7" s="1"/>
  <c r="AG17" i="5"/>
  <c r="AG35" i="7" s="1"/>
  <c r="AC22" i="7" s="1"/>
  <c r="AC23" i="7" s="1"/>
  <c r="AF17" i="5"/>
  <c r="AF35" i="7" s="1"/>
  <c r="AB22" i="7" s="1"/>
  <c r="AB23" i="7" s="1"/>
  <c r="AE17" i="5"/>
  <c r="AE35" i="7" s="1"/>
  <c r="AA22" i="7" s="1"/>
  <c r="AA23" i="7" s="1"/>
  <c r="AD17" i="5"/>
  <c r="AD35" i="7" s="1"/>
  <c r="Z22" i="7" s="1"/>
  <c r="Z23" i="7" s="1"/>
  <c r="AC17" i="5"/>
  <c r="AC35" i="7" s="1"/>
  <c r="AB17" i="5"/>
  <c r="AB35" i="7" s="1"/>
  <c r="AA17" i="5"/>
  <c r="AA35" i="7" s="1"/>
  <c r="Z17" i="5"/>
  <c r="Z35" i="7" s="1"/>
  <c r="Y17" i="5"/>
  <c r="X17" i="5"/>
  <c r="W17" i="5"/>
  <c r="V17" i="5"/>
  <c r="U17" i="5"/>
  <c r="T17" i="5"/>
  <c r="S17" i="5"/>
  <c r="R17" i="5"/>
  <c r="Q17" i="5"/>
  <c r="P17" i="5"/>
  <c r="O17" i="5"/>
  <c r="N17" i="5"/>
  <c r="M17" i="5"/>
  <c r="L17" i="5"/>
  <c r="K17" i="5"/>
  <c r="J17" i="5"/>
  <c r="I17" i="5"/>
  <c r="H17" i="5"/>
  <c r="G17" i="5"/>
  <c r="F17" i="5"/>
  <c r="E17" i="5"/>
  <c r="B45" i="13" s="1"/>
  <c r="D17" i="5"/>
  <c r="C17" i="5"/>
  <c r="B17" i="5"/>
  <c r="BZ6" i="10" l="1"/>
  <c r="CH65" i="11"/>
  <c r="CH66" i="11" s="1"/>
  <c r="CE27" i="6"/>
  <c r="CE32" i="10" s="1"/>
  <c r="T6" i="10"/>
  <c r="AB6" i="10"/>
  <c r="AR6" i="10"/>
  <c r="AZ6" i="10"/>
  <c r="BH6" i="10"/>
  <c r="BP6" i="10"/>
  <c r="BX6" i="10"/>
  <c r="CF6" i="10"/>
  <c r="BI5" i="10"/>
  <c r="D108" i="5"/>
  <c r="D50" i="5"/>
  <c r="D69" i="5" s="1"/>
  <c r="D70" i="5" s="1"/>
  <c r="K68" i="9"/>
  <c r="K81" i="9"/>
  <c r="K67" i="9"/>
  <c r="K78" i="9"/>
  <c r="K79" i="9" s="1"/>
  <c r="M68" i="9"/>
  <c r="M81" i="9"/>
  <c r="L67" i="9"/>
  <c r="L78" i="9"/>
  <c r="L79" i="9" s="1"/>
  <c r="F68" i="9"/>
  <c r="F81" i="9"/>
  <c r="G68" i="9"/>
  <c r="G81" i="9"/>
  <c r="F67" i="9"/>
  <c r="F78" i="9"/>
  <c r="F79" i="9" s="1"/>
  <c r="H68" i="9"/>
  <c r="H81" i="9"/>
  <c r="G67" i="9"/>
  <c r="G78" i="9"/>
  <c r="G79" i="9" s="1"/>
  <c r="I68" i="9"/>
  <c r="I81" i="9"/>
  <c r="L68" i="9"/>
  <c r="L81" i="9"/>
  <c r="H67" i="9"/>
  <c r="H78" i="9"/>
  <c r="H79" i="9" s="1"/>
  <c r="J68" i="9"/>
  <c r="J81" i="9"/>
  <c r="BM65" i="11"/>
  <c r="BM66" i="11" s="1"/>
  <c r="BU65" i="11"/>
  <c r="BU66" i="11" s="1"/>
  <c r="CC65" i="11"/>
  <c r="CC66" i="11" s="1"/>
  <c r="AP28" i="11"/>
  <c r="AX28" i="11"/>
  <c r="BN28" i="11"/>
  <c r="BV28" i="11"/>
  <c r="CD28" i="11"/>
  <c r="AQ28" i="11"/>
  <c r="AY28" i="11"/>
  <c r="BG28" i="11"/>
  <c r="BO28" i="11"/>
  <c r="BW28" i="11"/>
  <c r="CE28" i="11"/>
  <c r="Q67" i="9"/>
  <c r="S68" i="9"/>
  <c r="T68" i="9"/>
  <c r="S67" i="9"/>
  <c r="E81" i="9"/>
  <c r="E68" i="9"/>
  <c r="U68" i="9"/>
  <c r="T67" i="9"/>
  <c r="N68" i="9"/>
  <c r="U67" i="9"/>
  <c r="O68" i="9"/>
  <c r="N67" i="9"/>
  <c r="P68" i="9"/>
  <c r="O67" i="9"/>
  <c r="Q68" i="9"/>
  <c r="P67" i="9"/>
  <c r="R68" i="9"/>
  <c r="AM27" i="6"/>
  <c r="AM32" i="10" s="1"/>
  <c r="AY27" i="6"/>
  <c r="AY32" i="10" s="1"/>
  <c r="BG27" i="6"/>
  <c r="BG32" i="10" s="1"/>
  <c r="BO27" i="6"/>
  <c r="BO32" i="10" s="1"/>
  <c r="BW27" i="6"/>
  <c r="BW32" i="10" s="1"/>
  <c r="AJ6" i="10"/>
  <c r="BW5" i="10"/>
  <c r="BR3" i="11"/>
  <c r="O28" i="11"/>
  <c r="BS28" i="11"/>
  <c r="CA28" i="11"/>
  <c r="BH27" i="6"/>
  <c r="BH32" i="10" s="1"/>
  <c r="BP27" i="6"/>
  <c r="BP32" i="10" s="1"/>
  <c r="BX27" i="6"/>
  <c r="BX32" i="10" s="1"/>
  <c r="BV27" i="6"/>
  <c r="BV32" i="10" s="1"/>
  <c r="BF27" i="6"/>
  <c r="BF32" i="10" s="1"/>
  <c r="BN8" i="8"/>
  <c r="AJ19" i="10"/>
  <c r="BP3" i="10"/>
  <c r="CF3" i="10"/>
  <c r="BQ27" i="6"/>
  <c r="BQ32" i="10" s="1"/>
  <c r="BY27" i="6"/>
  <c r="BY32" i="10" s="1"/>
  <c r="CG27" i="6"/>
  <c r="CG32" i="10" s="1"/>
  <c r="CD27" i="6"/>
  <c r="CD32" i="10" s="1"/>
  <c r="AY35" i="6"/>
  <c r="C27" i="6"/>
  <c r="AI27" i="6"/>
  <c r="AI32" i="10" s="1"/>
  <c r="AQ27" i="6"/>
  <c r="AQ32" i="10" s="1"/>
  <c r="CB6" i="10"/>
  <c r="BJ3" i="11"/>
  <c r="AV28" i="11"/>
  <c r="BD28" i="11"/>
  <c r="BL28" i="11"/>
  <c r="BT28" i="11"/>
  <c r="CB28" i="11"/>
  <c r="CJ28" i="11"/>
  <c r="BO43" i="11"/>
  <c r="BW43" i="11"/>
  <c r="CE43" i="11"/>
  <c r="AN65" i="11"/>
  <c r="AN66" i="11" s="1"/>
  <c r="AV65" i="11"/>
  <c r="AV66" i="11" s="1"/>
  <c r="BD65" i="11"/>
  <c r="BD66" i="11" s="1"/>
  <c r="BL65" i="11"/>
  <c r="BL66" i="11" s="1"/>
  <c r="BT65" i="11"/>
  <c r="BT66" i="11" s="1"/>
  <c r="CB65" i="11"/>
  <c r="CB66" i="11" s="1"/>
  <c r="CJ65" i="11"/>
  <c r="CJ66" i="11" s="1"/>
  <c r="BL76" i="11"/>
  <c r="BT76" i="11"/>
  <c r="CB76" i="11"/>
  <c r="CJ76" i="11"/>
  <c r="AX27" i="6"/>
  <c r="AX32" i="10" s="1"/>
  <c r="BG35" i="6"/>
  <c r="BO5" i="10"/>
  <c r="CE5" i="10"/>
  <c r="BJ43" i="11"/>
  <c r="BR43" i="11"/>
  <c r="BZ43" i="11"/>
  <c r="CH43" i="11"/>
  <c r="BO76" i="11"/>
  <c r="BW76" i="11"/>
  <c r="CE76" i="11"/>
  <c r="J12" i="12"/>
  <c r="J13" i="12" s="1"/>
  <c r="R12" i="12"/>
  <c r="Z12" i="12"/>
  <c r="AH12" i="12"/>
  <c r="AH13" i="12" s="1"/>
  <c r="AP12" i="12"/>
  <c r="AX12" i="12"/>
  <c r="AX13" i="12" s="1"/>
  <c r="BF12" i="12"/>
  <c r="BF13" i="12" s="1"/>
  <c r="BN12" i="12"/>
  <c r="BV12" i="12"/>
  <c r="BV13" i="12" s="1"/>
  <c r="CD12" i="12"/>
  <c r="AS27" i="6"/>
  <c r="AS32" i="10" s="1"/>
  <c r="L57" i="11"/>
  <c r="AJ57" i="11"/>
  <c r="AR65" i="11"/>
  <c r="AR66" i="11" s="1"/>
  <c r="AZ65" i="11"/>
  <c r="AZ66" i="11" s="1"/>
  <c r="BH57" i="11"/>
  <c r="BP65" i="11"/>
  <c r="BP66" i="11" s="1"/>
  <c r="BX65" i="11"/>
  <c r="BX66" i="11" s="1"/>
  <c r="CF65" i="11"/>
  <c r="CF66" i="11" s="1"/>
  <c r="K12" i="12"/>
  <c r="K13" i="12" s="1"/>
  <c r="S12" i="12"/>
  <c r="S13" i="12" s="1"/>
  <c r="AA12" i="12"/>
  <c r="AA13" i="12" s="1"/>
  <c r="AI12" i="12"/>
  <c r="AI13" i="12" s="1"/>
  <c r="AQ12" i="12"/>
  <c r="AY12" i="12"/>
  <c r="AY13" i="12" s="1"/>
  <c r="BG12" i="12"/>
  <c r="BG13" i="12" s="1"/>
  <c r="BO12" i="12"/>
  <c r="BW12" i="12"/>
  <c r="BW13" i="12" s="1"/>
  <c r="CE12" i="12"/>
  <c r="CE13" i="12" s="1"/>
  <c r="BI6" i="10"/>
  <c r="BQ6" i="10"/>
  <c r="BY6" i="10"/>
  <c r="E28" i="11"/>
  <c r="M28" i="11"/>
  <c r="U28" i="11"/>
  <c r="AC28" i="11"/>
  <c r="AK28" i="11"/>
  <c r="AS28" i="11"/>
  <c r="BA28" i="11"/>
  <c r="BI28" i="11"/>
  <c r="BQ28" i="11"/>
  <c r="BY28" i="11"/>
  <c r="CG28" i="11"/>
  <c r="BN27" i="6"/>
  <c r="BN32" i="10" s="1"/>
  <c r="BO35" i="6"/>
  <c r="BW3" i="10"/>
  <c r="F6" i="10"/>
  <c r="N6" i="10"/>
  <c r="V6" i="10"/>
  <c r="AD6" i="10"/>
  <c r="AL6" i="10"/>
  <c r="AT6" i="10"/>
  <c r="F28" i="11"/>
  <c r="N28" i="11"/>
  <c r="V28" i="11"/>
  <c r="AD28" i="11"/>
  <c r="AL28" i="11"/>
  <c r="AT28" i="11"/>
  <c r="BB28" i="11"/>
  <c r="BR28" i="11"/>
  <c r="BZ28" i="11"/>
  <c r="CH28" i="11"/>
  <c r="BM43" i="11"/>
  <c r="BA27" i="6"/>
  <c r="BA32" i="10" s="1"/>
  <c r="BI27" i="6"/>
  <c r="BI32" i="10" s="1"/>
  <c r="M5" i="10"/>
  <c r="U5" i="10"/>
  <c r="AC5" i="10"/>
  <c r="AK5" i="10"/>
  <c r="AS5" i="10"/>
  <c r="AV6" i="10"/>
  <c r="AK6" i="10"/>
  <c r="AS6" i="10"/>
  <c r="BA6" i="10"/>
  <c r="AY5" i="10"/>
  <c r="AY3" i="10"/>
  <c r="E6" i="10"/>
  <c r="M6" i="10"/>
  <c r="U6" i="10"/>
  <c r="AC6" i="10"/>
  <c r="BB3" i="11"/>
  <c r="AX8" i="8"/>
  <c r="BF8" i="8"/>
  <c r="AT3" i="11"/>
  <c r="AV76" i="11"/>
  <c r="BD76" i="11"/>
  <c r="AW65" i="11"/>
  <c r="AW66" i="11" s="1"/>
  <c r="BE65" i="11"/>
  <c r="BE66" i="11" s="1"/>
  <c r="AY76" i="11"/>
  <c r="BG76" i="11"/>
  <c r="AY43" i="11"/>
  <c r="BG43" i="11"/>
  <c r="AT43" i="11"/>
  <c r="BB43" i="11"/>
  <c r="AW43" i="11"/>
  <c r="BE43" i="11"/>
  <c r="J28" i="11"/>
  <c r="R28" i="11"/>
  <c r="Z28" i="11"/>
  <c r="AH28" i="11"/>
  <c r="AA28" i="11"/>
  <c r="AI28" i="11"/>
  <c r="AW27" i="6"/>
  <c r="AW32" i="10" s="1"/>
  <c r="BE27" i="6"/>
  <c r="BE32" i="10" s="1"/>
  <c r="BM27" i="6"/>
  <c r="BM32" i="10" s="1"/>
  <c r="BU27" i="6"/>
  <c r="BU32" i="10" s="1"/>
  <c r="CC27" i="6"/>
  <c r="CC32" i="10" s="1"/>
  <c r="BF7" i="10"/>
  <c r="BF8" i="10" s="1"/>
  <c r="BF7" i="6"/>
  <c r="BV7" i="10"/>
  <c r="BV8" i="10" s="1"/>
  <c r="BV7" i="6"/>
  <c r="AZ19" i="10"/>
  <c r="AY7" i="10"/>
  <c r="AY7" i="6"/>
  <c r="BG7" i="10"/>
  <c r="BG8" i="10" s="1"/>
  <c r="BG7" i="6"/>
  <c r="BO7" i="10"/>
  <c r="BO7" i="6"/>
  <c r="BW7" i="10"/>
  <c r="BW7" i="6"/>
  <c r="CE7" i="10"/>
  <c r="CE7" i="6"/>
  <c r="AL27" i="6"/>
  <c r="AL32" i="10" s="1"/>
  <c r="B27" i="6"/>
  <c r="AY8" i="8"/>
  <c r="BG8" i="8"/>
  <c r="BO8" i="8"/>
  <c r="AU3" i="11"/>
  <c r="BC3" i="11"/>
  <c r="BK3" i="11"/>
  <c r="BS3" i="11"/>
  <c r="AW76" i="11"/>
  <c r="BE76" i="11"/>
  <c r="BM76" i="11"/>
  <c r="BU76" i="11"/>
  <c r="CC76" i="11"/>
  <c r="AR8" i="8"/>
  <c r="AZ8" i="8"/>
  <c r="BH8" i="8"/>
  <c r="BP8" i="8"/>
  <c r="AT5" i="10"/>
  <c r="BB5" i="10"/>
  <c r="BJ5" i="10"/>
  <c r="BR5" i="10"/>
  <c r="BZ5" i="10"/>
  <c r="CH5" i="10"/>
  <c r="BQ5" i="10"/>
  <c r="BB6" i="10"/>
  <c r="CH6" i="10"/>
  <c r="AV3" i="11"/>
  <c r="BD3" i="11"/>
  <c r="BL3" i="11"/>
  <c r="BT3" i="11"/>
  <c r="AX76" i="11"/>
  <c r="BF76" i="11"/>
  <c r="BN76" i="11"/>
  <c r="BV76" i="11"/>
  <c r="CD76" i="11"/>
  <c r="CK17" i="12"/>
  <c r="BX19" i="10"/>
  <c r="AZ27" i="6"/>
  <c r="AZ32" i="10" s="1"/>
  <c r="CF27" i="6"/>
  <c r="CF32" i="10" s="1"/>
  <c r="BA7" i="10"/>
  <c r="BA8" i="10" s="1"/>
  <c r="BA7" i="6"/>
  <c r="BI7" i="10"/>
  <c r="BI7" i="6"/>
  <c r="BQ7" i="10"/>
  <c r="BQ7" i="6"/>
  <c r="BY7" i="10"/>
  <c r="BY8" i="10" s="1"/>
  <c r="BY7" i="6"/>
  <c r="CG7" i="10"/>
  <c r="CG7" i="6"/>
  <c r="AN27" i="6"/>
  <c r="AN32" i="10" s="1"/>
  <c r="BH35" i="6"/>
  <c r="BP35" i="6"/>
  <c r="BX35" i="6"/>
  <c r="AS8" i="8"/>
  <c r="BA8" i="8"/>
  <c r="BI8" i="8"/>
  <c r="BQ8" i="8"/>
  <c r="BD6" i="10"/>
  <c r="AW3" i="11"/>
  <c r="BE3" i="11"/>
  <c r="BM3" i="11"/>
  <c r="BU3" i="11"/>
  <c r="AI57" i="11"/>
  <c r="AY65" i="11"/>
  <c r="AY66" i="11" s="1"/>
  <c r="BG65" i="11"/>
  <c r="BG66" i="11" s="1"/>
  <c r="BO65" i="11"/>
  <c r="BO66" i="11" s="1"/>
  <c r="BW65" i="11"/>
  <c r="BW66" i="11" s="1"/>
  <c r="CE65" i="11"/>
  <c r="CE66" i="11" s="1"/>
  <c r="AX7" i="10"/>
  <c r="AX8" i="10" s="1"/>
  <c r="AX7" i="6"/>
  <c r="BH7" i="10"/>
  <c r="BH8" i="10" s="1"/>
  <c r="BH7" i="6"/>
  <c r="CF7" i="10"/>
  <c r="CF8" i="10" s="1"/>
  <c r="CF7" i="6"/>
  <c r="BK30" i="9"/>
  <c r="AT7" i="10"/>
  <c r="AT8" i="10" s="1"/>
  <c r="AT7" i="6"/>
  <c r="BB7" i="10"/>
  <c r="BB8" i="10" s="1"/>
  <c r="BB7" i="6"/>
  <c r="BJ7" i="10"/>
  <c r="BJ8" i="10" s="1"/>
  <c r="BJ7" i="6"/>
  <c r="BR7" i="10"/>
  <c r="BR7" i="6"/>
  <c r="BZ7" i="10"/>
  <c r="BZ8" i="10" s="1"/>
  <c r="BZ7" i="6"/>
  <c r="CH7" i="10"/>
  <c r="CH8" i="10" s="1"/>
  <c r="CH7" i="6"/>
  <c r="CH15" i="6"/>
  <c r="CH20" i="11" s="1"/>
  <c r="CH21" i="11" s="1"/>
  <c r="AT27" i="6"/>
  <c r="AT32" i="10" s="1"/>
  <c r="BB27" i="6"/>
  <c r="BB32" i="10" s="1"/>
  <c r="BJ27" i="6"/>
  <c r="BJ32" i="10" s="1"/>
  <c r="BR27" i="6"/>
  <c r="BR32" i="10" s="1"/>
  <c r="BZ27" i="6"/>
  <c r="BZ32" i="10" s="1"/>
  <c r="CH27" i="6"/>
  <c r="CH32" i="10" s="1"/>
  <c r="AN19" i="10"/>
  <c r="AV19" i="10"/>
  <c r="BL19" i="10"/>
  <c r="BT19" i="10"/>
  <c r="CB19" i="10"/>
  <c r="CJ19" i="10"/>
  <c r="AF6" i="10"/>
  <c r="AN6" i="10"/>
  <c r="AV5" i="10"/>
  <c r="BD5" i="10"/>
  <c r="BL5" i="10"/>
  <c r="BT5" i="10"/>
  <c r="CB5" i="10"/>
  <c r="CJ5" i="10"/>
  <c r="BY5" i="10"/>
  <c r="BJ6" i="10"/>
  <c r="AW13" i="10"/>
  <c r="BE13" i="10"/>
  <c r="BM13" i="10"/>
  <c r="BU13" i="10"/>
  <c r="CC13" i="10"/>
  <c r="AR76" i="11"/>
  <c r="AZ76" i="11"/>
  <c r="BH76" i="11"/>
  <c r="BP76" i="11"/>
  <c r="BX76" i="11"/>
  <c r="CF76" i="11"/>
  <c r="CD7" i="10"/>
  <c r="CD7" i="6"/>
  <c r="AR19" i="10"/>
  <c r="AZ7" i="10"/>
  <c r="AZ7" i="6"/>
  <c r="AU30" i="9"/>
  <c r="C108" i="5"/>
  <c r="AU7" i="10"/>
  <c r="AU8" i="10" s="1"/>
  <c r="AU7" i="6"/>
  <c r="BC7" i="10"/>
  <c r="BC7" i="6"/>
  <c r="BK7" i="10"/>
  <c r="BK7" i="6"/>
  <c r="BS7" i="10"/>
  <c r="BO9" i="10" s="1"/>
  <c r="BS7" i="6"/>
  <c r="CA7" i="10"/>
  <c r="CA9" i="10" s="1"/>
  <c r="CA7" i="6"/>
  <c r="CI7" i="10"/>
  <c r="CI9" i="10" s="1"/>
  <c r="CI7" i="6"/>
  <c r="AH27" i="6"/>
  <c r="AH32" i="10" s="1"/>
  <c r="AP27" i="6"/>
  <c r="AP32" i="10" s="1"/>
  <c r="AU27" i="6"/>
  <c r="AU32" i="10" s="1"/>
  <c r="BC27" i="6"/>
  <c r="BC32" i="10" s="1"/>
  <c r="BK27" i="6"/>
  <c r="BK32" i="10" s="1"/>
  <c r="BS27" i="6"/>
  <c r="BS32" i="10" s="1"/>
  <c r="CA27" i="6"/>
  <c r="CA32" i="10" s="1"/>
  <c r="CI27" i="6"/>
  <c r="CI32" i="10" s="1"/>
  <c r="AW5" i="10"/>
  <c r="BE5" i="10"/>
  <c r="BM5" i="10"/>
  <c r="BU5" i="10"/>
  <c r="CC5" i="10"/>
  <c r="BL6" i="10"/>
  <c r="CK2" i="11"/>
  <c r="AS76" i="11"/>
  <c r="BA76" i="11"/>
  <c r="BI76" i="11"/>
  <c r="BQ76" i="11"/>
  <c r="BY76" i="11"/>
  <c r="CG76" i="11"/>
  <c r="BH19" i="10"/>
  <c r="BX7" i="10"/>
  <c r="BX7" i="6"/>
  <c r="BS30" i="9"/>
  <c r="AO31" i="9"/>
  <c r="AW31" i="9"/>
  <c r="BE31" i="9"/>
  <c r="BM31" i="9"/>
  <c r="BU31" i="9"/>
  <c r="CC31" i="9"/>
  <c r="AV7" i="10"/>
  <c r="AV8" i="10" s="1"/>
  <c r="AV7" i="6"/>
  <c r="BD7" i="10"/>
  <c r="BD8" i="10" s="1"/>
  <c r="BD7" i="6"/>
  <c r="BL7" i="10"/>
  <c r="BL8" i="10" s="1"/>
  <c r="BL7" i="6"/>
  <c r="BT7" i="10"/>
  <c r="BT7" i="6"/>
  <c r="CB7" i="10"/>
  <c r="CB8" i="10" s="1"/>
  <c r="CB7" i="6"/>
  <c r="CJ7" i="10"/>
  <c r="CJ7" i="6"/>
  <c r="AV27" i="6"/>
  <c r="AV32" i="10" s="1"/>
  <c r="BD27" i="6"/>
  <c r="BD32" i="10" s="1"/>
  <c r="BL27" i="6"/>
  <c r="BT27" i="6"/>
  <c r="BT32" i="10" s="1"/>
  <c r="CB27" i="6"/>
  <c r="CB32" i="10" s="1"/>
  <c r="CJ27" i="6"/>
  <c r="CJ32" i="10" s="1"/>
  <c r="AX5" i="10"/>
  <c r="BF5" i="10"/>
  <c r="BN5" i="10"/>
  <c r="BV5" i="10"/>
  <c r="CD5" i="10"/>
  <c r="BA5" i="10"/>
  <c r="CG5" i="10"/>
  <c r="BR6" i="10"/>
  <c r="BU43" i="11"/>
  <c r="CC43" i="11"/>
  <c r="AL65" i="11"/>
  <c r="AL66" i="11" s="1"/>
  <c r="AT65" i="11"/>
  <c r="AT66" i="11" s="1"/>
  <c r="BB65" i="11"/>
  <c r="BB66" i="11" s="1"/>
  <c r="BJ65" i="11"/>
  <c r="BJ66" i="11" s="1"/>
  <c r="BR65" i="11"/>
  <c r="BR66" i="11" s="1"/>
  <c r="BZ65" i="11"/>
  <c r="BZ66" i="11" s="1"/>
  <c r="BN7" i="10"/>
  <c r="BN7" i="6"/>
  <c r="BP7" i="10"/>
  <c r="BP8" i="10" s="1"/>
  <c r="BP7" i="6"/>
  <c r="BC30" i="9"/>
  <c r="CA30" i="9"/>
  <c r="AW7" i="10"/>
  <c r="AW8" i="10" s="1"/>
  <c r="AW7" i="6"/>
  <c r="BE7" i="10"/>
  <c r="BE8" i="10" s="1"/>
  <c r="BE7" i="6"/>
  <c r="BM7" i="10"/>
  <c r="BI9" i="10" s="1"/>
  <c r="BM7" i="6"/>
  <c r="BU7" i="10"/>
  <c r="BU7" i="6"/>
  <c r="CC7" i="10"/>
  <c r="CC7" i="6"/>
  <c r="CK7" i="10"/>
  <c r="CK9" i="10" s="1"/>
  <c r="CK7" i="6"/>
  <c r="AT15" i="6"/>
  <c r="AT20" i="11" s="1"/>
  <c r="AT21" i="11" s="1"/>
  <c r="D27" i="6"/>
  <c r="AJ27" i="6"/>
  <c r="AJ32" i="10" s="1"/>
  <c r="AR27" i="6"/>
  <c r="AR32" i="10" s="1"/>
  <c r="K12" i="7"/>
  <c r="K13" i="7" s="1"/>
  <c r="AI19" i="10"/>
  <c r="AQ19" i="10"/>
  <c r="AY19" i="10"/>
  <c r="BG19" i="10"/>
  <c r="BO19" i="10"/>
  <c r="BW19" i="10"/>
  <c r="CE19" i="10"/>
  <c r="CE3" i="10"/>
  <c r="K6" i="10"/>
  <c r="S6" i="10"/>
  <c r="AA6" i="10"/>
  <c r="AI6" i="10"/>
  <c r="AQ6" i="10"/>
  <c r="AY6" i="10"/>
  <c r="BG6" i="10"/>
  <c r="BO6" i="10"/>
  <c r="BW6" i="10"/>
  <c r="CE6" i="10"/>
  <c r="BG5" i="10"/>
  <c r="BT6" i="10"/>
  <c r="AU65" i="11"/>
  <c r="AU66" i="11" s="1"/>
  <c r="BC65" i="11"/>
  <c r="BC66" i="11" s="1"/>
  <c r="BK65" i="11"/>
  <c r="BK66" i="11" s="1"/>
  <c r="BS65" i="11"/>
  <c r="BS66" i="11" s="1"/>
  <c r="CA65" i="11"/>
  <c r="CA66" i="11" s="1"/>
  <c r="CI65" i="11"/>
  <c r="CI66" i="11" s="1"/>
  <c r="AU76" i="11"/>
  <c r="BC76" i="11"/>
  <c r="BK76" i="11"/>
  <c r="BS76" i="11"/>
  <c r="CA76" i="11"/>
  <c r="CI76" i="11"/>
  <c r="CK16" i="12"/>
  <c r="H19" i="10"/>
  <c r="F27" i="6"/>
  <c r="F32" i="10" s="1"/>
  <c r="H27" i="6"/>
  <c r="H32" i="10" s="1"/>
  <c r="G27" i="6"/>
  <c r="G32" i="10" s="1"/>
  <c r="K27" i="6"/>
  <c r="K32" i="10" s="1"/>
  <c r="L12" i="7"/>
  <c r="L13" i="7" s="1"/>
  <c r="M12" i="7"/>
  <c r="T13" i="7"/>
  <c r="L6" i="10"/>
  <c r="E8" i="8"/>
  <c r="B49" i="13"/>
  <c r="K28" i="11"/>
  <c r="K57" i="11"/>
  <c r="C70" i="5"/>
  <c r="E25" i="12"/>
  <c r="E26" i="12" s="1"/>
  <c r="E27" i="12" s="1"/>
  <c r="M25" i="12"/>
  <c r="M26" i="12" s="1"/>
  <c r="M27" i="12" s="1"/>
  <c r="U25" i="12"/>
  <c r="U26" i="12" s="1"/>
  <c r="U27" i="12" s="1"/>
  <c r="AC25" i="12"/>
  <c r="AK25" i="12"/>
  <c r="AK26" i="12" s="1"/>
  <c r="AK27" i="12" s="1"/>
  <c r="AS25" i="12"/>
  <c r="AS26" i="12" s="1"/>
  <c r="AS27" i="12" s="1"/>
  <c r="BA25" i="12"/>
  <c r="BA26" i="12" s="1"/>
  <c r="BA27" i="12" s="1"/>
  <c r="BI25" i="12"/>
  <c r="BI26" i="12" s="1"/>
  <c r="BI27" i="12" s="1"/>
  <c r="BQ25" i="12"/>
  <c r="BQ26" i="12" s="1"/>
  <c r="BQ27" i="12" s="1"/>
  <c r="BY25" i="12"/>
  <c r="BY26" i="12" s="1"/>
  <c r="BY27" i="12" s="1"/>
  <c r="CG25" i="12"/>
  <c r="CG26" i="12" s="1"/>
  <c r="CG27" i="12" s="1"/>
  <c r="L27" i="6"/>
  <c r="L32" i="10" s="1"/>
  <c r="N27" i="6"/>
  <c r="N32" i="10" s="1"/>
  <c r="K19" i="10"/>
  <c r="P27" i="6"/>
  <c r="P32" i="10" s="1"/>
  <c r="L19" i="10"/>
  <c r="P19" i="10"/>
  <c r="O27" i="6"/>
  <c r="O32" i="10" s="1"/>
  <c r="J27" i="6"/>
  <c r="J32" i="10" s="1"/>
  <c r="F25" i="12"/>
  <c r="F26" i="12" s="1"/>
  <c r="F27" i="12" s="1"/>
  <c r="N25" i="12"/>
  <c r="N26" i="12" s="1"/>
  <c r="N27" i="12" s="1"/>
  <c r="V25" i="12"/>
  <c r="V26" i="12" s="1"/>
  <c r="V27" i="12" s="1"/>
  <c r="AD25" i="12"/>
  <c r="AD26" i="12" s="1"/>
  <c r="AD27" i="12" s="1"/>
  <c r="AL25" i="12"/>
  <c r="AL26" i="12" s="1"/>
  <c r="AL27" i="12" s="1"/>
  <c r="AT25" i="12"/>
  <c r="AT26" i="12" s="1"/>
  <c r="AT27" i="12" s="1"/>
  <c r="BB25" i="12"/>
  <c r="BB26" i="12" s="1"/>
  <c r="BB27" i="12" s="1"/>
  <c r="BJ25" i="12"/>
  <c r="BJ26" i="12" s="1"/>
  <c r="BJ27" i="12" s="1"/>
  <c r="BR25" i="12"/>
  <c r="BR26" i="12" s="1"/>
  <c r="BR27" i="12" s="1"/>
  <c r="BZ25" i="12"/>
  <c r="BZ26" i="12" s="1"/>
  <c r="BZ27" i="12" s="1"/>
  <c r="CH25" i="12"/>
  <c r="CH26" i="12" s="1"/>
  <c r="CH27" i="12" s="1"/>
  <c r="CH28" i="12" s="1"/>
  <c r="I25" i="12"/>
  <c r="I26" i="12" s="1"/>
  <c r="I27" i="12" s="1"/>
  <c r="Q25" i="12"/>
  <c r="Q26" i="12" s="1"/>
  <c r="Q27" i="12" s="1"/>
  <c r="Y25" i="12"/>
  <c r="AG25" i="12"/>
  <c r="AG26" i="12" s="1"/>
  <c r="AG27" i="12" s="1"/>
  <c r="AO25" i="12"/>
  <c r="AO26" i="12" s="1"/>
  <c r="AO27" i="12" s="1"/>
  <c r="AW25" i="12"/>
  <c r="AW26" i="12" s="1"/>
  <c r="AW27" i="12" s="1"/>
  <c r="BE25" i="12"/>
  <c r="BE26" i="12" s="1"/>
  <c r="BE27" i="12" s="1"/>
  <c r="BM25" i="12"/>
  <c r="BM26" i="12" s="1"/>
  <c r="BM27" i="12" s="1"/>
  <c r="BU25" i="12"/>
  <c r="BU26" i="12" s="1"/>
  <c r="BU27" i="12" s="1"/>
  <c r="L12" i="12"/>
  <c r="L13" i="12" s="1"/>
  <c r="T12" i="12"/>
  <c r="T13" i="12" s="1"/>
  <c r="AB12" i="12"/>
  <c r="AB13" i="12" s="1"/>
  <c r="AJ12" i="12"/>
  <c r="AJ13" i="12" s="1"/>
  <c r="AR12" i="12"/>
  <c r="AR13" i="12" s="1"/>
  <c r="AZ12" i="12"/>
  <c r="BH12" i="12"/>
  <c r="BH13" i="12" s="1"/>
  <c r="BP12" i="12"/>
  <c r="BP13" i="12" s="1"/>
  <c r="BX12" i="12"/>
  <c r="BX13" i="12" s="1"/>
  <c r="CF12" i="12"/>
  <c r="CF13" i="12" s="1"/>
  <c r="G12" i="12"/>
  <c r="G13" i="12" s="1"/>
  <c r="O12" i="12"/>
  <c r="O13" i="12" s="1"/>
  <c r="W12" i="12"/>
  <c r="W13" i="12" s="1"/>
  <c r="AE12" i="12"/>
  <c r="AM12" i="12"/>
  <c r="AM13" i="12" s="1"/>
  <c r="AU12" i="12"/>
  <c r="AU13" i="12" s="1"/>
  <c r="BC12" i="12"/>
  <c r="BC13" i="12" s="1"/>
  <c r="BK12" i="12"/>
  <c r="BK13" i="12" s="1"/>
  <c r="BS12" i="12"/>
  <c r="BS13" i="12" s="1"/>
  <c r="CA12" i="12"/>
  <c r="CA13" i="12" s="1"/>
  <c r="CI12" i="12"/>
  <c r="CI13" i="12" s="1"/>
  <c r="AN7" i="10"/>
  <c r="AN8" i="10" s="1"/>
  <c r="AN7" i="6"/>
  <c r="AO7" i="10"/>
  <c r="AO8" i="10" s="1"/>
  <c r="AO7" i="6"/>
  <c r="AP7" i="10"/>
  <c r="AP8" i="10" s="1"/>
  <c r="AP7" i="6"/>
  <c r="AQ7" i="10"/>
  <c r="AQ8" i="10" s="1"/>
  <c r="AQ7" i="6"/>
  <c r="AR7" i="10"/>
  <c r="AR8" i="10" s="1"/>
  <c r="AR7" i="6"/>
  <c r="AK7" i="10"/>
  <c r="AK7" i="6"/>
  <c r="AS7" i="10"/>
  <c r="AS8" i="10" s="1"/>
  <c r="AS7" i="6"/>
  <c r="AL7" i="10"/>
  <c r="AL8" i="10" s="1"/>
  <c r="AL7" i="6"/>
  <c r="AM7" i="10"/>
  <c r="AM8" i="10" s="1"/>
  <c r="AM7" i="6"/>
  <c r="H7" i="10"/>
  <c r="H8" i="10" s="1"/>
  <c r="H7" i="6"/>
  <c r="P7" i="10"/>
  <c r="P8" i="10" s="1"/>
  <c r="P7" i="6"/>
  <c r="X7" i="10"/>
  <c r="X8" i="10" s="1"/>
  <c r="X7" i="6"/>
  <c r="AF7" i="10"/>
  <c r="AF8" i="10" s="1"/>
  <c r="AF7" i="6"/>
  <c r="I7" i="10"/>
  <c r="I8" i="10" s="1"/>
  <c r="I7" i="6"/>
  <c r="Q7" i="10"/>
  <c r="Q7" i="6"/>
  <c r="Y7" i="10"/>
  <c r="Y8" i="10" s="1"/>
  <c r="Y7" i="6"/>
  <c r="AG7" i="10"/>
  <c r="AG8" i="10" s="1"/>
  <c r="AG7" i="6"/>
  <c r="J7" i="10"/>
  <c r="J7" i="6"/>
  <c r="R7" i="10"/>
  <c r="R7" i="6"/>
  <c r="Z7" i="10"/>
  <c r="Z8" i="10" s="1"/>
  <c r="Z7" i="6"/>
  <c r="AH7" i="10"/>
  <c r="AH7" i="6"/>
  <c r="K7" i="10"/>
  <c r="K7" i="6"/>
  <c r="S7" i="10"/>
  <c r="S8" i="10" s="1"/>
  <c r="S7" i="6"/>
  <c r="AA7" i="10"/>
  <c r="AA8" i="10" s="1"/>
  <c r="AA7" i="6"/>
  <c r="AI7" i="10"/>
  <c r="AI9" i="10" s="1"/>
  <c r="AI7" i="6"/>
  <c r="L7" i="10"/>
  <c r="L8" i="10" s="1"/>
  <c r="L7" i="6"/>
  <c r="T7" i="10"/>
  <c r="T7" i="6"/>
  <c r="AB7" i="10"/>
  <c r="AB8" i="10" s="1"/>
  <c r="AB7" i="6"/>
  <c r="AJ7" i="10"/>
  <c r="AJ9" i="10" s="1"/>
  <c r="AJ7" i="6"/>
  <c r="E7" i="10"/>
  <c r="E9" i="10" s="1"/>
  <c r="E7" i="6"/>
  <c r="M7" i="10"/>
  <c r="M9" i="10" s="1"/>
  <c r="M7" i="6"/>
  <c r="U7" i="10"/>
  <c r="U9" i="10" s="1"/>
  <c r="U7" i="6"/>
  <c r="AC7" i="10"/>
  <c r="AC9" i="10" s="1"/>
  <c r="AC7" i="6"/>
  <c r="E5" i="10"/>
  <c r="E26" i="10"/>
  <c r="F7" i="10"/>
  <c r="F8" i="10" s="1"/>
  <c r="F7" i="6"/>
  <c r="N7" i="10"/>
  <c r="N8" i="10" s="1"/>
  <c r="N7" i="6"/>
  <c r="V7" i="10"/>
  <c r="V8" i="10" s="1"/>
  <c r="V7" i="6"/>
  <c r="AD7" i="10"/>
  <c r="AD8" i="10" s="1"/>
  <c r="AD7" i="6"/>
  <c r="G7" i="10"/>
  <c r="G8" i="10" s="1"/>
  <c r="G7" i="6"/>
  <c r="O7" i="10"/>
  <c r="O8" i="10" s="1"/>
  <c r="O7" i="6"/>
  <c r="W7" i="10"/>
  <c r="W8" i="10" s="1"/>
  <c r="W7" i="6"/>
  <c r="AE7" i="10"/>
  <c r="AE8" i="10" s="1"/>
  <c r="AE7" i="6"/>
  <c r="H28" i="11"/>
  <c r="P28" i="11"/>
  <c r="X28" i="11"/>
  <c r="AF28" i="11"/>
  <c r="AN28" i="11"/>
  <c r="M22" i="9"/>
  <c r="I22" i="9"/>
  <c r="I23" i="9"/>
  <c r="M23" i="9"/>
  <c r="AC31" i="12"/>
  <c r="Y31" i="12"/>
  <c r="U31" i="12"/>
  <c r="K25" i="12"/>
  <c r="K26" i="12" s="1"/>
  <c r="K27" i="12" s="1"/>
  <c r="S25" i="12"/>
  <c r="S26" i="12" s="1"/>
  <c r="S27" i="12" s="1"/>
  <c r="E12" i="12"/>
  <c r="E13" i="12" s="1"/>
  <c r="M12" i="12"/>
  <c r="M13" i="12" s="1"/>
  <c r="U12" i="12"/>
  <c r="U13" i="12" s="1"/>
  <c r="AC12" i="12"/>
  <c r="AK12" i="12"/>
  <c r="AK13" i="12" s="1"/>
  <c r="AS12" i="12"/>
  <c r="AS13" i="12" s="1"/>
  <c r="BA12" i="12"/>
  <c r="BI12" i="12"/>
  <c r="BI13" i="12" s="1"/>
  <c r="BQ12" i="12"/>
  <c r="BQ13" i="12" s="1"/>
  <c r="BY12" i="12"/>
  <c r="BY13" i="12" s="1"/>
  <c r="CG12" i="12"/>
  <c r="CG13" i="12" s="1"/>
  <c r="CF28" i="11"/>
  <c r="H12" i="12"/>
  <c r="H13" i="12" s="1"/>
  <c r="P12" i="12"/>
  <c r="P13" i="12" s="1"/>
  <c r="X12" i="12"/>
  <c r="AF12" i="12"/>
  <c r="AF13" i="12" s="1"/>
  <c r="AN12" i="12"/>
  <c r="AN13" i="12" s="1"/>
  <c r="AV12" i="12"/>
  <c r="AV13" i="12" s="1"/>
  <c r="BD12" i="12"/>
  <c r="BD13" i="12" s="1"/>
  <c r="BL12" i="12"/>
  <c r="BT12" i="12"/>
  <c r="BT13" i="12" s="1"/>
  <c r="CB12" i="12"/>
  <c r="CB13" i="12" s="1"/>
  <c r="CJ12" i="12"/>
  <c r="E19" i="7"/>
  <c r="E21" i="7" s="1"/>
  <c r="M19" i="7"/>
  <c r="M21" i="7" s="1"/>
  <c r="U19" i="7"/>
  <c r="U21" i="7" s="1"/>
  <c r="B50" i="5"/>
  <c r="B69" i="5" s="1"/>
  <c r="B70" i="5" s="1"/>
  <c r="G12" i="7"/>
  <c r="G13" i="7" s="1"/>
  <c r="O12" i="7"/>
  <c r="O13" i="7" s="1"/>
  <c r="F19" i="7"/>
  <c r="F21" i="7" s="1"/>
  <c r="N19" i="7"/>
  <c r="N21" i="7" s="1"/>
  <c r="V19" i="7"/>
  <c r="V21" i="7" s="1"/>
  <c r="P12" i="7"/>
  <c r="P13" i="7" s="1"/>
  <c r="H12" i="7"/>
  <c r="H13" i="7" s="1"/>
  <c r="E12" i="7"/>
  <c r="AD27" i="6"/>
  <c r="AD32" i="10" s="1"/>
  <c r="AE27" i="6"/>
  <c r="AE32" i="10" s="1"/>
  <c r="AF27" i="6"/>
  <c r="AF32" i="10" s="1"/>
  <c r="AF19" i="10"/>
  <c r="N12" i="7"/>
  <c r="F12" i="7"/>
  <c r="I12" i="7"/>
  <c r="I13" i="7" s="1"/>
  <c r="M82" i="11"/>
  <c r="M83" i="11" s="1"/>
  <c r="Q12" i="7"/>
  <c r="Q13" i="7" s="1"/>
  <c r="U82" i="11"/>
  <c r="U83" i="11" s="1"/>
  <c r="AC82" i="11"/>
  <c r="AC83" i="11" s="1"/>
  <c r="J12" i="7"/>
  <c r="J13" i="7" s="1"/>
  <c r="N82" i="11"/>
  <c r="N83" i="11" s="1"/>
  <c r="R13" i="7"/>
  <c r="V82" i="11"/>
  <c r="V83" i="11" s="1"/>
  <c r="AD82" i="11"/>
  <c r="AD83" i="11" s="1"/>
  <c r="S13" i="7"/>
  <c r="W82" i="11"/>
  <c r="W83" i="11" s="1"/>
  <c r="AE82" i="11"/>
  <c r="AE83" i="11" s="1"/>
  <c r="H6" i="10"/>
  <c r="P6" i="10"/>
  <c r="T65" i="11"/>
  <c r="T66" i="11" s="1"/>
  <c r="AB65" i="11"/>
  <c r="AB66" i="11" s="1"/>
  <c r="H65" i="11"/>
  <c r="H66" i="11" s="1"/>
  <c r="J65" i="11"/>
  <c r="J66" i="11" s="1"/>
  <c r="F57" i="11"/>
  <c r="N57" i="11"/>
  <c r="V57" i="11"/>
  <c r="AD57" i="11"/>
  <c r="F43" i="11"/>
  <c r="N43" i="11"/>
  <c r="V43" i="11"/>
  <c r="AA25" i="12"/>
  <c r="AA26" i="12" s="1"/>
  <c r="AA27" i="12" s="1"/>
  <c r="AI25" i="12"/>
  <c r="AI26" i="12" s="1"/>
  <c r="AI27" i="12" s="1"/>
  <c r="AQ25" i="12"/>
  <c r="AQ26" i="12" s="1"/>
  <c r="AQ27" i="12" s="1"/>
  <c r="AY25" i="12"/>
  <c r="AY26" i="12" s="1"/>
  <c r="AY27" i="12" s="1"/>
  <c r="BG25" i="12"/>
  <c r="BG26" i="12" s="1"/>
  <c r="BG27" i="12" s="1"/>
  <c r="BO25" i="12"/>
  <c r="BO26" i="12" s="1"/>
  <c r="BO27" i="12" s="1"/>
  <c r="BW25" i="12"/>
  <c r="BW26" i="12" s="1"/>
  <c r="BW27" i="12" s="1"/>
  <c r="CE25" i="12"/>
  <c r="CE26" i="12" s="1"/>
  <c r="CE27" i="12" s="1"/>
  <c r="BJ28" i="11"/>
  <c r="S28" i="11"/>
  <c r="BX43" i="11"/>
  <c r="BF28" i="11"/>
  <c r="BK57" i="11"/>
  <c r="E22" i="9"/>
  <c r="E23" i="9"/>
  <c r="AO27" i="6"/>
  <c r="AO32" i="10" s="1"/>
  <c r="AK27" i="6"/>
  <c r="AK32" i="10" s="1"/>
  <c r="AG27" i="6"/>
  <c r="AG32" i="10" s="1"/>
  <c r="X19" i="10"/>
  <c r="S19" i="10"/>
  <c r="AA19" i="10"/>
  <c r="T19" i="10"/>
  <c r="AB19" i="10"/>
  <c r="R27" i="6"/>
  <c r="R32" i="10" s="1"/>
  <c r="Z27" i="6"/>
  <c r="Z32" i="10" s="1"/>
  <c r="S27" i="6"/>
  <c r="S32" i="10" s="1"/>
  <c r="AA27" i="6"/>
  <c r="AA32" i="10" s="1"/>
  <c r="T27" i="6"/>
  <c r="T32" i="10" s="1"/>
  <c r="AB27" i="6"/>
  <c r="AB32" i="10" s="1"/>
  <c r="U27" i="6"/>
  <c r="U32" i="10" s="1"/>
  <c r="AC27" i="6"/>
  <c r="AC32" i="10" s="1"/>
  <c r="V27" i="6"/>
  <c r="V32" i="10" s="1"/>
  <c r="W27" i="6"/>
  <c r="W32" i="10" s="1"/>
  <c r="X27" i="6"/>
  <c r="X32" i="10" s="1"/>
  <c r="Q27" i="6"/>
  <c r="Q32" i="10" s="1"/>
  <c r="Y27" i="6"/>
  <c r="Y32" i="10" s="1"/>
  <c r="M27" i="6"/>
  <c r="M32" i="10" s="1"/>
  <c r="I27" i="6"/>
  <c r="I32" i="10" s="1"/>
  <c r="E27" i="6"/>
  <c r="E32" i="10" s="1"/>
  <c r="E11" i="7"/>
  <c r="M11" i="7"/>
  <c r="U11" i="7"/>
  <c r="U13" i="7" s="1"/>
  <c r="G19" i="7"/>
  <c r="G21" i="7" s="1"/>
  <c r="O19" i="7"/>
  <c r="O21" i="7" s="1"/>
  <c r="W19" i="7"/>
  <c r="W21" i="7" s="1"/>
  <c r="F11" i="7"/>
  <c r="N11" i="7"/>
  <c r="V11" i="7"/>
  <c r="V13" i="7" s="1"/>
  <c r="H19" i="7"/>
  <c r="H21" i="7" s="1"/>
  <c r="P19" i="7"/>
  <c r="P21" i="7" s="1"/>
  <c r="X19" i="7"/>
  <c r="X21" i="7" s="1"/>
  <c r="I19" i="7"/>
  <c r="I21" i="7" s="1"/>
  <c r="Q19" i="7"/>
  <c r="Q21" i="7" s="1"/>
  <c r="Y19" i="7"/>
  <c r="Y21" i="7" s="1"/>
  <c r="J19" i="7"/>
  <c r="J21" i="7" s="1"/>
  <c r="R19" i="7"/>
  <c r="R21" i="7" s="1"/>
  <c r="K19" i="7"/>
  <c r="K21" i="7" s="1"/>
  <c r="S19" i="7"/>
  <c r="S21" i="7" s="1"/>
  <c r="L19" i="7"/>
  <c r="L21" i="7" s="1"/>
  <c r="T19" i="7"/>
  <c r="T21" i="7" s="1"/>
  <c r="X6" i="10"/>
  <c r="N15" i="6"/>
  <c r="N20" i="11" s="1"/>
  <c r="N21" i="11" s="1"/>
  <c r="I13" i="10"/>
  <c r="Q13" i="10"/>
  <c r="Y13" i="10"/>
  <c r="AG13" i="10"/>
  <c r="AO13" i="10"/>
  <c r="V15" i="6"/>
  <c r="K3" i="10"/>
  <c r="F5" i="10"/>
  <c r="N5" i="10"/>
  <c r="V5" i="10"/>
  <c r="AD5" i="10"/>
  <c r="AL5" i="10"/>
  <c r="AA5" i="10"/>
  <c r="AD15" i="6"/>
  <c r="AD20" i="11" s="1"/>
  <c r="AD21" i="11" s="1"/>
  <c r="S3" i="10"/>
  <c r="AL15" i="6"/>
  <c r="AL20" i="11" s="1"/>
  <c r="AL21" i="11" s="1"/>
  <c r="AA3" i="10"/>
  <c r="H5" i="10"/>
  <c r="P5" i="10"/>
  <c r="X5" i="10"/>
  <c r="AF5" i="10"/>
  <c r="AN5" i="10"/>
  <c r="AI5" i="10"/>
  <c r="I5" i="10"/>
  <c r="Q5" i="10"/>
  <c r="Y5" i="10"/>
  <c r="AG5" i="10"/>
  <c r="AO5" i="10"/>
  <c r="J5" i="10"/>
  <c r="R5" i="10"/>
  <c r="Z5" i="10"/>
  <c r="AH5" i="10"/>
  <c r="AP5" i="10"/>
  <c r="K5" i="10"/>
  <c r="AQ5" i="10"/>
  <c r="F15" i="6"/>
  <c r="F20" i="11" s="1"/>
  <c r="F21" i="11" s="1"/>
  <c r="AI3" i="10"/>
  <c r="AQ3" i="10"/>
  <c r="S5" i="10"/>
  <c r="BI8" i="10"/>
  <c r="G15" i="6"/>
  <c r="G20" i="11" s="1"/>
  <c r="G21" i="11" s="1"/>
  <c r="O15" i="6"/>
  <c r="O20" i="11" s="1"/>
  <c r="O21" i="11" s="1"/>
  <c r="W15" i="6"/>
  <c r="W20" i="11" s="1"/>
  <c r="W21" i="11" s="1"/>
  <c r="AE15" i="6"/>
  <c r="AE20" i="11" s="1"/>
  <c r="AE21" i="11" s="1"/>
  <c r="AM15" i="6"/>
  <c r="AM20" i="11" s="1"/>
  <c r="AM21" i="11" s="1"/>
  <c r="AU15" i="6"/>
  <c r="AU20" i="11" s="1"/>
  <c r="AU21" i="11" s="1"/>
  <c r="BC15" i="6"/>
  <c r="BC20" i="11" s="1"/>
  <c r="BC21" i="11" s="1"/>
  <c r="BK15" i="6"/>
  <c r="BK20" i="11" s="1"/>
  <c r="BK21" i="11" s="1"/>
  <c r="BS15" i="6"/>
  <c r="BS20" i="11" s="1"/>
  <c r="BS21" i="11" s="1"/>
  <c r="CA15" i="6"/>
  <c r="CA20" i="11" s="1"/>
  <c r="CA21" i="11" s="1"/>
  <c r="CI15" i="6"/>
  <c r="CI20" i="11" s="1"/>
  <c r="CI21" i="11" s="1"/>
  <c r="BR28" i="10"/>
  <c r="BR8" i="10"/>
  <c r="BR9" i="10"/>
  <c r="H15" i="6"/>
  <c r="H20" i="11" s="1"/>
  <c r="H21" i="11" s="1"/>
  <c r="P15" i="6"/>
  <c r="P20" i="11" s="1"/>
  <c r="P21" i="11" s="1"/>
  <c r="X15" i="6"/>
  <c r="X20" i="11" s="1"/>
  <c r="X21" i="11" s="1"/>
  <c r="AF15" i="6"/>
  <c r="AF20" i="11" s="1"/>
  <c r="AF21" i="11" s="1"/>
  <c r="AN15" i="6"/>
  <c r="AN20" i="11" s="1"/>
  <c r="AN21" i="11" s="1"/>
  <c r="AV15" i="6"/>
  <c r="AV20" i="11" s="1"/>
  <c r="AV21" i="11" s="1"/>
  <c r="BD15" i="6"/>
  <c r="BD20" i="11" s="1"/>
  <c r="BD21" i="11" s="1"/>
  <c r="BL15" i="6"/>
  <c r="BL20" i="11" s="1"/>
  <c r="BL21" i="11" s="1"/>
  <c r="BT15" i="6"/>
  <c r="BT20" i="11" s="1"/>
  <c r="BT21" i="11" s="1"/>
  <c r="CB15" i="6"/>
  <c r="CB20" i="11" s="1"/>
  <c r="CB21" i="11" s="1"/>
  <c r="CJ15" i="6"/>
  <c r="CJ20" i="11" s="1"/>
  <c r="CJ21" i="11" s="1"/>
  <c r="BZ28" i="10"/>
  <c r="BZ31" i="6"/>
  <c r="BZ32" i="6" s="1"/>
  <c r="BC8" i="10"/>
  <c r="BK8" i="10"/>
  <c r="BK9" i="10"/>
  <c r="BS8" i="10"/>
  <c r="CI8" i="10"/>
  <c r="I15" i="6"/>
  <c r="I20" i="11" s="1"/>
  <c r="I21" i="11" s="1"/>
  <c r="Q15" i="6"/>
  <c r="Q20" i="11" s="1"/>
  <c r="Q21" i="11" s="1"/>
  <c r="Y15" i="6"/>
  <c r="Y20" i="11" s="1"/>
  <c r="Y21" i="11" s="1"/>
  <c r="AG15" i="6"/>
  <c r="AG20" i="11" s="1"/>
  <c r="AG21" i="11" s="1"/>
  <c r="AO15" i="6"/>
  <c r="AO20" i="11" s="1"/>
  <c r="AO21" i="11" s="1"/>
  <c r="AW15" i="6"/>
  <c r="AW20" i="11" s="1"/>
  <c r="AW21" i="11" s="1"/>
  <c r="BE15" i="6"/>
  <c r="BE20" i="11" s="1"/>
  <c r="BE21" i="11" s="1"/>
  <c r="BM15" i="6"/>
  <c r="BM20" i="11" s="1"/>
  <c r="BM21" i="11" s="1"/>
  <c r="BU15" i="6"/>
  <c r="BU20" i="11" s="1"/>
  <c r="BU21" i="11" s="1"/>
  <c r="CC15" i="6"/>
  <c r="CC20" i="11" s="1"/>
  <c r="CC21" i="11" s="1"/>
  <c r="BT8" i="10"/>
  <c r="CJ9" i="10"/>
  <c r="B15" i="6"/>
  <c r="J15" i="6"/>
  <c r="J20" i="11" s="1"/>
  <c r="J21" i="11" s="1"/>
  <c r="R15" i="6"/>
  <c r="R20" i="11" s="1"/>
  <c r="R21" i="11" s="1"/>
  <c r="Z15" i="6"/>
  <c r="Z20" i="11" s="1"/>
  <c r="Z21" i="11" s="1"/>
  <c r="AH15" i="6"/>
  <c r="AH20" i="11" s="1"/>
  <c r="AH21" i="11" s="1"/>
  <c r="AP15" i="6"/>
  <c r="AP20" i="11" s="1"/>
  <c r="AP21" i="11" s="1"/>
  <c r="AX15" i="6"/>
  <c r="AX20" i="11" s="1"/>
  <c r="AX21" i="11" s="1"/>
  <c r="BF15" i="6"/>
  <c r="BF20" i="11" s="1"/>
  <c r="BF21" i="11" s="1"/>
  <c r="BN15" i="6"/>
  <c r="BN20" i="11" s="1"/>
  <c r="BN21" i="11" s="1"/>
  <c r="BV15" i="6"/>
  <c r="BV20" i="11" s="1"/>
  <c r="BV21" i="11" s="1"/>
  <c r="CD15" i="6"/>
  <c r="CD20" i="11" s="1"/>
  <c r="CD21" i="11" s="1"/>
  <c r="BL32" i="10"/>
  <c r="BX8" i="10"/>
  <c r="BB28" i="10"/>
  <c r="BU8" i="10"/>
  <c r="CC8" i="10"/>
  <c r="C15" i="6"/>
  <c r="K15" i="6"/>
  <c r="K20" i="11" s="1"/>
  <c r="K21" i="11" s="1"/>
  <c r="S15" i="6"/>
  <c r="S20" i="11" s="1"/>
  <c r="S21" i="11" s="1"/>
  <c r="AA15" i="6"/>
  <c r="AA20" i="11" s="1"/>
  <c r="AA21" i="11" s="1"/>
  <c r="AI15" i="6"/>
  <c r="AI20" i="11" s="1"/>
  <c r="AI21" i="11" s="1"/>
  <c r="AQ15" i="6"/>
  <c r="AQ20" i="11" s="1"/>
  <c r="AQ21" i="11" s="1"/>
  <c r="AY15" i="6"/>
  <c r="AY20" i="11" s="1"/>
  <c r="AY21" i="11" s="1"/>
  <c r="BG15" i="6"/>
  <c r="BG20" i="11" s="1"/>
  <c r="BG21" i="11" s="1"/>
  <c r="BO15" i="6"/>
  <c r="BO20" i="11" s="1"/>
  <c r="BO21" i="11" s="1"/>
  <c r="BW15" i="6"/>
  <c r="BW20" i="11" s="1"/>
  <c r="BW21" i="11" s="1"/>
  <c r="CE15" i="6"/>
  <c r="CE20" i="11" s="1"/>
  <c r="CE21" i="11" s="1"/>
  <c r="CD8" i="10"/>
  <c r="D15" i="6"/>
  <c r="L15" i="6"/>
  <c r="L20" i="11" s="1"/>
  <c r="L21" i="11" s="1"/>
  <c r="T15" i="6"/>
  <c r="T20" i="11" s="1"/>
  <c r="T21" i="11" s="1"/>
  <c r="AB15" i="6"/>
  <c r="AB20" i="11" s="1"/>
  <c r="AB21" i="11" s="1"/>
  <c r="AJ15" i="6"/>
  <c r="AJ20" i="11" s="1"/>
  <c r="AJ21" i="11" s="1"/>
  <c r="AR15" i="6"/>
  <c r="AR20" i="11" s="1"/>
  <c r="AR21" i="11" s="1"/>
  <c r="AZ15" i="6"/>
  <c r="AZ20" i="11" s="1"/>
  <c r="AZ21" i="11" s="1"/>
  <c r="BH15" i="6"/>
  <c r="BH20" i="11" s="1"/>
  <c r="BH21" i="11" s="1"/>
  <c r="BP15" i="6"/>
  <c r="BP20" i="11" s="1"/>
  <c r="BP21" i="11" s="1"/>
  <c r="BX15" i="6"/>
  <c r="BX20" i="11" s="1"/>
  <c r="BX21" i="11" s="1"/>
  <c r="CF15" i="6"/>
  <c r="CF20" i="11" s="1"/>
  <c r="CF21" i="11" s="1"/>
  <c r="BJ28" i="10"/>
  <c r="BO8" i="10"/>
  <c r="BW8" i="10"/>
  <c r="CE9" i="10"/>
  <c r="CE8" i="10"/>
  <c r="E15" i="6"/>
  <c r="E20" i="11" s="1"/>
  <c r="E21" i="11" s="1"/>
  <c r="M15" i="6"/>
  <c r="M20" i="11" s="1"/>
  <c r="M21" i="11" s="1"/>
  <c r="U15" i="6"/>
  <c r="U20" i="11" s="1"/>
  <c r="U21" i="11" s="1"/>
  <c r="AC15" i="6"/>
  <c r="AC20" i="11" s="1"/>
  <c r="AC21" i="11" s="1"/>
  <c r="AK15" i="6"/>
  <c r="AK20" i="11" s="1"/>
  <c r="AK21" i="11" s="1"/>
  <c r="AS15" i="6"/>
  <c r="AS20" i="11" s="1"/>
  <c r="AS21" i="11" s="1"/>
  <c r="BA15" i="6"/>
  <c r="BA20" i="11" s="1"/>
  <c r="BA21" i="11" s="1"/>
  <c r="BI15" i="6"/>
  <c r="BI20" i="11" s="1"/>
  <c r="BI21" i="11" s="1"/>
  <c r="BQ15" i="6"/>
  <c r="BQ20" i="11" s="1"/>
  <c r="BQ21" i="11" s="1"/>
  <c r="BY15" i="6"/>
  <c r="BY20" i="11" s="1"/>
  <c r="BY21" i="11" s="1"/>
  <c r="CG15" i="6"/>
  <c r="CG20" i="11" s="1"/>
  <c r="CG21" i="11" s="1"/>
  <c r="G5" i="10"/>
  <c r="G6" i="10"/>
  <c r="O5" i="10"/>
  <c r="O6" i="10"/>
  <c r="W5" i="10"/>
  <c r="W6" i="10"/>
  <c r="AE5" i="10"/>
  <c r="AE6" i="10"/>
  <c r="AM5" i="10"/>
  <c r="AM6" i="10"/>
  <c r="AU5" i="10"/>
  <c r="AU6" i="10"/>
  <c r="BC5" i="10"/>
  <c r="BC6" i="10"/>
  <c r="BK5" i="10"/>
  <c r="BK6" i="10"/>
  <c r="BS5" i="10"/>
  <c r="BS6" i="10"/>
  <c r="CA5" i="10"/>
  <c r="CA6" i="10"/>
  <c r="CI5" i="10"/>
  <c r="CI6" i="10"/>
  <c r="G19" i="10"/>
  <c r="G13" i="10"/>
  <c r="G11" i="10"/>
  <c r="G3" i="10"/>
  <c r="O19" i="10"/>
  <c r="O13" i="10"/>
  <c r="O11" i="10"/>
  <c r="O3" i="10"/>
  <c r="W13" i="10"/>
  <c r="W11" i="10"/>
  <c r="W19" i="10"/>
  <c r="W3" i="10"/>
  <c r="AE13" i="10"/>
  <c r="AE11" i="10"/>
  <c r="AE19" i="10"/>
  <c r="AE3" i="10"/>
  <c r="AM19" i="10"/>
  <c r="AM13" i="10"/>
  <c r="AM11" i="10"/>
  <c r="AM3" i="10"/>
  <c r="AU19" i="10"/>
  <c r="AU13" i="10"/>
  <c r="AU11" i="10"/>
  <c r="AU3" i="10"/>
  <c r="BC19" i="10"/>
  <c r="BC11" i="10"/>
  <c r="BC13" i="10"/>
  <c r="BC3" i="10"/>
  <c r="BK19" i="10"/>
  <c r="BK11" i="10"/>
  <c r="BK3" i="10"/>
  <c r="BS19" i="10"/>
  <c r="BS13" i="10"/>
  <c r="BS11" i="10"/>
  <c r="BS3" i="10"/>
  <c r="CA19" i="10"/>
  <c r="CA11" i="10"/>
  <c r="CA3" i="10"/>
  <c r="CI13" i="10"/>
  <c r="CI11" i="10"/>
  <c r="CI19" i="10"/>
  <c r="CI3" i="10"/>
  <c r="BG3" i="10"/>
  <c r="BO3" i="10"/>
  <c r="BD19" i="10"/>
  <c r="BD13" i="10"/>
  <c r="L3" i="10"/>
  <c r="T3" i="10"/>
  <c r="AB3" i="10"/>
  <c r="AJ3" i="10"/>
  <c r="AR3" i="10"/>
  <c r="AZ3" i="10"/>
  <c r="BH3" i="10"/>
  <c r="BX3" i="10"/>
  <c r="L5" i="10"/>
  <c r="T5" i="10"/>
  <c r="AB5" i="10"/>
  <c r="AJ5" i="10"/>
  <c r="AR5" i="10"/>
  <c r="AZ5" i="10"/>
  <c r="BH5" i="10"/>
  <c r="BP5" i="10"/>
  <c r="BX5" i="10"/>
  <c r="CF5" i="10"/>
  <c r="J13" i="10"/>
  <c r="R13" i="10"/>
  <c r="Z13" i="10"/>
  <c r="AH13" i="10"/>
  <c r="AP13" i="10"/>
  <c r="AX13" i="10"/>
  <c r="I19" i="10"/>
  <c r="I17" i="10"/>
  <c r="Q19" i="10"/>
  <c r="Q17" i="10"/>
  <c r="Y19" i="10"/>
  <c r="Y17" i="10"/>
  <c r="AG19" i="10"/>
  <c r="AG17" i="10"/>
  <c r="AO19" i="10"/>
  <c r="AO17" i="10"/>
  <c r="AW19" i="10"/>
  <c r="AW17" i="10"/>
  <c r="BE19" i="10"/>
  <c r="BE17" i="10"/>
  <c r="BM19" i="10"/>
  <c r="BM17" i="10"/>
  <c r="BU19" i="10"/>
  <c r="BU17" i="10"/>
  <c r="CC19" i="10"/>
  <c r="CC17" i="10"/>
  <c r="E3" i="10"/>
  <c r="M3" i="10"/>
  <c r="U3" i="10"/>
  <c r="AC3" i="10"/>
  <c r="AK3" i="10"/>
  <c r="AS3" i="10"/>
  <c r="BA3" i="10"/>
  <c r="BI3" i="10"/>
  <c r="BQ3" i="10"/>
  <c r="BY3" i="10"/>
  <c r="K13" i="10"/>
  <c r="S13" i="10"/>
  <c r="AA13" i="10"/>
  <c r="AI13" i="10"/>
  <c r="AQ13" i="10"/>
  <c r="AY13" i="10"/>
  <c r="BG13" i="10"/>
  <c r="BO13" i="10"/>
  <c r="BW13" i="10"/>
  <c r="CE13" i="10"/>
  <c r="J19" i="10"/>
  <c r="J15" i="10"/>
  <c r="R19" i="10"/>
  <c r="R15" i="10"/>
  <c r="Z19" i="10"/>
  <c r="Z15" i="10"/>
  <c r="AH19" i="10"/>
  <c r="AH15" i="10"/>
  <c r="AP19" i="10"/>
  <c r="AP15" i="10"/>
  <c r="AX19" i="10"/>
  <c r="AX15" i="10"/>
  <c r="BF19" i="10"/>
  <c r="BF15" i="10"/>
  <c r="BN19" i="10"/>
  <c r="BN15" i="10"/>
  <c r="BV19" i="10"/>
  <c r="BV15" i="10"/>
  <c r="CD19" i="10"/>
  <c r="CD15" i="10"/>
  <c r="I6" i="10"/>
  <c r="Q6" i="10"/>
  <c r="Y6" i="10"/>
  <c r="AG6" i="10"/>
  <c r="AO6" i="10"/>
  <c r="AW6" i="10"/>
  <c r="BE6" i="10"/>
  <c r="BM6" i="10"/>
  <c r="BU6" i="10"/>
  <c r="CC6" i="10"/>
  <c r="H11" i="10"/>
  <c r="P11" i="10"/>
  <c r="X11" i="10"/>
  <c r="AF11" i="10"/>
  <c r="AN11" i="10"/>
  <c r="AV11" i="10"/>
  <c r="BD11" i="10"/>
  <c r="BL11" i="10"/>
  <c r="BT11" i="10"/>
  <c r="CB11" i="10"/>
  <c r="CJ11" i="10"/>
  <c r="L13" i="10"/>
  <c r="T13" i="10"/>
  <c r="AB13" i="10"/>
  <c r="AJ13" i="10"/>
  <c r="AR13" i="10"/>
  <c r="AZ13" i="10"/>
  <c r="BH13" i="10"/>
  <c r="BX13" i="10"/>
  <c r="J6" i="10"/>
  <c r="R6" i="10"/>
  <c r="Z6" i="10"/>
  <c r="AH6" i="10"/>
  <c r="AP6" i="10"/>
  <c r="AX6" i="10"/>
  <c r="BF6" i="10"/>
  <c r="BN6" i="10"/>
  <c r="BV6" i="10"/>
  <c r="CD6" i="10"/>
  <c r="I11" i="10"/>
  <c r="Q11" i="10"/>
  <c r="Y11" i="10"/>
  <c r="AG11" i="10"/>
  <c r="AO11" i="10"/>
  <c r="AW11" i="10"/>
  <c r="BE11" i="10"/>
  <c r="BM11" i="10"/>
  <c r="BU11" i="10"/>
  <c r="CC11" i="10"/>
  <c r="BP19" i="10"/>
  <c r="BP13" i="10"/>
  <c r="CF19" i="10"/>
  <c r="CF13" i="10"/>
  <c r="H3" i="10"/>
  <c r="P3" i="10"/>
  <c r="X3" i="10"/>
  <c r="AF3" i="10"/>
  <c r="AN3" i="10"/>
  <c r="AV3" i="10"/>
  <c r="BD3" i="10"/>
  <c r="BL3" i="10"/>
  <c r="BT3" i="10"/>
  <c r="CB3" i="10"/>
  <c r="CJ3" i="10"/>
  <c r="J11" i="10"/>
  <c r="R11" i="10"/>
  <c r="Z11" i="10"/>
  <c r="AH11" i="10"/>
  <c r="AP11" i="10"/>
  <c r="AX11" i="10"/>
  <c r="BF11" i="10"/>
  <c r="BN11" i="10"/>
  <c r="BV11" i="10"/>
  <c r="CD11" i="10"/>
  <c r="E19" i="10"/>
  <c r="E13" i="10"/>
  <c r="E11" i="10"/>
  <c r="M19" i="10"/>
  <c r="M13" i="10"/>
  <c r="M11" i="10"/>
  <c r="U19" i="10"/>
  <c r="U13" i="10"/>
  <c r="U11" i="10"/>
  <c r="AC19" i="10"/>
  <c r="AC13" i="10"/>
  <c r="AC11" i="10"/>
  <c r="AK19" i="10"/>
  <c r="AK13" i="10"/>
  <c r="AK11" i="10"/>
  <c r="AS19" i="10"/>
  <c r="AS13" i="10"/>
  <c r="AS11" i="10"/>
  <c r="BA19" i="10"/>
  <c r="BA11" i="10"/>
  <c r="BI19" i="10"/>
  <c r="BI11" i="10"/>
  <c r="BQ19" i="10"/>
  <c r="BQ11" i="10"/>
  <c r="BY19" i="10"/>
  <c r="BY11" i="10"/>
  <c r="CG19" i="10"/>
  <c r="CG11" i="10"/>
  <c r="I3" i="10"/>
  <c r="Q3" i="10"/>
  <c r="Y3" i="10"/>
  <c r="AG3" i="10"/>
  <c r="AO3" i="10"/>
  <c r="AW3" i="10"/>
  <c r="BE3" i="10"/>
  <c r="BM3" i="10"/>
  <c r="BU3" i="10"/>
  <c r="CC3" i="10"/>
  <c r="K11" i="10"/>
  <c r="S11" i="10"/>
  <c r="AA11" i="10"/>
  <c r="AI11" i="10"/>
  <c r="AQ11" i="10"/>
  <c r="AY11" i="10"/>
  <c r="BG11" i="10"/>
  <c r="BO11" i="10"/>
  <c r="BW11" i="10"/>
  <c r="CE11" i="10"/>
  <c r="BK13" i="10"/>
  <c r="CA13" i="10"/>
  <c r="F19" i="10"/>
  <c r="F21" i="10"/>
  <c r="F13" i="10"/>
  <c r="F11" i="10"/>
  <c r="N19" i="10"/>
  <c r="N21" i="10"/>
  <c r="N13" i="10"/>
  <c r="N11" i="10"/>
  <c r="V19" i="10"/>
  <c r="V13" i="10"/>
  <c r="V11" i="10"/>
  <c r="V21" i="10"/>
  <c r="AD19" i="10"/>
  <c r="AD21" i="10"/>
  <c r="AD13" i="10"/>
  <c r="AD11" i="10"/>
  <c r="AL19" i="10"/>
  <c r="AL21" i="10"/>
  <c r="AL13" i="10"/>
  <c r="AL11" i="10"/>
  <c r="AT19" i="10"/>
  <c r="AT21" i="10"/>
  <c r="AT13" i="10"/>
  <c r="AT11" i="10"/>
  <c r="BB19" i="10"/>
  <c r="BB21" i="10"/>
  <c r="BB11" i="10"/>
  <c r="BB13" i="10"/>
  <c r="BJ19" i="10"/>
  <c r="BJ21" i="10"/>
  <c r="BJ11" i="10"/>
  <c r="BR19" i="10"/>
  <c r="BR21" i="10"/>
  <c r="BR11" i="10"/>
  <c r="BZ19" i="10"/>
  <c r="BZ21" i="10"/>
  <c r="BZ11" i="10"/>
  <c r="CH19" i="10"/>
  <c r="CH11" i="10"/>
  <c r="CH21" i="10"/>
  <c r="J3" i="10"/>
  <c r="R3" i="10"/>
  <c r="Z3" i="10"/>
  <c r="AH3" i="10"/>
  <c r="AP3" i="10"/>
  <c r="AX3" i="10"/>
  <c r="BF3" i="10"/>
  <c r="BN3" i="10"/>
  <c r="BV3" i="10"/>
  <c r="CD3" i="10"/>
  <c r="L11" i="10"/>
  <c r="T11" i="10"/>
  <c r="AB11" i="10"/>
  <c r="AJ11" i="10"/>
  <c r="AR11" i="10"/>
  <c r="AZ11" i="10"/>
  <c r="BH11" i="10"/>
  <c r="BP11" i="10"/>
  <c r="BX11" i="10"/>
  <c r="CF11" i="10"/>
  <c r="H13" i="10"/>
  <c r="P13" i="10"/>
  <c r="X13" i="10"/>
  <c r="AF13" i="10"/>
  <c r="AN13" i="10"/>
  <c r="AV13" i="10"/>
  <c r="K17" i="10"/>
  <c r="S17" i="10"/>
  <c r="AA17" i="10"/>
  <c r="AI17" i="10"/>
  <c r="AQ17" i="10"/>
  <c r="AY17" i="10"/>
  <c r="BG17" i="10"/>
  <c r="BO17" i="10"/>
  <c r="BW17" i="10"/>
  <c r="CE17" i="10"/>
  <c r="K21" i="10"/>
  <c r="S21" i="10"/>
  <c r="AA21" i="10"/>
  <c r="AI21" i="10"/>
  <c r="AQ21" i="10"/>
  <c r="AY21" i="10"/>
  <c r="BG21" i="10"/>
  <c r="BO21" i="10"/>
  <c r="BW21" i="10"/>
  <c r="CE21" i="10"/>
  <c r="BF13" i="10"/>
  <c r="BN13" i="10"/>
  <c r="BV13" i="10"/>
  <c r="CD13" i="10"/>
  <c r="K15" i="10"/>
  <c r="S15" i="10"/>
  <c r="AA15" i="10"/>
  <c r="AI15" i="10"/>
  <c r="AQ15" i="10"/>
  <c r="AY15" i="10"/>
  <c r="BG15" i="10"/>
  <c r="BO15" i="10"/>
  <c r="BW15" i="10"/>
  <c r="CE15" i="10"/>
  <c r="L17" i="10"/>
  <c r="T17" i="10"/>
  <c r="AB17" i="10"/>
  <c r="AJ17" i="10"/>
  <c r="AR17" i="10"/>
  <c r="AZ17" i="10"/>
  <c r="BH17" i="10"/>
  <c r="BP17" i="10"/>
  <c r="BX17" i="10"/>
  <c r="CF17" i="10"/>
  <c r="L21" i="10"/>
  <c r="T21" i="10"/>
  <c r="AB21" i="10"/>
  <c r="AJ21" i="10"/>
  <c r="AR21" i="10"/>
  <c r="AZ21" i="10"/>
  <c r="BH21" i="10"/>
  <c r="BP21" i="10"/>
  <c r="BX21" i="10"/>
  <c r="CF21" i="10"/>
  <c r="L15" i="10"/>
  <c r="T15" i="10"/>
  <c r="AB15" i="10"/>
  <c r="AJ15" i="10"/>
  <c r="AR15" i="10"/>
  <c r="AZ15" i="10"/>
  <c r="BH15" i="10"/>
  <c r="BP15" i="10"/>
  <c r="BX15" i="10"/>
  <c r="CF15" i="10"/>
  <c r="E17" i="10"/>
  <c r="M17" i="10"/>
  <c r="U17" i="10"/>
  <c r="AC17" i="10"/>
  <c r="AK17" i="10"/>
  <c r="AS17" i="10"/>
  <c r="BA17" i="10"/>
  <c r="BI17" i="10"/>
  <c r="BQ17" i="10"/>
  <c r="BY17" i="10"/>
  <c r="CG17" i="10"/>
  <c r="E21" i="10"/>
  <c r="M21" i="10"/>
  <c r="U21" i="10"/>
  <c r="AC21" i="10"/>
  <c r="AK21" i="10"/>
  <c r="AS21" i="10"/>
  <c r="BA21" i="10"/>
  <c r="BI21" i="10"/>
  <c r="BQ21" i="10"/>
  <c r="BY21" i="10"/>
  <c r="CG21" i="10"/>
  <c r="E15" i="10"/>
  <c r="M15" i="10"/>
  <c r="U15" i="10"/>
  <c r="AC15" i="10"/>
  <c r="AK15" i="10"/>
  <c r="AS15" i="10"/>
  <c r="BA15" i="10"/>
  <c r="BI15" i="10"/>
  <c r="BQ15" i="10"/>
  <c r="BY15" i="10"/>
  <c r="CG15" i="10"/>
  <c r="F17" i="10"/>
  <c r="N17" i="10"/>
  <c r="V17" i="10"/>
  <c r="AD17" i="10"/>
  <c r="AL17" i="10"/>
  <c r="AT17" i="10"/>
  <c r="BB17" i="10"/>
  <c r="BJ17" i="10"/>
  <c r="BR17" i="10"/>
  <c r="BZ17" i="10"/>
  <c r="CH17" i="10"/>
  <c r="BA13" i="10"/>
  <c r="BI13" i="10"/>
  <c r="BQ13" i="10"/>
  <c r="BY13" i="10"/>
  <c r="CG13" i="10"/>
  <c r="F15" i="10"/>
  <c r="N15" i="10"/>
  <c r="V15" i="10"/>
  <c r="AD15" i="10"/>
  <c r="AL15" i="10"/>
  <c r="AT15" i="10"/>
  <c r="BB15" i="10"/>
  <c r="BJ15" i="10"/>
  <c r="BR15" i="10"/>
  <c r="BZ15" i="10"/>
  <c r="CH15" i="10"/>
  <c r="G17" i="10"/>
  <c r="O17" i="10"/>
  <c r="W17" i="10"/>
  <c r="AE17" i="10"/>
  <c r="AM17" i="10"/>
  <c r="AU17" i="10"/>
  <c r="BC17" i="10"/>
  <c r="BK17" i="10"/>
  <c r="BS17" i="10"/>
  <c r="CA17" i="10"/>
  <c r="CI17" i="10"/>
  <c r="G21" i="10"/>
  <c r="O21" i="10"/>
  <c r="W21" i="10"/>
  <c r="AE21" i="10"/>
  <c r="AM21" i="10"/>
  <c r="AU21" i="10"/>
  <c r="BC21" i="10"/>
  <c r="BK21" i="10"/>
  <c r="BS21" i="10"/>
  <c r="CA21" i="10"/>
  <c r="CI21" i="10"/>
  <c r="BJ13" i="10"/>
  <c r="BR13" i="10"/>
  <c r="BZ13" i="10"/>
  <c r="CH13" i="10"/>
  <c r="G15" i="10"/>
  <c r="O15" i="10"/>
  <c r="W15" i="10"/>
  <c r="AE15" i="10"/>
  <c r="AM15" i="10"/>
  <c r="AU15" i="10"/>
  <c r="BC15" i="10"/>
  <c r="BK15" i="10"/>
  <c r="BS15" i="10"/>
  <c r="CA15" i="10"/>
  <c r="CI15" i="10"/>
  <c r="H17" i="10"/>
  <c r="P17" i="10"/>
  <c r="X17" i="10"/>
  <c r="AF17" i="10"/>
  <c r="AN17" i="10"/>
  <c r="AV17" i="10"/>
  <c r="BD17" i="10"/>
  <c r="BL17" i="10"/>
  <c r="BT17" i="10"/>
  <c r="CB17" i="10"/>
  <c r="CJ17" i="10"/>
  <c r="H21" i="10"/>
  <c r="P21" i="10"/>
  <c r="X21" i="10"/>
  <c r="AF21" i="10"/>
  <c r="AN21" i="10"/>
  <c r="AV21" i="10"/>
  <c r="BD21" i="10"/>
  <c r="BL21" i="10"/>
  <c r="BT21" i="10"/>
  <c r="CB21" i="10"/>
  <c r="CJ21" i="10"/>
  <c r="H15" i="10"/>
  <c r="P15" i="10"/>
  <c r="X15" i="10"/>
  <c r="AF15" i="10"/>
  <c r="AN15" i="10"/>
  <c r="AV15" i="10"/>
  <c r="BD15" i="10"/>
  <c r="BL15" i="10"/>
  <c r="BT15" i="10"/>
  <c r="CB15" i="10"/>
  <c r="CJ15" i="10"/>
  <c r="I21" i="10"/>
  <c r="Q21" i="10"/>
  <c r="Y21" i="10"/>
  <c r="AG21" i="10"/>
  <c r="AO21" i="10"/>
  <c r="AW21" i="10"/>
  <c r="BE21" i="10"/>
  <c r="BM21" i="10"/>
  <c r="BU21" i="10"/>
  <c r="CC21" i="10"/>
  <c r="BL13" i="10"/>
  <c r="BT13" i="10"/>
  <c r="CB13" i="10"/>
  <c r="CJ13" i="10"/>
  <c r="I15" i="10"/>
  <c r="Q15" i="10"/>
  <c r="Y15" i="10"/>
  <c r="AG15" i="10"/>
  <c r="AO15" i="10"/>
  <c r="AW15" i="10"/>
  <c r="BE15" i="10"/>
  <c r="BM15" i="10"/>
  <c r="BU15" i="10"/>
  <c r="CC15" i="10"/>
  <c r="J17" i="10"/>
  <c r="R17" i="10"/>
  <c r="Z17" i="10"/>
  <c r="AH17" i="10"/>
  <c r="AP17" i="10"/>
  <c r="AX17" i="10"/>
  <c r="BF17" i="10"/>
  <c r="BN17" i="10"/>
  <c r="BV17" i="10"/>
  <c r="CD17" i="10"/>
  <c r="J21" i="10"/>
  <c r="R21" i="10"/>
  <c r="Z21" i="10"/>
  <c r="AH21" i="10"/>
  <c r="AP21" i="10"/>
  <c r="AX21" i="10"/>
  <c r="BF21" i="10"/>
  <c r="BN21" i="10"/>
  <c r="BV21" i="10"/>
  <c r="CD21" i="10"/>
  <c r="K69" i="11"/>
  <c r="K70" i="11" s="1"/>
  <c r="S69" i="11"/>
  <c r="S70" i="11" s="1"/>
  <c r="AA69" i="11"/>
  <c r="AA70" i="11" s="1"/>
  <c r="AI69" i="11"/>
  <c r="AI70" i="11" s="1"/>
  <c r="AQ69" i="11"/>
  <c r="AQ70" i="11" s="1"/>
  <c r="AY69" i="11"/>
  <c r="AY70" i="11" s="1"/>
  <c r="BG69" i="11"/>
  <c r="BG70" i="11" s="1"/>
  <c r="BO69" i="11"/>
  <c r="BO70" i="11" s="1"/>
  <c r="BW69" i="11"/>
  <c r="BW70" i="11" s="1"/>
  <c r="CE69" i="11"/>
  <c r="CE70" i="11" s="1"/>
  <c r="L69" i="11"/>
  <c r="L70" i="11" s="1"/>
  <c r="AB69" i="11"/>
  <c r="AB70" i="11" s="1"/>
  <c r="AJ69" i="11"/>
  <c r="AJ70" i="11" s="1"/>
  <c r="AR69" i="11"/>
  <c r="AR70" i="11" s="1"/>
  <c r="AZ69" i="11"/>
  <c r="AZ70" i="11" s="1"/>
  <c r="BH69" i="11"/>
  <c r="BH70" i="11" s="1"/>
  <c r="BP69" i="11"/>
  <c r="BP70" i="11" s="1"/>
  <c r="BX69" i="11"/>
  <c r="BX70" i="11" s="1"/>
  <c r="CF69" i="11"/>
  <c r="CF70" i="11" s="1"/>
  <c r="U69" i="11"/>
  <c r="U70" i="11" s="1"/>
  <c r="AC69" i="11"/>
  <c r="AC70" i="11" s="1"/>
  <c r="AK69" i="11"/>
  <c r="AK70" i="11" s="1"/>
  <c r="AS69" i="11"/>
  <c r="AS70" i="11" s="1"/>
  <c r="BA69" i="11"/>
  <c r="BA70" i="11" s="1"/>
  <c r="BI69" i="11"/>
  <c r="BI70" i="11" s="1"/>
  <c r="BQ69" i="11"/>
  <c r="BQ70" i="11" s="1"/>
  <c r="BY69" i="11"/>
  <c r="BY70" i="11" s="1"/>
  <c r="CG69" i="11"/>
  <c r="CG70" i="11" s="1"/>
  <c r="F69" i="11"/>
  <c r="F70" i="11" s="1"/>
  <c r="V69" i="11"/>
  <c r="V70" i="11" s="1"/>
  <c r="AD69" i="11"/>
  <c r="AD70" i="11" s="1"/>
  <c r="AL69" i="11"/>
  <c r="AL70" i="11" s="1"/>
  <c r="AT69" i="11"/>
  <c r="AT70" i="11" s="1"/>
  <c r="BB69" i="11"/>
  <c r="BB70" i="11" s="1"/>
  <c r="BJ69" i="11"/>
  <c r="BJ70" i="11" s="1"/>
  <c r="BR69" i="11"/>
  <c r="BR70" i="11" s="1"/>
  <c r="BR74" i="11" s="1"/>
  <c r="BZ69" i="11"/>
  <c r="BZ70" i="11" s="1"/>
  <c r="CH69" i="11"/>
  <c r="CH70" i="11" s="1"/>
  <c r="CH74" i="11" s="1"/>
  <c r="AM69" i="11"/>
  <c r="AM70" i="11" s="1"/>
  <c r="AU69" i="11"/>
  <c r="AU70" i="11" s="1"/>
  <c r="BC69" i="11"/>
  <c r="BC70" i="11" s="1"/>
  <c r="BK69" i="11"/>
  <c r="BK70" i="11" s="1"/>
  <c r="BS69" i="11"/>
  <c r="BS70" i="11" s="1"/>
  <c r="CA69" i="11"/>
  <c r="CA70" i="11" s="1"/>
  <c r="CI69" i="11"/>
  <c r="CI70" i="11" s="1"/>
  <c r="H69" i="11"/>
  <c r="H70" i="11" s="1"/>
  <c r="P69" i="11"/>
  <c r="P70" i="11" s="1"/>
  <c r="X69" i="11"/>
  <c r="X70" i="11" s="1"/>
  <c r="AF69" i="11"/>
  <c r="AF70" i="11" s="1"/>
  <c r="AN69" i="11"/>
  <c r="AN70" i="11" s="1"/>
  <c r="AV69" i="11"/>
  <c r="AV70" i="11" s="1"/>
  <c r="BD69" i="11"/>
  <c r="BD70" i="11" s="1"/>
  <c r="BL69" i="11"/>
  <c r="BL70" i="11" s="1"/>
  <c r="BT69" i="11"/>
  <c r="BT70" i="11" s="1"/>
  <c r="CB69" i="11"/>
  <c r="CB70" i="11" s="1"/>
  <c r="CB74" i="11" s="1"/>
  <c r="CJ69" i="11"/>
  <c r="CJ70" i="11" s="1"/>
  <c r="I69" i="11"/>
  <c r="I70" i="11" s="1"/>
  <c r="Q69" i="11"/>
  <c r="Q70" i="11" s="1"/>
  <c r="Y69" i="11"/>
  <c r="Y70" i="11" s="1"/>
  <c r="AG69" i="11"/>
  <c r="AG70" i="11" s="1"/>
  <c r="AO69" i="11"/>
  <c r="AO70" i="11" s="1"/>
  <c r="AW69" i="11"/>
  <c r="AW70" i="11" s="1"/>
  <c r="BE69" i="11"/>
  <c r="BE70" i="11" s="1"/>
  <c r="BE74" i="11" s="1"/>
  <c r="BM69" i="11"/>
  <c r="BM70" i="11" s="1"/>
  <c r="BU69" i="11"/>
  <c r="BU70" i="11" s="1"/>
  <c r="CC69" i="11"/>
  <c r="CC70" i="11" s="1"/>
  <c r="J69" i="11"/>
  <c r="J70" i="11" s="1"/>
  <c r="R69" i="11"/>
  <c r="R70" i="11" s="1"/>
  <c r="Z69" i="11"/>
  <c r="Z70" i="11" s="1"/>
  <c r="AH69" i="11"/>
  <c r="AH70" i="11" s="1"/>
  <c r="AP69" i="11"/>
  <c r="AP70" i="11" s="1"/>
  <c r="AX69" i="11"/>
  <c r="AX70" i="11" s="1"/>
  <c r="BF69" i="11"/>
  <c r="BF70" i="11" s="1"/>
  <c r="BN69" i="11"/>
  <c r="BN70" i="11" s="1"/>
  <c r="BV69" i="11"/>
  <c r="BV70" i="11" s="1"/>
  <c r="CD69" i="11"/>
  <c r="CD70" i="11" s="1"/>
  <c r="AT72" i="11"/>
  <c r="AT73" i="11" s="1"/>
  <c r="BB72" i="11"/>
  <c r="BB73" i="11" s="1"/>
  <c r="BJ72" i="11"/>
  <c r="BJ73" i="11" s="1"/>
  <c r="BR72" i="11"/>
  <c r="BR73" i="11" s="1"/>
  <c r="BZ72" i="11"/>
  <c r="BZ73" i="11" s="1"/>
  <c r="CH72" i="11"/>
  <c r="CH73" i="11" s="1"/>
  <c r="AE8" i="8"/>
  <c r="AB3" i="11"/>
  <c r="AM8" i="8"/>
  <c r="AJ3" i="11"/>
  <c r="G8" i="8"/>
  <c r="O8" i="8"/>
  <c r="L3" i="11"/>
  <c r="W8" i="8"/>
  <c r="T3" i="11"/>
  <c r="H8" i="8"/>
  <c r="P8" i="8"/>
  <c r="X8" i="8"/>
  <c r="AF8" i="8"/>
  <c r="AN8" i="8"/>
  <c r="E3" i="11"/>
  <c r="M3" i="11"/>
  <c r="U3" i="11"/>
  <c r="AC3" i="11"/>
  <c r="AK3" i="11"/>
  <c r="B10" i="13"/>
  <c r="I8" i="8"/>
  <c r="Q8" i="8"/>
  <c r="Y8" i="8"/>
  <c r="AG8" i="8"/>
  <c r="AO8" i="8"/>
  <c r="F3" i="11"/>
  <c r="N3" i="11"/>
  <c r="V3" i="11"/>
  <c r="AD3" i="11"/>
  <c r="AL3" i="11"/>
  <c r="B29" i="13"/>
  <c r="J8" i="8"/>
  <c r="R8" i="8"/>
  <c r="Z8" i="8"/>
  <c r="AH8" i="8"/>
  <c r="AP8" i="8"/>
  <c r="K8" i="8"/>
  <c r="S8" i="8"/>
  <c r="AA8" i="8"/>
  <c r="AI8" i="8"/>
  <c r="AQ8" i="8"/>
  <c r="B108" i="5"/>
  <c r="I31" i="9"/>
  <c r="Q31" i="9"/>
  <c r="Y31" i="9"/>
  <c r="AG31" i="9"/>
  <c r="I65" i="11"/>
  <c r="I66" i="11" s="1"/>
  <c r="Q65" i="11"/>
  <c r="Q66" i="11" s="1"/>
  <c r="Y65" i="11"/>
  <c r="Y66" i="11" s="1"/>
  <c r="AG65" i="11"/>
  <c r="AG66" i="11" s="1"/>
  <c r="AO65" i="11"/>
  <c r="AO66" i="11" s="1"/>
  <c r="F72" i="11"/>
  <c r="F73" i="11" s="1"/>
  <c r="N72" i="11"/>
  <c r="N73" i="11" s="1"/>
  <c r="V72" i="11"/>
  <c r="V73" i="11" s="1"/>
  <c r="AD72" i="11"/>
  <c r="AD73" i="11" s="1"/>
  <c r="AL72" i="11"/>
  <c r="AL73" i="11" s="1"/>
  <c r="W30" i="9"/>
  <c r="AE30" i="9"/>
  <c r="AM30" i="9"/>
  <c r="G30" i="9"/>
  <c r="O30" i="9"/>
  <c r="N69" i="11"/>
  <c r="N70" i="11" s="1"/>
  <c r="G69" i="11"/>
  <c r="G70" i="11" s="1"/>
  <c r="O69" i="11"/>
  <c r="O70" i="11" s="1"/>
  <c r="W69" i="11"/>
  <c r="W70" i="11" s="1"/>
  <c r="AE69" i="11"/>
  <c r="AE70" i="11" s="1"/>
  <c r="T69" i="11"/>
  <c r="T70" i="11" s="1"/>
  <c r="E69" i="11"/>
  <c r="E70" i="11" s="1"/>
  <c r="M69" i="11"/>
  <c r="M70" i="11" s="1"/>
  <c r="S65" i="11"/>
  <c r="S66" i="11" s="1"/>
  <c r="AA65" i="11"/>
  <c r="AA66" i="11" s="1"/>
  <c r="AQ65" i="11"/>
  <c r="AQ66" i="11" s="1"/>
  <c r="AE65" i="11"/>
  <c r="AE66" i="11" s="1"/>
  <c r="AM65" i="11"/>
  <c r="AM66" i="11" s="1"/>
  <c r="J76" i="11"/>
  <c r="R76" i="11"/>
  <c r="Z76" i="11"/>
  <c r="AH76" i="11"/>
  <c r="AP76" i="11"/>
  <c r="K76" i="11"/>
  <c r="S76" i="11"/>
  <c r="AA76" i="11"/>
  <c r="AI76" i="11"/>
  <c r="AQ76" i="11"/>
  <c r="L76" i="11"/>
  <c r="T76" i="11"/>
  <c r="AB76" i="11"/>
  <c r="AJ76" i="11"/>
  <c r="E76" i="11"/>
  <c r="M76" i="11"/>
  <c r="U76" i="11"/>
  <c r="AC76" i="11"/>
  <c r="AK76" i="11"/>
  <c r="G76" i="11"/>
  <c r="O76" i="11"/>
  <c r="W76" i="11"/>
  <c r="AE76" i="11"/>
  <c r="AM76" i="11"/>
  <c r="H76" i="11"/>
  <c r="P76" i="11"/>
  <c r="X76" i="11"/>
  <c r="AF76" i="11"/>
  <c r="AN76" i="11"/>
  <c r="I76" i="11"/>
  <c r="Q76" i="11"/>
  <c r="Y76" i="11"/>
  <c r="AG76" i="11"/>
  <c r="AO76" i="11"/>
  <c r="AB43" i="11"/>
  <c r="AD43" i="11"/>
  <c r="AL43" i="11"/>
  <c r="I43" i="11"/>
  <c r="Q43" i="11"/>
  <c r="Y43" i="11"/>
  <c r="AG43" i="11"/>
  <c r="AO43" i="11"/>
  <c r="K43" i="11"/>
  <c r="S43" i="11"/>
  <c r="AA43" i="11"/>
  <c r="AI43" i="11"/>
  <c r="AQ43" i="11"/>
  <c r="X54" i="11"/>
  <c r="X55" i="11" s="1"/>
  <c r="X2" i="9"/>
  <c r="X16" i="9" s="1"/>
  <c r="X35" i="7"/>
  <c r="T22" i="7" s="1"/>
  <c r="AG54" i="11"/>
  <c r="AG55" i="11" s="1"/>
  <c r="AG2" i="9"/>
  <c r="AG16" i="9" s="1"/>
  <c r="J54" i="11"/>
  <c r="J55" i="11" s="1"/>
  <c r="J2" i="9"/>
  <c r="J35" i="7"/>
  <c r="F22" i="7" s="1"/>
  <c r="R54" i="11"/>
  <c r="R55" i="11" s="1"/>
  <c r="R2" i="9"/>
  <c r="R35" i="7"/>
  <c r="N22" i="7" s="1"/>
  <c r="Z54" i="11"/>
  <c r="Z55" i="11" s="1"/>
  <c r="Z2" i="9"/>
  <c r="V22" i="7"/>
  <c r="AH54" i="11"/>
  <c r="AH55" i="11" s="1"/>
  <c r="AH2" i="9"/>
  <c r="AP54" i="11"/>
  <c r="AP55" i="11" s="1"/>
  <c r="AP2" i="9"/>
  <c r="AX54" i="11"/>
  <c r="AX55" i="11" s="1"/>
  <c r="AX2" i="9"/>
  <c r="BF54" i="11"/>
  <c r="BF55" i="11" s="1"/>
  <c r="BF2" i="9"/>
  <c r="BN54" i="11"/>
  <c r="BN55" i="11" s="1"/>
  <c r="BN2" i="9"/>
  <c r="BV54" i="11"/>
  <c r="BV55" i="11" s="1"/>
  <c r="BV2" i="9"/>
  <c r="CD54" i="11"/>
  <c r="CD55" i="11" s="1"/>
  <c r="CD2" i="9"/>
  <c r="J50" i="5"/>
  <c r="R50" i="5"/>
  <c r="Z50" i="5"/>
  <c r="AH50" i="5"/>
  <c r="AP50" i="5"/>
  <c r="AX50" i="5"/>
  <c r="BF50" i="5"/>
  <c r="BN50" i="5"/>
  <c r="BV50" i="5"/>
  <c r="CD50" i="5"/>
  <c r="J52" i="11"/>
  <c r="J53" i="11" s="1"/>
  <c r="J7" i="9"/>
  <c r="R52" i="11"/>
  <c r="R53" i="11" s="1"/>
  <c r="R7" i="9"/>
  <c r="Z52" i="11"/>
  <c r="Z53" i="11" s="1"/>
  <c r="Z7" i="9"/>
  <c r="AH52" i="11"/>
  <c r="AH53" i="11" s="1"/>
  <c r="AH7" i="9"/>
  <c r="AP52" i="11"/>
  <c r="AP53" i="11" s="1"/>
  <c r="AP7" i="9"/>
  <c r="AX52" i="11"/>
  <c r="AX53" i="11" s="1"/>
  <c r="AX7" i="9"/>
  <c r="BF52" i="11"/>
  <c r="BF53" i="11" s="1"/>
  <c r="BF7" i="9"/>
  <c r="BN52" i="11"/>
  <c r="BN53" i="11" s="1"/>
  <c r="BN7" i="9"/>
  <c r="BV52" i="11"/>
  <c r="BV53" i="11" s="1"/>
  <c r="BV7" i="9"/>
  <c r="CD52" i="11"/>
  <c r="CD53" i="11" s="1"/>
  <c r="CD7" i="9"/>
  <c r="AZ89" i="5"/>
  <c r="L54" i="11"/>
  <c r="L55" i="11" s="1"/>
  <c r="L2" i="9"/>
  <c r="L35" i="7"/>
  <c r="H22" i="7" s="1"/>
  <c r="Q54" i="11"/>
  <c r="Q55" i="11" s="1"/>
  <c r="Q2" i="9"/>
  <c r="Q35" i="7"/>
  <c r="M22" i="7" s="1"/>
  <c r="AO54" i="11"/>
  <c r="AO55" i="11" s="1"/>
  <c r="AO2" i="9"/>
  <c r="AO16" i="9" s="1"/>
  <c r="BE54" i="11"/>
  <c r="BE55" i="11" s="1"/>
  <c r="BE2" i="9"/>
  <c r="CC54" i="11"/>
  <c r="CC55" i="11" s="1"/>
  <c r="CC2" i="9"/>
  <c r="CC16" i="9" s="1"/>
  <c r="K54" i="11"/>
  <c r="K55" i="11" s="1"/>
  <c r="K2" i="9"/>
  <c r="K35" i="7"/>
  <c r="G22" i="7" s="1"/>
  <c r="S54" i="11"/>
  <c r="S55" i="11" s="1"/>
  <c r="S2" i="9"/>
  <c r="S35" i="7"/>
  <c r="O22" i="7" s="1"/>
  <c r="O23" i="7" s="1"/>
  <c r="AA54" i="11"/>
  <c r="AA55" i="11" s="1"/>
  <c r="AA2" i="9"/>
  <c r="W22" i="7"/>
  <c r="AI54" i="11"/>
  <c r="AI55" i="11" s="1"/>
  <c r="AI2" i="9"/>
  <c r="AQ54" i="11"/>
  <c r="AQ55" i="11" s="1"/>
  <c r="AQ2" i="9"/>
  <c r="AY54" i="11"/>
  <c r="AY55" i="11" s="1"/>
  <c r="AY2" i="9"/>
  <c r="AY16" i="9" s="1"/>
  <c r="BG54" i="11"/>
  <c r="BG55" i="11" s="1"/>
  <c r="BG2" i="9"/>
  <c r="BO54" i="11"/>
  <c r="BO55" i="11" s="1"/>
  <c r="BO2" i="9"/>
  <c r="BO16" i="9" s="1"/>
  <c r="BW54" i="11"/>
  <c r="BW55" i="11" s="1"/>
  <c r="BW2" i="9"/>
  <c r="BW16" i="9" s="1"/>
  <c r="CE54" i="11"/>
  <c r="CE55" i="11" s="1"/>
  <c r="CE2" i="9"/>
  <c r="K50" i="5"/>
  <c r="S50" i="5"/>
  <c r="AA50" i="5"/>
  <c r="AI50" i="5"/>
  <c r="AQ50" i="5"/>
  <c r="AY50" i="5"/>
  <c r="BG50" i="5"/>
  <c r="BO50" i="5"/>
  <c r="BW50" i="5"/>
  <c r="CE50" i="5"/>
  <c r="K52" i="11"/>
  <c r="K53" i="11" s="1"/>
  <c r="K7" i="9"/>
  <c r="S52" i="11"/>
  <c r="S53" i="11" s="1"/>
  <c r="S7" i="9"/>
  <c r="AA52" i="11"/>
  <c r="AA53" i="11" s="1"/>
  <c r="AA7" i="9"/>
  <c r="AI52" i="11"/>
  <c r="AI53" i="11" s="1"/>
  <c r="AI7" i="9"/>
  <c r="AQ52" i="11"/>
  <c r="AQ53" i="11" s="1"/>
  <c r="AQ7" i="9"/>
  <c r="AY52" i="11"/>
  <c r="AY53" i="11" s="1"/>
  <c r="AY7" i="9"/>
  <c r="BG52" i="11"/>
  <c r="BG53" i="11" s="1"/>
  <c r="BG7" i="9"/>
  <c r="BO52" i="11"/>
  <c r="BO7" i="9"/>
  <c r="BW52" i="11"/>
  <c r="BW53" i="11" s="1"/>
  <c r="BW7" i="9"/>
  <c r="CE52" i="11"/>
  <c r="CE53" i="11" s="1"/>
  <c r="CE7" i="9"/>
  <c r="I10" i="9"/>
  <c r="I89" i="5"/>
  <c r="BH89" i="5"/>
  <c r="T54" i="11"/>
  <c r="T55" i="11" s="1"/>
  <c r="T2" i="9"/>
  <c r="T35" i="7"/>
  <c r="P22" i="7" s="1"/>
  <c r="AZ54" i="11"/>
  <c r="AZ55" i="11" s="1"/>
  <c r="AZ2" i="9"/>
  <c r="AZ16" i="9" s="1"/>
  <c r="CF54" i="11"/>
  <c r="CF2" i="9"/>
  <c r="L50" i="5"/>
  <c r="T50" i="5"/>
  <c r="AB50" i="5"/>
  <c r="AJ50" i="5"/>
  <c r="AR50" i="5"/>
  <c r="AZ50" i="5"/>
  <c r="BH50" i="5"/>
  <c r="BP50" i="5"/>
  <c r="BX50" i="5"/>
  <c r="CF50" i="5"/>
  <c r="L52" i="11"/>
  <c r="L53" i="11" s="1"/>
  <c r="L7" i="9"/>
  <c r="T52" i="11"/>
  <c r="T53" i="11" s="1"/>
  <c r="T7" i="9"/>
  <c r="AB52" i="11"/>
  <c r="AB53" i="11" s="1"/>
  <c r="AB7" i="9"/>
  <c r="AJ52" i="11"/>
  <c r="AJ53" i="11" s="1"/>
  <c r="AJ7" i="9"/>
  <c r="AR52" i="11"/>
  <c r="AR53" i="11" s="1"/>
  <c r="AR7" i="9"/>
  <c r="AZ52" i="11"/>
  <c r="AZ53" i="11" s="1"/>
  <c r="AZ7" i="9"/>
  <c r="BH52" i="11"/>
  <c r="BH53" i="11" s="1"/>
  <c r="BH7" i="9"/>
  <c r="BP52" i="11"/>
  <c r="BP7" i="9"/>
  <c r="BX52" i="11"/>
  <c r="BX53" i="11" s="1"/>
  <c r="BX7" i="9"/>
  <c r="CF52" i="11"/>
  <c r="CF53" i="11" s="1"/>
  <c r="CF7" i="9"/>
  <c r="J10" i="9"/>
  <c r="J89" i="5"/>
  <c r="R10" i="9"/>
  <c r="R78" i="9" s="1"/>
  <c r="R79" i="9" s="1"/>
  <c r="R89" i="5"/>
  <c r="Z10" i="9"/>
  <c r="Z89" i="5"/>
  <c r="AH10" i="9"/>
  <c r="AH34" i="9" s="1"/>
  <c r="AH89" i="5"/>
  <c r="AP10" i="9"/>
  <c r="AL34" i="9" s="1"/>
  <c r="AP89" i="5"/>
  <c r="AX10" i="9"/>
  <c r="AX89" i="5"/>
  <c r="BF10" i="9"/>
  <c r="BF34" i="9" s="1"/>
  <c r="BF89" i="5"/>
  <c r="BN10" i="9"/>
  <c r="BJ34" i="9" s="1"/>
  <c r="BN89" i="5"/>
  <c r="BV10" i="9"/>
  <c r="BR34" i="9" s="1"/>
  <c r="BV89" i="5"/>
  <c r="CD10" i="9"/>
  <c r="CD34" i="9" s="1"/>
  <c r="CD89" i="5"/>
  <c r="BP89" i="5"/>
  <c r="AB54" i="11"/>
  <c r="AB55" i="11" s="1"/>
  <c r="AB2" i="9"/>
  <c r="AB16" i="9" s="1"/>
  <c r="X22" i="7"/>
  <c r="BH54" i="11"/>
  <c r="BH55" i="11" s="1"/>
  <c r="BH2" i="9"/>
  <c r="BH16" i="9" s="1"/>
  <c r="M54" i="11"/>
  <c r="M55" i="11" s="1"/>
  <c r="M2" i="9"/>
  <c r="M35" i="7"/>
  <c r="I22" i="7" s="1"/>
  <c r="I23" i="7" s="1"/>
  <c r="U54" i="11"/>
  <c r="U55" i="11" s="1"/>
  <c r="U2" i="9"/>
  <c r="U35" i="7"/>
  <c r="Q22" i="7" s="1"/>
  <c r="AC54" i="11"/>
  <c r="AC55" i="11" s="1"/>
  <c r="AC2" i="9"/>
  <c r="AC16" i="9" s="1"/>
  <c r="Y22" i="7"/>
  <c r="AK54" i="11"/>
  <c r="AK55" i="11" s="1"/>
  <c r="AK2" i="9"/>
  <c r="AS54" i="11"/>
  <c r="AS55" i="11" s="1"/>
  <c r="AS2" i="9"/>
  <c r="BA54" i="11"/>
  <c r="BA55" i="11" s="1"/>
  <c r="BA2" i="9"/>
  <c r="BA25" i="9" s="1"/>
  <c r="BI54" i="11"/>
  <c r="BI55" i="11" s="1"/>
  <c r="BI2" i="9"/>
  <c r="BI16" i="9" s="1"/>
  <c r="BQ54" i="11"/>
  <c r="BQ55" i="11" s="1"/>
  <c r="BQ2" i="9"/>
  <c r="BQ16" i="9" s="1"/>
  <c r="BY54" i="11"/>
  <c r="BY55" i="11" s="1"/>
  <c r="BY2" i="9"/>
  <c r="CG54" i="11"/>
  <c r="CG55" i="11" s="1"/>
  <c r="CG2" i="9"/>
  <c r="E50" i="5"/>
  <c r="M50" i="5"/>
  <c r="U50" i="5"/>
  <c r="AC50" i="5"/>
  <c r="AK50" i="5"/>
  <c r="AS50" i="5"/>
  <c r="BA50" i="5"/>
  <c r="BI50" i="5"/>
  <c r="BQ50" i="5"/>
  <c r="BY50" i="5"/>
  <c r="CG50" i="5"/>
  <c r="E52" i="11"/>
  <c r="E53" i="11" s="1"/>
  <c r="E7" i="9"/>
  <c r="M52" i="11"/>
  <c r="M53" i="11" s="1"/>
  <c r="M7" i="9"/>
  <c r="U52" i="11"/>
  <c r="U53" i="11" s="1"/>
  <c r="U7" i="9"/>
  <c r="AC52" i="11"/>
  <c r="AC53" i="11" s="1"/>
  <c r="AC7" i="9"/>
  <c r="AK52" i="11"/>
  <c r="AK53" i="11" s="1"/>
  <c r="AK7" i="9"/>
  <c r="AS52" i="11"/>
  <c r="AS53" i="11" s="1"/>
  <c r="AS7" i="9"/>
  <c r="BA52" i="11"/>
  <c r="BA53" i="11" s="1"/>
  <c r="BA7" i="9"/>
  <c r="BI52" i="11"/>
  <c r="BI53" i="11" s="1"/>
  <c r="BI7" i="9"/>
  <c r="BQ52" i="11"/>
  <c r="BQ53" i="11" s="1"/>
  <c r="BQ7" i="9"/>
  <c r="BY52" i="11"/>
  <c r="BY53" i="11" s="1"/>
  <c r="BY7" i="9"/>
  <c r="CG52" i="11"/>
  <c r="CG53" i="11" s="1"/>
  <c r="CG7" i="9"/>
  <c r="L89" i="5"/>
  <c r="BX89" i="5"/>
  <c r="AR54" i="11"/>
  <c r="AR55" i="11" s="1"/>
  <c r="AR2" i="9"/>
  <c r="AR16" i="9" s="1"/>
  <c r="BX54" i="11"/>
  <c r="BX55" i="11" s="1"/>
  <c r="BX2" i="9"/>
  <c r="BX16" i="9" s="1"/>
  <c r="E54" i="11"/>
  <c r="E55" i="11" s="1"/>
  <c r="B25" i="13"/>
  <c r="B6" i="13"/>
  <c r="E2" i="9"/>
  <c r="E35" i="7"/>
  <c r="F54" i="11"/>
  <c r="F55" i="11" s="1"/>
  <c r="F2" i="9"/>
  <c r="F35" i="7"/>
  <c r="N54" i="11"/>
  <c r="N55" i="11" s="1"/>
  <c r="N2" i="9"/>
  <c r="N35" i="7"/>
  <c r="J22" i="7" s="1"/>
  <c r="V54" i="11"/>
  <c r="V55" i="11" s="1"/>
  <c r="V2" i="9"/>
  <c r="V16" i="9" s="1"/>
  <c r="V35" i="7"/>
  <c r="R22" i="7" s="1"/>
  <c r="AD54" i="11"/>
  <c r="AD55" i="11" s="1"/>
  <c r="AD2" i="9"/>
  <c r="AD16" i="9" s="1"/>
  <c r="AL54" i="11"/>
  <c r="AL55" i="11" s="1"/>
  <c r="AL2" i="9"/>
  <c r="AL16" i="9" s="1"/>
  <c r="AT54" i="11"/>
  <c r="AT55" i="11" s="1"/>
  <c r="AT2" i="9"/>
  <c r="AT16" i="9" s="1"/>
  <c r="BB54" i="11"/>
  <c r="BB55" i="11" s="1"/>
  <c r="BB2" i="9"/>
  <c r="BB16" i="9" s="1"/>
  <c r="BJ54" i="11"/>
  <c r="BJ55" i="11" s="1"/>
  <c r="BJ2" i="9"/>
  <c r="BJ16" i="9" s="1"/>
  <c r="BR54" i="11"/>
  <c r="BR55" i="11" s="1"/>
  <c r="BR2" i="9"/>
  <c r="BZ54" i="11"/>
  <c r="BZ55" i="11" s="1"/>
  <c r="BZ2" i="9"/>
  <c r="BZ16" i="9" s="1"/>
  <c r="CH54" i="11"/>
  <c r="CH55" i="11" s="1"/>
  <c r="CH2" i="9"/>
  <c r="CH16" i="9" s="1"/>
  <c r="F50" i="5"/>
  <c r="N50" i="5"/>
  <c r="V50" i="5"/>
  <c r="AD50" i="5"/>
  <c r="AL50" i="5"/>
  <c r="AT50" i="5"/>
  <c r="BB50" i="5"/>
  <c r="BJ50" i="5"/>
  <c r="BR50" i="5"/>
  <c r="BZ50" i="5"/>
  <c r="CH50" i="5"/>
  <c r="F52" i="11"/>
  <c r="F53" i="11" s="1"/>
  <c r="F7" i="9"/>
  <c r="N52" i="11"/>
  <c r="N53" i="11" s="1"/>
  <c r="N7" i="9"/>
  <c r="V52" i="11"/>
  <c r="V53" i="11" s="1"/>
  <c r="V7" i="9"/>
  <c r="AD52" i="11"/>
  <c r="AD53" i="11" s="1"/>
  <c r="AD7" i="9"/>
  <c r="AL52" i="11"/>
  <c r="AL53" i="11" s="1"/>
  <c r="AL7" i="9"/>
  <c r="AT52" i="11"/>
  <c r="AT53" i="11" s="1"/>
  <c r="AT7" i="9"/>
  <c r="BB52" i="11"/>
  <c r="BB53" i="11" s="1"/>
  <c r="BB7" i="9"/>
  <c r="BJ52" i="11"/>
  <c r="BJ53" i="11" s="1"/>
  <c r="BJ7" i="9"/>
  <c r="BR52" i="11"/>
  <c r="BR7" i="9"/>
  <c r="BZ52" i="11"/>
  <c r="BZ53" i="11" s="1"/>
  <c r="BZ7" i="9"/>
  <c r="BZ32" i="9" s="1"/>
  <c r="CH52" i="11"/>
  <c r="CH7" i="9"/>
  <c r="CD32" i="9" s="1"/>
  <c r="T89" i="5"/>
  <c r="CF89" i="5"/>
  <c r="AJ54" i="11"/>
  <c r="AJ55" i="11" s="1"/>
  <c r="AJ2" i="9"/>
  <c r="BP54" i="11"/>
  <c r="BP55" i="11" s="1"/>
  <c r="BP2" i="9"/>
  <c r="BP16" i="9" s="1"/>
  <c r="G54" i="11"/>
  <c r="G55" i="11" s="1"/>
  <c r="G2" i="9"/>
  <c r="G35" i="7"/>
  <c r="O54" i="11"/>
  <c r="O55" i="11" s="1"/>
  <c r="O2" i="9"/>
  <c r="O35" i="7"/>
  <c r="K22" i="7" s="1"/>
  <c r="W54" i="11"/>
  <c r="W55" i="11" s="1"/>
  <c r="W2" i="9"/>
  <c r="W16" i="9" s="1"/>
  <c r="W35" i="7"/>
  <c r="S22" i="7" s="1"/>
  <c r="AE54" i="11"/>
  <c r="AE55" i="11" s="1"/>
  <c r="AE2" i="9"/>
  <c r="AE16" i="9" s="1"/>
  <c r="AM54" i="11"/>
  <c r="AM55" i="11" s="1"/>
  <c r="AM2" i="9"/>
  <c r="AM16" i="9" s="1"/>
  <c r="AU54" i="11"/>
  <c r="AU55" i="11" s="1"/>
  <c r="AU2" i="9"/>
  <c r="AU16" i="9" s="1"/>
  <c r="BC54" i="11"/>
  <c r="BC55" i="11" s="1"/>
  <c r="BC2" i="9"/>
  <c r="BK54" i="11"/>
  <c r="BK55" i="11" s="1"/>
  <c r="BK2" i="9"/>
  <c r="BK16" i="9" s="1"/>
  <c r="BS54" i="11"/>
  <c r="BS55" i="11" s="1"/>
  <c r="BS2" i="9"/>
  <c r="CA54" i="11"/>
  <c r="CA55" i="11" s="1"/>
  <c r="CA2" i="9"/>
  <c r="CA16" i="9" s="1"/>
  <c r="CI54" i="11"/>
  <c r="CI55" i="11" s="1"/>
  <c r="CI2" i="9"/>
  <c r="CI25" i="9" s="1"/>
  <c r="G50" i="5"/>
  <c r="O50" i="5"/>
  <c r="W50" i="5"/>
  <c r="AE50" i="5"/>
  <c r="AM50" i="5"/>
  <c r="AU50" i="5"/>
  <c r="BC50" i="5"/>
  <c r="BK50" i="5"/>
  <c r="BS50" i="5"/>
  <c r="CA50" i="5"/>
  <c r="CI50" i="5"/>
  <c r="G52" i="11"/>
  <c r="G53" i="11" s="1"/>
  <c r="G7" i="9"/>
  <c r="O52" i="11"/>
  <c r="O53" i="11" s="1"/>
  <c r="O7" i="9"/>
  <c r="W52" i="11"/>
  <c r="W53" i="11" s="1"/>
  <c r="W7" i="9"/>
  <c r="AE52" i="11"/>
  <c r="AE53" i="11" s="1"/>
  <c r="AE7" i="9"/>
  <c r="AM52" i="11"/>
  <c r="AM53" i="11" s="1"/>
  <c r="AM7" i="9"/>
  <c r="AU52" i="11"/>
  <c r="AU53" i="11" s="1"/>
  <c r="AU7" i="9"/>
  <c r="AU32" i="9" s="1"/>
  <c r="BC52" i="11"/>
  <c r="BC53" i="11" s="1"/>
  <c r="BC7" i="9"/>
  <c r="BK52" i="11"/>
  <c r="BK53" i="11" s="1"/>
  <c r="BK7" i="9"/>
  <c r="BS52" i="11"/>
  <c r="BS7" i="9"/>
  <c r="CA52" i="11"/>
  <c r="CA53" i="11" s="1"/>
  <c r="CA7" i="9"/>
  <c r="CI52" i="11"/>
  <c r="CI53" i="11" s="1"/>
  <c r="CI7" i="9"/>
  <c r="E10" i="9"/>
  <c r="E89" i="5"/>
  <c r="M10" i="9"/>
  <c r="M89" i="5"/>
  <c r="AB89" i="5"/>
  <c r="H54" i="11"/>
  <c r="H55" i="11" s="1"/>
  <c r="H2" i="9"/>
  <c r="H35" i="7"/>
  <c r="AF54" i="11"/>
  <c r="AF55" i="11" s="1"/>
  <c r="AF2" i="9"/>
  <c r="AF16" i="9" s="1"/>
  <c r="AN54" i="11"/>
  <c r="AN55" i="11" s="1"/>
  <c r="AN2" i="9"/>
  <c r="AN16" i="9" s="1"/>
  <c r="AV54" i="11"/>
  <c r="AV55" i="11" s="1"/>
  <c r="AV2" i="9"/>
  <c r="AV16" i="9" s="1"/>
  <c r="BD54" i="11"/>
  <c r="BD55" i="11" s="1"/>
  <c r="BD2" i="9"/>
  <c r="BL54" i="11"/>
  <c r="BL55" i="11" s="1"/>
  <c r="BL2" i="9"/>
  <c r="BL16" i="9" s="1"/>
  <c r="BT54" i="11"/>
  <c r="BT55" i="11" s="1"/>
  <c r="BT2" i="9"/>
  <c r="BT16" i="9" s="1"/>
  <c r="CB54" i="11"/>
  <c r="CB55" i="11" s="1"/>
  <c r="CB2" i="9"/>
  <c r="CB16" i="9" s="1"/>
  <c r="CJ54" i="11"/>
  <c r="CJ55" i="11" s="1"/>
  <c r="CJ2" i="9"/>
  <c r="CJ25" i="9" s="1"/>
  <c r="H30" i="9"/>
  <c r="P30" i="9"/>
  <c r="X30" i="9"/>
  <c r="AF30" i="9"/>
  <c r="H50" i="5"/>
  <c r="P50" i="5"/>
  <c r="X50" i="5"/>
  <c r="AF50" i="5"/>
  <c r="AN50" i="5"/>
  <c r="AV50" i="5"/>
  <c r="BD50" i="5"/>
  <c r="BL50" i="5"/>
  <c r="BT50" i="5"/>
  <c r="CB50" i="5"/>
  <c r="CJ50" i="5"/>
  <c r="H52" i="11"/>
  <c r="H53" i="11" s="1"/>
  <c r="H7" i="9"/>
  <c r="P52" i="11"/>
  <c r="P53" i="11" s="1"/>
  <c r="P7" i="9"/>
  <c r="X52" i="11"/>
  <c r="X53" i="11" s="1"/>
  <c r="X7" i="9"/>
  <c r="AF52" i="11"/>
  <c r="AF7" i="9"/>
  <c r="AN52" i="11"/>
  <c r="AN53" i="11" s="1"/>
  <c r="AN7" i="9"/>
  <c r="AV52" i="11"/>
  <c r="AV53" i="11" s="1"/>
  <c r="AV7" i="9"/>
  <c r="BD52" i="11"/>
  <c r="BD53" i="11" s="1"/>
  <c r="BD7" i="9"/>
  <c r="BL52" i="11"/>
  <c r="BL53" i="11" s="1"/>
  <c r="BL7" i="9"/>
  <c r="BT52" i="11"/>
  <c r="BT53" i="11" s="1"/>
  <c r="BT7" i="9"/>
  <c r="CB52" i="11"/>
  <c r="CB53" i="11" s="1"/>
  <c r="CB7" i="9"/>
  <c r="CJ52" i="11"/>
  <c r="CJ7" i="9"/>
  <c r="AJ89" i="5"/>
  <c r="P54" i="11"/>
  <c r="P55" i="11" s="1"/>
  <c r="P2" i="9"/>
  <c r="P35" i="7"/>
  <c r="L22" i="7" s="1"/>
  <c r="I54" i="11"/>
  <c r="I55" i="11" s="1"/>
  <c r="I2" i="9"/>
  <c r="I35" i="7"/>
  <c r="E22" i="7" s="1"/>
  <c r="Y54" i="11"/>
  <c r="Y55" i="11" s="1"/>
  <c r="Y2" i="9"/>
  <c r="Y35" i="7"/>
  <c r="U22" i="7" s="1"/>
  <c r="AW54" i="11"/>
  <c r="AW55" i="11" s="1"/>
  <c r="AW2" i="9"/>
  <c r="AW16" i="9" s="1"/>
  <c r="BM54" i="11"/>
  <c r="BM55" i="11" s="1"/>
  <c r="BM2" i="9"/>
  <c r="BU54" i="11"/>
  <c r="BU55" i="11" s="1"/>
  <c r="BU2" i="9"/>
  <c r="CK54" i="11"/>
  <c r="CK55" i="11" s="1"/>
  <c r="CK2" i="9"/>
  <c r="CK25" i="9" s="1"/>
  <c r="I50" i="5"/>
  <c r="Q50" i="5"/>
  <c r="Y50" i="5"/>
  <c r="AG50" i="5"/>
  <c r="AO50" i="5"/>
  <c r="AW50" i="5"/>
  <c r="BE50" i="5"/>
  <c r="BM50" i="5"/>
  <c r="BU50" i="5"/>
  <c r="CC50" i="5"/>
  <c r="CK50" i="5"/>
  <c r="I52" i="11"/>
  <c r="I53" i="11" s="1"/>
  <c r="I7" i="9"/>
  <c r="Q52" i="11"/>
  <c r="Q53" i="11" s="1"/>
  <c r="Q7" i="9"/>
  <c r="Y52" i="11"/>
  <c r="Y53" i="11" s="1"/>
  <c r="Y7" i="9"/>
  <c r="AG52" i="11"/>
  <c r="AG53" i="11" s="1"/>
  <c r="AG7" i="9"/>
  <c r="AO52" i="11"/>
  <c r="AO53" i="11" s="1"/>
  <c r="AO7" i="9"/>
  <c r="AW52" i="11"/>
  <c r="AW53" i="11" s="1"/>
  <c r="AW7" i="9"/>
  <c r="BE52" i="11"/>
  <c r="BE53" i="11" s="1"/>
  <c r="BE7" i="9"/>
  <c r="BM52" i="11"/>
  <c r="BM53" i="11" s="1"/>
  <c r="BM7" i="9"/>
  <c r="BU52" i="11"/>
  <c r="BU7" i="9"/>
  <c r="BQ32" i="9" s="1"/>
  <c r="CC52" i="11"/>
  <c r="CC53" i="11" s="1"/>
  <c r="CC7" i="9"/>
  <c r="CK52" i="11"/>
  <c r="CK7" i="9"/>
  <c r="AR89" i="5"/>
  <c r="H89" i="5"/>
  <c r="P89" i="5"/>
  <c r="X89" i="5"/>
  <c r="AF89" i="5"/>
  <c r="AN89" i="5"/>
  <c r="AV89" i="5"/>
  <c r="BD89" i="5"/>
  <c r="BL89" i="5"/>
  <c r="BT89" i="5"/>
  <c r="CB89" i="5"/>
  <c r="CJ89" i="5"/>
  <c r="Q89" i="5"/>
  <c r="Y89" i="5"/>
  <c r="AG89" i="5"/>
  <c r="AO89" i="5"/>
  <c r="AW89" i="5"/>
  <c r="BE89" i="5"/>
  <c r="BM89" i="5"/>
  <c r="BU89" i="5"/>
  <c r="CC89" i="5"/>
  <c r="CK89" i="5"/>
  <c r="K89" i="5"/>
  <c r="S89" i="5"/>
  <c r="AA89" i="5"/>
  <c r="AI89" i="5"/>
  <c r="AQ89" i="5"/>
  <c r="AY89" i="5"/>
  <c r="BG89" i="5"/>
  <c r="BO89" i="5"/>
  <c r="BW89" i="5"/>
  <c r="CE89" i="5"/>
  <c r="U89" i="5"/>
  <c r="AC89" i="5"/>
  <c r="AK89" i="5"/>
  <c r="AS89" i="5"/>
  <c r="BA89" i="5"/>
  <c r="BI89" i="5"/>
  <c r="BQ89" i="5"/>
  <c r="BY89" i="5"/>
  <c r="CG89" i="5"/>
  <c r="F89" i="5"/>
  <c r="N89" i="5"/>
  <c r="V89" i="5"/>
  <c r="AD89" i="5"/>
  <c r="AL89" i="5"/>
  <c r="AT89" i="5"/>
  <c r="BB89" i="5"/>
  <c r="BJ89" i="5"/>
  <c r="BR89" i="5"/>
  <c r="BZ89" i="5"/>
  <c r="CH89" i="5"/>
  <c r="G89" i="5"/>
  <c r="O89" i="5"/>
  <c r="W89" i="5"/>
  <c r="AE89" i="5"/>
  <c r="AM89" i="5"/>
  <c r="AU89" i="5"/>
  <c r="BC89" i="5"/>
  <c r="BK89" i="5"/>
  <c r="BS89" i="5"/>
  <c r="CA89" i="5"/>
  <c r="CI89" i="5"/>
  <c r="I28" i="11"/>
  <c r="Q28" i="11"/>
  <c r="Y28" i="11"/>
  <c r="AG28" i="11"/>
  <c r="AO28" i="11"/>
  <c r="AW28" i="11"/>
  <c r="BE28" i="11"/>
  <c r="BM28" i="11"/>
  <c r="BU28" i="11"/>
  <c r="CC28" i="11"/>
  <c r="G43" i="11"/>
  <c r="O43" i="11"/>
  <c r="W43" i="11"/>
  <c r="AE43" i="11"/>
  <c r="AM43" i="11"/>
  <c r="AU43" i="11"/>
  <c r="BC43" i="11"/>
  <c r="BK43" i="11"/>
  <c r="BS43" i="11"/>
  <c r="CA43" i="11"/>
  <c r="CI43" i="11"/>
  <c r="H43" i="11"/>
  <c r="P43" i="11"/>
  <c r="X43" i="11"/>
  <c r="AF43" i="11"/>
  <c r="AN43" i="11"/>
  <c r="AV43" i="11"/>
  <c r="BD43" i="11"/>
  <c r="BL43" i="11"/>
  <c r="BT43" i="11"/>
  <c r="CB43" i="11"/>
  <c r="CJ43" i="11"/>
  <c r="L28" i="11"/>
  <c r="T28" i="11"/>
  <c r="AB28" i="11"/>
  <c r="AJ28" i="11"/>
  <c r="AR28" i="11"/>
  <c r="AZ28" i="11"/>
  <c r="BH28" i="11"/>
  <c r="BP28" i="11"/>
  <c r="BX28" i="11"/>
  <c r="J43" i="11"/>
  <c r="R43" i="11"/>
  <c r="Z43" i="11"/>
  <c r="AH43" i="11"/>
  <c r="AP43" i="11"/>
  <c r="AX43" i="11"/>
  <c r="BF43" i="11"/>
  <c r="BN43" i="11"/>
  <c r="BV43" i="11"/>
  <c r="CD43" i="11"/>
  <c r="L43" i="11"/>
  <c r="T43" i="11"/>
  <c r="AJ43" i="11"/>
  <c r="AR43" i="11"/>
  <c r="AZ43" i="11"/>
  <c r="BH43" i="11"/>
  <c r="BP43" i="11"/>
  <c r="CF43" i="11"/>
  <c r="G28" i="11"/>
  <c r="W28" i="11"/>
  <c r="AE28" i="11"/>
  <c r="AM28" i="11"/>
  <c r="AU28" i="11"/>
  <c r="BC28" i="11"/>
  <c r="BK28" i="11"/>
  <c r="CI28" i="11"/>
  <c r="E43" i="11"/>
  <c r="M43" i="11"/>
  <c r="U43" i="11"/>
  <c r="AC43" i="11"/>
  <c r="AK43" i="11"/>
  <c r="AS43" i="11"/>
  <c r="BA43" i="11"/>
  <c r="BI43" i="11"/>
  <c r="BQ43" i="11"/>
  <c r="BY43" i="11"/>
  <c r="CG43" i="11"/>
  <c r="AF53" i="11"/>
  <c r="CK53" i="11"/>
  <c r="G72" i="11"/>
  <c r="G73" i="11" s="1"/>
  <c r="O72" i="11"/>
  <c r="O73" i="11" s="1"/>
  <c r="W72" i="11"/>
  <c r="W73" i="11" s="1"/>
  <c r="AE72" i="11"/>
  <c r="AE73" i="11" s="1"/>
  <c r="AM72" i="11"/>
  <c r="AM73" i="11" s="1"/>
  <c r="AU72" i="11"/>
  <c r="AU73" i="11" s="1"/>
  <c r="BC72" i="11"/>
  <c r="BC73" i="11" s="1"/>
  <c r="BK72" i="11"/>
  <c r="BK73" i="11" s="1"/>
  <c r="BS72" i="11"/>
  <c r="BS73" i="11" s="1"/>
  <c r="CA72" i="11"/>
  <c r="CA73" i="11" s="1"/>
  <c r="CI72" i="11"/>
  <c r="CI73" i="11" s="1"/>
  <c r="F76" i="11"/>
  <c r="N76" i="11"/>
  <c r="V76" i="11"/>
  <c r="AD76" i="11"/>
  <c r="AL76" i="11"/>
  <c r="AT76" i="11"/>
  <c r="BB76" i="11"/>
  <c r="BJ76" i="11"/>
  <c r="BR76" i="11"/>
  <c r="BZ76" i="11"/>
  <c r="CH76" i="11"/>
  <c r="H72" i="11"/>
  <c r="H73" i="11" s="1"/>
  <c r="P72" i="11"/>
  <c r="P73" i="11" s="1"/>
  <c r="X72" i="11"/>
  <c r="X73" i="11" s="1"/>
  <c r="AF72" i="11"/>
  <c r="AF73" i="11" s="1"/>
  <c r="AN72" i="11"/>
  <c r="AN73" i="11" s="1"/>
  <c r="AV72" i="11"/>
  <c r="AV73" i="11" s="1"/>
  <c r="BD72" i="11"/>
  <c r="BD73" i="11" s="1"/>
  <c r="BL72" i="11"/>
  <c r="BL73" i="11" s="1"/>
  <c r="BT72" i="11"/>
  <c r="BT73" i="11" s="1"/>
  <c r="CB72" i="11"/>
  <c r="CB73" i="11" s="1"/>
  <c r="CJ72" i="11"/>
  <c r="CJ73" i="11" s="1"/>
  <c r="I72" i="11"/>
  <c r="I73" i="11" s="1"/>
  <c r="Q72" i="11"/>
  <c r="Q73" i="11" s="1"/>
  <c r="Y72" i="11"/>
  <c r="Y73" i="11" s="1"/>
  <c r="AG72" i="11"/>
  <c r="AG73" i="11" s="1"/>
  <c r="AO72" i="11"/>
  <c r="AO73" i="11" s="1"/>
  <c r="AW72" i="11"/>
  <c r="AW73" i="11" s="1"/>
  <c r="BE72" i="11"/>
  <c r="BE73" i="11" s="1"/>
  <c r="BM72" i="11"/>
  <c r="BM73" i="11" s="1"/>
  <c r="BU72" i="11"/>
  <c r="BU73" i="11" s="1"/>
  <c r="CC72" i="11"/>
  <c r="CC73" i="11" s="1"/>
  <c r="J72" i="11"/>
  <c r="J73" i="11" s="1"/>
  <c r="R72" i="11"/>
  <c r="R73" i="11" s="1"/>
  <c r="Z72" i="11"/>
  <c r="Z73" i="11" s="1"/>
  <c r="AH72" i="11"/>
  <c r="AH73" i="11" s="1"/>
  <c r="AP72" i="11"/>
  <c r="AP73" i="11" s="1"/>
  <c r="AX72" i="11"/>
  <c r="AX73" i="11" s="1"/>
  <c r="BF72" i="11"/>
  <c r="BF73" i="11" s="1"/>
  <c r="BN72" i="11"/>
  <c r="BN73" i="11" s="1"/>
  <c r="BV72" i="11"/>
  <c r="BV73" i="11" s="1"/>
  <c r="CD72" i="11"/>
  <c r="CD73" i="11" s="1"/>
  <c r="K72" i="11"/>
  <c r="K73" i="11" s="1"/>
  <c r="S72" i="11"/>
  <c r="S73" i="11" s="1"/>
  <c r="AA72" i="11"/>
  <c r="AA73" i="11" s="1"/>
  <c r="AI72" i="11"/>
  <c r="AI73" i="11" s="1"/>
  <c r="AQ72" i="11"/>
  <c r="AQ73" i="11" s="1"/>
  <c r="AY72" i="11"/>
  <c r="AY73" i="11" s="1"/>
  <c r="BG72" i="11"/>
  <c r="BG73" i="11" s="1"/>
  <c r="BO72" i="11"/>
  <c r="BO73" i="11" s="1"/>
  <c r="BW72" i="11"/>
  <c r="BW73" i="11" s="1"/>
  <c r="CE72" i="11"/>
  <c r="CE73" i="11" s="1"/>
  <c r="L72" i="11"/>
  <c r="L73" i="11" s="1"/>
  <c r="T72" i="11"/>
  <c r="T73" i="11" s="1"/>
  <c r="AB72" i="11"/>
  <c r="AB73" i="11" s="1"/>
  <c r="AJ72" i="11"/>
  <c r="AJ73" i="11" s="1"/>
  <c r="AR72" i="11"/>
  <c r="AR73" i="11" s="1"/>
  <c r="AZ72" i="11"/>
  <c r="AZ73" i="11" s="1"/>
  <c r="BH72" i="11"/>
  <c r="BH73" i="11" s="1"/>
  <c r="BP72" i="11"/>
  <c r="BP73" i="11" s="1"/>
  <c r="BX72" i="11"/>
  <c r="BX73" i="11" s="1"/>
  <c r="CF72" i="11"/>
  <c r="CF73" i="11" s="1"/>
  <c r="E72" i="11"/>
  <c r="E73" i="11" s="1"/>
  <c r="M72" i="11"/>
  <c r="M73" i="11" s="1"/>
  <c r="U72" i="11"/>
  <c r="U73" i="11" s="1"/>
  <c r="AC72" i="11"/>
  <c r="AC73" i="11" s="1"/>
  <c r="AK72" i="11"/>
  <c r="AK73" i="11" s="1"/>
  <c r="AS72" i="11"/>
  <c r="AS73" i="11" s="1"/>
  <c r="BA72" i="11"/>
  <c r="BA73" i="11" s="1"/>
  <c r="BI72" i="11"/>
  <c r="BI73" i="11" s="1"/>
  <c r="BQ72" i="11"/>
  <c r="BQ73" i="11" s="1"/>
  <c r="BY72" i="11"/>
  <c r="BY73" i="11" s="1"/>
  <c r="CG72" i="11"/>
  <c r="CG73" i="11" s="1"/>
  <c r="G5" i="12"/>
  <c r="O5" i="12"/>
  <c r="W5" i="12"/>
  <c r="AE5" i="12"/>
  <c r="AM5" i="12"/>
  <c r="AU5" i="12"/>
  <c r="BC5" i="12"/>
  <c r="BK5" i="12"/>
  <c r="BS5" i="12"/>
  <c r="CA5" i="12"/>
  <c r="CI5" i="12"/>
  <c r="H5" i="12"/>
  <c r="P5" i="12"/>
  <c r="X5" i="12"/>
  <c r="AF5" i="12"/>
  <c r="AN5" i="12"/>
  <c r="AV5" i="12"/>
  <c r="BD5" i="12"/>
  <c r="BL5" i="12"/>
  <c r="BT5" i="12"/>
  <c r="CB5" i="12"/>
  <c r="CJ5" i="12"/>
  <c r="G25" i="12"/>
  <c r="G26" i="12" s="1"/>
  <c r="G27" i="12" s="1"/>
  <c r="O25" i="12"/>
  <c r="O26" i="12" s="1"/>
  <c r="O27" i="12" s="1"/>
  <c r="W25" i="12"/>
  <c r="W26" i="12" s="1"/>
  <c r="W27" i="12" s="1"/>
  <c r="AE25" i="12"/>
  <c r="AE26" i="12" s="1"/>
  <c r="AE27" i="12" s="1"/>
  <c r="AM25" i="12"/>
  <c r="AM26" i="12" s="1"/>
  <c r="AM27" i="12" s="1"/>
  <c r="AU25" i="12"/>
  <c r="AU26" i="12" s="1"/>
  <c r="AU27" i="12" s="1"/>
  <c r="BC25" i="12"/>
  <c r="BC26" i="12" s="1"/>
  <c r="BC27" i="12" s="1"/>
  <c r="BK25" i="12"/>
  <c r="BK26" i="12" s="1"/>
  <c r="BK27" i="12" s="1"/>
  <c r="BS25" i="12"/>
  <c r="BS26" i="12" s="1"/>
  <c r="BS27" i="12" s="1"/>
  <c r="CA25" i="12"/>
  <c r="CA26" i="12" s="1"/>
  <c r="CA27" i="12" s="1"/>
  <c r="CI25" i="12"/>
  <c r="CI26" i="12" s="1"/>
  <c r="CI27" i="12" s="1"/>
  <c r="CI28" i="12" s="1"/>
  <c r="H25" i="12"/>
  <c r="H26" i="12" s="1"/>
  <c r="H27" i="12" s="1"/>
  <c r="P25" i="12"/>
  <c r="P26" i="12" s="1"/>
  <c r="P27" i="12" s="1"/>
  <c r="X25" i="12"/>
  <c r="X26" i="12" s="1"/>
  <c r="X27" i="12" s="1"/>
  <c r="AF25" i="12"/>
  <c r="AF26" i="12" s="1"/>
  <c r="AF27" i="12" s="1"/>
  <c r="AN25" i="12"/>
  <c r="AN26" i="12" s="1"/>
  <c r="AN27" i="12" s="1"/>
  <c r="AV25" i="12"/>
  <c r="AV26" i="12" s="1"/>
  <c r="AV27" i="12" s="1"/>
  <c r="BD25" i="12"/>
  <c r="BD26" i="12" s="1"/>
  <c r="BD27" i="12" s="1"/>
  <c r="BL25" i="12"/>
  <c r="BL26" i="12" s="1"/>
  <c r="BL27" i="12" s="1"/>
  <c r="BT25" i="12"/>
  <c r="BT26" i="12" s="1"/>
  <c r="BT27" i="12" s="1"/>
  <c r="CB25" i="12"/>
  <c r="CB26" i="12" s="1"/>
  <c r="CB27" i="12" s="1"/>
  <c r="CJ25" i="12"/>
  <c r="CJ26" i="12" s="1"/>
  <c r="CJ27" i="12" s="1"/>
  <c r="CJ28" i="12" s="1"/>
  <c r="J5" i="12"/>
  <c r="R5" i="12"/>
  <c r="Z5" i="12"/>
  <c r="AH5" i="12"/>
  <c r="AP5" i="12"/>
  <c r="AX5" i="12"/>
  <c r="BF5" i="12"/>
  <c r="BN5" i="12"/>
  <c r="BV5" i="12"/>
  <c r="CD5" i="12"/>
  <c r="CC25" i="12"/>
  <c r="CK25" i="12"/>
  <c r="CK26" i="12" s="1"/>
  <c r="CK27" i="12" s="1"/>
  <c r="CK28" i="12" s="1"/>
  <c r="J25" i="12"/>
  <c r="J26" i="12" s="1"/>
  <c r="J27" i="12" s="1"/>
  <c r="R25" i="12"/>
  <c r="R26" i="12" s="1"/>
  <c r="R27" i="12" s="1"/>
  <c r="Z25" i="12"/>
  <c r="Z26" i="12" s="1"/>
  <c r="Z27" i="12" s="1"/>
  <c r="AH25" i="12"/>
  <c r="AH26" i="12" s="1"/>
  <c r="AH27" i="12" s="1"/>
  <c r="AP25" i="12"/>
  <c r="AP26" i="12" s="1"/>
  <c r="AP27" i="12" s="1"/>
  <c r="AX25" i="12"/>
  <c r="AX26" i="12" s="1"/>
  <c r="AX27" i="12" s="1"/>
  <c r="BF25" i="12"/>
  <c r="BF26" i="12" s="1"/>
  <c r="BF27" i="12" s="1"/>
  <c r="BN25" i="12"/>
  <c r="BN26" i="12" s="1"/>
  <c r="BN27" i="12" s="1"/>
  <c r="BV25" i="12"/>
  <c r="BV26" i="12" s="1"/>
  <c r="BV27" i="12" s="1"/>
  <c r="CD25" i="12"/>
  <c r="CD26" i="12" s="1"/>
  <c r="CD27" i="12" s="1"/>
  <c r="L25" i="12"/>
  <c r="L26" i="12" s="1"/>
  <c r="L27" i="12" s="1"/>
  <c r="T25" i="12"/>
  <c r="T26" i="12" s="1"/>
  <c r="T27" i="12" s="1"/>
  <c r="AB25" i="12"/>
  <c r="AB26" i="12" s="1"/>
  <c r="AB27" i="12" s="1"/>
  <c r="AJ25" i="12"/>
  <c r="AJ26" i="12" s="1"/>
  <c r="AJ27" i="12" s="1"/>
  <c r="AR25" i="12"/>
  <c r="AR26" i="12" s="1"/>
  <c r="AR27" i="12" s="1"/>
  <c r="AZ25" i="12"/>
  <c r="AZ26" i="12" s="1"/>
  <c r="AZ27" i="12" s="1"/>
  <c r="BH25" i="12"/>
  <c r="BH26" i="12" s="1"/>
  <c r="BH27" i="12" s="1"/>
  <c r="BP25" i="12"/>
  <c r="BP26" i="12" s="1"/>
  <c r="BP27" i="12" s="1"/>
  <c r="BX25" i="12"/>
  <c r="BX26" i="12" s="1"/>
  <c r="BX27" i="12" s="1"/>
  <c r="CF25" i="12"/>
  <c r="CF26" i="12" s="1"/>
  <c r="CF27" i="12" s="1"/>
  <c r="F5" i="12"/>
  <c r="N5" i="12"/>
  <c r="V5" i="12"/>
  <c r="AD5" i="12"/>
  <c r="AL5" i="12"/>
  <c r="AT5" i="12"/>
  <c r="BB5" i="12"/>
  <c r="BJ5" i="12"/>
  <c r="BR5" i="12"/>
  <c r="BZ5" i="12"/>
  <c r="CH5" i="12"/>
  <c r="I5" i="12"/>
  <c r="Q5" i="12"/>
  <c r="Y5" i="12"/>
  <c r="AG5" i="12"/>
  <c r="AO5" i="12"/>
  <c r="AW5" i="12"/>
  <c r="BE5" i="12"/>
  <c r="BM5" i="12"/>
  <c r="BU5" i="12"/>
  <c r="CC5" i="12"/>
  <c r="CK5" i="12"/>
  <c r="K5" i="12"/>
  <c r="S5" i="12"/>
  <c r="AA5" i="12"/>
  <c r="AI5" i="12"/>
  <c r="AQ5" i="12"/>
  <c r="AY5" i="12"/>
  <c r="BG5" i="12"/>
  <c r="BO5" i="12"/>
  <c r="BW5" i="12"/>
  <c r="CE5" i="12"/>
  <c r="L5" i="12"/>
  <c r="T5" i="12"/>
  <c r="AB5" i="12"/>
  <c r="AJ5" i="12"/>
  <c r="AR5" i="12"/>
  <c r="AZ5" i="12"/>
  <c r="BH5" i="12"/>
  <c r="BP5" i="12"/>
  <c r="BX5" i="12"/>
  <c r="CF5" i="12"/>
  <c r="E5" i="12"/>
  <c r="M5" i="12"/>
  <c r="U5" i="12"/>
  <c r="AC5" i="12"/>
  <c r="AK5" i="12"/>
  <c r="AS5" i="12"/>
  <c r="BA5" i="12"/>
  <c r="BI5" i="12"/>
  <c r="BQ5" i="12"/>
  <c r="BY5" i="12"/>
  <c r="CG5" i="12"/>
  <c r="AQ13" i="12"/>
  <c r="BO13" i="12"/>
  <c r="AZ13" i="12"/>
  <c r="AC26" i="12"/>
  <c r="AC27" i="12" s="1"/>
  <c r="AC13" i="12"/>
  <c r="BA13" i="12"/>
  <c r="CK18" i="12"/>
  <c r="AE13" i="12"/>
  <c r="X13" i="12"/>
  <c r="BL13" i="12"/>
  <c r="CJ13" i="12"/>
  <c r="Y26" i="12"/>
  <c r="Y27" i="12" s="1"/>
  <c r="CC26" i="12"/>
  <c r="CC27" i="12" s="1"/>
  <c r="R13" i="12"/>
  <c r="Z13" i="12"/>
  <c r="AP13" i="12"/>
  <c r="BN13" i="12"/>
  <c r="CD13" i="12"/>
  <c r="G57" i="11"/>
  <c r="BS57" i="11"/>
  <c r="O57" i="11"/>
  <c r="CA57" i="11"/>
  <c r="W57" i="11"/>
  <c r="CI57" i="11"/>
  <c r="AE57" i="11"/>
  <c r="K63" i="11"/>
  <c r="K65" i="11" s="1"/>
  <c r="K66" i="11" s="1"/>
  <c r="AM57" i="11"/>
  <c r="V63" i="11"/>
  <c r="V65" i="11" s="1"/>
  <c r="V66" i="11" s="1"/>
  <c r="AU57" i="11"/>
  <c r="AF63" i="11"/>
  <c r="AF65" i="11" s="1"/>
  <c r="AF66" i="11" s="1"/>
  <c r="BC57" i="11"/>
  <c r="BF63" i="11"/>
  <c r="BF65" i="11" s="1"/>
  <c r="BF66" i="11" s="1"/>
  <c r="E57" i="11"/>
  <c r="E63" i="11"/>
  <c r="E65" i="11" s="1"/>
  <c r="E66" i="11" s="1"/>
  <c r="M63" i="11"/>
  <c r="M65" i="11" s="1"/>
  <c r="M66" i="11" s="1"/>
  <c r="M57" i="11"/>
  <c r="U63" i="11"/>
  <c r="U65" i="11" s="1"/>
  <c r="U66" i="11" s="1"/>
  <c r="U57" i="11"/>
  <c r="AC63" i="11"/>
  <c r="AC65" i="11" s="1"/>
  <c r="AC66" i="11" s="1"/>
  <c r="AC57" i="11"/>
  <c r="AK63" i="11"/>
  <c r="AK65" i="11" s="1"/>
  <c r="AK66" i="11" s="1"/>
  <c r="AK57" i="11"/>
  <c r="AS63" i="11"/>
  <c r="AS65" i="11" s="1"/>
  <c r="AS66" i="11" s="1"/>
  <c r="AS57" i="11"/>
  <c r="BA63" i="11"/>
  <c r="BA65" i="11" s="1"/>
  <c r="BA66" i="11" s="1"/>
  <c r="BA57" i="11"/>
  <c r="BI63" i="11"/>
  <c r="BI65" i="11" s="1"/>
  <c r="BI66" i="11" s="1"/>
  <c r="BI57" i="11"/>
  <c r="BQ63" i="11"/>
  <c r="BQ65" i="11" s="1"/>
  <c r="BQ66" i="11" s="1"/>
  <c r="BQ57" i="11"/>
  <c r="BY63" i="11"/>
  <c r="BY65" i="11" s="1"/>
  <c r="BY66" i="11" s="1"/>
  <c r="BY57" i="11"/>
  <c r="CG63" i="11"/>
  <c r="CG65" i="11" s="1"/>
  <c r="CG66" i="11" s="1"/>
  <c r="CG57" i="11"/>
  <c r="BO53" i="11"/>
  <c r="H57" i="11"/>
  <c r="P57" i="11"/>
  <c r="X57" i="11"/>
  <c r="AF57" i="11"/>
  <c r="AN57" i="11"/>
  <c r="AV57" i="11"/>
  <c r="BD57" i="11"/>
  <c r="BL57" i="11"/>
  <c r="BT57" i="11"/>
  <c r="CB57" i="11"/>
  <c r="CJ57" i="11"/>
  <c r="L63" i="11"/>
  <c r="L65" i="11" s="1"/>
  <c r="L66" i="11" s="1"/>
  <c r="W63" i="11"/>
  <c r="W65" i="11" s="1"/>
  <c r="W66" i="11" s="1"/>
  <c r="AH63" i="11"/>
  <c r="AH65" i="11" s="1"/>
  <c r="AH66" i="11" s="1"/>
  <c r="BH63" i="11"/>
  <c r="BH65" i="11" s="1"/>
  <c r="BH66" i="11" s="1"/>
  <c r="BP53" i="11"/>
  <c r="I57" i="11"/>
  <c r="Q57" i="11"/>
  <c r="Y57" i="11"/>
  <c r="AG57" i="11"/>
  <c r="AO57" i="11"/>
  <c r="AW57" i="11"/>
  <c r="BE57" i="11"/>
  <c r="BM57" i="11"/>
  <c r="BU57" i="11"/>
  <c r="CC57" i="11"/>
  <c r="CK57" i="11"/>
  <c r="N63" i="11"/>
  <c r="N65" i="11" s="1"/>
  <c r="N66" i="11" s="1"/>
  <c r="X63" i="11"/>
  <c r="X65" i="11" s="1"/>
  <c r="X66" i="11" s="1"/>
  <c r="AI63" i="11"/>
  <c r="AI65" i="11" s="1"/>
  <c r="AI66" i="11" s="1"/>
  <c r="BN63" i="11"/>
  <c r="BN65" i="11" s="1"/>
  <c r="BN66" i="11" s="1"/>
  <c r="I12" i="12"/>
  <c r="I13" i="12" s="1"/>
  <c r="Q12" i="12"/>
  <c r="Q13" i="12" s="1"/>
  <c r="Y12" i="12"/>
  <c r="Y13" i="12" s="1"/>
  <c r="AG12" i="12"/>
  <c r="AG13" i="12" s="1"/>
  <c r="AO12" i="12"/>
  <c r="AO13" i="12" s="1"/>
  <c r="AW12" i="12"/>
  <c r="AW13" i="12" s="1"/>
  <c r="BE12" i="12"/>
  <c r="BE13" i="12" s="1"/>
  <c r="BM12" i="12"/>
  <c r="BM13" i="12" s="1"/>
  <c r="BU12" i="12"/>
  <c r="BU13" i="12" s="1"/>
  <c r="CC12" i="12"/>
  <c r="CC13" i="12" s="1"/>
  <c r="CK12" i="12"/>
  <c r="CK13" i="12" s="1"/>
  <c r="J57" i="11"/>
  <c r="R57" i="11"/>
  <c r="Z57" i="11"/>
  <c r="AH57" i="11"/>
  <c r="AP57" i="11"/>
  <c r="AX57" i="11"/>
  <c r="BF57" i="11"/>
  <c r="BN57" i="11"/>
  <c r="BV57" i="11"/>
  <c r="CD57" i="11"/>
  <c r="O63" i="11"/>
  <c r="O65" i="11" s="1"/>
  <c r="O66" i="11" s="1"/>
  <c r="Z63" i="11"/>
  <c r="Z65" i="11" s="1"/>
  <c r="Z66" i="11" s="1"/>
  <c r="AJ63" i="11"/>
  <c r="AJ65" i="11" s="1"/>
  <c r="AJ66" i="11" s="1"/>
  <c r="AJ74" i="11" s="1"/>
  <c r="BV63" i="11"/>
  <c r="BV65" i="11" s="1"/>
  <c r="BV66" i="11" s="1"/>
  <c r="BR53" i="11"/>
  <c r="CH53" i="11"/>
  <c r="CF55" i="11"/>
  <c r="S57" i="11"/>
  <c r="AA57" i="11"/>
  <c r="AQ57" i="11"/>
  <c r="AY57" i="11"/>
  <c r="BG57" i="11"/>
  <c r="BO57" i="11"/>
  <c r="BW57" i="11"/>
  <c r="CE57" i="11"/>
  <c r="F63" i="11"/>
  <c r="F65" i="11" s="1"/>
  <c r="F66" i="11" s="1"/>
  <c r="P63" i="11"/>
  <c r="P65" i="11" s="1"/>
  <c r="P66" i="11" s="1"/>
  <c r="AP63" i="11"/>
  <c r="AP65" i="11" s="1"/>
  <c r="AP66" i="11" s="1"/>
  <c r="CD63" i="11"/>
  <c r="CD65" i="11" s="1"/>
  <c r="CD66" i="11" s="1"/>
  <c r="BS53" i="11"/>
  <c r="T57" i="11"/>
  <c r="AB57" i="11"/>
  <c r="AR57" i="11"/>
  <c r="AZ57" i="11"/>
  <c r="BP57" i="11"/>
  <c r="BX57" i="11"/>
  <c r="CF57" i="11"/>
  <c r="G63" i="11"/>
  <c r="G65" i="11" s="1"/>
  <c r="G66" i="11" s="1"/>
  <c r="R63" i="11"/>
  <c r="R65" i="11" s="1"/>
  <c r="R66" i="11" s="1"/>
  <c r="CJ53" i="11"/>
  <c r="AD63" i="11"/>
  <c r="AD65" i="11" s="1"/>
  <c r="AD66" i="11" s="1"/>
  <c r="AX63" i="11"/>
  <c r="AX65" i="11" s="1"/>
  <c r="AX66" i="11" s="1"/>
  <c r="BU53" i="11"/>
  <c r="AL57" i="11"/>
  <c r="AT57" i="11"/>
  <c r="BB57" i="11"/>
  <c r="BJ57" i="11"/>
  <c r="BR57" i="11"/>
  <c r="BZ57" i="11"/>
  <c r="CH57" i="11"/>
  <c r="F12" i="12"/>
  <c r="F13" i="12" s="1"/>
  <c r="N12" i="12"/>
  <c r="N13" i="12" s="1"/>
  <c r="V12" i="12"/>
  <c r="V13" i="12" s="1"/>
  <c r="AD12" i="12"/>
  <c r="AD13" i="12" s="1"/>
  <c r="AL12" i="12"/>
  <c r="AL13" i="12" s="1"/>
  <c r="AT12" i="12"/>
  <c r="AT13" i="12" s="1"/>
  <c r="BB12" i="12"/>
  <c r="BB13" i="12" s="1"/>
  <c r="BJ12" i="12"/>
  <c r="BJ13" i="12" s="1"/>
  <c r="BR12" i="12"/>
  <c r="BR13" i="12" s="1"/>
  <c r="BZ12" i="12"/>
  <c r="BZ13" i="12" s="1"/>
  <c r="CH12" i="12"/>
  <c r="CH13" i="12" s="1"/>
  <c r="I27" i="9"/>
  <c r="BM27" i="9"/>
  <c r="J27" i="9"/>
  <c r="R27" i="9"/>
  <c r="Z27" i="9"/>
  <c r="AH27" i="9"/>
  <c r="AP27" i="9"/>
  <c r="AX27" i="9"/>
  <c r="BF27" i="9"/>
  <c r="BN27" i="9"/>
  <c r="BV27" i="9"/>
  <c r="CD27" i="9"/>
  <c r="K34" i="9"/>
  <c r="S34" i="9"/>
  <c r="AA34" i="9"/>
  <c r="AI34" i="9"/>
  <c r="AQ34" i="9"/>
  <c r="AY34" i="9"/>
  <c r="BG34" i="9"/>
  <c r="BO34" i="9"/>
  <c r="BW34" i="9"/>
  <c r="CE34" i="9"/>
  <c r="AG27" i="9"/>
  <c r="CC27" i="9"/>
  <c r="Y27" i="9"/>
  <c r="BU27" i="9"/>
  <c r="CH34" i="9"/>
  <c r="Q27" i="9"/>
  <c r="BE27" i="9"/>
  <c r="CH27" i="9"/>
  <c r="CI34" i="9"/>
  <c r="AW27" i="9"/>
  <c r="AX34" i="9"/>
  <c r="CI27" i="9"/>
  <c r="CJ34" i="9"/>
  <c r="AO27" i="9"/>
  <c r="CK27" i="9"/>
  <c r="CJ27" i="9"/>
  <c r="CK34" i="9"/>
  <c r="AT34" i="9"/>
  <c r="F27" i="9"/>
  <c r="N27" i="9"/>
  <c r="V27" i="9"/>
  <c r="L30" i="9"/>
  <c r="T30" i="9"/>
  <c r="AB30" i="9"/>
  <c r="AJ30" i="9"/>
  <c r="AR30" i="9"/>
  <c r="AZ30" i="9"/>
  <c r="BH30" i="9"/>
  <c r="BP30" i="9"/>
  <c r="BX30" i="9"/>
  <c r="CF30" i="9"/>
  <c r="F31" i="9"/>
  <c r="N31" i="9"/>
  <c r="V31" i="9"/>
  <c r="AD31" i="9"/>
  <c r="AL31" i="9"/>
  <c r="AT31" i="9"/>
  <c r="BB31" i="9"/>
  <c r="BJ31" i="9"/>
  <c r="BR31" i="9"/>
  <c r="BZ31" i="9"/>
  <c r="CH31" i="9"/>
  <c r="G34" i="9"/>
  <c r="O34" i="9"/>
  <c r="W34" i="9"/>
  <c r="AE34" i="9"/>
  <c r="AM34" i="9"/>
  <c r="AU34" i="9"/>
  <c r="BC34" i="9"/>
  <c r="BK34" i="9"/>
  <c r="BS34" i="9"/>
  <c r="CA34" i="9"/>
  <c r="AD30" i="9"/>
  <c r="AL30" i="9"/>
  <c r="AT30" i="9"/>
  <c r="BB30" i="9"/>
  <c r="BJ30" i="9"/>
  <c r="BR30" i="9"/>
  <c r="BZ30" i="9"/>
  <c r="CH30" i="9"/>
  <c r="H31" i="9"/>
  <c r="P31" i="9"/>
  <c r="X31" i="9"/>
  <c r="AF31" i="9"/>
  <c r="AN31" i="9"/>
  <c r="AV31" i="9"/>
  <c r="BD31" i="9"/>
  <c r="BL31" i="9"/>
  <c r="BT31" i="9"/>
  <c r="CB31" i="9"/>
  <c r="Q34" i="9"/>
  <c r="Y34" i="9"/>
  <c r="AG34" i="9"/>
  <c r="AO34" i="9"/>
  <c r="AW34" i="9"/>
  <c r="BE34" i="9"/>
  <c r="BM34" i="9"/>
  <c r="BU34" i="9"/>
  <c r="CC34" i="9"/>
  <c r="AN30" i="9"/>
  <c r="AV30" i="9"/>
  <c r="BD30" i="9"/>
  <c r="BL30" i="9"/>
  <c r="BT30" i="9"/>
  <c r="CB30" i="9"/>
  <c r="K27" i="9"/>
  <c r="S27" i="9"/>
  <c r="AA27" i="9"/>
  <c r="AI27" i="9"/>
  <c r="AQ27" i="9"/>
  <c r="AY27" i="9"/>
  <c r="BG27" i="9"/>
  <c r="BO27" i="9"/>
  <c r="BW27" i="9"/>
  <c r="CE27" i="9"/>
  <c r="I30" i="9"/>
  <c r="Q30" i="9"/>
  <c r="Y30" i="9"/>
  <c r="AG30" i="9"/>
  <c r="AO30" i="9"/>
  <c r="AW30" i="9"/>
  <c r="BE30" i="9"/>
  <c r="BM30" i="9"/>
  <c r="BU30" i="9"/>
  <c r="CC30" i="9"/>
  <c r="K31" i="9"/>
  <c r="S31" i="9"/>
  <c r="AA31" i="9"/>
  <c r="AI31" i="9"/>
  <c r="AQ31" i="9"/>
  <c r="AY31" i="9"/>
  <c r="BG31" i="9"/>
  <c r="BO31" i="9"/>
  <c r="BW31" i="9"/>
  <c r="CE31" i="9"/>
  <c r="L27" i="9"/>
  <c r="T27" i="9"/>
  <c r="AB27" i="9"/>
  <c r="AJ27" i="9"/>
  <c r="AR27" i="9"/>
  <c r="AZ27" i="9"/>
  <c r="BH27" i="9"/>
  <c r="BP27" i="9"/>
  <c r="BX27" i="9"/>
  <c r="CF27" i="9"/>
  <c r="J30" i="9"/>
  <c r="R30" i="9"/>
  <c r="Z30" i="9"/>
  <c r="E27" i="9"/>
  <c r="M27" i="9"/>
  <c r="AC27" i="9"/>
  <c r="AK27" i="9"/>
  <c r="CG27" i="9"/>
  <c r="K30" i="9"/>
  <c r="S30" i="9"/>
  <c r="AA30" i="9"/>
  <c r="AI30" i="9"/>
  <c r="AQ30" i="9"/>
  <c r="AY30" i="9"/>
  <c r="BG30" i="9"/>
  <c r="BO30" i="9"/>
  <c r="BW30" i="9"/>
  <c r="CE30" i="9"/>
  <c r="E31" i="9"/>
  <c r="M31" i="9"/>
  <c r="U31" i="9"/>
  <c r="AC31" i="9"/>
  <c r="AK31" i="9"/>
  <c r="AS31" i="9"/>
  <c r="BA31" i="9"/>
  <c r="BI31" i="9"/>
  <c r="BQ31" i="9"/>
  <c r="BY31" i="9"/>
  <c r="CG31" i="9"/>
  <c r="AD27" i="9"/>
  <c r="AL27" i="9"/>
  <c r="AT27" i="9"/>
  <c r="BB27" i="9"/>
  <c r="BJ27" i="9"/>
  <c r="BR27" i="9"/>
  <c r="BZ27" i="9"/>
  <c r="U27" i="9"/>
  <c r="AS27" i="9"/>
  <c r="BA27" i="9"/>
  <c r="BI27" i="9"/>
  <c r="BQ27" i="9"/>
  <c r="BY27" i="9"/>
  <c r="G27" i="9"/>
  <c r="O27" i="9"/>
  <c r="W27" i="9"/>
  <c r="AE27" i="9"/>
  <c r="AM27" i="9"/>
  <c r="AU27" i="9"/>
  <c r="BC27" i="9"/>
  <c r="BK27" i="9"/>
  <c r="BS27" i="9"/>
  <c r="CA27" i="9"/>
  <c r="E30" i="9"/>
  <c r="M30" i="9"/>
  <c r="U30" i="9"/>
  <c r="H27" i="9"/>
  <c r="P27" i="9"/>
  <c r="X27" i="9"/>
  <c r="AF27" i="9"/>
  <c r="AN27" i="9"/>
  <c r="AV27" i="9"/>
  <c r="BD27" i="9"/>
  <c r="BL27" i="9"/>
  <c r="BT27" i="9"/>
  <c r="CB27" i="9"/>
  <c r="F30" i="9"/>
  <c r="N30" i="9"/>
  <c r="V30" i="9"/>
  <c r="CL14" i="9"/>
  <c r="CL13" i="9"/>
  <c r="L34" i="9"/>
  <c r="T34" i="9"/>
  <c r="AB34" i="9"/>
  <c r="AJ34" i="9"/>
  <c r="AR34" i="9"/>
  <c r="AZ34" i="9"/>
  <c r="BH34" i="9"/>
  <c r="BP34" i="9"/>
  <c r="BX34" i="9"/>
  <c r="CF34" i="9"/>
  <c r="CF16" i="9"/>
  <c r="G36" i="9"/>
  <c r="O36" i="9"/>
  <c r="W36" i="9"/>
  <c r="AE36" i="9"/>
  <c r="AM36" i="9"/>
  <c r="AU36" i="9"/>
  <c r="BC36" i="9"/>
  <c r="BK36" i="9"/>
  <c r="BS36" i="9"/>
  <c r="CA36" i="9"/>
  <c r="CI36" i="9"/>
  <c r="E36" i="9"/>
  <c r="M36" i="9"/>
  <c r="U36" i="9"/>
  <c r="AC36" i="9"/>
  <c r="AK36" i="9"/>
  <c r="AS36" i="9"/>
  <c r="BA36" i="9"/>
  <c r="BI36" i="9"/>
  <c r="BQ36" i="9"/>
  <c r="BY36" i="9"/>
  <c r="CG36" i="9"/>
  <c r="J31" i="9"/>
  <c r="R31" i="9"/>
  <c r="Z31" i="9"/>
  <c r="AH31" i="9"/>
  <c r="AP31" i="9"/>
  <c r="AX31" i="9"/>
  <c r="BF31" i="9"/>
  <c r="BN31" i="9"/>
  <c r="BV31" i="9"/>
  <c r="CD31" i="9"/>
  <c r="BX32" i="9"/>
  <c r="F36" i="9"/>
  <c r="N36" i="9"/>
  <c r="V36" i="9"/>
  <c r="AD36" i="9"/>
  <c r="AL36" i="9"/>
  <c r="AT36" i="9"/>
  <c r="BB36" i="9"/>
  <c r="BJ36" i="9"/>
  <c r="BR36" i="9"/>
  <c r="BZ36" i="9"/>
  <c r="CH36" i="9"/>
  <c r="AH30" i="9"/>
  <c r="AP30" i="9"/>
  <c r="AX30" i="9"/>
  <c r="BF30" i="9"/>
  <c r="BN30" i="9"/>
  <c r="BV30" i="9"/>
  <c r="CD30" i="9"/>
  <c r="L31" i="9"/>
  <c r="T31" i="9"/>
  <c r="AB31" i="9"/>
  <c r="AJ31" i="9"/>
  <c r="AR31" i="9"/>
  <c r="AZ31" i="9"/>
  <c r="BH31" i="9"/>
  <c r="BP31" i="9"/>
  <c r="BX31" i="9"/>
  <c r="CF31" i="9"/>
  <c r="U34" i="9"/>
  <c r="AC34" i="9"/>
  <c r="AK34" i="9"/>
  <c r="AS34" i="9"/>
  <c r="BA34" i="9"/>
  <c r="BI34" i="9"/>
  <c r="BQ34" i="9"/>
  <c r="BY34" i="9"/>
  <c r="CG34" i="9"/>
  <c r="H36" i="9"/>
  <c r="P36" i="9"/>
  <c r="X36" i="9"/>
  <c r="AF36" i="9"/>
  <c r="AN36" i="9"/>
  <c r="AV36" i="9"/>
  <c r="BD36" i="9"/>
  <c r="BL36" i="9"/>
  <c r="BT36" i="9"/>
  <c r="CB36" i="9"/>
  <c r="CJ36" i="9"/>
  <c r="AQ16" i="9"/>
  <c r="I36" i="9"/>
  <c r="Q36" i="9"/>
  <c r="Y36" i="9"/>
  <c r="AG36" i="9"/>
  <c r="AO36" i="9"/>
  <c r="AW36" i="9"/>
  <c r="BE36" i="9"/>
  <c r="BM36" i="9"/>
  <c r="BU36" i="9"/>
  <c r="CC36" i="9"/>
  <c r="CK36" i="9"/>
  <c r="J36" i="9"/>
  <c r="R36" i="9"/>
  <c r="Z36" i="9"/>
  <c r="AH36" i="9"/>
  <c r="AP36" i="9"/>
  <c r="AX36" i="9"/>
  <c r="BF36" i="9"/>
  <c r="BN36" i="9"/>
  <c r="BV36" i="9"/>
  <c r="CD36" i="9"/>
  <c r="AC30" i="9"/>
  <c r="AK30" i="9"/>
  <c r="AS30" i="9"/>
  <c r="BA30" i="9"/>
  <c r="BI30" i="9"/>
  <c r="BQ30" i="9"/>
  <c r="BY30" i="9"/>
  <c r="CG30" i="9"/>
  <c r="G31" i="9"/>
  <c r="O31" i="9"/>
  <c r="W31" i="9"/>
  <c r="AE31" i="9"/>
  <c r="AM31" i="9"/>
  <c r="AU31" i="9"/>
  <c r="BC31" i="9"/>
  <c r="BK31" i="9"/>
  <c r="BS31" i="9"/>
  <c r="CA31" i="9"/>
  <c r="H34" i="9"/>
  <c r="P34" i="9"/>
  <c r="X34" i="9"/>
  <c r="AF34" i="9"/>
  <c r="AN34" i="9"/>
  <c r="AV34" i="9"/>
  <c r="BD34" i="9"/>
  <c r="BL34" i="9"/>
  <c r="BT34" i="9"/>
  <c r="CB34" i="9"/>
  <c r="K36" i="9"/>
  <c r="S36" i="9"/>
  <c r="AA36" i="9"/>
  <c r="AI36" i="9"/>
  <c r="AQ36" i="9"/>
  <c r="AY36" i="9"/>
  <c r="BG36" i="9"/>
  <c r="BO36" i="9"/>
  <c r="BW36" i="9"/>
  <c r="CE36" i="9"/>
  <c r="L36" i="9"/>
  <c r="T36" i="9"/>
  <c r="AB36" i="9"/>
  <c r="AJ36" i="9"/>
  <c r="AR36" i="9"/>
  <c r="AZ36" i="9"/>
  <c r="BH36" i="9"/>
  <c r="BP36" i="9"/>
  <c r="BX36" i="9"/>
  <c r="CF36" i="9"/>
  <c r="BZ9" i="10" l="1"/>
  <c r="CC9" i="10"/>
  <c r="CB9" i="10"/>
  <c r="D11" i="13"/>
  <c r="D12" i="13" s="1"/>
  <c r="CD74" i="11"/>
  <c r="CA8" i="10"/>
  <c r="BV9" i="10"/>
  <c r="BM8" i="10"/>
  <c r="BH9" i="10"/>
  <c r="CG8" i="10"/>
  <c r="BJ9" i="10"/>
  <c r="BN74" i="11"/>
  <c r="BN75" i="11" s="1"/>
  <c r="CG74" i="11"/>
  <c r="CG75" i="11" s="1"/>
  <c r="BA9" i="10"/>
  <c r="BL9" i="10"/>
  <c r="AC8" i="10"/>
  <c r="AN9" i="10"/>
  <c r="BP9" i="10"/>
  <c r="BY25" i="9"/>
  <c r="V23" i="7"/>
  <c r="CH28" i="10"/>
  <c r="BS9" i="10"/>
  <c r="BQ9" i="10"/>
  <c r="AY9" i="10"/>
  <c r="BK32" i="9"/>
  <c r="BV32" i="9"/>
  <c r="BR32" i="9"/>
  <c r="BP32" i="9"/>
  <c r="CA32" i="9"/>
  <c r="BV25" i="9"/>
  <c r="BR25" i="9"/>
  <c r="CK16" i="9"/>
  <c r="AB32" i="9"/>
  <c r="B2" i="13"/>
  <c r="BL74" i="11"/>
  <c r="BL75" i="11" s="1"/>
  <c r="CC74" i="11"/>
  <c r="CC75" i="11" s="1"/>
  <c r="CE74" i="11"/>
  <c r="CE75" i="11" s="1"/>
  <c r="AZ74" i="11"/>
  <c r="AZ75" i="11" s="1"/>
  <c r="M13" i="7"/>
  <c r="AC74" i="11"/>
  <c r="AC75" i="11" s="1"/>
  <c r="BW9" i="10"/>
  <c r="BN8" i="10"/>
  <c r="AM9" i="10"/>
  <c r="BN9" i="10"/>
  <c r="F74" i="11"/>
  <c r="F75" i="11" s="1"/>
  <c r="BE9" i="10"/>
  <c r="BU9" i="10"/>
  <c r="AQ74" i="11"/>
  <c r="AQ75" i="11" s="1"/>
  <c r="AY8" i="10"/>
  <c r="BD9" i="10"/>
  <c r="AV9" i="10"/>
  <c r="AL9" i="10"/>
  <c r="BQ8" i="10"/>
  <c r="AQ9" i="10"/>
  <c r="M67" i="9"/>
  <c r="M78" i="9"/>
  <c r="M79" i="9" s="1"/>
  <c r="B47" i="13"/>
  <c r="E108" i="5"/>
  <c r="J67" i="9"/>
  <c r="J78" i="9"/>
  <c r="J79" i="9" s="1"/>
  <c r="I67" i="9"/>
  <c r="I78" i="9"/>
  <c r="I79" i="9" s="1"/>
  <c r="BU32" i="9"/>
  <c r="AX25" i="9"/>
  <c r="BU74" i="11"/>
  <c r="BU75" i="11" s="1"/>
  <c r="BS74" i="11"/>
  <c r="BS75" i="11" s="1"/>
  <c r="BM74" i="11"/>
  <c r="BM75" i="11" s="1"/>
  <c r="BO74" i="11"/>
  <c r="BO75" i="11" s="1"/>
  <c r="BX74" i="11"/>
  <c r="BX75" i="11" s="1"/>
  <c r="AS74" i="11"/>
  <c r="AS75" i="11" s="1"/>
  <c r="BQ74" i="11"/>
  <c r="BQ75" i="11" s="1"/>
  <c r="BH74" i="11"/>
  <c r="BH75" i="11" s="1"/>
  <c r="AV74" i="11"/>
  <c r="AV75" i="11" s="1"/>
  <c r="CI74" i="11"/>
  <c r="CI75" i="11" s="1"/>
  <c r="BF74" i="11"/>
  <c r="BF75" i="11" s="1"/>
  <c r="AH74" i="11"/>
  <c r="AH75" i="11" s="1"/>
  <c r="R74" i="11"/>
  <c r="R75" i="11" s="1"/>
  <c r="BA74" i="11"/>
  <c r="BA75" i="11" s="1"/>
  <c r="CJ74" i="11"/>
  <c r="CJ75" i="11" s="1"/>
  <c r="CF74" i="11"/>
  <c r="CF75" i="11" s="1"/>
  <c r="AO32" i="9"/>
  <c r="Q16" i="9"/>
  <c r="AV32" i="9"/>
  <c r="BS25" i="9"/>
  <c r="N34" i="9"/>
  <c r="R67" i="9"/>
  <c r="BN34" i="9"/>
  <c r="CJ16" i="9"/>
  <c r="E78" i="9"/>
  <c r="E79" i="9" s="1"/>
  <c r="E67" i="9"/>
  <c r="P16" i="9"/>
  <c r="S16" i="9"/>
  <c r="U16" i="9"/>
  <c r="CF25" i="9"/>
  <c r="BY32" i="9"/>
  <c r="BN16" i="9"/>
  <c r="BW25" i="9"/>
  <c r="T16" i="9"/>
  <c r="K16" i="9"/>
  <c r="AT28" i="10"/>
  <c r="BM9" i="10"/>
  <c r="AU9" i="10"/>
  <c r="AZ9" i="10"/>
  <c r="AG9" i="10"/>
  <c r="BN32" i="9"/>
  <c r="AH32" i="9"/>
  <c r="BH32" i="9"/>
  <c r="AW32" i="9"/>
  <c r="AL32" i="9"/>
  <c r="BA32" i="9"/>
  <c r="BJ32" i="9"/>
  <c r="BP74" i="11"/>
  <c r="BP75" i="11" s="1"/>
  <c r="AN74" i="11"/>
  <c r="AN75" i="11" s="1"/>
  <c r="BO25" i="9"/>
  <c r="BH25" i="9"/>
  <c r="BQ25" i="9"/>
  <c r="BM25" i="9"/>
  <c r="BD25" i="9"/>
  <c r="BR16" i="9"/>
  <c r="AP32" i="9"/>
  <c r="W74" i="11"/>
  <c r="W75" i="11" s="1"/>
  <c r="AT74" i="11"/>
  <c r="AT75" i="11" s="1"/>
  <c r="BD74" i="11"/>
  <c r="BD75" i="11" s="1"/>
  <c r="Y32" i="9"/>
  <c r="BK74" i="11"/>
  <c r="BK75" i="11" s="1"/>
  <c r="BJ74" i="11"/>
  <c r="BJ75" i="11" s="1"/>
  <c r="BC74" i="11"/>
  <c r="BC75" i="11" s="1"/>
  <c r="BB74" i="11"/>
  <c r="BB75" i="11" s="1"/>
  <c r="AW74" i="11"/>
  <c r="AW75" i="11" s="1"/>
  <c r="BT74" i="11"/>
  <c r="BT75" i="11" s="1"/>
  <c r="BW74" i="11"/>
  <c r="BW75" i="11" s="1"/>
  <c r="AR74" i="11"/>
  <c r="AR75" i="11" s="1"/>
  <c r="BT9" i="10"/>
  <c r="CG25" i="9"/>
  <c r="BE25" i="9"/>
  <c r="CG9" i="10"/>
  <c r="BZ74" i="11"/>
  <c r="BZ75" i="11" s="1"/>
  <c r="CF9" i="10"/>
  <c r="BY9" i="10"/>
  <c r="K9" i="10"/>
  <c r="AX16" i="9"/>
  <c r="Y23" i="7"/>
  <c r="R23" i="7"/>
  <c r="T23" i="7"/>
  <c r="M23" i="7"/>
  <c r="W23" i="7"/>
  <c r="F23" i="7"/>
  <c r="BB31" i="6"/>
  <c r="BB32" i="6" s="1"/>
  <c r="BJ31" i="6"/>
  <c r="BJ32" i="6" s="1"/>
  <c r="AR9" i="10"/>
  <c r="AP74" i="11"/>
  <c r="AP75" i="11" s="1"/>
  <c r="BF9" i="10"/>
  <c r="R9" i="10"/>
  <c r="AA9" i="10"/>
  <c r="AW9" i="10"/>
  <c r="AZ8" i="10"/>
  <c r="AK8" i="10"/>
  <c r="AK9" i="10"/>
  <c r="AT9" i="10"/>
  <c r="Z9" i="10"/>
  <c r="BC9" i="10"/>
  <c r="AP9" i="10"/>
  <c r="T9" i="10"/>
  <c r="Q9" i="10"/>
  <c r="AS9" i="10"/>
  <c r="T8" i="10"/>
  <c r="V9" i="10"/>
  <c r="U8" i="10"/>
  <c r="P9" i="10"/>
  <c r="M8" i="10"/>
  <c r="R8" i="10"/>
  <c r="Q8" i="10"/>
  <c r="Z74" i="11"/>
  <c r="Z75" i="11" s="1"/>
  <c r="O9" i="10"/>
  <c r="N9" i="10"/>
  <c r="X9" i="10"/>
  <c r="AR32" i="9"/>
  <c r="AT32" i="9"/>
  <c r="R32" i="9"/>
  <c r="AN32" i="9"/>
  <c r="AX32" i="9"/>
  <c r="AY74" i="11"/>
  <c r="AY75" i="11" s="1"/>
  <c r="BG74" i="11"/>
  <c r="BG75" i="11" s="1"/>
  <c r="AK25" i="9"/>
  <c r="AU25" i="9"/>
  <c r="AY25" i="9"/>
  <c r="K25" i="9"/>
  <c r="AK16" i="9"/>
  <c r="Y28" i="12"/>
  <c r="AU74" i="11"/>
  <c r="AU75" i="11" s="1"/>
  <c r="AL74" i="11"/>
  <c r="AL75" i="11" s="1"/>
  <c r="BA16" i="9"/>
  <c r="BE16" i="9"/>
  <c r="BL32" i="9"/>
  <c r="BJ25" i="9"/>
  <c r="AC25" i="9"/>
  <c r="AA74" i="11"/>
  <c r="AA75" i="11" s="1"/>
  <c r="AB74" i="11"/>
  <c r="AB75" i="11" s="1"/>
  <c r="AO9" i="10"/>
  <c r="BR31" i="6"/>
  <c r="BR32" i="6" s="1"/>
  <c r="AT31" i="6"/>
  <c r="AT32" i="6" s="1"/>
  <c r="G9" i="10"/>
  <c r="J9" i="10"/>
  <c r="BC16" i="9"/>
  <c r="BE32" i="9"/>
  <c r="BZ25" i="9"/>
  <c r="BY74" i="11"/>
  <c r="BY75" i="11" s="1"/>
  <c r="BI74" i="11"/>
  <c r="BI75" i="11" s="1"/>
  <c r="AF74" i="11"/>
  <c r="AF75" i="11" s="1"/>
  <c r="BD32" i="9"/>
  <c r="AQ25" i="9"/>
  <c r="AT25" i="9"/>
  <c r="BG9" i="10"/>
  <c r="BX9" i="10"/>
  <c r="CJ8" i="10"/>
  <c r="AE9" i="10"/>
  <c r="AH9" i="10"/>
  <c r="AB9" i="10"/>
  <c r="AS32" i="9"/>
  <c r="CB25" i="9"/>
  <c r="BP25" i="9"/>
  <c r="BB32" i="9"/>
  <c r="BS32" i="9"/>
  <c r="CA74" i="11"/>
  <c r="CA75" i="11" s="1"/>
  <c r="CD9" i="10"/>
  <c r="AX9" i="10"/>
  <c r="AV25" i="9"/>
  <c r="CG16" i="9"/>
  <c r="BF32" i="9"/>
  <c r="CD75" i="11"/>
  <c r="BV74" i="11"/>
  <c r="BV75" i="11" s="1"/>
  <c r="BM32" i="9"/>
  <c r="AC32" i="9"/>
  <c r="AM74" i="11"/>
  <c r="AM75" i="11" s="1"/>
  <c r="CH31" i="6"/>
  <c r="CH32" i="6" s="1"/>
  <c r="CH9" i="10"/>
  <c r="BB9" i="10"/>
  <c r="AX74" i="11"/>
  <c r="AX75" i="11" s="1"/>
  <c r="BN25" i="9"/>
  <c r="BX28" i="12"/>
  <c r="L28" i="12"/>
  <c r="AI8" i="10"/>
  <c r="AF9" i="10"/>
  <c r="AD9" i="10"/>
  <c r="L74" i="11"/>
  <c r="L75" i="11" s="1"/>
  <c r="U74" i="11"/>
  <c r="U75" i="11" s="1"/>
  <c r="AJ8" i="10"/>
  <c r="Y9" i="10"/>
  <c r="AH8" i="10"/>
  <c r="S9" i="10"/>
  <c r="W9" i="10"/>
  <c r="AI74" i="11"/>
  <c r="AI75" i="11" s="1"/>
  <c r="O74" i="11"/>
  <c r="O75" i="11" s="1"/>
  <c r="AD32" i="9"/>
  <c r="X32" i="9"/>
  <c r="I28" i="12"/>
  <c r="BU28" i="12"/>
  <c r="E23" i="7"/>
  <c r="N23" i="7"/>
  <c r="S74" i="11"/>
  <c r="S75" i="11" s="1"/>
  <c r="L9" i="10"/>
  <c r="M74" i="11"/>
  <c r="M75" i="11" s="1"/>
  <c r="H9" i="10"/>
  <c r="K8" i="10"/>
  <c r="F9" i="10"/>
  <c r="E74" i="11"/>
  <c r="E75" i="11" s="1"/>
  <c r="K74" i="11"/>
  <c r="K75" i="11" s="1"/>
  <c r="J8" i="10"/>
  <c r="I9" i="10"/>
  <c r="E8" i="10"/>
  <c r="O16" i="9"/>
  <c r="M34" i="9"/>
  <c r="N16" i="9"/>
  <c r="H16" i="9"/>
  <c r="L16" i="9"/>
  <c r="F16" i="9"/>
  <c r="I74" i="11"/>
  <c r="I75" i="11" s="1"/>
  <c r="BE28" i="12"/>
  <c r="J74" i="11"/>
  <c r="J75" i="11" s="1"/>
  <c r="AO74" i="11"/>
  <c r="AO75" i="11" s="1"/>
  <c r="N31" i="6"/>
  <c r="N32" i="6" s="1"/>
  <c r="I16" i="9"/>
  <c r="AD74" i="11"/>
  <c r="AD75" i="11" s="1"/>
  <c r="R34" i="9"/>
  <c r="X74" i="11"/>
  <c r="X75" i="11" s="1"/>
  <c r="U23" i="7"/>
  <c r="H23" i="7"/>
  <c r="P23" i="7"/>
  <c r="E13" i="7"/>
  <c r="F13" i="7"/>
  <c r="N13" i="7"/>
  <c r="F31" i="6"/>
  <c r="F32" i="6" s="1"/>
  <c r="F28" i="10"/>
  <c r="AJ75" i="11"/>
  <c r="AL31" i="6"/>
  <c r="AL32" i="6" s="1"/>
  <c r="N28" i="10"/>
  <c r="AL28" i="10"/>
  <c r="V28" i="10"/>
  <c r="V20" i="11"/>
  <c r="V21" i="11" s="1"/>
  <c r="H74" i="11"/>
  <c r="H75" i="11" s="1"/>
  <c r="AH25" i="9"/>
  <c r="AO25" i="9"/>
  <c r="G25" i="9"/>
  <c r="I24" i="9"/>
  <c r="M24" i="9"/>
  <c r="AW28" i="12"/>
  <c r="AO28" i="12"/>
  <c r="BM28" i="12"/>
  <c r="AZ28" i="12"/>
  <c r="O28" i="12"/>
  <c r="G28" i="12"/>
  <c r="I31" i="12"/>
  <c r="M31" i="12"/>
  <c r="T74" i="11"/>
  <c r="T75" i="11" s="1"/>
  <c r="X23" i="7"/>
  <c r="G23" i="7"/>
  <c r="S23" i="7"/>
  <c r="I32" i="9"/>
  <c r="M32" i="9"/>
  <c r="H32" i="9"/>
  <c r="N32" i="9"/>
  <c r="L32" i="9"/>
  <c r="V74" i="11"/>
  <c r="V75" i="11" s="1"/>
  <c r="G74" i="11"/>
  <c r="G75" i="11" s="1"/>
  <c r="P74" i="11"/>
  <c r="P75" i="11" s="1"/>
  <c r="F32" i="9"/>
  <c r="F25" i="9"/>
  <c r="J16" i="9"/>
  <c r="N74" i="11"/>
  <c r="N75" i="11" s="1"/>
  <c r="AK74" i="11"/>
  <c r="AK75" i="11" s="1"/>
  <c r="AF32" i="9"/>
  <c r="E32" i="9"/>
  <c r="J32" i="9"/>
  <c r="V25" i="9"/>
  <c r="P25" i="9"/>
  <c r="Z16" i="9"/>
  <c r="E25" i="9"/>
  <c r="I25" i="9"/>
  <c r="W25" i="9"/>
  <c r="E24" i="9"/>
  <c r="AG25" i="9"/>
  <c r="CC28" i="12"/>
  <c r="Q28" i="12"/>
  <c r="BH28" i="12"/>
  <c r="BP28" i="12"/>
  <c r="BS28" i="12"/>
  <c r="BC28" i="12"/>
  <c r="V28" i="12"/>
  <c r="AR28" i="12"/>
  <c r="AU28" i="12"/>
  <c r="AN28" i="12"/>
  <c r="BK28" i="12"/>
  <c r="AM28" i="12"/>
  <c r="AF28" i="12"/>
  <c r="AE28" i="12"/>
  <c r="W28" i="12"/>
  <c r="CA28" i="12"/>
  <c r="AN25" i="9"/>
  <c r="CH25" i="9"/>
  <c r="AK32" i="9"/>
  <c r="CC25" i="9"/>
  <c r="BZ34" i="9"/>
  <c r="J25" i="9"/>
  <c r="BL25" i="9"/>
  <c r="AM25" i="9"/>
  <c r="BU25" i="9"/>
  <c r="CI16" i="9"/>
  <c r="BY16" i="9"/>
  <c r="AA16" i="9"/>
  <c r="BU16" i="9"/>
  <c r="BB34" i="9"/>
  <c r="Z34" i="9"/>
  <c r="BC32" i="9"/>
  <c r="W32" i="9"/>
  <c r="CE25" i="9"/>
  <c r="BC25" i="9"/>
  <c r="R25" i="9"/>
  <c r="M25" i="9"/>
  <c r="AW25" i="9"/>
  <c r="BT32" i="9"/>
  <c r="BK25" i="9"/>
  <c r="BW32" i="9"/>
  <c r="V34" i="9"/>
  <c r="AE32" i="9"/>
  <c r="AR25" i="9"/>
  <c r="Q25" i="9"/>
  <c r="BT25" i="9"/>
  <c r="CG32" i="9"/>
  <c r="Q32" i="9"/>
  <c r="CF32" i="9"/>
  <c r="T32" i="9"/>
  <c r="I34" i="9"/>
  <c r="AI25" i="9"/>
  <c r="Z32" i="9"/>
  <c r="CD25" i="9"/>
  <c r="BB25" i="9"/>
  <c r="T25" i="9"/>
  <c r="BV34" i="9"/>
  <c r="BI32" i="9"/>
  <c r="F34" i="9"/>
  <c r="H25" i="9"/>
  <c r="AG32" i="9"/>
  <c r="BG16" i="9"/>
  <c r="BG25" i="9"/>
  <c r="BF25" i="9"/>
  <c r="J34" i="9"/>
  <c r="U32" i="9"/>
  <c r="E34" i="9"/>
  <c r="AZ32" i="9"/>
  <c r="BV16" i="9"/>
  <c r="G16" i="9"/>
  <c r="BM16" i="9"/>
  <c r="BF16" i="9"/>
  <c r="BI25" i="9"/>
  <c r="M16" i="9"/>
  <c r="BS16" i="9"/>
  <c r="CC32" i="9"/>
  <c r="V32" i="9"/>
  <c r="BD16" i="9"/>
  <c r="CD16" i="9"/>
  <c r="AZ25" i="9"/>
  <c r="CB32" i="9"/>
  <c r="BX25" i="9"/>
  <c r="AP34" i="9"/>
  <c r="CA25" i="9"/>
  <c r="AS16" i="9"/>
  <c r="AI16" i="9"/>
  <c r="AS25" i="9"/>
  <c r="AB25" i="9"/>
  <c r="Z25" i="9"/>
  <c r="X25" i="9"/>
  <c r="AD25" i="9"/>
  <c r="AA25" i="9"/>
  <c r="AE25" i="9"/>
  <c r="CE16" i="9"/>
  <c r="L25" i="9"/>
  <c r="U25" i="9"/>
  <c r="Q23" i="7"/>
  <c r="L23" i="7"/>
  <c r="K23" i="7"/>
  <c r="J23" i="7"/>
  <c r="AB22" i="10"/>
  <c r="AD31" i="6"/>
  <c r="AD32" i="6" s="1"/>
  <c r="AD28" i="10"/>
  <c r="AG74" i="11"/>
  <c r="AG75" i="11" s="1"/>
  <c r="AE74" i="11"/>
  <c r="AE75" i="11" s="1"/>
  <c r="V31" i="6"/>
  <c r="AJ22" i="10"/>
  <c r="CE22" i="10"/>
  <c r="S22" i="10"/>
  <c r="BQ22" i="10"/>
  <c r="CD22" i="10"/>
  <c r="R22" i="10"/>
  <c r="Y22" i="10"/>
  <c r="BL22" i="10"/>
  <c r="BS22" i="10"/>
  <c r="BC22" i="10"/>
  <c r="W22" i="10"/>
  <c r="BY28" i="10"/>
  <c r="BY31" i="6"/>
  <c r="BY32" i="6" s="1"/>
  <c r="M28" i="10"/>
  <c r="M31" i="6"/>
  <c r="M32" i="6" s="1"/>
  <c r="BP28" i="10"/>
  <c r="BP31" i="6"/>
  <c r="BP32" i="6" s="1"/>
  <c r="D31" i="6"/>
  <c r="BW28" i="10"/>
  <c r="BW31" i="6"/>
  <c r="BW32" i="6" s="1"/>
  <c r="K28" i="10"/>
  <c r="K31" i="6"/>
  <c r="K32" i="6" s="1"/>
  <c r="Z28" i="10"/>
  <c r="Z31" i="6"/>
  <c r="Z32" i="6" s="1"/>
  <c r="BE28" i="10"/>
  <c r="BE31" i="6"/>
  <c r="BE32" i="6" s="1"/>
  <c r="CJ28" i="10"/>
  <c r="CJ31" i="6"/>
  <c r="CJ32" i="6" s="1"/>
  <c r="X28" i="10"/>
  <c r="X31" i="6"/>
  <c r="X32" i="6" s="1"/>
  <c r="BK28" i="10"/>
  <c r="BK31" i="6"/>
  <c r="BK32" i="6" s="1"/>
  <c r="BE75" i="11"/>
  <c r="CB75" i="11"/>
  <c r="BZ22" i="10"/>
  <c r="BW22" i="10"/>
  <c r="K22" i="10"/>
  <c r="AK22" i="10"/>
  <c r="BV22" i="10"/>
  <c r="J22" i="10"/>
  <c r="CC22" i="10"/>
  <c r="Q22" i="10"/>
  <c r="BD22" i="10"/>
  <c r="BQ28" i="10"/>
  <c r="BQ31" i="6"/>
  <c r="BQ32" i="6" s="1"/>
  <c r="E28" i="10"/>
  <c r="E31" i="6"/>
  <c r="E32" i="6" s="1"/>
  <c r="BH28" i="10"/>
  <c r="BH31" i="6"/>
  <c r="BH32" i="6" s="1"/>
  <c r="BO28" i="10"/>
  <c r="BO31" i="6"/>
  <c r="BO32" i="6" s="1"/>
  <c r="C31" i="6"/>
  <c r="CD28" i="10"/>
  <c r="CD31" i="6"/>
  <c r="CD32" i="6" s="1"/>
  <c r="R28" i="10"/>
  <c r="R31" i="6"/>
  <c r="R32" i="6" s="1"/>
  <c r="AW28" i="10"/>
  <c r="AW31" i="6"/>
  <c r="AW32" i="6" s="1"/>
  <c r="CB28" i="10"/>
  <c r="CB31" i="6"/>
  <c r="CB32" i="6" s="1"/>
  <c r="P28" i="10"/>
  <c r="P31" i="6"/>
  <c r="P32" i="6" s="1"/>
  <c r="BC28" i="10"/>
  <c r="BC31" i="6"/>
  <c r="BC32" i="6" s="1"/>
  <c r="CH75" i="11"/>
  <c r="CF22" i="10"/>
  <c r="T22" i="10"/>
  <c r="AL22" i="10"/>
  <c r="F22" i="10"/>
  <c r="BO22" i="10"/>
  <c r="BI22" i="10"/>
  <c r="M22" i="10"/>
  <c r="BN22" i="10"/>
  <c r="BU22" i="10"/>
  <c r="I22" i="10"/>
  <c r="AV22" i="10"/>
  <c r="CI22" i="10"/>
  <c r="BI28" i="10"/>
  <c r="BI31" i="6"/>
  <c r="BI32" i="6" s="1"/>
  <c r="AZ28" i="10"/>
  <c r="AZ31" i="6"/>
  <c r="AZ32" i="6" s="1"/>
  <c r="BG28" i="10"/>
  <c r="BG31" i="6"/>
  <c r="BG32" i="6" s="1"/>
  <c r="BV28" i="10"/>
  <c r="BV31" i="6"/>
  <c r="BV32" i="6" s="1"/>
  <c r="J28" i="10"/>
  <c r="J31" i="6"/>
  <c r="J32" i="6" s="1"/>
  <c r="AO28" i="10"/>
  <c r="AO31" i="6"/>
  <c r="AO32" i="6" s="1"/>
  <c r="BT28" i="10"/>
  <c r="BT31" i="6"/>
  <c r="BT32" i="6" s="1"/>
  <c r="H28" i="10"/>
  <c r="H31" i="6"/>
  <c r="H32" i="6" s="1"/>
  <c r="AU28" i="10"/>
  <c r="AU31" i="6"/>
  <c r="AU32" i="6" s="1"/>
  <c r="BX22" i="10"/>
  <c r="L22" i="10"/>
  <c r="BB22" i="10"/>
  <c r="V22" i="10"/>
  <c r="BG22" i="10"/>
  <c r="BF22" i="10"/>
  <c r="BM22" i="10"/>
  <c r="AN22" i="10"/>
  <c r="AU22" i="10"/>
  <c r="O22" i="10"/>
  <c r="BA28" i="10"/>
  <c r="BA31" i="6"/>
  <c r="BA32" i="6" s="1"/>
  <c r="AR28" i="10"/>
  <c r="AR31" i="6"/>
  <c r="AR32" i="6" s="1"/>
  <c r="AY28" i="10"/>
  <c r="AY31" i="6"/>
  <c r="AY32" i="6" s="1"/>
  <c r="BN28" i="10"/>
  <c r="BN31" i="6"/>
  <c r="BN32" i="6" s="1"/>
  <c r="B31" i="6"/>
  <c r="AG28" i="10"/>
  <c r="AG31" i="6"/>
  <c r="AG32" i="6" s="1"/>
  <c r="BL28" i="10"/>
  <c r="BL31" i="6"/>
  <c r="BL32" i="6" s="1"/>
  <c r="AM28" i="10"/>
  <c r="AM31" i="6"/>
  <c r="AM32" i="6" s="1"/>
  <c r="BR75" i="11"/>
  <c r="BP22" i="10"/>
  <c r="BR22" i="10"/>
  <c r="AY22" i="10"/>
  <c r="CG22" i="10"/>
  <c r="BA22" i="10"/>
  <c r="AC22" i="10"/>
  <c r="AX22" i="10"/>
  <c r="BE22" i="10"/>
  <c r="AF22" i="10"/>
  <c r="BK22" i="10"/>
  <c r="AE22" i="10"/>
  <c r="AS28" i="10"/>
  <c r="AS31" i="6"/>
  <c r="AS32" i="6" s="1"/>
  <c r="AJ28" i="10"/>
  <c r="AJ31" i="6"/>
  <c r="AJ32" i="6" s="1"/>
  <c r="AQ28" i="10"/>
  <c r="AQ31" i="6"/>
  <c r="AQ32" i="6" s="1"/>
  <c r="BF28" i="10"/>
  <c r="BF31" i="6"/>
  <c r="BF32" i="6" s="1"/>
  <c r="Y28" i="10"/>
  <c r="Y31" i="6"/>
  <c r="Y32" i="6" s="1"/>
  <c r="BD28" i="10"/>
  <c r="BD31" i="6"/>
  <c r="BD32" i="6" s="1"/>
  <c r="AE28" i="10"/>
  <c r="AE31" i="6"/>
  <c r="AE32" i="6" s="1"/>
  <c r="Y74" i="11"/>
  <c r="Y75" i="11" s="1"/>
  <c r="BH22" i="10"/>
  <c r="AQ22" i="10"/>
  <c r="E22" i="10"/>
  <c r="AP22" i="10"/>
  <c r="AW22" i="10"/>
  <c r="CJ22" i="10"/>
  <c r="X22" i="10"/>
  <c r="CA22" i="10"/>
  <c r="AK28" i="10"/>
  <c r="AK31" i="6"/>
  <c r="AK32" i="6" s="1"/>
  <c r="AB28" i="10"/>
  <c r="AB31" i="6"/>
  <c r="AB32" i="6" s="1"/>
  <c r="AI28" i="10"/>
  <c r="AI31" i="6"/>
  <c r="AI32" i="6" s="1"/>
  <c r="AX28" i="10"/>
  <c r="AX31" i="6"/>
  <c r="AX32" i="6" s="1"/>
  <c r="CC28" i="10"/>
  <c r="CC31" i="6"/>
  <c r="CC32" i="6" s="1"/>
  <c r="Q28" i="10"/>
  <c r="Q31" i="6"/>
  <c r="Q32" i="6" s="1"/>
  <c r="AV28" i="10"/>
  <c r="AV31" i="6"/>
  <c r="AV32" i="6" s="1"/>
  <c r="CI28" i="10"/>
  <c r="CI31" i="6"/>
  <c r="CI32" i="6" s="1"/>
  <c r="W28" i="10"/>
  <c r="W31" i="6"/>
  <c r="W32" i="6" s="1"/>
  <c r="Q74" i="11"/>
  <c r="Q75" i="11" s="1"/>
  <c r="AZ22" i="10"/>
  <c r="AT22" i="10"/>
  <c r="AD22" i="10"/>
  <c r="N22" i="10"/>
  <c r="AI22" i="10"/>
  <c r="BY22" i="10"/>
  <c r="AS22" i="10"/>
  <c r="AH22" i="10"/>
  <c r="AO22" i="10"/>
  <c r="CB22" i="10"/>
  <c r="P22" i="10"/>
  <c r="AC28" i="10"/>
  <c r="AC31" i="6"/>
  <c r="AC32" i="6" s="1"/>
  <c r="CF28" i="10"/>
  <c r="CF31" i="6"/>
  <c r="CF32" i="6" s="1"/>
  <c r="T28" i="10"/>
  <c r="T31" i="6"/>
  <c r="T32" i="6" s="1"/>
  <c r="AA28" i="10"/>
  <c r="AA31" i="6"/>
  <c r="AA32" i="6" s="1"/>
  <c r="AP28" i="10"/>
  <c r="AP31" i="6"/>
  <c r="AP32" i="6" s="1"/>
  <c r="BU28" i="10"/>
  <c r="BU31" i="6"/>
  <c r="BU32" i="6" s="1"/>
  <c r="I28" i="10"/>
  <c r="I31" i="6"/>
  <c r="I32" i="6" s="1"/>
  <c r="AN28" i="10"/>
  <c r="AN31" i="6"/>
  <c r="AN32" i="6" s="1"/>
  <c r="CA28" i="10"/>
  <c r="CA31" i="6"/>
  <c r="CA32" i="6" s="1"/>
  <c r="O28" i="10"/>
  <c r="O31" i="6"/>
  <c r="O32" i="6" s="1"/>
  <c r="AR22" i="10"/>
  <c r="CH22" i="10"/>
  <c r="BJ22" i="10"/>
  <c r="AA22" i="10"/>
  <c r="U22" i="10"/>
  <c r="Z22" i="10"/>
  <c r="AG22" i="10"/>
  <c r="BT22" i="10"/>
  <c r="H22" i="10"/>
  <c r="AM22" i="10"/>
  <c r="G22" i="10"/>
  <c r="CG28" i="10"/>
  <c r="CG31" i="6"/>
  <c r="CG32" i="6" s="1"/>
  <c r="U28" i="10"/>
  <c r="U31" i="6"/>
  <c r="U32" i="6" s="1"/>
  <c r="BX28" i="10"/>
  <c r="BX31" i="6"/>
  <c r="BX32" i="6" s="1"/>
  <c r="L28" i="10"/>
  <c r="L31" i="6"/>
  <c r="L32" i="6" s="1"/>
  <c r="CE28" i="10"/>
  <c r="CE31" i="6"/>
  <c r="CE32" i="6" s="1"/>
  <c r="S28" i="10"/>
  <c r="S31" i="6"/>
  <c r="S32" i="6" s="1"/>
  <c r="AH28" i="10"/>
  <c r="AH31" i="6"/>
  <c r="AH32" i="6" s="1"/>
  <c r="BM28" i="10"/>
  <c r="BM31" i="6"/>
  <c r="BM32" i="6" s="1"/>
  <c r="BZ6" i="11"/>
  <c r="BZ39" i="10"/>
  <c r="BZ34" i="10"/>
  <c r="BZ38" i="6"/>
  <c r="BZ39" i="6" s="1"/>
  <c r="AF28" i="10"/>
  <c r="AF31" i="6"/>
  <c r="AF32" i="6" s="1"/>
  <c r="BS28" i="10"/>
  <c r="BS31" i="6"/>
  <c r="BS32" i="6" s="1"/>
  <c r="G28" i="10"/>
  <c r="G31" i="6"/>
  <c r="G32" i="6" s="1"/>
  <c r="AD34" i="9"/>
  <c r="E16" i="9"/>
  <c r="AH16" i="9"/>
  <c r="R16" i="9"/>
  <c r="AM32" i="9"/>
  <c r="G32" i="9"/>
  <c r="O32" i="9"/>
  <c r="AJ32" i="9"/>
  <c r="P32" i="9"/>
  <c r="AF25" i="9"/>
  <c r="AL25" i="9"/>
  <c r="Y25" i="9"/>
  <c r="AJ16" i="9"/>
  <c r="Y16" i="9"/>
  <c r="N25" i="9"/>
  <c r="AP16" i="9"/>
  <c r="AJ25" i="9"/>
  <c r="O25" i="9"/>
  <c r="AP25" i="9"/>
  <c r="S25" i="9"/>
  <c r="AE12" i="9"/>
  <c r="AE4" i="8"/>
  <c r="AE108" i="5"/>
  <c r="BZ12" i="9"/>
  <c r="BZ108" i="5"/>
  <c r="N12" i="9"/>
  <c r="N4" i="8"/>
  <c r="N108" i="5"/>
  <c r="BI12" i="9"/>
  <c r="BI4" i="8"/>
  <c r="BI108" i="5"/>
  <c r="AA12" i="9"/>
  <c r="AA4" i="8"/>
  <c r="AA108" i="5"/>
  <c r="CC12" i="9"/>
  <c r="CC108" i="5"/>
  <c r="Q12" i="9"/>
  <c r="Q4" i="8"/>
  <c r="Q108" i="5"/>
  <c r="BT12" i="9"/>
  <c r="BT4" i="8"/>
  <c r="BT5" i="8" s="1"/>
  <c r="BT108" i="5"/>
  <c r="H12" i="9"/>
  <c r="H69" i="9" s="1"/>
  <c r="H4" i="8"/>
  <c r="H108" i="5"/>
  <c r="CK50" i="11"/>
  <c r="CK4" i="9"/>
  <c r="CK29" i="9" s="1"/>
  <c r="CK69" i="5"/>
  <c r="CK22" i="11" s="1"/>
  <c r="CK23" i="11" s="1"/>
  <c r="CK24" i="11" s="1"/>
  <c r="Y50" i="11"/>
  <c r="Y51" i="11" s="1"/>
  <c r="Y4" i="9"/>
  <c r="Y69" i="5"/>
  <c r="Y22" i="11" s="1"/>
  <c r="Y23" i="11" s="1"/>
  <c r="Y24" i="11" s="1"/>
  <c r="AN50" i="11"/>
  <c r="AN51" i="11" s="1"/>
  <c r="AN4" i="9"/>
  <c r="AN69" i="5"/>
  <c r="AN22" i="11" s="1"/>
  <c r="AN23" i="11" s="1"/>
  <c r="AN24" i="11" s="1"/>
  <c r="BC50" i="11"/>
  <c r="BC51" i="11" s="1"/>
  <c r="BC4" i="9"/>
  <c r="BC69" i="5"/>
  <c r="BC22" i="11" s="1"/>
  <c r="BC23" i="11" s="1"/>
  <c r="BC24" i="11" s="1"/>
  <c r="BB50" i="11"/>
  <c r="BB51" i="11" s="1"/>
  <c r="BB4" i="9"/>
  <c r="BB69" i="5"/>
  <c r="BB22" i="11" s="1"/>
  <c r="BB23" i="11" s="1"/>
  <c r="BB24" i="11" s="1"/>
  <c r="L12" i="9"/>
  <c r="L69" i="9" s="1"/>
  <c r="L4" i="8"/>
  <c r="L108" i="5"/>
  <c r="CG50" i="11"/>
  <c r="CG51" i="11" s="1"/>
  <c r="CG4" i="9"/>
  <c r="CG69" i="5"/>
  <c r="CG22" i="11" s="1"/>
  <c r="CG23" i="11" s="1"/>
  <c r="CG24" i="11" s="1"/>
  <c r="U50" i="11"/>
  <c r="U51" i="11" s="1"/>
  <c r="U4" i="9"/>
  <c r="U69" i="5"/>
  <c r="U22" i="11" s="1"/>
  <c r="U23" i="11" s="1"/>
  <c r="U24" i="11" s="1"/>
  <c r="CD12" i="9"/>
  <c r="CD108" i="5"/>
  <c r="AX12" i="9"/>
  <c r="AX108" i="5"/>
  <c r="AX4" i="8"/>
  <c r="R12" i="9"/>
  <c r="R4" i="8"/>
  <c r="R108" i="5"/>
  <c r="AB50" i="11"/>
  <c r="AB51" i="11" s="1"/>
  <c r="AB4" i="9"/>
  <c r="AB69" i="5"/>
  <c r="AB22" i="11" s="1"/>
  <c r="AB23" i="11" s="1"/>
  <c r="AB24" i="11" s="1"/>
  <c r="I12" i="9"/>
  <c r="I69" i="9" s="1"/>
  <c r="I4" i="8"/>
  <c r="I108" i="5"/>
  <c r="AQ50" i="11"/>
  <c r="AQ51" i="11" s="1"/>
  <c r="AQ4" i="9"/>
  <c r="AQ69" i="5"/>
  <c r="AQ22" i="11" s="1"/>
  <c r="AQ23" i="11" s="1"/>
  <c r="AQ24" i="11" s="1"/>
  <c r="BF50" i="11"/>
  <c r="BF51" i="11" s="1"/>
  <c r="BF4" i="9"/>
  <c r="BF69" i="5"/>
  <c r="BF22" i="11" s="1"/>
  <c r="BF23" i="11" s="1"/>
  <c r="BF24" i="11" s="1"/>
  <c r="CI12" i="9"/>
  <c r="CI108" i="5"/>
  <c r="W12" i="9"/>
  <c r="W4" i="8"/>
  <c r="W108" i="5"/>
  <c r="BR12" i="9"/>
  <c r="BR108" i="5"/>
  <c r="BR4" i="8"/>
  <c r="F12" i="9"/>
  <c r="F69" i="9" s="1"/>
  <c r="F4" i="8"/>
  <c r="F108" i="5"/>
  <c r="BA12" i="9"/>
  <c r="BA4" i="8"/>
  <c r="BA108" i="5"/>
  <c r="CE12" i="9"/>
  <c r="CE108" i="5"/>
  <c r="S12" i="9"/>
  <c r="S4" i="8"/>
  <c r="S108" i="5"/>
  <c r="BU12" i="9"/>
  <c r="BU4" i="8"/>
  <c r="BU5" i="8" s="1"/>
  <c r="BU108" i="5"/>
  <c r="BL12" i="9"/>
  <c r="BL4" i="8"/>
  <c r="BL108" i="5"/>
  <c r="CC50" i="11"/>
  <c r="CC51" i="11" s="1"/>
  <c r="CC4" i="9"/>
  <c r="CC69" i="5"/>
  <c r="CC22" i="11" s="1"/>
  <c r="CC23" i="11" s="1"/>
  <c r="CC24" i="11" s="1"/>
  <c r="Q50" i="11"/>
  <c r="Q51" i="11" s="1"/>
  <c r="Q4" i="9"/>
  <c r="Q69" i="5"/>
  <c r="Q22" i="11" s="1"/>
  <c r="Q23" i="11" s="1"/>
  <c r="Q24" i="11" s="1"/>
  <c r="AF50" i="11"/>
  <c r="AF51" i="11" s="1"/>
  <c r="AF4" i="9"/>
  <c r="AF69" i="5"/>
  <c r="AF22" i="11" s="1"/>
  <c r="AF23" i="11" s="1"/>
  <c r="AF24" i="11" s="1"/>
  <c r="AU50" i="11"/>
  <c r="AU51" i="11" s="1"/>
  <c r="AU4" i="9"/>
  <c r="AU69" i="5"/>
  <c r="AU22" i="11" s="1"/>
  <c r="AU23" i="11" s="1"/>
  <c r="AU24" i="11" s="1"/>
  <c r="AT50" i="11"/>
  <c r="AT51" i="11" s="1"/>
  <c r="AT4" i="9"/>
  <c r="AT69" i="5"/>
  <c r="AT22" i="11" s="1"/>
  <c r="AT23" i="11" s="1"/>
  <c r="AT24" i="11" s="1"/>
  <c r="BY50" i="11"/>
  <c r="BY51" i="11" s="1"/>
  <c r="BY4" i="9"/>
  <c r="BY69" i="5"/>
  <c r="BY22" i="11" s="1"/>
  <c r="BY23" i="11" s="1"/>
  <c r="BY24" i="11" s="1"/>
  <c r="M50" i="11"/>
  <c r="M51" i="11" s="1"/>
  <c r="M4" i="9"/>
  <c r="M69" i="5"/>
  <c r="M22" i="11" s="1"/>
  <c r="M23" i="11" s="1"/>
  <c r="M24" i="11" s="1"/>
  <c r="CF50" i="11"/>
  <c r="CF51" i="11" s="1"/>
  <c r="CF4" i="9"/>
  <c r="CF69" i="5"/>
  <c r="CF22" i="11" s="1"/>
  <c r="CF23" i="11" s="1"/>
  <c r="CF24" i="11" s="1"/>
  <c r="T50" i="11"/>
  <c r="T51" i="11" s="1"/>
  <c r="T4" i="9"/>
  <c r="T69" i="5"/>
  <c r="T22" i="11" s="1"/>
  <c r="T23" i="11" s="1"/>
  <c r="T24" i="11" s="1"/>
  <c r="AQ32" i="9"/>
  <c r="K32" i="9"/>
  <c r="AI50" i="11"/>
  <c r="AI51" i="11" s="1"/>
  <c r="AI4" i="9"/>
  <c r="AI69" i="5"/>
  <c r="AI22" i="11" s="1"/>
  <c r="AI23" i="11" s="1"/>
  <c r="AI24" i="11" s="1"/>
  <c r="AX50" i="11"/>
  <c r="AX51" i="11" s="1"/>
  <c r="AX4" i="9"/>
  <c r="AX69" i="5"/>
  <c r="AX22" i="11" s="1"/>
  <c r="AX23" i="11" s="1"/>
  <c r="AX24" i="11" s="1"/>
  <c r="CA12" i="9"/>
  <c r="CA108" i="5"/>
  <c r="O12" i="9"/>
  <c r="O4" i="8"/>
  <c r="O108" i="5"/>
  <c r="BJ12" i="9"/>
  <c r="BJ108" i="5"/>
  <c r="BJ4" i="8"/>
  <c r="AS12" i="9"/>
  <c r="AS4" i="8"/>
  <c r="AS108" i="5"/>
  <c r="BW12" i="9"/>
  <c r="BW108" i="5"/>
  <c r="K12" i="9"/>
  <c r="K69" i="9" s="1"/>
  <c r="K4" i="8"/>
  <c r="K108" i="5"/>
  <c r="BM12" i="9"/>
  <c r="BM4" i="8"/>
  <c r="BM108" i="5"/>
  <c r="BD12" i="9"/>
  <c r="BD4" i="8"/>
  <c r="BD108" i="5"/>
  <c r="CK32" i="9"/>
  <c r="BU50" i="11"/>
  <c r="BU51" i="11" s="1"/>
  <c r="BU4" i="9"/>
  <c r="BU69" i="5"/>
  <c r="BU22" i="11" s="1"/>
  <c r="BU23" i="11" s="1"/>
  <c r="BU24" i="11" s="1"/>
  <c r="I50" i="11"/>
  <c r="I51" i="11" s="1"/>
  <c r="I4" i="9"/>
  <c r="I69" i="5"/>
  <c r="I22" i="11" s="1"/>
  <c r="I23" i="11" s="1"/>
  <c r="I24" i="11" s="1"/>
  <c r="CJ50" i="11"/>
  <c r="CJ51" i="11" s="1"/>
  <c r="CJ4" i="9"/>
  <c r="CJ29" i="9" s="1"/>
  <c r="CJ69" i="5"/>
  <c r="CJ22" i="11" s="1"/>
  <c r="CJ23" i="11" s="1"/>
  <c r="CJ24" i="11" s="1"/>
  <c r="X50" i="11"/>
  <c r="X51" i="11" s="1"/>
  <c r="X4" i="9"/>
  <c r="X29" i="9" s="1"/>
  <c r="X69" i="5"/>
  <c r="X22" i="11" s="1"/>
  <c r="X23" i="11" s="1"/>
  <c r="X24" i="11" s="1"/>
  <c r="AB12" i="9"/>
  <c r="AB4" i="8"/>
  <c r="AB108" i="5"/>
  <c r="AM50" i="11"/>
  <c r="AM51" i="11" s="1"/>
  <c r="AM4" i="9"/>
  <c r="AM29" i="9" s="1"/>
  <c r="AM69" i="5"/>
  <c r="AM22" i="11" s="1"/>
  <c r="AM23" i="11" s="1"/>
  <c r="AM24" i="11" s="1"/>
  <c r="AL50" i="11"/>
  <c r="AL51" i="11" s="1"/>
  <c r="AL4" i="9"/>
  <c r="AL69" i="5"/>
  <c r="AL22" i="11" s="1"/>
  <c r="AL23" i="11" s="1"/>
  <c r="AL24" i="11" s="1"/>
  <c r="BQ50" i="11"/>
  <c r="BQ51" i="11" s="1"/>
  <c r="BQ4" i="9"/>
  <c r="BQ69" i="5"/>
  <c r="BQ22" i="11" s="1"/>
  <c r="BQ23" i="11" s="1"/>
  <c r="BQ24" i="11" s="1"/>
  <c r="E50" i="11"/>
  <c r="E51" i="11" s="1"/>
  <c r="E4" i="9"/>
  <c r="E69" i="5"/>
  <c r="E22" i="11" s="1"/>
  <c r="E23" i="11" s="1"/>
  <c r="E24" i="11" s="1"/>
  <c r="BV12" i="9"/>
  <c r="BV4" i="8"/>
  <c r="BV5" i="8" s="1"/>
  <c r="BV108" i="5"/>
  <c r="AP12" i="9"/>
  <c r="AP4" i="8"/>
  <c r="AP108" i="5"/>
  <c r="J12" i="9"/>
  <c r="J69" i="9" s="1"/>
  <c r="J4" i="8"/>
  <c r="J108" i="5"/>
  <c r="BX50" i="11"/>
  <c r="BX51" i="11" s="1"/>
  <c r="BX4" i="9"/>
  <c r="BX69" i="5"/>
  <c r="BX22" i="11" s="1"/>
  <c r="BX23" i="11" s="1"/>
  <c r="BX24" i="11" s="1"/>
  <c r="L50" i="11"/>
  <c r="L51" i="11" s="1"/>
  <c r="L4" i="9"/>
  <c r="L69" i="5"/>
  <c r="L22" i="11" s="1"/>
  <c r="L23" i="11" s="1"/>
  <c r="L24" i="11" s="1"/>
  <c r="AA50" i="11"/>
  <c r="AA51" i="11" s="1"/>
  <c r="AA4" i="9"/>
  <c r="AA69" i="5"/>
  <c r="AA22" i="11" s="1"/>
  <c r="AA23" i="11" s="1"/>
  <c r="AA24" i="11" s="1"/>
  <c r="AP50" i="11"/>
  <c r="AP51" i="11" s="1"/>
  <c r="AP4" i="9"/>
  <c r="AP69" i="5"/>
  <c r="AP22" i="11" s="1"/>
  <c r="AP23" i="11" s="1"/>
  <c r="AP24" i="11" s="1"/>
  <c r="BS12" i="9"/>
  <c r="BS4" i="8"/>
  <c r="BS5" i="8" s="1"/>
  <c r="BS108" i="5"/>
  <c r="G12" i="9"/>
  <c r="G69" i="9" s="1"/>
  <c r="G4" i="8"/>
  <c r="G108" i="5"/>
  <c r="BB12" i="9"/>
  <c r="BB108" i="5"/>
  <c r="BB4" i="8"/>
  <c r="AK12" i="9"/>
  <c r="AK4" i="8"/>
  <c r="AK108" i="5"/>
  <c r="BO12" i="9"/>
  <c r="BO4" i="8"/>
  <c r="BO108" i="5"/>
  <c r="BE12" i="9"/>
  <c r="BE4" i="8"/>
  <c r="BE5" i="8" s="1"/>
  <c r="BE108" i="5"/>
  <c r="AV12" i="9"/>
  <c r="AV4" i="8"/>
  <c r="AV108" i="5"/>
  <c r="AR12" i="9"/>
  <c r="AR4" i="8"/>
  <c r="AR108" i="5"/>
  <c r="BM50" i="11"/>
  <c r="BM51" i="11" s="1"/>
  <c r="BM4" i="9"/>
  <c r="BM69" i="5"/>
  <c r="BM22" i="11" s="1"/>
  <c r="BM23" i="11" s="1"/>
  <c r="BM24" i="11" s="1"/>
  <c r="CB50" i="11"/>
  <c r="CB51" i="11" s="1"/>
  <c r="CB4" i="9"/>
  <c r="CB29" i="9" s="1"/>
  <c r="CB69" i="5"/>
  <c r="CB22" i="11" s="1"/>
  <c r="CB23" i="11" s="1"/>
  <c r="CB24" i="11" s="1"/>
  <c r="P50" i="11"/>
  <c r="P51" i="11" s="1"/>
  <c r="P4" i="9"/>
  <c r="P69" i="5"/>
  <c r="P22" i="11" s="1"/>
  <c r="P23" i="11" s="1"/>
  <c r="P24" i="11" s="1"/>
  <c r="AE50" i="11"/>
  <c r="AE51" i="11" s="1"/>
  <c r="AE4" i="9"/>
  <c r="AE69" i="5"/>
  <c r="AE22" i="11" s="1"/>
  <c r="AE23" i="11" s="1"/>
  <c r="AE24" i="11" s="1"/>
  <c r="AD50" i="11"/>
  <c r="AD51" i="11" s="1"/>
  <c r="AD4" i="9"/>
  <c r="AD69" i="5"/>
  <c r="AD22" i="11" s="1"/>
  <c r="AD23" i="11" s="1"/>
  <c r="AD24" i="11" s="1"/>
  <c r="BI50" i="11"/>
  <c r="BI51" i="11" s="1"/>
  <c r="BI4" i="9"/>
  <c r="BI69" i="5"/>
  <c r="BI22" i="11" s="1"/>
  <c r="BI23" i="11" s="1"/>
  <c r="BI24" i="11" s="1"/>
  <c r="BP50" i="11"/>
  <c r="BP51" i="11" s="1"/>
  <c r="BP4" i="9"/>
  <c r="BP69" i="5"/>
  <c r="BP22" i="11" s="1"/>
  <c r="BP23" i="11" s="1"/>
  <c r="BP24" i="11" s="1"/>
  <c r="BO32" i="9"/>
  <c r="AI32" i="9"/>
  <c r="CE50" i="11"/>
  <c r="CE51" i="11" s="1"/>
  <c r="CE4" i="9"/>
  <c r="CE69" i="5"/>
  <c r="CE22" i="11" s="1"/>
  <c r="CE23" i="11" s="1"/>
  <c r="CE24" i="11" s="1"/>
  <c r="S50" i="11"/>
  <c r="S51" i="11" s="1"/>
  <c r="S4" i="9"/>
  <c r="S69" i="5"/>
  <c r="S22" i="11" s="1"/>
  <c r="S23" i="11" s="1"/>
  <c r="S24" i="11" s="1"/>
  <c r="AH50" i="11"/>
  <c r="AH51" i="11" s="1"/>
  <c r="AH4" i="9"/>
  <c r="AH69" i="5"/>
  <c r="AH22" i="11" s="1"/>
  <c r="AH23" i="11" s="1"/>
  <c r="AH24" i="11" s="1"/>
  <c r="BK12" i="9"/>
  <c r="BK4" i="8"/>
  <c r="BK108" i="5"/>
  <c r="AT12" i="9"/>
  <c r="AT4" i="8"/>
  <c r="AT108" i="5"/>
  <c r="AC12" i="9"/>
  <c r="AC4" i="8"/>
  <c r="AC108" i="5"/>
  <c r="BG12" i="9"/>
  <c r="BG4" i="8"/>
  <c r="BG108" i="5"/>
  <c r="AW12" i="9"/>
  <c r="AW4" i="8"/>
  <c r="AW108" i="5"/>
  <c r="AN12" i="9"/>
  <c r="AN4" i="8"/>
  <c r="AN108" i="5"/>
  <c r="BE50" i="11"/>
  <c r="BE51" i="11" s="1"/>
  <c r="BE4" i="9"/>
  <c r="BE69" i="5"/>
  <c r="BE22" i="11" s="1"/>
  <c r="BE23" i="11" s="1"/>
  <c r="BE24" i="11" s="1"/>
  <c r="CJ32" i="9"/>
  <c r="BT50" i="11"/>
  <c r="BT51" i="11" s="1"/>
  <c r="BT4" i="9"/>
  <c r="BT69" i="5"/>
  <c r="BT22" i="11" s="1"/>
  <c r="BT23" i="11" s="1"/>
  <c r="BT24" i="11" s="1"/>
  <c r="H50" i="11"/>
  <c r="H51" i="11" s="1"/>
  <c r="H4" i="9"/>
  <c r="H69" i="5"/>
  <c r="H22" i="11" s="1"/>
  <c r="H23" i="11" s="1"/>
  <c r="H24" i="11" s="1"/>
  <c r="M12" i="9"/>
  <c r="M69" i="9" s="1"/>
  <c r="M4" i="8"/>
  <c r="M108" i="5"/>
  <c r="CI50" i="11"/>
  <c r="CI51" i="11" s="1"/>
  <c r="CI4" i="9"/>
  <c r="CI29" i="9" s="1"/>
  <c r="CI69" i="5"/>
  <c r="CI22" i="11" s="1"/>
  <c r="CI23" i="11" s="1"/>
  <c r="CI24" i="11" s="1"/>
  <c r="W50" i="11"/>
  <c r="W51" i="11" s="1"/>
  <c r="W4" i="9"/>
  <c r="W69" i="5"/>
  <c r="W22" i="11" s="1"/>
  <c r="W23" i="11" s="1"/>
  <c r="W24" i="11" s="1"/>
  <c r="CH50" i="11"/>
  <c r="CH51" i="11" s="1"/>
  <c r="CH4" i="9"/>
  <c r="CH29" i="9" s="1"/>
  <c r="CH69" i="5"/>
  <c r="CH22" i="11" s="1"/>
  <c r="CH23" i="11" s="1"/>
  <c r="CH24" i="11" s="1"/>
  <c r="V50" i="11"/>
  <c r="V51" i="11" s="1"/>
  <c r="V4" i="9"/>
  <c r="V69" i="5"/>
  <c r="V22" i="11" s="1"/>
  <c r="V23" i="11" s="1"/>
  <c r="BA50" i="11"/>
  <c r="BA51" i="11" s="1"/>
  <c r="BA4" i="9"/>
  <c r="BA69" i="5"/>
  <c r="BA22" i="11" s="1"/>
  <c r="BA23" i="11" s="1"/>
  <c r="BA24" i="11" s="1"/>
  <c r="BN12" i="9"/>
  <c r="BN4" i="8"/>
  <c r="BN108" i="5"/>
  <c r="AH12" i="9"/>
  <c r="AH4" i="8"/>
  <c r="AH108" i="5"/>
  <c r="BH50" i="11"/>
  <c r="BH51" i="11" s="1"/>
  <c r="BH4" i="9"/>
  <c r="BH69" i="5"/>
  <c r="BH22" i="11" s="1"/>
  <c r="BH23" i="11" s="1"/>
  <c r="BH24" i="11" s="1"/>
  <c r="BW50" i="11"/>
  <c r="BW51" i="11" s="1"/>
  <c r="BW4" i="9"/>
  <c r="BW69" i="5"/>
  <c r="BW22" i="11" s="1"/>
  <c r="BW23" i="11" s="1"/>
  <c r="BW24" i="11" s="1"/>
  <c r="K50" i="11"/>
  <c r="K51" i="11" s="1"/>
  <c r="K4" i="9"/>
  <c r="K69" i="5"/>
  <c r="K22" i="11" s="1"/>
  <c r="K23" i="11" s="1"/>
  <c r="K24" i="11" s="1"/>
  <c r="AZ12" i="9"/>
  <c r="AZ108" i="5"/>
  <c r="AZ4" i="8"/>
  <c r="Z50" i="11"/>
  <c r="Z51" i="11" s="1"/>
  <c r="Z4" i="9"/>
  <c r="Z69" i="5"/>
  <c r="Z22" i="11" s="1"/>
  <c r="Z23" i="11" s="1"/>
  <c r="Z24" i="11" s="1"/>
  <c r="BC12" i="9"/>
  <c r="BC4" i="8"/>
  <c r="BC108" i="5"/>
  <c r="AL12" i="9"/>
  <c r="AL4" i="8"/>
  <c r="AL5" i="8" s="1"/>
  <c r="AL108" i="5"/>
  <c r="CG12" i="9"/>
  <c r="CG108" i="5"/>
  <c r="U12" i="9"/>
  <c r="U4" i="8"/>
  <c r="U108" i="5"/>
  <c r="AY12" i="9"/>
  <c r="AY4" i="8"/>
  <c r="AY108" i="5"/>
  <c r="AO12" i="9"/>
  <c r="AO4" i="8"/>
  <c r="AO5" i="8" s="1"/>
  <c r="AO108" i="5"/>
  <c r="AF12" i="9"/>
  <c r="AF4" i="8"/>
  <c r="AF108" i="5"/>
  <c r="AW50" i="11"/>
  <c r="AW51" i="11" s="1"/>
  <c r="AW4" i="9"/>
  <c r="AW69" i="5"/>
  <c r="AW22" i="11" s="1"/>
  <c r="AW23" i="11" s="1"/>
  <c r="AW24" i="11" s="1"/>
  <c r="AJ12" i="9"/>
  <c r="AJ4" i="8"/>
  <c r="AJ108" i="5"/>
  <c r="BL50" i="11"/>
  <c r="BL51" i="11" s="1"/>
  <c r="BL4" i="9"/>
  <c r="BL69" i="5"/>
  <c r="BL22" i="11" s="1"/>
  <c r="BL23" i="11" s="1"/>
  <c r="BL24" i="11" s="1"/>
  <c r="CA50" i="11"/>
  <c r="CA51" i="11" s="1"/>
  <c r="CA4" i="9"/>
  <c r="CA29" i="9" s="1"/>
  <c r="CA69" i="5"/>
  <c r="CA22" i="11" s="1"/>
  <c r="CA23" i="11" s="1"/>
  <c r="CA24" i="11" s="1"/>
  <c r="O50" i="11"/>
  <c r="O51" i="11" s="1"/>
  <c r="O4" i="9"/>
  <c r="O69" i="5"/>
  <c r="O22" i="11" s="1"/>
  <c r="O23" i="11" s="1"/>
  <c r="O24" i="11" s="1"/>
  <c r="BZ50" i="11"/>
  <c r="BZ51" i="11" s="1"/>
  <c r="BZ4" i="9"/>
  <c r="BZ69" i="5"/>
  <c r="BZ22" i="11" s="1"/>
  <c r="BZ23" i="11" s="1"/>
  <c r="BZ24" i="11" s="1"/>
  <c r="N50" i="11"/>
  <c r="N51" i="11" s="1"/>
  <c r="N4" i="9"/>
  <c r="N69" i="5"/>
  <c r="N22" i="11" s="1"/>
  <c r="N23" i="11" s="1"/>
  <c r="N24" i="11" s="1"/>
  <c r="AS50" i="11"/>
  <c r="AS51" i="11" s="1"/>
  <c r="AS4" i="9"/>
  <c r="AS69" i="5"/>
  <c r="AS22" i="11" s="1"/>
  <c r="AS23" i="11" s="1"/>
  <c r="AS24" i="11" s="1"/>
  <c r="BP12" i="9"/>
  <c r="BP4" i="8"/>
  <c r="BP108" i="5"/>
  <c r="AZ50" i="11"/>
  <c r="AZ51" i="11" s="1"/>
  <c r="AZ4" i="9"/>
  <c r="AZ69" i="5"/>
  <c r="AZ22" i="11" s="1"/>
  <c r="AZ23" i="11" s="1"/>
  <c r="AZ24" i="11" s="1"/>
  <c r="BG32" i="9"/>
  <c r="AA32" i="9"/>
  <c r="BO50" i="11"/>
  <c r="BO51" i="11" s="1"/>
  <c r="BO4" i="9"/>
  <c r="BO69" i="5"/>
  <c r="BO22" i="11" s="1"/>
  <c r="BO23" i="11" s="1"/>
  <c r="BO24" i="11" s="1"/>
  <c r="CD50" i="11"/>
  <c r="CD51" i="11" s="1"/>
  <c r="CD4" i="9"/>
  <c r="CD69" i="5"/>
  <c r="CD22" i="11" s="1"/>
  <c r="CD23" i="11" s="1"/>
  <c r="CD24" i="11" s="1"/>
  <c r="R50" i="11"/>
  <c r="R51" i="11" s="1"/>
  <c r="R4" i="9"/>
  <c r="R69" i="5"/>
  <c r="R22" i="11" s="1"/>
  <c r="R23" i="11" s="1"/>
  <c r="R24" i="11" s="1"/>
  <c r="AU12" i="9"/>
  <c r="AU4" i="8"/>
  <c r="AU108" i="5"/>
  <c r="AD12" i="9"/>
  <c r="AD4" i="8"/>
  <c r="AD108" i="5"/>
  <c r="BY12" i="9"/>
  <c r="BY108" i="5"/>
  <c r="AQ12" i="9"/>
  <c r="AQ4" i="8"/>
  <c r="AQ108" i="5"/>
  <c r="AG12" i="9"/>
  <c r="AG4" i="8"/>
  <c r="AG108" i="5"/>
  <c r="CJ12" i="9"/>
  <c r="CJ108" i="5"/>
  <c r="X12" i="9"/>
  <c r="X4" i="8"/>
  <c r="X108" i="5"/>
  <c r="AO50" i="11"/>
  <c r="AO51" i="11" s="1"/>
  <c r="AO4" i="9"/>
  <c r="AO69" i="5"/>
  <c r="AO22" i="11" s="1"/>
  <c r="AO23" i="11" s="1"/>
  <c r="AO24" i="11" s="1"/>
  <c r="BD50" i="11"/>
  <c r="BD51" i="11" s="1"/>
  <c r="BD4" i="9"/>
  <c r="BD69" i="5"/>
  <c r="BD22" i="11" s="1"/>
  <c r="BD23" i="11" s="1"/>
  <c r="BD24" i="11" s="1"/>
  <c r="B27" i="13"/>
  <c r="B8" i="13"/>
  <c r="E12" i="9"/>
  <c r="E69" i="9" s="1"/>
  <c r="E4" i="8"/>
  <c r="CI32" i="9"/>
  <c r="BS50" i="11"/>
  <c r="BS51" i="11" s="1"/>
  <c r="BS4" i="9"/>
  <c r="BS69" i="5"/>
  <c r="BS22" i="11" s="1"/>
  <c r="BS23" i="11" s="1"/>
  <c r="BS24" i="11" s="1"/>
  <c r="G50" i="11"/>
  <c r="G51" i="11" s="1"/>
  <c r="G4" i="9"/>
  <c r="G69" i="5"/>
  <c r="G22" i="11" s="1"/>
  <c r="G23" i="11" s="1"/>
  <c r="G24" i="11" s="1"/>
  <c r="CF12" i="9"/>
  <c r="CF108" i="5"/>
  <c r="CH32" i="9"/>
  <c r="BR50" i="11"/>
  <c r="BR51" i="11" s="1"/>
  <c r="BR4" i="9"/>
  <c r="BR69" i="5"/>
  <c r="BR22" i="11" s="1"/>
  <c r="BR23" i="11" s="1"/>
  <c r="BR24" i="11" s="1"/>
  <c r="F50" i="11"/>
  <c r="F51" i="11" s="1"/>
  <c r="F4" i="9"/>
  <c r="F69" i="5"/>
  <c r="F22" i="11" s="1"/>
  <c r="F23" i="11" s="1"/>
  <c r="F24" i="11" s="1"/>
  <c r="AK50" i="11"/>
  <c r="AK51" i="11" s="1"/>
  <c r="AK4" i="9"/>
  <c r="AK69" i="5"/>
  <c r="AK22" i="11" s="1"/>
  <c r="AK23" i="11" s="1"/>
  <c r="AK24" i="11" s="1"/>
  <c r="BF12" i="9"/>
  <c r="BF108" i="5"/>
  <c r="BF4" i="8"/>
  <c r="Z12" i="9"/>
  <c r="Z4" i="8"/>
  <c r="Z108" i="5"/>
  <c r="AR50" i="11"/>
  <c r="AR51" i="11" s="1"/>
  <c r="AR4" i="9"/>
  <c r="AR69" i="5"/>
  <c r="AR22" i="11" s="1"/>
  <c r="AR23" i="11" s="1"/>
  <c r="AR24" i="11" s="1"/>
  <c r="BH12" i="9"/>
  <c r="BH4" i="8"/>
  <c r="BH108" i="5"/>
  <c r="BG50" i="11"/>
  <c r="BG51" i="11" s="1"/>
  <c r="BG4" i="9"/>
  <c r="BG69" i="5"/>
  <c r="BG22" i="11" s="1"/>
  <c r="BG23" i="11" s="1"/>
  <c r="BG24" i="11" s="1"/>
  <c r="BV50" i="11"/>
  <c r="BV51" i="11" s="1"/>
  <c r="BV4" i="9"/>
  <c r="BV69" i="5"/>
  <c r="BV22" i="11" s="1"/>
  <c r="BV23" i="11" s="1"/>
  <c r="BV24" i="11" s="1"/>
  <c r="J50" i="11"/>
  <c r="J51" i="11" s="1"/>
  <c r="J4" i="9"/>
  <c r="J69" i="5"/>
  <c r="J22" i="11" s="1"/>
  <c r="J23" i="11" s="1"/>
  <c r="J24" i="11" s="1"/>
  <c r="AM12" i="9"/>
  <c r="AM4" i="8"/>
  <c r="AM108" i="5"/>
  <c r="CH12" i="9"/>
  <c r="CH108" i="5"/>
  <c r="V12" i="9"/>
  <c r="V4" i="8"/>
  <c r="V108" i="5"/>
  <c r="BQ12" i="9"/>
  <c r="BQ4" i="8"/>
  <c r="BQ5" i="8" s="1"/>
  <c r="BQ108" i="5"/>
  <c r="AI12" i="9"/>
  <c r="AI4" i="8"/>
  <c r="AI108" i="5"/>
  <c r="CK12" i="9"/>
  <c r="CK108" i="5"/>
  <c r="Y12" i="9"/>
  <c r="Y4" i="8"/>
  <c r="Y108" i="5"/>
  <c r="CB12" i="9"/>
  <c r="CB108" i="5"/>
  <c r="P12" i="9"/>
  <c r="P4" i="8"/>
  <c r="P108" i="5"/>
  <c r="AG50" i="11"/>
  <c r="AG51" i="11" s="1"/>
  <c r="AG4" i="9"/>
  <c r="AG29" i="9" s="1"/>
  <c r="AG69" i="5"/>
  <c r="AG22" i="11" s="1"/>
  <c r="AG23" i="11" s="1"/>
  <c r="AG24" i="11" s="1"/>
  <c r="AV50" i="11"/>
  <c r="AV51" i="11" s="1"/>
  <c r="AV4" i="9"/>
  <c r="AV69" i="5"/>
  <c r="AV22" i="11" s="1"/>
  <c r="AV23" i="11" s="1"/>
  <c r="AV24" i="11" s="1"/>
  <c r="BK50" i="11"/>
  <c r="BK51" i="11" s="1"/>
  <c r="BK4" i="9"/>
  <c r="BK69" i="5"/>
  <c r="BK22" i="11" s="1"/>
  <c r="BK23" i="11" s="1"/>
  <c r="BK24" i="11" s="1"/>
  <c r="T12" i="9"/>
  <c r="T4" i="8"/>
  <c r="T108" i="5"/>
  <c r="BJ50" i="11"/>
  <c r="BJ51" i="11" s="1"/>
  <c r="BJ4" i="9"/>
  <c r="BJ69" i="5"/>
  <c r="BJ22" i="11" s="1"/>
  <c r="BJ23" i="11" s="1"/>
  <c r="BJ24" i="11" s="1"/>
  <c r="BX12" i="9"/>
  <c r="BX108" i="5"/>
  <c r="AC50" i="11"/>
  <c r="AC51" i="11" s="1"/>
  <c r="AC4" i="9"/>
  <c r="AC69" i="5"/>
  <c r="AC22" i="11" s="1"/>
  <c r="AC23" i="11" s="1"/>
  <c r="AC24" i="11" s="1"/>
  <c r="AJ50" i="11"/>
  <c r="AJ51" i="11" s="1"/>
  <c r="AJ4" i="9"/>
  <c r="AJ69" i="5"/>
  <c r="AJ22" i="11" s="1"/>
  <c r="AJ23" i="11" s="1"/>
  <c r="AJ24" i="11" s="1"/>
  <c r="CE32" i="9"/>
  <c r="AY32" i="9"/>
  <c r="S32" i="9"/>
  <c r="AY50" i="11"/>
  <c r="AY51" i="11" s="1"/>
  <c r="AY4" i="9"/>
  <c r="AY69" i="5"/>
  <c r="AY22" i="11" s="1"/>
  <c r="AY23" i="11" s="1"/>
  <c r="AY24" i="11" s="1"/>
  <c r="BN50" i="11"/>
  <c r="BN51" i="11" s="1"/>
  <c r="BN4" i="9"/>
  <c r="BN69" i="5"/>
  <c r="BN22" i="11" s="1"/>
  <c r="BN23" i="11" s="1"/>
  <c r="BN24" i="11" s="1"/>
  <c r="AJ28" i="12"/>
  <c r="BR28" i="12"/>
  <c r="F28" i="12"/>
  <c r="AB28" i="12"/>
  <c r="AG28" i="12"/>
  <c r="BJ28" i="12"/>
  <c r="CF28" i="12"/>
  <c r="T28" i="12"/>
  <c r="BB28" i="12"/>
  <c r="AT28" i="12"/>
  <c r="BZ28" i="12"/>
  <c r="AL28" i="12"/>
  <c r="AD28" i="12"/>
  <c r="N28" i="12"/>
  <c r="AC28" i="12"/>
  <c r="AA28" i="12"/>
  <c r="AP28" i="12"/>
  <c r="CG28" i="12"/>
  <c r="U28" i="12"/>
  <c r="CE28" i="12"/>
  <c r="S28" i="12"/>
  <c r="AH28" i="12"/>
  <c r="BY28" i="12"/>
  <c r="M28" i="12"/>
  <c r="X28" i="12"/>
  <c r="BW28" i="12"/>
  <c r="K28" i="12"/>
  <c r="Z28" i="12"/>
  <c r="BQ28" i="12"/>
  <c r="E31" i="12"/>
  <c r="E28" i="12"/>
  <c r="C39" i="13"/>
  <c r="CB28" i="12"/>
  <c r="P28" i="12"/>
  <c r="BO28" i="12"/>
  <c r="CD28" i="12"/>
  <c r="R28" i="12"/>
  <c r="BI28" i="12"/>
  <c r="BT28" i="12"/>
  <c r="H28" i="12"/>
  <c r="BG28" i="12"/>
  <c r="BV28" i="12"/>
  <c r="J28" i="12"/>
  <c r="BA28" i="12"/>
  <c r="BL28" i="12"/>
  <c r="AY28" i="12"/>
  <c r="BN28" i="12"/>
  <c r="AS28" i="12"/>
  <c r="BD28" i="12"/>
  <c r="AQ28" i="12"/>
  <c r="BF28" i="12"/>
  <c r="AK28" i="12"/>
  <c r="AV28" i="12"/>
  <c r="AI28" i="12"/>
  <c r="AX28" i="12"/>
  <c r="CL17" i="9"/>
  <c r="CL15" i="9"/>
  <c r="BH5" i="8" l="1"/>
  <c r="BP5" i="8"/>
  <c r="CH34" i="10"/>
  <c r="CH29" i="10" s="1"/>
  <c r="BJ34" i="10"/>
  <c r="BJ29" i="10" s="1"/>
  <c r="AT5" i="8"/>
  <c r="BF5" i="8"/>
  <c r="CG29" i="9"/>
  <c r="CD29" i="9"/>
  <c r="BR39" i="10"/>
  <c r="Y5" i="8"/>
  <c r="AQ5" i="8"/>
  <c r="V24" i="11"/>
  <c r="BN5" i="8"/>
  <c r="S69" i="9"/>
  <c r="N69" i="9"/>
  <c r="U69" i="9"/>
  <c r="O69" i="9"/>
  <c r="AJ29" i="9"/>
  <c r="P69" i="9"/>
  <c r="BS29" i="9"/>
  <c r="Q69" i="9"/>
  <c r="T69" i="9"/>
  <c r="R69" i="9"/>
  <c r="N38" i="6"/>
  <c r="AT38" i="6"/>
  <c r="AT39" i="6" s="1"/>
  <c r="BJ38" i="6"/>
  <c r="BJ39" i="6" s="1"/>
  <c r="BJ39" i="10"/>
  <c r="BJ6" i="11"/>
  <c r="BR34" i="10"/>
  <c r="BR29" i="10" s="1"/>
  <c r="BR6" i="11"/>
  <c r="BR38" i="6"/>
  <c r="BR39" i="6" s="1"/>
  <c r="BB38" i="6"/>
  <c r="BB39" i="6" s="1"/>
  <c r="BB34" i="10"/>
  <c r="BB29" i="10" s="1"/>
  <c r="BB39" i="10"/>
  <c r="BB6" i="11"/>
  <c r="BK5" i="8"/>
  <c r="BN29" i="9"/>
  <c r="BT29" i="9"/>
  <c r="BD29" i="9"/>
  <c r="BM29" i="9"/>
  <c r="BE29" i="9"/>
  <c r="BU29" i="9"/>
  <c r="AG5" i="8"/>
  <c r="BC5" i="8"/>
  <c r="AY5" i="8"/>
  <c r="CC29" i="9"/>
  <c r="BQ29" i="9"/>
  <c r="BK29" i="9"/>
  <c r="AD34" i="10"/>
  <c r="AD29" i="10" s="1"/>
  <c r="AL6" i="11"/>
  <c r="AM5" i="8"/>
  <c r="AW5" i="8"/>
  <c r="AZ5" i="8"/>
  <c r="AJ5" i="8"/>
  <c r="AV5" i="8"/>
  <c r="AX29" i="9"/>
  <c r="W29" i="9"/>
  <c r="AK29" i="9"/>
  <c r="K5" i="8"/>
  <c r="S5" i="8"/>
  <c r="BA29" i="9"/>
  <c r="BL5" i="8"/>
  <c r="BR5" i="8"/>
  <c r="CH38" i="6"/>
  <c r="CH39" i="6" s="1"/>
  <c r="AV29" i="9"/>
  <c r="AI5" i="8"/>
  <c r="AH5" i="8"/>
  <c r="BG5" i="8"/>
  <c r="AE29" i="9"/>
  <c r="AK5" i="8"/>
  <c r="BM5" i="8"/>
  <c r="AS5" i="8"/>
  <c r="AT34" i="10"/>
  <c r="AT29" i="10" s="1"/>
  <c r="CH39" i="10"/>
  <c r="AY29" i="9"/>
  <c r="BV29" i="9"/>
  <c r="AU5" i="8"/>
  <c r="BA5" i="8"/>
  <c r="BI5" i="8"/>
  <c r="AT39" i="10"/>
  <c r="CH6" i="11"/>
  <c r="AW29" i="9"/>
  <c r="AN5" i="8"/>
  <c r="BI29" i="9"/>
  <c r="BB5" i="8"/>
  <c r="BJ5" i="8"/>
  <c r="AT6" i="11"/>
  <c r="AP5" i="8"/>
  <c r="BL29" i="9"/>
  <c r="AR5" i="8"/>
  <c r="AP29" i="9"/>
  <c r="BY29" i="9"/>
  <c r="Z5" i="8"/>
  <c r="AS29" i="9"/>
  <c r="AF5" i="8"/>
  <c r="BO5" i="8"/>
  <c r="BD5" i="8"/>
  <c r="AX5" i="8"/>
  <c r="AD5" i="8"/>
  <c r="AA5" i="8"/>
  <c r="T5" i="8"/>
  <c r="W5" i="8"/>
  <c r="V5" i="8"/>
  <c r="X5" i="8"/>
  <c r="AC5" i="8"/>
  <c r="R5" i="8"/>
  <c r="AB5" i="8"/>
  <c r="U5" i="8"/>
  <c r="AE5" i="8"/>
  <c r="N34" i="10"/>
  <c r="N29" i="10" s="1"/>
  <c r="N39" i="10"/>
  <c r="N54" i="10" s="1"/>
  <c r="N55" i="10" s="1"/>
  <c r="N6" i="11"/>
  <c r="F6" i="11"/>
  <c r="P5" i="8"/>
  <c r="E5" i="8"/>
  <c r="J5" i="8"/>
  <c r="O5" i="8"/>
  <c r="G5" i="8"/>
  <c r="Q5" i="8"/>
  <c r="N5" i="8"/>
  <c r="M5" i="8"/>
  <c r="M37" i="9"/>
  <c r="I37" i="9"/>
  <c r="E37" i="9"/>
  <c r="L5" i="8"/>
  <c r="H5" i="8"/>
  <c r="F5" i="8"/>
  <c r="I5" i="8"/>
  <c r="D39" i="13"/>
  <c r="E39" i="13"/>
  <c r="G39" i="13"/>
  <c r="H39" i="13"/>
  <c r="F39" i="13"/>
  <c r="E35" i="9"/>
  <c r="F38" i="6"/>
  <c r="F34" i="10"/>
  <c r="F33" i="10" s="1"/>
  <c r="F39" i="10"/>
  <c r="F54" i="10" s="1"/>
  <c r="F55" i="10" s="1"/>
  <c r="AD39" i="10"/>
  <c r="AD6" i="11"/>
  <c r="AL38" i="6"/>
  <c r="AL39" i="6" s="1"/>
  <c r="AL34" i="10"/>
  <c r="AL29" i="10" s="1"/>
  <c r="AD38" i="6"/>
  <c r="AD39" i="6" s="1"/>
  <c r="AL39" i="10"/>
  <c r="H29" i="9"/>
  <c r="AH29" i="9"/>
  <c r="V6" i="11"/>
  <c r="V32" i="6"/>
  <c r="I29" i="9"/>
  <c r="M21" i="9"/>
  <c r="I21" i="9"/>
  <c r="M35" i="9"/>
  <c r="M29" i="9"/>
  <c r="I35" i="9"/>
  <c r="AC29" i="9"/>
  <c r="R29" i="9"/>
  <c r="Z29" i="9"/>
  <c r="P29" i="9"/>
  <c r="Q29" i="9"/>
  <c r="U29" i="9"/>
  <c r="J29" i="9"/>
  <c r="G29" i="9"/>
  <c r="O29" i="9"/>
  <c r="E21" i="9"/>
  <c r="N29" i="9"/>
  <c r="AO29" i="9"/>
  <c r="AZ29" i="9"/>
  <c r="T29" i="9"/>
  <c r="BR29" i="9"/>
  <c r="K29" i="9"/>
  <c r="S29" i="9"/>
  <c r="BP29" i="9"/>
  <c r="AA29" i="9"/>
  <c r="AL29" i="9"/>
  <c r="BB29" i="9"/>
  <c r="AR29" i="9"/>
  <c r="AI29" i="9"/>
  <c r="AF29" i="9"/>
  <c r="Y29" i="9"/>
  <c r="BO29" i="9"/>
  <c r="V29" i="9"/>
  <c r="E29" i="9"/>
  <c r="CF29" i="9"/>
  <c r="BJ29" i="9"/>
  <c r="BG29" i="9"/>
  <c r="BZ29" i="9"/>
  <c r="BW29" i="9"/>
  <c r="CE29" i="9"/>
  <c r="L29" i="9"/>
  <c r="AT29" i="9"/>
  <c r="BF29" i="9"/>
  <c r="BC29" i="9"/>
  <c r="AB29" i="9"/>
  <c r="F29" i="9"/>
  <c r="BH29" i="9"/>
  <c r="AD29" i="9"/>
  <c r="BX29" i="9"/>
  <c r="AU29" i="9"/>
  <c r="AQ29" i="9"/>
  <c r="AN29" i="9"/>
  <c r="V38" i="6"/>
  <c r="V34" i="10"/>
  <c r="V29" i="10" s="1"/>
  <c r="V39" i="10"/>
  <c r="V54" i="10" s="1"/>
  <c r="V55" i="10" s="1"/>
  <c r="S6" i="11"/>
  <c r="S39" i="10"/>
  <c r="S54" i="10" s="1"/>
  <c r="S55" i="10" s="1"/>
  <c r="S34" i="10"/>
  <c r="S29" i="10" s="1"/>
  <c r="S38" i="6"/>
  <c r="W6" i="11"/>
  <c r="W39" i="10"/>
  <c r="W54" i="10" s="1"/>
  <c r="W55" i="10" s="1"/>
  <c r="W34" i="10"/>
  <c r="W38" i="6"/>
  <c r="AE6" i="11"/>
  <c r="AE39" i="10"/>
  <c r="AE34" i="10"/>
  <c r="AE29" i="10" s="1"/>
  <c r="AE38" i="6"/>
  <c r="AE39" i="6" s="1"/>
  <c r="AR6" i="11"/>
  <c r="AR39" i="10"/>
  <c r="AR34" i="10"/>
  <c r="AR29" i="10" s="1"/>
  <c r="AR38" i="6"/>
  <c r="AR39" i="6" s="1"/>
  <c r="AU6" i="11"/>
  <c r="AU39" i="10"/>
  <c r="AU34" i="10"/>
  <c r="AU29" i="10" s="1"/>
  <c r="AU38" i="6"/>
  <c r="AU39" i="6" s="1"/>
  <c r="BH6" i="11"/>
  <c r="BH39" i="10"/>
  <c r="BH34" i="10"/>
  <c r="BH29" i="10" s="1"/>
  <c r="BH38" i="6"/>
  <c r="BH39" i="6" s="1"/>
  <c r="CJ6" i="11"/>
  <c r="CJ34" i="10"/>
  <c r="CJ29" i="10" s="1"/>
  <c r="CJ39" i="10"/>
  <c r="CJ38" i="6"/>
  <c r="CJ39" i="6" s="1"/>
  <c r="BZ9" i="11"/>
  <c r="BZ40" i="10"/>
  <c r="BZ41" i="10" s="1"/>
  <c r="BZ42" i="6"/>
  <c r="BZ43" i="6" s="1"/>
  <c r="BZ41" i="6"/>
  <c r="BZ33" i="10"/>
  <c r="BZ31" i="10"/>
  <c r="AN6" i="11"/>
  <c r="AN34" i="10"/>
  <c r="AN29" i="10" s="1"/>
  <c r="AN39" i="10"/>
  <c r="AN38" i="6"/>
  <c r="AN39" i="6" s="1"/>
  <c r="AD31" i="10"/>
  <c r="CF6" i="11"/>
  <c r="CF34" i="10"/>
  <c r="CF29" i="10" s="1"/>
  <c r="CF39" i="10"/>
  <c r="CF38" i="6"/>
  <c r="CF39" i="6" s="1"/>
  <c r="CC6" i="11"/>
  <c r="CC34" i="10"/>
  <c r="CC29" i="10" s="1"/>
  <c r="CC39" i="10"/>
  <c r="CC38" i="6"/>
  <c r="CC39" i="6" s="1"/>
  <c r="AO6" i="11"/>
  <c r="AO39" i="10"/>
  <c r="AO34" i="10"/>
  <c r="AO29" i="10" s="1"/>
  <c r="AO38" i="6"/>
  <c r="AO39" i="6" s="1"/>
  <c r="AW6" i="11"/>
  <c r="AW39" i="10"/>
  <c r="AW34" i="10"/>
  <c r="AW29" i="10" s="1"/>
  <c r="AW38" i="6"/>
  <c r="AW39" i="6" s="1"/>
  <c r="C38" i="6"/>
  <c r="C32" i="6"/>
  <c r="D38" i="6"/>
  <c r="D32" i="6"/>
  <c r="M6" i="11"/>
  <c r="M39" i="10"/>
  <c r="M54" i="10" s="1"/>
  <c r="M55" i="10" s="1"/>
  <c r="M34" i="10"/>
  <c r="M29" i="10" s="1"/>
  <c r="M38" i="6"/>
  <c r="G6" i="11"/>
  <c r="G39" i="10"/>
  <c r="G54" i="10" s="1"/>
  <c r="G55" i="10" s="1"/>
  <c r="G34" i="10"/>
  <c r="G29" i="10" s="1"/>
  <c r="G38" i="6"/>
  <c r="CG6" i="11"/>
  <c r="CG39" i="10"/>
  <c r="CG34" i="10"/>
  <c r="CG29" i="10" s="1"/>
  <c r="CG38" i="6"/>
  <c r="CG39" i="6" s="1"/>
  <c r="AK6" i="11"/>
  <c r="AK39" i="10"/>
  <c r="AK34" i="10"/>
  <c r="AK29" i="10" s="1"/>
  <c r="AK38" i="6"/>
  <c r="AK39" i="6" s="1"/>
  <c r="Y6" i="11"/>
  <c r="Y39" i="10"/>
  <c r="Y54" i="10" s="1"/>
  <c r="Y55" i="10" s="1"/>
  <c r="Y34" i="10"/>
  <c r="Y38" i="6"/>
  <c r="AG6" i="11"/>
  <c r="AG39" i="10"/>
  <c r="AG34" i="10"/>
  <c r="AG29" i="10" s="1"/>
  <c r="AG38" i="6"/>
  <c r="AG39" i="6" s="1"/>
  <c r="H6" i="11"/>
  <c r="H34" i="10"/>
  <c r="H29" i="10" s="1"/>
  <c r="H39" i="10"/>
  <c r="H54" i="10" s="1"/>
  <c r="H55" i="10" s="1"/>
  <c r="H38" i="6"/>
  <c r="BG6" i="11"/>
  <c r="BG39" i="10"/>
  <c r="BG34" i="10"/>
  <c r="BG29" i="10" s="1"/>
  <c r="BG38" i="6"/>
  <c r="BG39" i="6" s="1"/>
  <c r="BI6" i="11"/>
  <c r="BI39" i="10"/>
  <c r="BI34" i="10"/>
  <c r="BI29" i="10" s="1"/>
  <c r="BI38" i="6"/>
  <c r="BI39" i="6" s="1"/>
  <c r="BC6" i="11"/>
  <c r="BC39" i="10"/>
  <c r="BC34" i="10"/>
  <c r="BC29" i="10" s="1"/>
  <c r="BC38" i="6"/>
  <c r="BC39" i="6" s="1"/>
  <c r="CD6" i="11"/>
  <c r="CD34" i="10"/>
  <c r="CD29" i="10" s="1"/>
  <c r="CD39" i="10"/>
  <c r="CD38" i="6"/>
  <c r="CD39" i="6" s="1"/>
  <c r="Z6" i="11"/>
  <c r="Z39" i="10"/>
  <c r="Z54" i="10" s="1"/>
  <c r="Z55" i="10" s="1"/>
  <c r="Z34" i="10"/>
  <c r="Z29" i="10" s="1"/>
  <c r="Z38" i="6"/>
  <c r="L6" i="11"/>
  <c r="L39" i="10"/>
  <c r="L54" i="10" s="1"/>
  <c r="L55" i="10" s="1"/>
  <c r="L34" i="10"/>
  <c r="L29" i="10" s="1"/>
  <c r="L38" i="6"/>
  <c r="CA6" i="11"/>
  <c r="CA39" i="10"/>
  <c r="CA34" i="10"/>
  <c r="CA29" i="10" s="1"/>
  <c r="CA38" i="6"/>
  <c r="CA39" i="6" s="1"/>
  <c r="AS6" i="11"/>
  <c r="AS39" i="10"/>
  <c r="AS34" i="10"/>
  <c r="AS29" i="10" s="1"/>
  <c r="AS38" i="6"/>
  <c r="AS39" i="6" s="1"/>
  <c r="AY6" i="11"/>
  <c r="AY39" i="10"/>
  <c r="AY34" i="10"/>
  <c r="AY29" i="10" s="1"/>
  <c r="AY38" i="6"/>
  <c r="AY39" i="6" s="1"/>
  <c r="BV6" i="11"/>
  <c r="BV39" i="10"/>
  <c r="BV34" i="10"/>
  <c r="BV38" i="6"/>
  <c r="BV39" i="6" s="1"/>
  <c r="BO6" i="11"/>
  <c r="BO39" i="10"/>
  <c r="BO34" i="10"/>
  <c r="BO29" i="10" s="1"/>
  <c r="BO38" i="6"/>
  <c r="BO39" i="6" s="1"/>
  <c r="BQ6" i="11"/>
  <c r="BQ39" i="10"/>
  <c r="BQ34" i="10"/>
  <c r="BQ29" i="10" s="1"/>
  <c r="BQ38" i="6"/>
  <c r="BQ39" i="6" s="1"/>
  <c r="X6" i="11"/>
  <c r="X34" i="10"/>
  <c r="X39" i="10"/>
  <c r="X54" i="10" s="1"/>
  <c r="X55" i="10" s="1"/>
  <c r="X38" i="6"/>
  <c r="BZ29" i="10"/>
  <c r="BW6" i="11"/>
  <c r="BW39" i="10"/>
  <c r="BW34" i="10"/>
  <c r="BW38" i="6"/>
  <c r="BW39" i="6" s="1"/>
  <c r="BP6" i="11"/>
  <c r="BP39" i="10"/>
  <c r="BP34" i="10"/>
  <c r="BP29" i="10" s="1"/>
  <c r="BP38" i="6"/>
  <c r="BP39" i="6" s="1"/>
  <c r="AF6" i="11"/>
  <c r="AF34" i="10"/>
  <c r="AF29" i="10" s="1"/>
  <c r="AF39" i="10"/>
  <c r="AF38" i="6"/>
  <c r="AF39" i="6" s="1"/>
  <c r="AH6" i="11"/>
  <c r="AH39" i="10"/>
  <c r="AH34" i="10"/>
  <c r="AH29" i="10" s="1"/>
  <c r="AH38" i="6"/>
  <c r="AH39" i="6" s="1"/>
  <c r="BU6" i="11"/>
  <c r="BU39" i="10"/>
  <c r="BU34" i="10"/>
  <c r="BU29" i="10" s="1"/>
  <c r="BU38" i="6"/>
  <c r="BU39" i="6" s="1"/>
  <c r="T6" i="11"/>
  <c r="T39" i="10"/>
  <c r="T54" i="10" s="1"/>
  <c r="T55" i="10" s="1"/>
  <c r="T34" i="10"/>
  <c r="T38" i="6"/>
  <c r="Q6" i="11"/>
  <c r="Q39" i="10"/>
  <c r="Q54" i="10" s="1"/>
  <c r="Q55" i="10" s="1"/>
  <c r="Q34" i="10"/>
  <c r="Q29" i="10" s="1"/>
  <c r="Q38" i="6"/>
  <c r="AX6" i="11"/>
  <c r="AX39" i="10"/>
  <c r="AX34" i="10"/>
  <c r="AX29" i="10" s="1"/>
  <c r="AX38" i="6"/>
  <c r="AX39" i="6" s="1"/>
  <c r="AB6" i="11"/>
  <c r="AB39" i="10"/>
  <c r="AB54" i="10" s="1"/>
  <c r="AB55" i="10" s="1"/>
  <c r="AB34" i="10"/>
  <c r="AB38" i="6"/>
  <c r="BL6" i="11"/>
  <c r="BL34" i="10"/>
  <c r="BL29" i="10" s="1"/>
  <c r="BL39" i="10"/>
  <c r="BL38" i="6"/>
  <c r="BL39" i="6" s="1"/>
  <c r="B32" i="6"/>
  <c r="B38" i="6"/>
  <c r="CB6" i="11"/>
  <c r="CB34" i="10"/>
  <c r="CB29" i="10" s="1"/>
  <c r="CB39" i="10"/>
  <c r="CB38" i="6"/>
  <c r="CB39" i="6" s="1"/>
  <c r="CE6" i="11"/>
  <c r="CE39" i="10"/>
  <c r="CE34" i="10"/>
  <c r="CE29" i="10" s="1"/>
  <c r="CE38" i="6"/>
  <c r="CE39" i="6" s="1"/>
  <c r="U6" i="11"/>
  <c r="U39" i="10"/>
  <c r="U54" i="10" s="1"/>
  <c r="U55" i="10" s="1"/>
  <c r="U34" i="10"/>
  <c r="U29" i="10" s="1"/>
  <c r="U38" i="6"/>
  <c r="CI6" i="11"/>
  <c r="CI39" i="10"/>
  <c r="CI34" i="10"/>
  <c r="CI29" i="10" s="1"/>
  <c r="CI38" i="6"/>
  <c r="CI39" i="6" s="1"/>
  <c r="BD6" i="11"/>
  <c r="BD34" i="10"/>
  <c r="BD29" i="10" s="1"/>
  <c r="BD39" i="10"/>
  <c r="BD38" i="6"/>
  <c r="BD39" i="6" s="1"/>
  <c r="AJ6" i="11"/>
  <c r="AJ39" i="10"/>
  <c r="AJ34" i="10"/>
  <c r="AJ29" i="10" s="1"/>
  <c r="AJ38" i="6"/>
  <c r="AJ39" i="6" s="1"/>
  <c r="BM6" i="11"/>
  <c r="BM39" i="10"/>
  <c r="BM34" i="10"/>
  <c r="BM38" i="6"/>
  <c r="BM39" i="6" s="1"/>
  <c r="O6" i="11"/>
  <c r="O39" i="10"/>
  <c r="O54" i="10" s="1"/>
  <c r="O55" i="10" s="1"/>
  <c r="O34" i="10"/>
  <c r="O29" i="10" s="1"/>
  <c r="O38" i="6"/>
  <c r="AP6" i="11"/>
  <c r="AP39" i="10"/>
  <c r="AP34" i="10"/>
  <c r="AP29" i="10" s="1"/>
  <c r="AP38" i="6"/>
  <c r="AP39" i="6" s="1"/>
  <c r="AA39" i="10"/>
  <c r="AA54" i="10" s="1"/>
  <c r="AA55" i="10" s="1"/>
  <c r="AA6" i="11"/>
  <c r="AA34" i="10"/>
  <c r="AA38" i="6"/>
  <c r="AM6" i="11"/>
  <c r="AM39" i="10"/>
  <c r="AM34" i="10"/>
  <c r="AM29" i="10" s="1"/>
  <c r="AM38" i="6"/>
  <c r="AM39" i="6" s="1"/>
  <c r="BN6" i="11"/>
  <c r="BN39" i="10"/>
  <c r="BN34" i="10"/>
  <c r="BN38" i="6"/>
  <c r="BN39" i="6" s="1"/>
  <c r="J6" i="11"/>
  <c r="J39" i="10"/>
  <c r="J54" i="10" s="1"/>
  <c r="J55" i="10" s="1"/>
  <c r="J34" i="10"/>
  <c r="J29" i="10" s="1"/>
  <c r="J38" i="6"/>
  <c r="R6" i="11"/>
  <c r="R39" i="10"/>
  <c r="R54" i="10" s="1"/>
  <c r="R55" i="10" s="1"/>
  <c r="R34" i="10"/>
  <c r="R29" i="10" s="1"/>
  <c r="R38" i="6"/>
  <c r="E6" i="11"/>
  <c r="E39" i="10"/>
  <c r="E54" i="10" s="1"/>
  <c r="E55" i="10" s="1"/>
  <c r="E34" i="10"/>
  <c r="E29" i="10" s="1"/>
  <c r="E38" i="6"/>
  <c r="BK6" i="11"/>
  <c r="BK39" i="10"/>
  <c r="BK34" i="10"/>
  <c r="BK29" i="10" s="1"/>
  <c r="BK38" i="6"/>
  <c r="BK39" i="6" s="1"/>
  <c r="BE6" i="11"/>
  <c r="BE39" i="10"/>
  <c r="BE34" i="10"/>
  <c r="BE38" i="6"/>
  <c r="BE39" i="6" s="1"/>
  <c r="BY6" i="11"/>
  <c r="BY39" i="10"/>
  <c r="BY34" i="10"/>
  <c r="BY29" i="10" s="1"/>
  <c r="BY38" i="6"/>
  <c r="BY39" i="6" s="1"/>
  <c r="BS6" i="11"/>
  <c r="BS39" i="10"/>
  <c r="BS34" i="10"/>
  <c r="BS38" i="6"/>
  <c r="BS39" i="6" s="1"/>
  <c r="BX6" i="11"/>
  <c r="BX34" i="10"/>
  <c r="BX39" i="10"/>
  <c r="BX38" i="6"/>
  <c r="BX39" i="6" s="1"/>
  <c r="I6" i="11"/>
  <c r="I39" i="10"/>
  <c r="I54" i="10" s="1"/>
  <c r="I55" i="10" s="1"/>
  <c r="I34" i="10"/>
  <c r="I29" i="10" s="1"/>
  <c r="I38" i="6"/>
  <c r="AC6" i="11"/>
  <c r="AC39" i="10"/>
  <c r="AC54" i="10" s="1"/>
  <c r="AC55" i="10" s="1"/>
  <c r="AC34" i="10"/>
  <c r="AC29" i="10" s="1"/>
  <c r="AC38" i="6"/>
  <c r="AV6" i="11"/>
  <c r="AV34" i="10"/>
  <c r="AV39" i="10"/>
  <c r="AV38" i="6"/>
  <c r="AV39" i="6" s="1"/>
  <c r="AI39" i="10"/>
  <c r="AI6" i="11"/>
  <c r="AI34" i="10"/>
  <c r="AI38" i="6"/>
  <c r="AI39" i="6" s="1"/>
  <c r="BF6" i="11"/>
  <c r="BF39" i="10"/>
  <c r="BF34" i="10"/>
  <c r="BF29" i="10" s="1"/>
  <c r="BF38" i="6"/>
  <c r="BF39" i="6" s="1"/>
  <c r="AQ39" i="10"/>
  <c r="AQ6" i="11"/>
  <c r="AQ34" i="10"/>
  <c r="AQ29" i="10" s="1"/>
  <c r="AQ38" i="6"/>
  <c r="AQ39" i="6" s="1"/>
  <c r="CH31" i="10"/>
  <c r="CH33" i="10"/>
  <c r="BA6" i="11"/>
  <c r="BA39" i="10"/>
  <c r="BA34" i="10"/>
  <c r="BA29" i="10" s="1"/>
  <c r="BA38" i="6"/>
  <c r="BA39" i="6" s="1"/>
  <c r="BT6" i="11"/>
  <c r="BT34" i="10"/>
  <c r="BT29" i="10" s="1"/>
  <c r="BT39" i="10"/>
  <c r="BT38" i="6"/>
  <c r="BT39" i="6" s="1"/>
  <c r="AZ6" i="11"/>
  <c r="AZ39" i="10"/>
  <c r="AZ34" i="10"/>
  <c r="AZ38" i="6"/>
  <c r="AZ39" i="6" s="1"/>
  <c r="P6" i="11"/>
  <c r="P34" i="10"/>
  <c r="P39" i="10"/>
  <c r="P54" i="10" s="1"/>
  <c r="P55" i="10" s="1"/>
  <c r="P38" i="6"/>
  <c r="BE29" i="10"/>
  <c r="K6" i="11"/>
  <c r="K39" i="10"/>
  <c r="K54" i="10" s="1"/>
  <c r="K55" i="10" s="1"/>
  <c r="K34" i="10"/>
  <c r="K38" i="6"/>
  <c r="AY8" i="9"/>
  <c r="AY70" i="5"/>
  <c r="AY46" i="11" s="1"/>
  <c r="CK37" i="9"/>
  <c r="CK35" i="9"/>
  <c r="BG8" i="9"/>
  <c r="BG70" i="5"/>
  <c r="BG46" i="11" s="1"/>
  <c r="BR8" i="9"/>
  <c r="BR70" i="5"/>
  <c r="BR46" i="11" s="1"/>
  <c r="CF37" i="9"/>
  <c r="CF35" i="9"/>
  <c r="CA8" i="9"/>
  <c r="CA70" i="5"/>
  <c r="CA46" i="11" s="1"/>
  <c r="U37" i="9"/>
  <c r="U35" i="9"/>
  <c r="BC35" i="9"/>
  <c r="BC37" i="9"/>
  <c r="K8" i="9"/>
  <c r="K70" i="5"/>
  <c r="K46" i="11" s="1"/>
  <c r="BH8" i="9"/>
  <c r="BH70" i="5"/>
  <c r="BH46" i="11" s="1"/>
  <c r="BN37" i="9"/>
  <c r="BN35" i="9"/>
  <c r="BT8" i="9"/>
  <c r="BT70" i="5"/>
  <c r="BT46" i="11" s="1"/>
  <c r="BK37" i="9"/>
  <c r="BK35" i="9"/>
  <c r="S8" i="9"/>
  <c r="S70" i="5"/>
  <c r="S46" i="11" s="1"/>
  <c r="AK35" i="9"/>
  <c r="AK37" i="9"/>
  <c r="CJ8" i="9"/>
  <c r="CJ70" i="5"/>
  <c r="CJ46" i="11" s="1"/>
  <c r="BU8" i="9"/>
  <c r="BU70" i="5"/>
  <c r="BU46" i="11" s="1"/>
  <c r="AU8" i="9"/>
  <c r="AU70" i="5"/>
  <c r="AU46" i="11" s="1"/>
  <c r="AB8" i="9"/>
  <c r="AB70" i="5"/>
  <c r="AB46" i="11" s="1"/>
  <c r="AX37" i="9"/>
  <c r="AX35" i="9"/>
  <c r="BC8" i="9"/>
  <c r="BC70" i="5"/>
  <c r="BC46" i="11" s="1"/>
  <c r="AJ8" i="9"/>
  <c r="AJ70" i="5"/>
  <c r="AJ46" i="11" s="1"/>
  <c r="AV8" i="9"/>
  <c r="AV70" i="5"/>
  <c r="AV46" i="11" s="1"/>
  <c r="P37" i="9"/>
  <c r="P35" i="9"/>
  <c r="V37" i="9"/>
  <c r="V35" i="9"/>
  <c r="G8" i="9"/>
  <c r="G70" i="5"/>
  <c r="G46" i="11" s="1"/>
  <c r="BD8" i="9"/>
  <c r="BD70" i="5"/>
  <c r="BD46" i="11" s="1"/>
  <c r="CJ37" i="9"/>
  <c r="CJ35" i="9"/>
  <c r="BY37" i="9"/>
  <c r="BY35" i="9"/>
  <c r="R8" i="9"/>
  <c r="R70" i="5"/>
  <c r="R46" i="11" s="1"/>
  <c r="AJ37" i="9"/>
  <c r="AJ35" i="9"/>
  <c r="Z8" i="9"/>
  <c r="Z70" i="5"/>
  <c r="Z46" i="11" s="1"/>
  <c r="V8" i="9"/>
  <c r="V70" i="5"/>
  <c r="V46" i="11" s="1"/>
  <c r="BE8" i="9"/>
  <c r="BE70" i="5"/>
  <c r="BE46" i="11" s="1"/>
  <c r="AN37" i="9"/>
  <c r="AN35" i="9"/>
  <c r="AH8" i="9"/>
  <c r="AH70" i="5"/>
  <c r="AH46" i="11" s="1"/>
  <c r="P8" i="9"/>
  <c r="P70" i="5"/>
  <c r="P46" i="11" s="1"/>
  <c r="BS37" i="9"/>
  <c r="BS35" i="9"/>
  <c r="AA8" i="9"/>
  <c r="AA70" i="5"/>
  <c r="AA46" i="11" s="1"/>
  <c r="BV11" i="8"/>
  <c r="BV7" i="8"/>
  <c r="BD37" i="9"/>
  <c r="BD35" i="9"/>
  <c r="BW37" i="9"/>
  <c r="BW35" i="9"/>
  <c r="CC8" i="9"/>
  <c r="CC70" i="5"/>
  <c r="CC46" i="11" s="1"/>
  <c r="BU35" i="9"/>
  <c r="BU37" i="9"/>
  <c r="BA35" i="9"/>
  <c r="BA37" i="9"/>
  <c r="AQ8" i="9"/>
  <c r="AQ70" i="5"/>
  <c r="AQ46" i="11" s="1"/>
  <c r="BB8" i="9"/>
  <c r="BB70" i="5"/>
  <c r="BB46" i="11" s="1"/>
  <c r="H35" i="9"/>
  <c r="H37" i="9"/>
  <c r="CC35" i="9"/>
  <c r="CC37" i="9"/>
  <c r="BN8" i="9"/>
  <c r="BN70" i="5"/>
  <c r="BN46" i="11" s="1"/>
  <c r="T37" i="9"/>
  <c r="T35" i="9"/>
  <c r="BV8" i="9"/>
  <c r="BV70" i="5"/>
  <c r="BV46" i="11" s="1"/>
  <c r="AZ8" i="9"/>
  <c r="AZ70" i="5"/>
  <c r="AZ46" i="11" s="1"/>
  <c r="BP35" i="9"/>
  <c r="BP37" i="9"/>
  <c r="BZ8" i="9"/>
  <c r="BZ70" i="5"/>
  <c r="BZ46" i="11" s="1"/>
  <c r="AW8" i="9"/>
  <c r="AW70" i="5"/>
  <c r="AW46" i="11" s="1"/>
  <c r="AO37" i="9"/>
  <c r="AO35" i="9"/>
  <c r="CG35" i="9"/>
  <c r="CG37" i="9"/>
  <c r="BA8" i="9"/>
  <c r="BA70" i="5"/>
  <c r="BA46" i="11" s="1"/>
  <c r="W8" i="9"/>
  <c r="W70" i="5"/>
  <c r="W46" i="11" s="1"/>
  <c r="AC35" i="9"/>
  <c r="AC37" i="9"/>
  <c r="BP8" i="9"/>
  <c r="BP70" i="5"/>
  <c r="BP46" i="11" s="1"/>
  <c r="BE37" i="9"/>
  <c r="BE35" i="9"/>
  <c r="AP8" i="9"/>
  <c r="AP70" i="5"/>
  <c r="AP46" i="11" s="1"/>
  <c r="BV37" i="9"/>
  <c r="BV35" i="9"/>
  <c r="O37" i="9"/>
  <c r="O35" i="9"/>
  <c r="CF8" i="9"/>
  <c r="CF70" i="5"/>
  <c r="CF46" i="11" s="1"/>
  <c r="BY8" i="9"/>
  <c r="BY70" i="5"/>
  <c r="BY46" i="11" s="1"/>
  <c r="W37" i="9"/>
  <c r="W35" i="9"/>
  <c r="CD37" i="9"/>
  <c r="CD35" i="9"/>
  <c r="CK8" i="9"/>
  <c r="CK70" i="5"/>
  <c r="N37" i="9"/>
  <c r="N35" i="9"/>
  <c r="AC8" i="9"/>
  <c r="AC70" i="5"/>
  <c r="AC46" i="11" s="1"/>
  <c r="CB37" i="9"/>
  <c r="CB35" i="9"/>
  <c r="AI35" i="9"/>
  <c r="AI37" i="9"/>
  <c r="CH37" i="9"/>
  <c r="CH35" i="9"/>
  <c r="Z37" i="9"/>
  <c r="Z35" i="9"/>
  <c r="BO8" i="9"/>
  <c r="BO70" i="5"/>
  <c r="BO46" i="11" s="1"/>
  <c r="BW8" i="9"/>
  <c r="BW70" i="5"/>
  <c r="BW46" i="11" s="1"/>
  <c r="CE8" i="9"/>
  <c r="CE70" i="5"/>
  <c r="CE46" i="11" s="1"/>
  <c r="BI8" i="9"/>
  <c r="BI70" i="5"/>
  <c r="BI46" i="11" s="1"/>
  <c r="AD8" i="9"/>
  <c r="AD70" i="5"/>
  <c r="AD46" i="11" s="1"/>
  <c r="BB37" i="9"/>
  <c r="BB35" i="9"/>
  <c r="AF8" i="9"/>
  <c r="AF70" i="5"/>
  <c r="AF46" i="11" s="1"/>
  <c r="AG8" i="9"/>
  <c r="AG70" i="5"/>
  <c r="AG46" i="11" s="1"/>
  <c r="BS8" i="9"/>
  <c r="BS70" i="5"/>
  <c r="BS46" i="11" s="1"/>
  <c r="AG35" i="9"/>
  <c r="AG37" i="9"/>
  <c r="AD35" i="9"/>
  <c r="AD37" i="9"/>
  <c r="CD8" i="9"/>
  <c r="CD70" i="5"/>
  <c r="CD46" i="11" s="1"/>
  <c r="AS8" i="9"/>
  <c r="AS70" i="5"/>
  <c r="AS46" i="11" s="1"/>
  <c r="BL8" i="9"/>
  <c r="BL70" i="5"/>
  <c r="BL46" i="11" s="1"/>
  <c r="CH8" i="9"/>
  <c r="CH70" i="5"/>
  <c r="CH46" i="11" s="1"/>
  <c r="AW37" i="9"/>
  <c r="AW35" i="9"/>
  <c r="CB8" i="9"/>
  <c r="CB70" i="5"/>
  <c r="CB46" i="11" s="1"/>
  <c r="AR37" i="9"/>
  <c r="AR35" i="9"/>
  <c r="L8" i="9"/>
  <c r="L70" i="5"/>
  <c r="L46" i="11" s="1"/>
  <c r="J37" i="9"/>
  <c r="J35" i="9"/>
  <c r="E8" i="9"/>
  <c r="E70" i="5"/>
  <c r="E46" i="11" s="1"/>
  <c r="AM8" i="9"/>
  <c r="AM70" i="5"/>
  <c r="AM46" i="11" s="1"/>
  <c r="AB37" i="9"/>
  <c r="AB35" i="9"/>
  <c r="BM35" i="9"/>
  <c r="BM37" i="9"/>
  <c r="AS35" i="9"/>
  <c r="AS37" i="9"/>
  <c r="CA37" i="9"/>
  <c r="CA35" i="9"/>
  <c r="S37" i="9"/>
  <c r="S35" i="9"/>
  <c r="F37" i="9"/>
  <c r="F35" i="9"/>
  <c r="CI37" i="9"/>
  <c r="CI35" i="9"/>
  <c r="U8" i="9"/>
  <c r="U70" i="5"/>
  <c r="U46" i="11" s="1"/>
  <c r="BT37" i="9"/>
  <c r="BT35" i="9"/>
  <c r="AA37" i="9"/>
  <c r="AA35" i="9"/>
  <c r="BZ37" i="9"/>
  <c r="BZ35" i="9"/>
  <c r="BJ8" i="9"/>
  <c r="BJ70" i="5"/>
  <c r="BJ46" i="11" s="1"/>
  <c r="BK8" i="9"/>
  <c r="BK70" i="5"/>
  <c r="BK46" i="11" s="1"/>
  <c r="BH37" i="9"/>
  <c r="BH35" i="9"/>
  <c r="F8" i="9"/>
  <c r="F70" i="5"/>
  <c r="F46" i="11" s="1"/>
  <c r="O8" i="9"/>
  <c r="O70" i="5"/>
  <c r="O46" i="11" s="1"/>
  <c r="AY37" i="9"/>
  <c r="AY35" i="9"/>
  <c r="AL35" i="9"/>
  <c r="AL37" i="9"/>
  <c r="AH37" i="9"/>
  <c r="AH35" i="9"/>
  <c r="CI8" i="9"/>
  <c r="CI70" i="5"/>
  <c r="CI46" i="11" s="1"/>
  <c r="H8" i="9"/>
  <c r="H70" i="5"/>
  <c r="H46" i="11" s="1"/>
  <c r="AT37" i="9"/>
  <c r="AT35" i="9"/>
  <c r="BO35" i="9"/>
  <c r="BO37" i="9"/>
  <c r="X8" i="9"/>
  <c r="X70" i="5"/>
  <c r="X46" i="11" s="1"/>
  <c r="I8" i="9"/>
  <c r="I70" i="5"/>
  <c r="I46" i="11" s="1"/>
  <c r="AX8" i="9"/>
  <c r="AX70" i="5"/>
  <c r="AX46" i="11" s="1"/>
  <c r="AT8" i="9"/>
  <c r="AT70" i="5"/>
  <c r="AT46" i="11" s="1"/>
  <c r="BF8" i="9"/>
  <c r="BF70" i="5"/>
  <c r="BF46" i="11" s="1"/>
  <c r="R37" i="9"/>
  <c r="R35" i="9"/>
  <c r="Y35" i="9"/>
  <c r="Y37" i="9"/>
  <c r="BQ35" i="9"/>
  <c r="BQ37" i="9"/>
  <c r="AM37" i="9"/>
  <c r="AM35" i="9"/>
  <c r="AR8" i="9"/>
  <c r="AR70" i="5"/>
  <c r="AR46" i="11" s="1"/>
  <c r="BF37" i="9"/>
  <c r="BF35" i="9"/>
  <c r="AZ37" i="9"/>
  <c r="AZ35" i="9"/>
  <c r="AE8" i="9"/>
  <c r="AE70" i="5"/>
  <c r="AE46" i="11" s="1"/>
  <c r="G37" i="9"/>
  <c r="G35" i="9"/>
  <c r="AL8" i="9"/>
  <c r="AL70" i="5"/>
  <c r="AL46" i="11" s="1"/>
  <c r="AI8" i="9"/>
  <c r="AI70" i="5"/>
  <c r="AI46" i="11" s="1"/>
  <c r="Q8" i="9"/>
  <c r="Q70" i="5"/>
  <c r="Q46" i="11" s="1"/>
  <c r="BL37" i="9"/>
  <c r="BL35" i="9"/>
  <c r="CE37" i="9"/>
  <c r="CE35" i="9"/>
  <c r="L37" i="9"/>
  <c r="L35" i="9"/>
  <c r="AN8" i="9"/>
  <c r="AN70" i="5"/>
  <c r="AN46" i="11" s="1"/>
  <c r="BX37" i="9"/>
  <c r="BX35" i="9"/>
  <c r="J8" i="9"/>
  <c r="J70" i="5"/>
  <c r="J46" i="11" s="1"/>
  <c r="AK8" i="9"/>
  <c r="AK70" i="5"/>
  <c r="AK46" i="11" s="1"/>
  <c r="AO8" i="9"/>
  <c r="AO70" i="5"/>
  <c r="AO46" i="11" s="1"/>
  <c r="X35" i="9"/>
  <c r="X37" i="9"/>
  <c r="AQ35" i="9"/>
  <c r="AQ37" i="9"/>
  <c r="AU37" i="9"/>
  <c r="AU35" i="9"/>
  <c r="N8" i="9"/>
  <c r="N70" i="5"/>
  <c r="N46" i="11" s="1"/>
  <c r="AF37" i="9"/>
  <c r="AF35" i="9"/>
  <c r="BG37" i="9"/>
  <c r="BG35" i="9"/>
  <c r="BM8" i="9"/>
  <c r="BM70" i="5"/>
  <c r="BM46" i="11" s="1"/>
  <c r="AV37" i="9"/>
  <c r="AV35" i="9"/>
  <c r="BX8" i="9"/>
  <c r="BX70" i="5"/>
  <c r="BX46" i="11" s="1"/>
  <c r="AP37" i="9"/>
  <c r="AP35" i="9"/>
  <c r="BQ8" i="9"/>
  <c r="BQ70" i="5"/>
  <c r="BQ46" i="11" s="1"/>
  <c r="K37" i="9"/>
  <c r="K35" i="9"/>
  <c r="BJ37" i="9"/>
  <c r="BJ35" i="9"/>
  <c r="T8" i="9"/>
  <c r="T70" i="5"/>
  <c r="T46" i="11" s="1"/>
  <c r="M8" i="9"/>
  <c r="M70" i="5"/>
  <c r="M46" i="11" s="1"/>
  <c r="BR37" i="9"/>
  <c r="BR35" i="9"/>
  <c r="CG8" i="9"/>
  <c r="CG70" i="5"/>
  <c r="CG46" i="11" s="1"/>
  <c r="Y8" i="9"/>
  <c r="Y70" i="5"/>
  <c r="Y46" i="11" s="1"/>
  <c r="Q35" i="9"/>
  <c r="Q37" i="9"/>
  <c r="BI35" i="9"/>
  <c r="BI37" i="9"/>
  <c r="AE37" i="9"/>
  <c r="AE35" i="9"/>
  <c r="C19" i="13"/>
  <c r="D19" i="13" s="1"/>
  <c r="BJ31" i="10" l="1"/>
  <c r="CH42" i="6"/>
  <c r="CH43" i="6" s="1"/>
  <c r="CH48" i="10" s="1"/>
  <c r="BJ33" i="10"/>
  <c r="CH9" i="11"/>
  <c r="CH41" i="6"/>
  <c r="CH28" i="6" s="1"/>
  <c r="CH29" i="6" s="1"/>
  <c r="CH32" i="11" s="1"/>
  <c r="CH44" i="11" s="1"/>
  <c r="CH40" i="10"/>
  <c r="CH41" i="10" s="1"/>
  <c r="BZ42" i="10"/>
  <c r="CK9" i="9"/>
  <c r="CK13" i="9" s="1"/>
  <c r="CK46" i="11"/>
  <c r="AA39" i="6"/>
  <c r="AA61" i="10"/>
  <c r="O39" i="6"/>
  <c r="O61" i="10"/>
  <c r="X39" i="6"/>
  <c r="X61" i="10"/>
  <c r="V39" i="6"/>
  <c r="V61" i="10"/>
  <c r="N39" i="6"/>
  <c r="N61" i="10"/>
  <c r="P39" i="6"/>
  <c r="P61" i="10"/>
  <c r="F39" i="6"/>
  <c r="F61" i="10"/>
  <c r="AB39" i="6"/>
  <c r="AB61" i="10"/>
  <c r="Q39" i="6"/>
  <c r="Q61" i="10"/>
  <c r="Z39" i="6"/>
  <c r="Z61" i="10"/>
  <c r="S39" i="6"/>
  <c r="S61" i="10"/>
  <c r="AC39" i="6"/>
  <c r="AC61" i="10"/>
  <c r="R39" i="6"/>
  <c r="R61" i="10"/>
  <c r="G39" i="6"/>
  <c r="G61" i="10"/>
  <c r="K39" i="6"/>
  <c r="K61" i="10"/>
  <c r="T39" i="6"/>
  <c r="T61" i="10"/>
  <c r="L39" i="6"/>
  <c r="L61" i="10"/>
  <c r="H39" i="6"/>
  <c r="H61" i="10"/>
  <c r="Y39" i="6"/>
  <c r="Y61" i="10"/>
  <c r="W39" i="6"/>
  <c r="W61" i="10"/>
  <c r="I39" i="6"/>
  <c r="I61" i="10"/>
  <c r="E39" i="6"/>
  <c r="E61" i="10"/>
  <c r="J39" i="6"/>
  <c r="J61" i="10"/>
  <c r="U39" i="6"/>
  <c r="U61" i="10"/>
  <c r="M39" i="6"/>
  <c r="M61" i="10"/>
  <c r="BJ41" i="6"/>
  <c r="BJ6" i="8" s="1"/>
  <c r="BJ7" i="8" s="1"/>
  <c r="BJ9" i="11"/>
  <c r="N42" i="6"/>
  <c r="AT40" i="10"/>
  <c r="AT41" i="10" s="1"/>
  <c r="N41" i="6"/>
  <c r="N6" i="8" s="1"/>
  <c r="N7" i="8" s="1"/>
  <c r="AT41" i="6"/>
  <c r="AT28" i="6" s="1"/>
  <c r="AT29" i="6" s="1"/>
  <c r="AT32" i="11" s="1"/>
  <c r="AT44" i="11" s="1"/>
  <c r="AT9" i="11"/>
  <c r="BB40" i="10"/>
  <c r="BB42" i="10" s="1"/>
  <c r="N40" i="10"/>
  <c r="N42" i="10" s="1"/>
  <c r="AL31" i="10"/>
  <c r="N9" i="11"/>
  <c r="AT42" i="6"/>
  <c r="AT43" i="6" s="1"/>
  <c r="AT48" i="10" s="1"/>
  <c r="BJ42" i="6"/>
  <c r="BJ43" i="6" s="1"/>
  <c r="BJ48" i="10" s="1"/>
  <c r="BJ40" i="10"/>
  <c r="BJ41" i="10" s="1"/>
  <c r="BB9" i="11"/>
  <c r="BB41" i="6"/>
  <c r="BB36" i="6" s="1"/>
  <c r="BB37" i="6" s="1"/>
  <c r="BR42" i="6"/>
  <c r="BR43" i="6" s="1"/>
  <c r="BR48" i="10" s="1"/>
  <c r="BB42" i="6"/>
  <c r="BB43" i="6" s="1"/>
  <c r="BB48" i="10" s="1"/>
  <c r="BR41" i="6"/>
  <c r="BR36" i="6" s="1"/>
  <c r="BR37" i="6" s="1"/>
  <c r="BR40" i="10"/>
  <c r="BR9" i="11"/>
  <c r="BR31" i="10"/>
  <c r="BR33" i="10"/>
  <c r="AL33" i="10"/>
  <c r="BB33" i="10"/>
  <c r="BB31" i="10"/>
  <c r="N31" i="10"/>
  <c r="AD33" i="10"/>
  <c r="F29" i="10"/>
  <c r="F31" i="10"/>
  <c r="AL42" i="6"/>
  <c r="AL43" i="6" s="1"/>
  <c r="AL48" i="10" s="1"/>
  <c r="AT33" i="10"/>
  <c r="AT31" i="10"/>
  <c r="AD9" i="11"/>
  <c r="AL40" i="10"/>
  <c r="AL41" i="10" s="1"/>
  <c r="AL41" i="6"/>
  <c r="AL36" i="6" s="1"/>
  <c r="AL37" i="6" s="1"/>
  <c r="AL9" i="11"/>
  <c r="N33" i="10"/>
  <c r="AD41" i="6"/>
  <c r="AD28" i="6" s="1"/>
  <c r="AD29" i="6" s="1"/>
  <c r="AD32" i="11" s="1"/>
  <c r="AD44" i="11" s="1"/>
  <c r="AD40" i="10"/>
  <c r="AD41" i="10" s="1"/>
  <c r="V40" i="10"/>
  <c r="V41" i="10" s="1"/>
  <c r="V41" i="6"/>
  <c r="V16" i="6" s="1"/>
  <c r="V17" i="6" s="1"/>
  <c r="V18" i="6" s="1"/>
  <c r="V33" i="10"/>
  <c r="V31" i="10"/>
  <c r="F42" i="6"/>
  <c r="F41" i="6"/>
  <c r="F6" i="8" s="1"/>
  <c r="F7" i="8" s="1"/>
  <c r="F40" i="10"/>
  <c r="F41" i="10" s="1"/>
  <c r="F9" i="11"/>
  <c r="I39" i="13"/>
  <c r="V9" i="11"/>
  <c r="V42" i="6"/>
  <c r="AD42" i="6"/>
  <c r="AD43" i="6" s="1"/>
  <c r="AD48" i="10" s="1"/>
  <c r="P31" i="10"/>
  <c r="P33" i="10"/>
  <c r="BX9" i="11"/>
  <c r="BX40" i="10"/>
  <c r="BX41" i="10" s="1"/>
  <c r="BX42" i="6"/>
  <c r="BX43" i="6" s="1"/>
  <c r="BX41" i="6"/>
  <c r="BS31" i="10"/>
  <c r="BS33" i="10"/>
  <c r="AA33" i="10"/>
  <c r="AA31" i="10"/>
  <c r="BM31" i="10"/>
  <c r="BM33" i="10"/>
  <c r="AJ9" i="11"/>
  <c r="AJ40" i="10"/>
  <c r="AJ41" i="10" s="1"/>
  <c r="AJ41" i="6"/>
  <c r="AJ42" i="6"/>
  <c r="AJ43" i="6" s="1"/>
  <c r="BL9" i="11"/>
  <c r="BL40" i="10"/>
  <c r="BL41" i="10" s="1"/>
  <c r="BL42" i="6"/>
  <c r="BL43" i="6" s="1"/>
  <c r="BL41" i="6"/>
  <c r="AB31" i="10"/>
  <c r="AB33" i="10"/>
  <c r="T31" i="10"/>
  <c r="T33" i="10"/>
  <c r="BW33" i="10"/>
  <c r="BW31" i="10"/>
  <c r="X31" i="10"/>
  <c r="X33" i="10"/>
  <c r="BO9" i="11"/>
  <c r="BO40" i="10"/>
  <c r="BO41" i="10" s="1"/>
  <c r="BO42" i="6"/>
  <c r="BO43" i="6" s="1"/>
  <c r="BO41" i="6"/>
  <c r="BV33" i="10"/>
  <c r="BV31" i="10"/>
  <c r="BS29" i="10"/>
  <c r="H9" i="11"/>
  <c r="H40" i="10"/>
  <c r="H41" i="10" s="1"/>
  <c r="H41" i="6"/>
  <c r="H42" i="6"/>
  <c r="Y9" i="11"/>
  <c r="Y40" i="10"/>
  <c r="Y41" i="10" s="1"/>
  <c r="Y41" i="6"/>
  <c r="Y42" i="6"/>
  <c r="W31" i="10"/>
  <c r="W33" i="10"/>
  <c r="AI9" i="11"/>
  <c r="AI40" i="10"/>
  <c r="AI41" i="10" s="1"/>
  <c r="AI42" i="6"/>
  <c r="AI43" i="6" s="1"/>
  <c r="AI41" i="6"/>
  <c r="AV31" i="10"/>
  <c r="AV33" i="10"/>
  <c r="I9" i="11"/>
  <c r="I40" i="10"/>
  <c r="I41" i="10" s="1"/>
  <c r="I41" i="6"/>
  <c r="I42" i="6"/>
  <c r="I63" i="10" s="1"/>
  <c r="R33" i="10"/>
  <c r="R31" i="10"/>
  <c r="O40" i="10"/>
  <c r="O41" i="10" s="1"/>
  <c r="O9" i="11"/>
  <c r="O41" i="6"/>
  <c r="O42" i="6"/>
  <c r="AJ31" i="10"/>
  <c r="AJ33" i="10"/>
  <c r="U9" i="11"/>
  <c r="U40" i="10"/>
  <c r="U41" i="10" s="1"/>
  <c r="U41" i="6"/>
  <c r="U42" i="6"/>
  <c r="Q9" i="11"/>
  <c r="Q40" i="10"/>
  <c r="Q41" i="10" s="1"/>
  <c r="Q41" i="6"/>
  <c r="Q42" i="6"/>
  <c r="BO33" i="10"/>
  <c r="BO31" i="10"/>
  <c r="BC9" i="11"/>
  <c r="BC40" i="10"/>
  <c r="BC41" i="10" s="1"/>
  <c r="BC42" i="6"/>
  <c r="BC43" i="6" s="1"/>
  <c r="BC41" i="6"/>
  <c r="M9" i="11"/>
  <c r="M40" i="10"/>
  <c r="M41" i="10" s="1"/>
  <c r="M41" i="6"/>
  <c r="M42" i="6"/>
  <c r="M63" i="10" s="1"/>
  <c r="AW31" i="10"/>
  <c r="AW33" i="10"/>
  <c r="W29" i="10"/>
  <c r="AN9" i="11"/>
  <c r="AN40" i="10"/>
  <c r="AN41" i="10" s="1"/>
  <c r="AN41" i="6"/>
  <c r="AN42" i="6"/>
  <c r="AN43" i="6" s="1"/>
  <c r="BZ28" i="6"/>
  <c r="BZ29" i="6" s="1"/>
  <c r="BZ32" i="11" s="1"/>
  <c r="BZ44" i="11" s="1"/>
  <c r="BZ36" i="6"/>
  <c r="BZ37" i="6" s="1"/>
  <c r="BZ16" i="6"/>
  <c r="BZ17" i="6" s="1"/>
  <c r="BZ18" i="6" s="1"/>
  <c r="P29" i="10"/>
  <c r="AE9" i="11"/>
  <c r="AE40" i="10"/>
  <c r="AE41" i="10" s="1"/>
  <c r="AE41" i="6"/>
  <c r="AE42" i="6"/>
  <c r="AE43" i="6" s="1"/>
  <c r="BE9" i="11"/>
  <c r="BE40" i="10"/>
  <c r="BE41" i="10" s="1"/>
  <c r="BE42" i="6"/>
  <c r="BE43" i="6" s="1"/>
  <c r="BE41" i="6"/>
  <c r="AI33" i="10"/>
  <c r="AI31" i="10"/>
  <c r="BX31" i="10"/>
  <c r="BX33" i="10"/>
  <c r="BE31" i="10"/>
  <c r="BE33" i="10"/>
  <c r="CH17" i="12"/>
  <c r="CH18" i="12" s="1"/>
  <c r="O31" i="10"/>
  <c r="O33" i="10"/>
  <c r="U33" i="10"/>
  <c r="U31" i="10"/>
  <c r="CB9" i="11"/>
  <c r="CB40" i="10"/>
  <c r="CB41" i="10" s="1"/>
  <c r="CB42" i="6"/>
  <c r="CB43" i="6" s="1"/>
  <c r="CB41" i="6"/>
  <c r="AH9" i="11"/>
  <c r="AH40" i="10"/>
  <c r="AH41" i="10" s="1"/>
  <c r="AH41" i="6"/>
  <c r="AH42" i="6"/>
  <c r="AH43" i="6" s="1"/>
  <c r="AF31" i="10"/>
  <c r="AF33" i="10"/>
  <c r="BP9" i="11"/>
  <c r="BP40" i="10"/>
  <c r="BP41" i="10" s="1"/>
  <c r="BP42" i="6"/>
  <c r="BP43" i="6" s="1"/>
  <c r="BP41" i="6"/>
  <c r="AS9" i="11"/>
  <c r="AS40" i="10"/>
  <c r="AS41" i="10" s="1"/>
  <c r="AS41" i="6"/>
  <c r="AS42" i="6"/>
  <c r="AS43" i="6" s="1"/>
  <c r="CD9" i="11"/>
  <c r="CD40" i="10"/>
  <c r="CD41" i="10" s="1"/>
  <c r="CD42" i="6"/>
  <c r="CD43" i="6" s="1"/>
  <c r="CD41" i="6"/>
  <c r="BC31" i="10"/>
  <c r="BC33" i="10"/>
  <c r="Y31" i="10"/>
  <c r="Y33" i="10"/>
  <c r="M33" i="10"/>
  <c r="M31" i="10"/>
  <c r="CC31" i="10"/>
  <c r="CC33" i="10"/>
  <c r="CJ31" i="10"/>
  <c r="CJ33" i="10"/>
  <c r="AR9" i="11"/>
  <c r="AR40" i="10"/>
  <c r="AR41" i="10" s="1"/>
  <c r="AR42" i="6"/>
  <c r="AR43" i="6" s="1"/>
  <c r="AR41" i="6"/>
  <c r="AE31" i="10"/>
  <c r="AE33" i="10"/>
  <c r="AZ9" i="11"/>
  <c r="AZ40" i="10"/>
  <c r="AZ41" i="10" s="1"/>
  <c r="AZ42" i="6"/>
  <c r="AZ43" i="6" s="1"/>
  <c r="AZ41" i="6"/>
  <c r="BT31" i="10"/>
  <c r="BT33" i="10"/>
  <c r="BF9" i="11"/>
  <c r="BF40" i="10"/>
  <c r="BF41" i="10" s="1"/>
  <c r="BF42" i="6"/>
  <c r="BF43" i="6" s="1"/>
  <c r="BF41" i="6"/>
  <c r="I31" i="10"/>
  <c r="I33" i="10"/>
  <c r="E9" i="11"/>
  <c r="E40" i="10"/>
  <c r="E41" i="10" s="1"/>
  <c r="E41" i="6"/>
  <c r="E6" i="8" s="1"/>
  <c r="E42" i="6"/>
  <c r="E63" i="10" s="1"/>
  <c r="BN9" i="11"/>
  <c r="BN40" i="10"/>
  <c r="BN41" i="10" s="1"/>
  <c r="BN42" i="6"/>
  <c r="BN43" i="6" s="1"/>
  <c r="BN41" i="6"/>
  <c r="AB29" i="10"/>
  <c r="AP9" i="11"/>
  <c r="AP40" i="10"/>
  <c r="AP41" i="10" s="1"/>
  <c r="AP41" i="6"/>
  <c r="AP42" i="6"/>
  <c r="AP43" i="6" s="1"/>
  <c r="CI40" i="10"/>
  <c r="CI41" i="10" s="1"/>
  <c r="CI9" i="11"/>
  <c r="CI42" i="6"/>
  <c r="CI43" i="6" s="1"/>
  <c r="CI41" i="6"/>
  <c r="BL31" i="10"/>
  <c r="BL33" i="10"/>
  <c r="Q31" i="10"/>
  <c r="Q33" i="10"/>
  <c r="BU9" i="11"/>
  <c r="BU40" i="10"/>
  <c r="BU41" i="10" s="1"/>
  <c r="BU41" i="6"/>
  <c r="BU42" i="6"/>
  <c r="BU43" i="6" s="1"/>
  <c r="BP31" i="10"/>
  <c r="BP33" i="10"/>
  <c r="BQ9" i="11"/>
  <c r="BQ40" i="10"/>
  <c r="BQ41" i="10" s="1"/>
  <c r="BQ42" i="6"/>
  <c r="BQ43" i="6" s="1"/>
  <c r="BQ41" i="6"/>
  <c r="AS31" i="10"/>
  <c r="AS33" i="10"/>
  <c r="L9" i="11"/>
  <c r="L40" i="10"/>
  <c r="L41" i="10" s="1"/>
  <c r="L41" i="6"/>
  <c r="L42" i="6"/>
  <c r="BG9" i="11"/>
  <c r="BG40" i="10"/>
  <c r="BG41" i="10" s="1"/>
  <c r="BG42" i="6"/>
  <c r="BG43" i="6" s="1"/>
  <c r="BG41" i="6"/>
  <c r="H31" i="10"/>
  <c r="H33" i="10"/>
  <c r="AG9" i="11"/>
  <c r="AG40" i="10"/>
  <c r="AG41" i="10" s="1"/>
  <c r="AG41" i="6"/>
  <c r="AG42" i="6"/>
  <c r="AG43" i="6" s="1"/>
  <c r="CF9" i="11"/>
  <c r="CF40" i="10"/>
  <c r="CF41" i="10" s="1"/>
  <c r="CF42" i="6"/>
  <c r="CF43" i="6" s="1"/>
  <c r="CF41" i="6"/>
  <c r="BZ17" i="12"/>
  <c r="BZ18" i="12" s="1"/>
  <c r="BZ2" i="11"/>
  <c r="BZ47" i="10"/>
  <c r="BZ48" i="10"/>
  <c r="BZ47" i="6"/>
  <c r="AR31" i="10"/>
  <c r="AR33" i="10"/>
  <c r="AQ33" i="10"/>
  <c r="AQ31" i="10"/>
  <c r="AZ31" i="10"/>
  <c r="AZ33" i="10"/>
  <c r="AC9" i="11"/>
  <c r="AC40" i="10"/>
  <c r="AC41" i="10" s="1"/>
  <c r="AC41" i="6"/>
  <c r="AC42" i="6"/>
  <c r="BY9" i="11"/>
  <c r="BY40" i="10"/>
  <c r="BY41" i="10" s="1"/>
  <c r="BY42" i="6"/>
  <c r="BY43" i="6" s="1"/>
  <c r="BY41" i="6"/>
  <c r="E33" i="10"/>
  <c r="E31" i="10"/>
  <c r="BD9" i="11"/>
  <c r="BD40" i="10"/>
  <c r="BD41" i="10" s="1"/>
  <c r="BD42" i="6"/>
  <c r="BD43" i="6" s="1"/>
  <c r="BD41" i="6"/>
  <c r="CI31" i="10"/>
  <c r="CI33" i="10"/>
  <c r="AX9" i="11"/>
  <c r="AX40" i="10"/>
  <c r="AX41" i="10" s="1"/>
  <c r="AX41" i="6"/>
  <c r="AX42" i="6"/>
  <c r="AX43" i="6" s="1"/>
  <c r="AH31" i="10"/>
  <c r="AH33" i="10"/>
  <c r="BQ33" i="10"/>
  <c r="BQ31" i="10"/>
  <c r="AY9" i="11"/>
  <c r="AY40" i="10"/>
  <c r="AY41" i="10" s="1"/>
  <c r="AY42" i="6"/>
  <c r="AY43" i="6" s="1"/>
  <c r="AY41" i="6"/>
  <c r="L31" i="10"/>
  <c r="L33" i="10"/>
  <c r="Z9" i="11"/>
  <c r="Z40" i="10"/>
  <c r="Z41" i="10" s="1"/>
  <c r="Z41" i="6"/>
  <c r="Z42" i="6"/>
  <c r="BG33" i="10"/>
  <c r="BG31" i="10"/>
  <c r="G40" i="10"/>
  <c r="G41" i="10" s="1"/>
  <c r="G9" i="11"/>
  <c r="G41" i="6"/>
  <c r="G42" i="6"/>
  <c r="AZ29" i="10"/>
  <c r="AN31" i="10"/>
  <c r="AN33" i="10"/>
  <c r="AU9" i="11"/>
  <c r="AU40" i="10"/>
  <c r="AU41" i="10" s="1"/>
  <c r="AU42" i="6"/>
  <c r="AU43" i="6" s="1"/>
  <c r="AU41" i="6"/>
  <c r="AA29" i="10"/>
  <c r="S9" i="11"/>
  <c r="S40" i="10"/>
  <c r="S41" i="10" s="1"/>
  <c r="S42" i="6"/>
  <c r="S41" i="6"/>
  <c r="BT9" i="11"/>
  <c r="BT40" i="10"/>
  <c r="BT41" i="10" s="1"/>
  <c r="BT42" i="6"/>
  <c r="BT43" i="6" s="1"/>
  <c r="BT41" i="6"/>
  <c r="K9" i="11"/>
  <c r="K40" i="10"/>
  <c r="K41" i="10" s="1"/>
  <c r="K42" i="6"/>
  <c r="K41" i="6"/>
  <c r="P9" i="11"/>
  <c r="P40" i="10"/>
  <c r="P41" i="10" s="1"/>
  <c r="P41" i="6"/>
  <c r="P42" i="6"/>
  <c r="BF33" i="10"/>
  <c r="BF31" i="10"/>
  <c r="AC33" i="10"/>
  <c r="AC31" i="10"/>
  <c r="BM29" i="10"/>
  <c r="BY33" i="10"/>
  <c r="BY31" i="10"/>
  <c r="J9" i="11"/>
  <c r="J40" i="10"/>
  <c r="J41" i="10" s="1"/>
  <c r="J41" i="6"/>
  <c r="J42" i="6"/>
  <c r="BN33" i="10"/>
  <c r="BN31" i="10"/>
  <c r="T29" i="10"/>
  <c r="AP33" i="10"/>
  <c r="AP31" i="10"/>
  <c r="BW29" i="10"/>
  <c r="CB31" i="10"/>
  <c r="CB33" i="10"/>
  <c r="BV29" i="10"/>
  <c r="BU31" i="10"/>
  <c r="BU33" i="10"/>
  <c r="X9" i="11"/>
  <c r="X40" i="10"/>
  <c r="X41" i="10" s="1"/>
  <c r="X41" i="6"/>
  <c r="X42" i="6"/>
  <c r="AY33" i="10"/>
  <c r="AY31" i="10"/>
  <c r="CA40" i="10"/>
  <c r="CA41" i="10" s="1"/>
  <c r="CA9" i="11"/>
  <c r="CA42" i="6"/>
  <c r="CA43" i="6" s="1"/>
  <c r="CA41" i="6"/>
  <c r="CD33" i="10"/>
  <c r="CD31" i="10"/>
  <c r="AG31" i="10"/>
  <c r="AG33" i="10"/>
  <c r="CG9" i="11"/>
  <c r="CG40" i="10"/>
  <c r="CG41" i="10" s="1"/>
  <c r="CG42" i="6"/>
  <c r="CG43" i="6" s="1"/>
  <c r="CG41" i="6"/>
  <c r="G31" i="10"/>
  <c r="G33" i="10"/>
  <c r="AO9" i="11"/>
  <c r="AO40" i="10"/>
  <c r="AO41" i="10" s="1"/>
  <c r="AO41" i="6"/>
  <c r="AO42" i="6"/>
  <c r="AO43" i="6" s="1"/>
  <c r="CF31" i="10"/>
  <c r="CF33" i="10"/>
  <c r="BH9" i="11"/>
  <c r="BH40" i="10"/>
  <c r="BH41" i="10" s="1"/>
  <c r="BH42" i="6"/>
  <c r="BH43" i="6" s="1"/>
  <c r="BH41" i="6"/>
  <c r="AU31" i="10"/>
  <c r="AU33" i="10"/>
  <c r="AV29" i="10"/>
  <c r="S33" i="10"/>
  <c r="S31" i="10"/>
  <c r="K33" i="10"/>
  <c r="K31" i="10"/>
  <c r="BA9" i="11"/>
  <c r="BA40" i="10"/>
  <c r="BA41" i="10" s="1"/>
  <c r="BA42" i="6"/>
  <c r="BA43" i="6" s="1"/>
  <c r="BA41" i="6"/>
  <c r="AV9" i="11"/>
  <c r="AV40" i="10"/>
  <c r="AV41" i="10" s="1"/>
  <c r="AV41" i="6"/>
  <c r="AV42" i="6"/>
  <c r="AV43" i="6" s="1"/>
  <c r="BK9" i="11"/>
  <c r="BK40" i="10"/>
  <c r="BK41" i="10" s="1"/>
  <c r="BK42" i="6"/>
  <c r="BK43" i="6" s="1"/>
  <c r="BK41" i="6"/>
  <c r="BN42" i="10"/>
  <c r="AM9" i="11"/>
  <c r="AM40" i="10"/>
  <c r="AM41" i="10" s="1"/>
  <c r="AM41" i="6"/>
  <c r="AM42" i="6"/>
  <c r="AM43" i="6" s="1"/>
  <c r="BM9" i="11"/>
  <c r="BM40" i="10"/>
  <c r="BM41" i="10" s="1"/>
  <c r="BM41" i="6"/>
  <c r="BM42" i="6"/>
  <c r="BM43" i="6" s="1"/>
  <c r="CE9" i="11"/>
  <c r="CE40" i="10"/>
  <c r="CE41" i="10" s="1"/>
  <c r="CE42" i="6"/>
  <c r="CE43" i="6" s="1"/>
  <c r="CE41" i="6"/>
  <c r="B41" i="6"/>
  <c r="B42" i="6"/>
  <c r="B39" i="6"/>
  <c r="AX33" i="10"/>
  <c r="AX31" i="10"/>
  <c r="BV9" i="11"/>
  <c r="BV40" i="10"/>
  <c r="BV41" i="10" s="1"/>
  <c r="BV42" i="6"/>
  <c r="BV43" i="6" s="1"/>
  <c r="BV41" i="6"/>
  <c r="Y29" i="10"/>
  <c r="CA31" i="10"/>
  <c r="CA33" i="10"/>
  <c r="Z33" i="10"/>
  <c r="Z31" i="10"/>
  <c r="BI9" i="11"/>
  <c r="BI40" i="10"/>
  <c r="BI41" i="10" s="1"/>
  <c r="BI42" i="6"/>
  <c r="BI43" i="6" s="1"/>
  <c r="BI41" i="6"/>
  <c r="AK9" i="11"/>
  <c r="AK40" i="10"/>
  <c r="AK41" i="10" s="1"/>
  <c r="AK41" i="6"/>
  <c r="AK42" i="6"/>
  <c r="AK43" i="6" s="1"/>
  <c r="CG33" i="10"/>
  <c r="CG31" i="10"/>
  <c r="D39" i="6"/>
  <c r="D41" i="6"/>
  <c r="D42" i="6"/>
  <c r="C42" i="6"/>
  <c r="C39" i="6"/>
  <c r="C41" i="6"/>
  <c r="AI29" i="10"/>
  <c r="BX29" i="10"/>
  <c r="K29" i="10"/>
  <c r="BH33" i="10"/>
  <c r="BH31" i="10"/>
  <c r="BN29" i="10"/>
  <c r="BA31" i="10"/>
  <c r="BA33" i="10"/>
  <c r="AQ9" i="11"/>
  <c r="AQ40" i="10"/>
  <c r="AQ41" i="10" s="1"/>
  <c r="AQ42" i="6"/>
  <c r="AQ43" i="6" s="1"/>
  <c r="AQ41" i="6"/>
  <c r="BS40" i="10"/>
  <c r="BS41" i="10" s="1"/>
  <c r="BS9" i="11"/>
  <c r="BS42" i="6"/>
  <c r="BS43" i="6" s="1"/>
  <c r="BS41" i="6"/>
  <c r="BK31" i="10"/>
  <c r="BK33" i="10"/>
  <c r="R9" i="11"/>
  <c r="R40" i="10"/>
  <c r="R41" i="10" s="1"/>
  <c r="R41" i="6"/>
  <c r="R42" i="6"/>
  <c r="J33" i="10"/>
  <c r="J31" i="10"/>
  <c r="AM31" i="10"/>
  <c r="AM33" i="10"/>
  <c r="AA9" i="11"/>
  <c r="AA40" i="10"/>
  <c r="AA41" i="10" s="1"/>
  <c r="AA42" i="6"/>
  <c r="AA41" i="6"/>
  <c r="BD31" i="10"/>
  <c r="BD33" i="10"/>
  <c r="CE33" i="10"/>
  <c r="CE31" i="10"/>
  <c r="X29" i="10"/>
  <c r="AB9" i="11"/>
  <c r="AB40" i="10"/>
  <c r="AB41" i="10" s="1"/>
  <c r="AB41" i="6"/>
  <c r="AB42" i="6"/>
  <c r="T9" i="11"/>
  <c r="T40" i="10"/>
  <c r="T41" i="10" s="1"/>
  <c r="T41" i="6"/>
  <c r="T42" i="6"/>
  <c r="AF9" i="11"/>
  <c r="AF40" i="10"/>
  <c r="AF41" i="10" s="1"/>
  <c r="AF41" i="6"/>
  <c r="AF42" i="6"/>
  <c r="AF43" i="6" s="1"/>
  <c r="BW9" i="11"/>
  <c r="BW40" i="10"/>
  <c r="BW41" i="10" s="1"/>
  <c r="BW42" i="6"/>
  <c r="BW43" i="6" s="1"/>
  <c r="BW41" i="6"/>
  <c r="BI31" i="10"/>
  <c r="BI33" i="10"/>
  <c r="AK33" i="10"/>
  <c r="AK31" i="10"/>
  <c r="AW9" i="11"/>
  <c r="AW40" i="10"/>
  <c r="AW41" i="10" s="1"/>
  <c r="AW41" i="6"/>
  <c r="AW42" i="6"/>
  <c r="AW43" i="6" s="1"/>
  <c r="AO31" i="10"/>
  <c r="AO33" i="10"/>
  <c r="CC9" i="11"/>
  <c r="CC40" i="10"/>
  <c r="CC41" i="10" s="1"/>
  <c r="CC41" i="6"/>
  <c r="CC42" i="6"/>
  <c r="CC43" i="6" s="1"/>
  <c r="CJ9" i="11"/>
  <c r="CJ40" i="10"/>
  <c r="CJ41" i="10" s="1"/>
  <c r="CJ42" i="6"/>
  <c r="CJ43" i="6" s="1"/>
  <c r="CJ41" i="6"/>
  <c r="W40" i="10"/>
  <c r="W41" i="10" s="1"/>
  <c r="W9" i="11"/>
  <c r="W41" i="6"/>
  <c r="W42" i="6"/>
  <c r="BJ7" i="11"/>
  <c r="BJ10" i="11"/>
  <c r="BJ8" i="11"/>
  <c r="BJ9" i="9"/>
  <c r="BJ10" i="8"/>
  <c r="U7" i="11"/>
  <c r="U10" i="11"/>
  <c r="U8" i="11"/>
  <c r="U9" i="9"/>
  <c r="U45" i="9" s="1"/>
  <c r="U10" i="8"/>
  <c r="CB10" i="11"/>
  <c r="CB8" i="11"/>
  <c r="CB7" i="11"/>
  <c r="CB9" i="9"/>
  <c r="AF10" i="11"/>
  <c r="AF8" i="11"/>
  <c r="AF7" i="11"/>
  <c r="AF9" i="9"/>
  <c r="AF10" i="8"/>
  <c r="AQ10" i="11"/>
  <c r="AQ8" i="11"/>
  <c r="AQ7" i="11"/>
  <c r="AQ9" i="9"/>
  <c r="AQ10" i="8"/>
  <c r="BE10" i="11"/>
  <c r="BE8" i="11"/>
  <c r="BE7" i="11"/>
  <c r="BE9" i="9"/>
  <c r="BE10" i="8"/>
  <c r="S10" i="11"/>
  <c r="S8" i="11"/>
  <c r="S9" i="9"/>
  <c r="S45" i="9" s="1"/>
  <c r="S7" i="11"/>
  <c r="S10" i="8"/>
  <c r="M7" i="11"/>
  <c r="M10" i="11"/>
  <c r="M9" i="9"/>
  <c r="M8" i="11"/>
  <c r="M10" i="8"/>
  <c r="CG7" i="11"/>
  <c r="CG10" i="11"/>
  <c r="CG8" i="11"/>
  <c r="CG9" i="9"/>
  <c r="BX7" i="11"/>
  <c r="BX10" i="11"/>
  <c r="BX8" i="11"/>
  <c r="BX9" i="9"/>
  <c r="N10" i="11"/>
  <c r="N8" i="11"/>
  <c r="N7" i="11"/>
  <c r="N9" i="9"/>
  <c r="N10" i="8"/>
  <c r="AO10" i="11"/>
  <c r="AO8" i="11"/>
  <c r="AO7" i="11"/>
  <c r="AO9" i="9"/>
  <c r="AO10" i="8"/>
  <c r="F10" i="11"/>
  <c r="F8" i="11"/>
  <c r="F9" i="9"/>
  <c r="F7" i="11"/>
  <c r="F10" i="8"/>
  <c r="L7" i="11"/>
  <c r="L10" i="11"/>
  <c r="L8" i="11"/>
  <c r="L9" i="9"/>
  <c r="L10" i="8"/>
  <c r="CD10" i="11"/>
  <c r="CD8" i="11"/>
  <c r="CD7" i="11"/>
  <c r="CD9" i="9"/>
  <c r="BO10" i="11"/>
  <c r="BO8" i="11"/>
  <c r="BO7" i="11"/>
  <c r="BO9" i="9"/>
  <c r="BO10" i="8"/>
  <c r="AC7" i="11"/>
  <c r="AC10" i="11"/>
  <c r="AC8" i="11"/>
  <c r="AC9" i="9"/>
  <c r="AC10" i="8"/>
  <c r="AZ7" i="11"/>
  <c r="AZ10" i="11"/>
  <c r="AZ11" i="11" s="1"/>
  <c r="AZ8" i="11"/>
  <c r="AZ9" i="9"/>
  <c r="AZ10" i="8"/>
  <c r="CC10" i="11"/>
  <c r="CC8" i="11"/>
  <c r="CC7" i="11"/>
  <c r="CC9" i="9"/>
  <c r="AH10" i="11"/>
  <c r="AH8" i="11"/>
  <c r="AH7" i="11"/>
  <c r="AH9" i="9"/>
  <c r="AH10" i="8"/>
  <c r="AJ7" i="11"/>
  <c r="AJ10" i="11"/>
  <c r="AJ8" i="11"/>
  <c r="AJ9" i="9"/>
  <c r="AJ10" i="8"/>
  <c r="CJ10" i="11"/>
  <c r="CJ8" i="11"/>
  <c r="CJ7" i="11"/>
  <c r="CJ9" i="9"/>
  <c r="AN10" i="11"/>
  <c r="AN8" i="11"/>
  <c r="AN7" i="11"/>
  <c r="AN9" i="9"/>
  <c r="AN10" i="8"/>
  <c r="I10" i="11"/>
  <c r="I8" i="11"/>
  <c r="I7" i="11"/>
  <c r="I9" i="9"/>
  <c r="I10" i="8"/>
  <c r="BS10" i="11"/>
  <c r="BS7" i="11"/>
  <c r="BS9" i="9"/>
  <c r="BS8" i="11"/>
  <c r="BS10" i="8"/>
  <c r="AG10" i="11"/>
  <c r="AG8" i="11"/>
  <c r="AG7" i="11"/>
  <c r="AG9" i="9"/>
  <c r="AG10" i="8"/>
  <c r="V7" i="11"/>
  <c r="V10" i="11"/>
  <c r="V8" i="11"/>
  <c r="V9" i="9"/>
  <c r="V10" i="8"/>
  <c r="AB7" i="11"/>
  <c r="AB10" i="11"/>
  <c r="AB8" i="11"/>
  <c r="AB9" i="9"/>
  <c r="AB10" i="8"/>
  <c r="AU10" i="11"/>
  <c r="AU7" i="11"/>
  <c r="AU9" i="9"/>
  <c r="AU8" i="11"/>
  <c r="AU10" i="8"/>
  <c r="BR7" i="11"/>
  <c r="BR10" i="11"/>
  <c r="BR8" i="11"/>
  <c r="BR9" i="9"/>
  <c r="BR10" i="8"/>
  <c r="AK7" i="11"/>
  <c r="AK10" i="11"/>
  <c r="AK9" i="9"/>
  <c r="AK8" i="11"/>
  <c r="AK10" i="8"/>
  <c r="AR7" i="11"/>
  <c r="AR10" i="11"/>
  <c r="AR8" i="11"/>
  <c r="AR9" i="9"/>
  <c r="AR10" i="8"/>
  <c r="BF10" i="11"/>
  <c r="BF8" i="11"/>
  <c r="BF7" i="11"/>
  <c r="BF9" i="9"/>
  <c r="BF10" i="8"/>
  <c r="AT7" i="11"/>
  <c r="AT10" i="11"/>
  <c r="AT8" i="11"/>
  <c r="AT9" i="9"/>
  <c r="AT10" i="8"/>
  <c r="AM10" i="11"/>
  <c r="AM7" i="11"/>
  <c r="AM9" i="9"/>
  <c r="AM8" i="11"/>
  <c r="AM10" i="8"/>
  <c r="AD7" i="11"/>
  <c r="AD10" i="11"/>
  <c r="AD8" i="11"/>
  <c r="AD9" i="9"/>
  <c r="AD10" i="8"/>
  <c r="BY7" i="11"/>
  <c r="BY10" i="11"/>
  <c r="BY9" i="9"/>
  <c r="BY8" i="11"/>
  <c r="AP10" i="11"/>
  <c r="AP8" i="11"/>
  <c r="AP7" i="11"/>
  <c r="AP9" i="9"/>
  <c r="AP10" i="8"/>
  <c r="W7" i="11"/>
  <c r="W9" i="9"/>
  <c r="W8" i="11"/>
  <c r="W10" i="11"/>
  <c r="W10" i="8"/>
  <c r="AW10" i="11"/>
  <c r="AW8" i="11"/>
  <c r="AW7" i="11"/>
  <c r="AW9" i="9"/>
  <c r="AW10" i="8"/>
  <c r="BH7" i="11"/>
  <c r="BH10" i="11"/>
  <c r="BH8" i="11"/>
  <c r="BH9" i="9"/>
  <c r="BH10" i="8"/>
  <c r="AL7" i="11"/>
  <c r="AL10" i="11"/>
  <c r="AL8" i="11"/>
  <c r="AL9" i="9"/>
  <c r="AL10" i="8"/>
  <c r="X10" i="11"/>
  <c r="X8" i="11"/>
  <c r="X7" i="11"/>
  <c r="X9" i="9"/>
  <c r="X10" i="8"/>
  <c r="Z10" i="11"/>
  <c r="Z8" i="11"/>
  <c r="Z7" i="11"/>
  <c r="Z9" i="9"/>
  <c r="Z10" i="8"/>
  <c r="BD10" i="11"/>
  <c r="BD8" i="11"/>
  <c r="BD7" i="11"/>
  <c r="BD9" i="9"/>
  <c r="BD10" i="8"/>
  <c r="AV10" i="11"/>
  <c r="AV8" i="11"/>
  <c r="AV7" i="11"/>
  <c r="AV9" i="9"/>
  <c r="AV10" i="8"/>
  <c r="BG10" i="11"/>
  <c r="BG8" i="11"/>
  <c r="BG9" i="9"/>
  <c r="BG7" i="11"/>
  <c r="BG10" i="8"/>
  <c r="J10" i="11"/>
  <c r="J8" i="11"/>
  <c r="J7" i="11"/>
  <c r="J9" i="9"/>
  <c r="J10" i="8"/>
  <c r="Q10" i="11"/>
  <c r="Q8" i="11"/>
  <c r="Q7" i="11"/>
  <c r="Q9" i="9"/>
  <c r="Q10" i="8"/>
  <c r="AX10" i="11"/>
  <c r="AX8" i="11"/>
  <c r="AX7" i="11"/>
  <c r="AX9" i="9"/>
  <c r="AX10" i="8"/>
  <c r="H10" i="11"/>
  <c r="H8" i="11"/>
  <c r="H7" i="11"/>
  <c r="H9" i="9"/>
  <c r="H10" i="8"/>
  <c r="E7" i="11"/>
  <c r="E10" i="11"/>
  <c r="E9" i="9"/>
  <c r="E8" i="11"/>
  <c r="E10" i="8"/>
  <c r="BL10" i="11"/>
  <c r="BL8" i="11"/>
  <c r="BL7" i="11"/>
  <c r="BL9" i="9"/>
  <c r="BL10" i="8"/>
  <c r="BI7" i="11"/>
  <c r="BI10" i="11"/>
  <c r="BI8" i="11"/>
  <c r="BI9" i="9"/>
  <c r="BI10" i="8"/>
  <c r="CF7" i="11"/>
  <c r="CF10" i="11"/>
  <c r="CF8" i="11"/>
  <c r="CF9" i="9"/>
  <c r="BA7" i="11"/>
  <c r="BA10" i="11"/>
  <c r="BA8" i="11"/>
  <c r="BA9" i="9"/>
  <c r="BA10" i="8"/>
  <c r="BZ7" i="11"/>
  <c r="BZ10" i="11"/>
  <c r="BZ11" i="11" s="1"/>
  <c r="BZ8" i="11"/>
  <c r="BZ9" i="9"/>
  <c r="BN10" i="11"/>
  <c r="BN8" i="11"/>
  <c r="BN7" i="11"/>
  <c r="BN9" i="9"/>
  <c r="BN10" i="8"/>
  <c r="AA10" i="11"/>
  <c r="AA8" i="11"/>
  <c r="AA9" i="9"/>
  <c r="AA7" i="11"/>
  <c r="AA10" i="8"/>
  <c r="K10" i="11"/>
  <c r="K8" i="11"/>
  <c r="K7" i="11"/>
  <c r="K9" i="9"/>
  <c r="K10" i="8"/>
  <c r="BQ7" i="11"/>
  <c r="BQ10" i="11"/>
  <c r="BQ9" i="9"/>
  <c r="BQ8" i="11"/>
  <c r="BQ10" i="8"/>
  <c r="Y10" i="11"/>
  <c r="Y8" i="11"/>
  <c r="Y7" i="11"/>
  <c r="Y9" i="9"/>
  <c r="Y10" i="8"/>
  <c r="T7" i="11"/>
  <c r="T10" i="11"/>
  <c r="T8" i="11"/>
  <c r="T9" i="9"/>
  <c r="T45" i="9" s="1"/>
  <c r="T10" i="8"/>
  <c r="AE7" i="11"/>
  <c r="AE9" i="9"/>
  <c r="AE10" i="11"/>
  <c r="AE8" i="11"/>
  <c r="AE10" i="8"/>
  <c r="BK10" i="11"/>
  <c r="BK7" i="11"/>
  <c r="BK9" i="9"/>
  <c r="BK8" i="11"/>
  <c r="BK10" i="8"/>
  <c r="BV10" i="11"/>
  <c r="BV8" i="11"/>
  <c r="BV7" i="11"/>
  <c r="BV9" i="9"/>
  <c r="BB7" i="11"/>
  <c r="BB10" i="11"/>
  <c r="BB8" i="11"/>
  <c r="BB9" i="9"/>
  <c r="BB10" i="8"/>
  <c r="R10" i="11"/>
  <c r="R8" i="11"/>
  <c r="R7" i="11"/>
  <c r="R9" i="9"/>
  <c r="R45" i="9" s="1"/>
  <c r="R10" i="8"/>
  <c r="G9" i="9"/>
  <c r="G10" i="11"/>
  <c r="G7" i="11"/>
  <c r="G8" i="11"/>
  <c r="G10" i="8"/>
  <c r="BC10" i="11"/>
  <c r="BC7" i="11"/>
  <c r="BC9" i="9"/>
  <c r="BC8" i="11"/>
  <c r="BC10" i="8"/>
  <c r="CA10" i="11"/>
  <c r="CA7" i="11"/>
  <c r="CA9" i="9"/>
  <c r="CA8" i="11"/>
  <c r="AY10" i="11"/>
  <c r="AY8" i="11"/>
  <c r="AY9" i="9"/>
  <c r="AY7" i="11"/>
  <c r="AY10" i="8"/>
  <c r="BM10" i="11"/>
  <c r="BM8" i="11"/>
  <c r="BM7" i="11"/>
  <c r="BM9" i="9"/>
  <c r="BM10" i="8"/>
  <c r="AI10" i="11"/>
  <c r="AI8" i="11"/>
  <c r="AI7" i="11"/>
  <c r="AI9" i="9"/>
  <c r="AI10" i="8"/>
  <c r="CI10" i="11"/>
  <c r="CI7" i="11"/>
  <c r="CI9" i="9"/>
  <c r="CI8" i="11"/>
  <c r="O7" i="11"/>
  <c r="O9" i="9"/>
  <c r="O45" i="9" s="1"/>
  <c r="O10" i="11"/>
  <c r="O8" i="11"/>
  <c r="O10" i="8"/>
  <c r="CH7" i="11"/>
  <c r="CH10" i="11"/>
  <c r="CH11" i="11" s="1"/>
  <c r="CH8" i="11"/>
  <c r="CH9" i="9"/>
  <c r="AS7" i="11"/>
  <c r="AS10" i="11"/>
  <c r="AS9" i="9"/>
  <c r="AS8" i="11"/>
  <c r="AS10" i="8"/>
  <c r="CE10" i="11"/>
  <c r="CE8" i="11"/>
  <c r="CE9" i="9"/>
  <c r="CE7" i="11"/>
  <c r="BW10" i="11"/>
  <c r="BW8" i="11"/>
  <c r="BW7" i="11"/>
  <c r="BW9" i="9"/>
  <c r="BP7" i="11"/>
  <c r="BP10" i="11"/>
  <c r="BP8" i="11"/>
  <c r="BP9" i="9"/>
  <c r="BP10" i="8"/>
  <c r="P10" i="11"/>
  <c r="P8" i="11"/>
  <c r="P7" i="11"/>
  <c r="P9" i="9"/>
  <c r="P10" i="8"/>
  <c r="BU10" i="11"/>
  <c r="BU8" i="11"/>
  <c r="BU7" i="11"/>
  <c r="BU9" i="9"/>
  <c r="BU10" i="8"/>
  <c r="BT10" i="11"/>
  <c r="BT8" i="11"/>
  <c r="BT7" i="11"/>
  <c r="BT9" i="9"/>
  <c r="BT10" i="8"/>
  <c r="E19" i="13"/>
  <c r="BR17" i="12" l="1"/>
  <c r="BR18" i="12" s="1"/>
  <c r="BJ16" i="6"/>
  <c r="BJ17" i="6" s="1"/>
  <c r="BJ18" i="6" s="1"/>
  <c r="AT11" i="11"/>
  <c r="BJ36" i="6"/>
  <c r="BJ37" i="6" s="1"/>
  <c r="BU11" i="11"/>
  <c r="CH2" i="11"/>
  <c r="CH4" i="11" s="1"/>
  <c r="CH47" i="6"/>
  <c r="CH47" i="10"/>
  <c r="CH49" i="10" s="1"/>
  <c r="CA11" i="11"/>
  <c r="N36" i="6"/>
  <c r="N37" i="6" s="1"/>
  <c r="N28" i="6"/>
  <c r="N29" i="6" s="1"/>
  <c r="N32" i="11" s="1"/>
  <c r="N44" i="11" s="1"/>
  <c r="CH42" i="10"/>
  <c r="CB11" i="11"/>
  <c r="CE11" i="11"/>
  <c r="BJ11" i="11"/>
  <c r="CH36" i="6"/>
  <c r="CH37" i="6" s="1"/>
  <c r="BJ28" i="6"/>
  <c r="BJ29" i="6" s="1"/>
  <c r="BJ32" i="11" s="1"/>
  <c r="BJ44" i="11" s="1"/>
  <c r="CD42" i="10"/>
  <c r="N16" i="6"/>
  <c r="N17" i="6" s="1"/>
  <c r="N18" i="6" s="1"/>
  <c r="CF11" i="11"/>
  <c r="AT36" i="6"/>
  <c r="AT37" i="6" s="1"/>
  <c r="BJ2" i="11"/>
  <c r="BJ13" i="11" s="1"/>
  <c r="BJ17" i="12"/>
  <c r="BJ18" i="12" s="1"/>
  <c r="AT6" i="8"/>
  <c r="AT7" i="8" s="1"/>
  <c r="CH16" i="6"/>
  <c r="CH17" i="6" s="1"/>
  <c r="CH18" i="6" s="1"/>
  <c r="CG11" i="11"/>
  <c r="CA42" i="10"/>
  <c r="CI11" i="11"/>
  <c r="BB2" i="11"/>
  <c r="BB13" i="11" s="1"/>
  <c r="AT16" i="6"/>
  <c r="AT17" i="6" s="1"/>
  <c r="AT18" i="6" s="1"/>
  <c r="BB17" i="12"/>
  <c r="BB18" i="12" s="1"/>
  <c r="CJ11" i="11"/>
  <c r="V28" i="6"/>
  <c r="V29" i="6" s="1"/>
  <c r="V32" i="11" s="1"/>
  <c r="V44" i="11" s="1"/>
  <c r="AT47" i="6"/>
  <c r="AT5" i="11" s="1"/>
  <c r="BQ42" i="10"/>
  <c r="CK33" i="9"/>
  <c r="CK14" i="9"/>
  <c r="CK28" i="9"/>
  <c r="CK26" i="9"/>
  <c r="N41" i="10"/>
  <c r="AB43" i="6"/>
  <c r="AB48" i="10" s="1"/>
  <c r="AB63" i="10"/>
  <c r="AB64" i="10" s="1"/>
  <c r="AZ42" i="10"/>
  <c r="P43" i="6"/>
  <c r="P48" i="10" s="1"/>
  <c r="P63" i="10"/>
  <c r="P64" i="10" s="1"/>
  <c r="G43" i="6"/>
  <c r="G48" i="10" s="1"/>
  <c r="G63" i="10"/>
  <c r="G64" i="10" s="1"/>
  <c r="M64" i="10"/>
  <c r="U43" i="6"/>
  <c r="U48" i="10" s="1"/>
  <c r="U63" i="10"/>
  <c r="U64" i="10" s="1"/>
  <c r="Y43" i="6"/>
  <c r="Y48" i="10" s="1"/>
  <c r="Y63" i="10"/>
  <c r="Y64" i="10" s="1"/>
  <c r="V43" i="6"/>
  <c r="V48" i="10" s="1"/>
  <c r="V63" i="10"/>
  <c r="V64" i="10" s="1"/>
  <c r="X43" i="6"/>
  <c r="X48" i="10" s="1"/>
  <c r="X63" i="10"/>
  <c r="X64" i="10" s="1"/>
  <c r="AC43" i="6"/>
  <c r="AC48" i="10" s="1"/>
  <c r="AC63" i="10"/>
  <c r="AC64" i="10" s="1"/>
  <c r="Z43" i="6"/>
  <c r="Z48" i="10" s="1"/>
  <c r="Z63" i="10"/>
  <c r="Z64" i="10" s="1"/>
  <c r="Q43" i="6"/>
  <c r="Q48" i="10" s="1"/>
  <c r="Q63" i="10"/>
  <c r="Q64" i="10" s="1"/>
  <c r="N43" i="6"/>
  <c r="N48" i="10" s="1"/>
  <c r="N63" i="10"/>
  <c r="N64" i="10" s="1"/>
  <c r="W43" i="6"/>
  <c r="W48" i="10" s="1"/>
  <c r="W63" i="10"/>
  <c r="W64" i="10" s="1"/>
  <c r="T43" i="6"/>
  <c r="T48" i="10" s="1"/>
  <c r="T63" i="10"/>
  <c r="T64" i="10" s="1"/>
  <c r="E64" i="10"/>
  <c r="R43" i="6"/>
  <c r="R48" i="10" s="1"/>
  <c r="R63" i="10"/>
  <c r="R64" i="10" s="1"/>
  <c r="J43" i="6"/>
  <c r="J48" i="10" s="1"/>
  <c r="J63" i="10"/>
  <c r="J64" i="10" s="1"/>
  <c r="H43" i="6"/>
  <c r="H48" i="10" s="1"/>
  <c r="H63" i="10"/>
  <c r="H64" i="10" s="1"/>
  <c r="AA43" i="6"/>
  <c r="AA48" i="10" s="1"/>
  <c r="AA63" i="10"/>
  <c r="AA64" i="10" s="1"/>
  <c r="K43" i="6"/>
  <c r="K48" i="10" s="1"/>
  <c r="K63" i="10"/>
  <c r="K64" i="10" s="1"/>
  <c r="S43" i="6"/>
  <c r="S48" i="10" s="1"/>
  <c r="S63" i="10"/>
  <c r="S64" i="10" s="1"/>
  <c r="I64" i="10"/>
  <c r="L43" i="6"/>
  <c r="L48" i="10" s="1"/>
  <c r="L63" i="10"/>
  <c r="L64" i="10" s="1"/>
  <c r="O43" i="6"/>
  <c r="O48" i="10" s="1"/>
  <c r="O63" i="10"/>
  <c r="O64" i="10" s="1"/>
  <c r="F43" i="6"/>
  <c r="F48" i="10" s="1"/>
  <c r="F63" i="10"/>
  <c r="F64" i="10" s="1"/>
  <c r="Q46" i="9"/>
  <c r="Q43" i="9"/>
  <c r="Q58" i="9"/>
  <c r="Q60" i="9"/>
  <c r="Q57" i="9"/>
  <c r="Q40" i="9"/>
  <c r="Q42" i="9"/>
  <c r="Q61" i="9"/>
  <c r="Q44" i="9"/>
  <c r="Q39" i="9"/>
  <c r="Q55" i="9"/>
  <c r="Q56" i="9"/>
  <c r="Q41" i="9"/>
  <c r="M57" i="9"/>
  <c r="M60" i="9"/>
  <c r="M58" i="9"/>
  <c r="M55" i="9"/>
  <c r="M61" i="9"/>
  <c r="M56" i="9"/>
  <c r="F57" i="9"/>
  <c r="F60" i="9"/>
  <c r="F58" i="9"/>
  <c r="F61" i="9"/>
  <c r="F55" i="9"/>
  <c r="F56" i="9"/>
  <c r="E57" i="9"/>
  <c r="E60" i="9"/>
  <c r="E58" i="9"/>
  <c r="E55" i="9"/>
  <c r="E61" i="9"/>
  <c r="E56" i="9"/>
  <c r="N46" i="9"/>
  <c r="N42" i="9"/>
  <c r="N40" i="9"/>
  <c r="N57" i="9"/>
  <c r="N60" i="9"/>
  <c r="N43" i="9"/>
  <c r="N58" i="9"/>
  <c r="N39" i="9"/>
  <c r="N55" i="9"/>
  <c r="N44" i="9"/>
  <c r="N61" i="9"/>
  <c r="N41" i="9"/>
  <c r="N56" i="9"/>
  <c r="O46" i="9"/>
  <c r="O57" i="9"/>
  <c r="O58" i="9"/>
  <c r="O40" i="9"/>
  <c r="O43" i="9"/>
  <c r="O60" i="9"/>
  <c r="O42" i="9"/>
  <c r="O61" i="9"/>
  <c r="O44" i="9"/>
  <c r="O39" i="9"/>
  <c r="O55" i="9"/>
  <c r="O56" i="9"/>
  <c r="O41" i="9"/>
  <c r="L57" i="9"/>
  <c r="L60" i="9"/>
  <c r="L58" i="9"/>
  <c r="L61" i="9"/>
  <c r="L55" i="9"/>
  <c r="L56" i="9"/>
  <c r="Q45" i="9"/>
  <c r="I58" i="9"/>
  <c r="I60" i="9"/>
  <c r="I57" i="9"/>
  <c r="I61" i="9"/>
  <c r="I55" i="9"/>
  <c r="I56" i="9"/>
  <c r="U46" i="9"/>
  <c r="U58" i="9"/>
  <c r="U42" i="9"/>
  <c r="U57" i="9"/>
  <c r="U40" i="9"/>
  <c r="U60" i="9"/>
  <c r="U43" i="9"/>
  <c r="U61" i="9"/>
  <c r="U39" i="9"/>
  <c r="U55" i="9"/>
  <c r="U44" i="9"/>
  <c r="U41" i="9"/>
  <c r="U56" i="9"/>
  <c r="N45" i="9"/>
  <c r="G58" i="9"/>
  <c r="G60" i="9"/>
  <c r="G57" i="9"/>
  <c r="G55" i="9"/>
  <c r="G61" i="9"/>
  <c r="G56" i="9"/>
  <c r="J57" i="9"/>
  <c r="J60" i="9"/>
  <c r="J58" i="9"/>
  <c r="J61" i="9"/>
  <c r="J55" i="9"/>
  <c r="J56" i="9"/>
  <c r="S46" i="9"/>
  <c r="S57" i="9"/>
  <c r="S40" i="9"/>
  <c r="S42" i="9"/>
  <c r="S58" i="9"/>
  <c r="S43" i="9"/>
  <c r="S60" i="9"/>
  <c r="S55" i="9"/>
  <c r="S39" i="9"/>
  <c r="S44" i="9"/>
  <c r="S61" i="9"/>
  <c r="S41" i="9"/>
  <c r="S56" i="9"/>
  <c r="P46" i="9"/>
  <c r="P42" i="9"/>
  <c r="P57" i="9"/>
  <c r="P43" i="9"/>
  <c r="P58" i="9"/>
  <c r="P40" i="9"/>
  <c r="P60" i="9"/>
  <c r="P55" i="9"/>
  <c r="P61" i="9"/>
  <c r="P44" i="9"/>
  <c r="P39" i="9"/>
  <c r="P41" i="9"/>
  <c r="P56" i="9"/>
  <c r="K58" i="9"/>
  <c r="K60" i="9"/>
  <c r="K57" i="9"/>
  <c r="K61" i="9"/>
  <c r="K55" i="9"/>
  <c r="K56" i="9"/>
  <c r="H45" i="9"/>
  <c r="H57" i="9"/>
  <c r="H58" i="9"/>
  <c r="H60" i="9"/>
  <c r="H55" i="9"/>
  <c r="H61" i="9"/>
  <c r="H56" i="9"/>
  <c r="R46" i="9"/>
  <c r="R42" i="9"/>
  <c r="R57" i="9"/>
  <c r="R40" i="9"/>
  <c r="R60" i="9"/>
  <c r="R43" i="9"/>
  <c r="R58" i="9"/>
  <c r="R61" i="9"/>
  <c r="R39" i="9"/>
  <c r="R44" i="9"/>
  <c r="R55" i="9"/>
  <c r="R56" i="9"/>
  <c r="R41" i="9"/>
  <c r="T46" i="9"/>
  <c r="T43" i="9"/>
  <c r="T58" i="9"/>
  <c r="T42" i="9"/>
  <c r="T57" i="9"/>
  <c r="T40" i="9"/>
  <c r="T60" i="9"/>
  <c r="T39" i="9"/>
  <c r="T55" i="9"/>
  <c r="T44" i="9"/>
  <c r="T61" i="9"/>
  <c r="T56" i="9"/>
  <c r="T41" i="9"/>
  <c r="P45" i="9"/>
  <c r="AT42" i="10"/>
  <c r="AT47" i="10"/>
  <c r="AT2" i="11"/>
  <c r="AT12" i="11" s="1"/>
  <c r="AT14" i="11" s="1"/>
  <c r="BB41" i="10"/>
  <c r="BR16" i="6"/>
  <c r="BR17" i="6" s="1"/>
  <c r="BR18" i="6" s="1"/>
  <c r="N47" i="6"/>
  <c r="N5" i="11" s="1"/>
  <c r="BR28" i="6"/>
  <c r="BR29" i="6" s="1"/>
  <c r="BR32" i="11" s="1"/>
  <c r="BR44" i="11" s="1"/>
  <c r="BN11" i="11"/>
  <c r="N47" i="10"/>
  <c r="BB47" i="6"/>
  <c r="BB5" i="11" s="1"/>
  <c r="N2" i="11"/>
  <c r="N12" i="11" s="1"/>
  <c r="N14" i="11" s="1"/>
  <c r="BP11" i="11"/>
  <c r="AL11" i="11"/>
  <c r="N11" i="11"/>
  <c r="N17" i="12"/>
  <c r="N18" i="12" s="1"/>
  <c r="BB47" i="10"/>
  <c r="BL42" i="10"/>
  <c r="AL42" i="10"/>
  <c r="BO11" i="11"/>
  <c r="BR47" i="6"/>
  <c r="BR50" i="10" s="1"/>
  <c r="BB11" i="11"/>
  <c r="AD36" i="6"/>
  <c r="AD37" i="6" s="1"/>
  <c r="BJ47" i="6"/>
  <c r="BJ5" i="11" s="1"/>
  <c r="AD6" i="8"/>
  <c r="AD7" i="8" s="1"/>
  <c r="BY11" i="11"/>
  <c r="BB16" i="6"/>
  <c r="BB17" i="6" s="1"/>
  <c r="BB18" i="6" s="1"/>
  <c r="BJ42" i="10"/>
  <c r="BL11" i="11"/>
  <c r="AL16" i="6"/>
  <c r="AL17" i="6" s="1"/>
  <c r="AL18" i="6" s="1"/>
  <c r="AT17" i="12"/>
  <c r="AT18" i="12" s="1"/>
  <c r="BR47" i="10"/>
  <c r="BR11" i="11"/>
  <c r="BX11" i="11"/>
  <c r="AL28" i="6"/>
  <c r="AL29" i="6" s="1"/>
  <c r="AL32" i="11" s="1"/>
  <c r="AL44" i="11" s="1"/>
  <c r="BR2" i="11"/>
  <c r="BR13" i="11" s="1"/>
  <c r="BJ47" i="10"/>
  <c r="BR6" i="8"/>
  <c r="BR7" i="8" s="1"/>
  <c r="BB28" i="6"/>
  <c r="BB29" i="6" s="1"/>
  <c r="BB32" i="11" s="1"/>
  <c r="BB44" i="11" s="1"/>
  <c r="BB6" i="8"/>
  <c r="BB7" i="8" s="1"/>
  <c r="BU42" i="10"/>
  <c r="BT11" i="11"/>
  <c r="BW11" i="11"/>
  <c r="AN42" i="10"/>
  <c r="BR41" i="10"/>
  <c r="BR42" i="10"/>
  <c r="BM11" i="11"/>
  <c r="BS11" i="11"/>
  <c r="BD42" i="10"/>
  <c r="AL6" i="8"/>
  <c r="AL7" i="8" s="1"/>
  <c r="BC42" i="10"/>
  <c r="AW11" i="11"/>
  <c r="BE11" i="11"/>
  <c r="BO42" i="10"/>
  <c r="CG42" i="10"/>
  <c r="AI11" i="11"/>
  <c r="AU11" i="11"/>
  <c r="BG42" i="10"/>
  <c r="AL2" i="11"/>
  <c r="AL4" i="11" s="1"/>
  <c r="AY11" i="11"/>
  <c r="AD47" i="6"/>
  <c r="AD5" i="11" s="1"/>
  <c r="AL17" i="12"/>
  <c r="AL18" i="12" s="1"/>
  <c r="AP42" i="10"/>
  <c r="AD47" i="10"/>
  <c r="AD11" i="11"/>
  <c r="BF11" i="11"/>
  <c r="AX42" i="10"/>
  <c r="AD2" i="11"/>
  <c r="AD12" i="11" s="1"/>
  <c r="AD14" i="11" s="1"/>
  <c r="AD17" i="12"/>
  <c r="AD18" i="12" s="1"/>
  <c r="AL47" i="6"/>
  <c r="AL5" i="11" s="1"/>
  <c r="AL47" i="10"/>
  <c r="AM11" i="11"/>
  <c r="AD16" i="6"/>
  <c r="AD17" i="6" s="1"/>
  <c r="AD18" i="6" s="1"/>
  <c r="BC11" i="11"/>
  <c r="F47" i="6"/>
  <c r="F5" i="11" s="1"/>
  <c r="Z42" i="10"/>
  <c r="V42" i="10"/>
  <c r="AV11" i="11"/>
  <c r="AH11" i="11"/>
  <c r="F47" i="10"/>
  <c r="AX11" i="11"/>
  <c r="BA42" i="10"/>
  <c r="BD11" i="11"/>
  <c r="V11" i="11"/>
  <c r="AY42" i="10"/>
  <c r="BH42" i="10"/>
  <c r="AR42" i="10"/>
  <c r="V36" i="6"/>
  <c r="V37" i="6" s="1"/>
  <c r="V6" i="8"/>
  <c r="V7" i="8" s="1"/>
  <c r="BH11" i="11"/>
  <c r="BA11" i="11"/>
  <c r="L11" i="11"/>
  <c r="F2" i="11"/>
  <c r="F13" i="11" s="1"/>
  <c r="F17" i="12"/>
  <c r="F18" i="12" s="1"/>
  <c r="V47" i="10"/>
  <c r="V17" i="12"/>
  <c r="V18" i="12" s="1"/>
  <c r="BI11" i="11"/>
  <c r="CD11" i="11"/>
  <c r="BF42" i="10"/>
  <c r="V47" i="6"/>
  <c r="V50" i="10" s="1"/>
  <c r="CF42" i="10"/>
  <c r="AN11" i="11"/>
  <c r="BY42" i="10"/>
  <c r="V2" i="11"/>
  <c r="V13" i="11" s="1"/>
  <c r="BP42" i="10"/>
  <c r="BV11" i="11"/>
  <c r="BG11" i="11"/>
  <c r="X42" i="10"/>
  <c r="BX42" i="10"/>
  <c r="BQ11" i="11"/>
  <c r="CC11" i="11"/>
  <c r="CI42" i="10"/>
  <c r="AD42" i="10"/>
  <c r="BK11" i="11"/>
  <c r="AV42" i="10"/>
  <c r="CB42" i="10"/>
  <c r="AA11" i="11"/>
  <c r="F42" i="10"/>
  <c r="F11" i="11"/>
  <c r="F28" i="6"/>
  <c r="F29" i="6" s="1"/>
  <c r="F32" i="11" s="1"/>
  <c r="F44" i="11" s="1"/>
  <c r="G11" i="11"/>
  <c r="O11" i="11"/>
  <c r="F16" i="6"/>
  <c r="F17" i="6" s="1"/>
  <c r="F18" i="6" s="1"/>
  <c r="F36" i="6"/>
  <c r="F37" i="6" s="1"/>
  <c r="S42" i="10"/>
  <c r="J11" i="11"/>
  <c r="I46" i="9"/>
  <c r="I40" i="9"/>
  <c r="I42" i="9"/>
  <c r="I43" i="9"/>
  <c r="I39" i="9"/>
  <c r="I44" i="9"/>
  <c r="I41" i="9"/>
  <c r="G46" i="9"/>
  <c r="G42" i="9"/>
  <c r="G43" i="9"/>
  <c r="G40" i="9"/>
  <c r="G44" i="9"/>
  <c r="G39" i="9"/>
  <c r="G41" i="9"/>
  <c r="J46" i="9"/>
  <c r="J42" i="9"/>
  <c r="J43" i="9"/>
  <c r="J40" i="9"/>
  <c r="J39" i="9"/>
  <c r="J44" i="9"/>
  <c r="J41" i="9"/>
  <c r="I45" i="9"/>
  <c r="K46" i="9"/>
  <c r="K42" i="9"/>
  <c r="K43" i="9"/>
  <c r="K40" i="9"/>
  <c r="K39" i="9"/>
  <c r="K44" i="9"/>
  <c r="K41" i="9"/>
  <c r="H46" i="9"/>
  <c r="H42" i="9"/>
  <c r="H43" i="9"/>
  <c r="H40" i="9"/>
  <c r="H44" i="9"/>
  <c r="H39" i="9"/>
  <c r="H41" i="9"/>
  <c r="K45" i="9"/>
  <c r="J45" i="9"/>
  <c r="M46" i="9"/>
  <c r="M43" i="9"/>
  <c r="M40" i="9"/>
  <c r="M42" i="9"/>
  <c r="M44" i="9"/>
  <c r="M39" i="9"/>
  <c r="M41" i="9"/>
  <c r="M45" i="9"/>
  <c r="F46" i="9"/>
  <c r="F40" i="9"/>
  <c r="F42" i="9"/>
  <c r="F43" i="9"/>
  <c r="F44" i="9"/>
  <c r="F39" i="9"/>
  <c r="F41" i="9"/>
  <c r="G45" i="9"/>
  <c r="E46" i="9"/>
  <c r="E40" i="9"/>
  <c r="E42" i="9"/>
  <c r="E43" i="9"/>
  <c r="E44" i="9"/>
  <c r="E39" i="9"/>
  <c r="E41" i="9"/>
  <c r="E45" i="9"/>
  <c r="L46" i="9"/>
  <c r="L42" i="9"/>
  <c r="L40" i="9"/>
  <c r="L43" i="9"/>
  <c r="L39" i="9"/>
  <c r="L44" i="9"/>
  <c r="L41" i="9"/>
  <c r="L45" i="9"/>
  <c r="F45" i="9"/>
  <c r="J39" i="13"/>
  <c r="H11" i="11"/>
  <c r="M11" i="11"/>
  <c r="AJ11" i="11"/>
  <c r="AO11" i="11"/>
  <c r="AQ11" i="11"/>
  <c r="Q11" i="11"/>
  <c r="E64" i="13"/>
  <c r="M43" i="6"/>
  <c r="M48" i="10" s="1"/>
  <c r="E65" i="13"/>
  <c r="I43" i="6"/>
  <c r="I48" i="10" s="1"/>
  <c r="E66" i="13"/>
  <c r="E43" i="6"/>
  <c r="E48" i="10" s="1"/>
  <c r="I20" i="9"/>
  <c r="M20" i="9"/>
  <c r="K11" i="11"/>
  <c r="X11" i="11"/>
  <c r="Y11" i="11"/>
  <c r="T11" i="11"/>
  <c r="M42" i="10"/>
  <c r="AE11" i="11"/>
  <c r="R11" i="11"/>
  <c r="L42" i="10"/>
  <c r="AH42" i="10"/>
  <c r="AJ42" i="10"/>
  <c r="E11" i="11"/>
  <c r="U11" i="11"/>
  <c r="AC42" i="10"/>
  <c r="Y42" i="10"/>
  <c r="I11" i="11"/>
  <c r="AS11" i="11"/>
  <c r="E42" i="10"/>
  <c r="AE42" i="10"/>
  <c r="S11" i="11"/>
  <c r="P42" i="10"/>
  <c r="U42" i="10"/>
  <c r="P11" i="11"/>
  <c r="AK11" i="11"/>
  <c r="AG11" i="11"/>
  <c r="AR11" i="11"/>
  <c r="AF11" i="11"/>
  <c r="AS42" i="10"/>
  <c r="I42" i="10"/>
  <c r="AP11" i="11"/>
  <c r="Z11" i="11"/>
  <c r="AC11" i="11"/>
  <c r="AG42" i="10"/>
  <c r="AB11" i="11"/>
  <c r="G42" i="10"/>
  <c r="Q42" i="10"/>
  <c r="H42" i="10"/>
  <c r="K42" i="10"/>
  <c r="AI42" i="10"/>
  <c r="AF6" i="8"/>
  <c r="AF7" i="8" s="1"/>
  <c r="AF28" i="6"/>
  <c r="AF29" i="6" s="1"/>
  <c r="AF32" i="11" s="1"/>
  <c r="AF44" i="11" s="1"/>
  <c r="AF36" i="6"/>
  <c r="AF37" i="6" s="1"/>
  <c r="AF16" i="6"/>
  <c r="AF17" i="6" s="1"/>
  <c r="AF18" i="6" s="1"/>
  <c r="AA6" i="8"/>
  <c r="AA7" i="8" s="1"/>
  <c r="AA36" i="6"/>
  <c r="AA37" i="6" s="1"/>
  <c r="AA28" i="6"/>
  <c r="AA29" i="6" s="1"/>
  <c r="AA32" i="11" s="1"/>
  <c r="AA44" i="11" s="1"/>
  <c r="AA16" i="6"/>
  <c r="AA17" i="6" s="1"/>
  <c r="AA18" i="6" s="1"/>
  <c r="BS6" i="8"/>
  <c r="BS7" i="8" s="1"/>
  <c r="BS28" i="6"/>
  <c r="BS29" i="6" s="1"/>
  <c r="BS32" i="11" s="1"/>
  <c r="BS44" i="11" s="1"/>
  <c r="BS36" i="6"/>
  <c r="BS37" i="6" s="1"/>
  <c r="BS16" i="6"/>
  <c r="BS17" i="6" s="1"/>
  <c r="BS18" i="6" s="1"/>
  <c r="AK17" i="12"/>
  <c r="AK18" i="12" s="1"/>
  <c r="AK2" i="11"/>
  <c r="AK47" i="10"/>
  <c r="AK48" i="10"/>
  <c r="AK47" i="6"/>
  <c r="CE36" i="6"/>
  <c r="CE37" i="6" s="1"/>
  <c r="CE28" i="6"/>
  <c r="CE29" i="6" s="1"/>
  <c r="CE32" i="11" s="1"/>
  <c r="CE44" i="11" s="1"/>
  <c r="CE16" i="6"/>
  <c r="CE17" i="6" s="1"/>
  <c r="CE18" i="6" s="1"/>
  <c r="BM6" i="8"/>
  <c r="BM7" i="8" s="1"/>
  <c r="BM36" i="6"/>
  <c r="BM37" i="6" s="1"/>
  <c r="BM28" i="6"/>
  <c r="BM29" i="6" s="1"/>
  <c r="BM32" i="11" s="1"/>
  <c r="BM44" i="11" s="1"/>
  <c r="BM16" i="6"/>
  <c r="BM17" i="6" s="1"/>
  <c r="BM18" i="6" s="1"/>
  <c r="AO17" i="12"/>
  <c r="AO18" i="12" s="1"/>
  <c r="AO2" i="11"/>
  <c r="AO47" i="10"/>
  <c r="AO47" i="6"/>
  <c r="AO48" i="10"/>
  <c r="CG17" i="12"/>
  <c r="CG18" i="12" s="1"/>
  <c r="CG2" i="11"/>
  <c r="CG47" i="10"/>
  <c r="CG49" i="10" s="1"/>
  <c r="CG48" i="10"/>
  <c r="CG47" i="6"/>
  <c r="CA17" i="12"/>
  <c r="CA18" i="12" s="1"/>
  <c r="CA2" i="11"/>
  <c r="CA47" i="10"/>
  <c r="CA48" i="10"/>
  <c r="CA47" i="6"/>
  <c r="K36" i="6"/>
  <c r="K37" i="6" s="1"/>
  <c r="K6" i="8"/>
  <c r="K7" i="8" s="1"/>
  <c r="K28" i="6"/>
  <c r="K29" i="6" s="1"/>
  <c r="K32" i="11" s="1"/>
  <c r="K44" i="11" s="1"/>
  <c r="K16" i="6"/>
  <c r="K17" i="6" s="1"/>
  <c r="K18" i="6" s="1"/>
  <c r="S17" i="12"/>
  <c r="S18" i="12" s="1"/>
  <c r="S2" i="11"/>
  <c r="S47" i="10"/>
  <c r="S47" i="6"/>
  <c r="AY36" i="6"/>
  <c r="AY37" i="6" s="1"/>
  <c r="AY28" i="6"/>
  <c r="AY29" i="6" s="1"/>
  <c r="AY32" i="11" s="1"/>
  <c r="AY44" i="11" s="1"/>
  <c r="AY6" i="8"/>
  <c r="AY7" i="8" s="1"/>
  <c r="AY16" i="6"/>
  <c r="AY17" i="6" s="1"/>
  <c r="AY18" i="6" s="1"/>
  <c r="CF36" i="6"/>
  <c r="CF37" i="6" s="1"/>
  <c r="CF28" i="6"/>
  <c r="CF29" i="6" s="1"/>
  <c r="CF32" i="11" s="1"/>
  <c r="CF44" i="11" s="1"/>
  <c r="CF16" i="6"/>
  <c r="CF17" i="6" s="1"/>
  <c r="CF18" i="6" s="1"/>
  <c r="AG17" i="12"/>
  <c r="AG18" i="12" s="1"/>
  <c r="AG2" i="11"/>
  <c r="AG47" i="10"/>
  <c r="AG47" i="6"/>
  <c r="AG48" i="10"/>
  <c r="BG17" i="12"/>
  <c r="BG18" i="12" s="1"/>
  <c r="BG2" i="11"/>
  <c r="BG47" i="10"/>
  <c r="BG48" i="10"/>
  <c r="BG47" i="6"/>
  <c r="BQ6" i="8"/>
  <c r="BQ7" i="8" s="1"/>
  <c r="BQ36" i="6"/>
  <c r="BQ37" i="6" s="1"/>
  <c r="BQ28" i="6"/>
  <c r="BQ29" i="6" s="1"/>
  <c r="BQ32" i="11" s="1"/>
  <c r="BQ44" i="11" s="1"/>
  <c r="BQ16" i="6"/>
  <c r="BQ17" i="6" s="1"/>
  <c r="BQ18" i="6" s="1"/>
  <c r="BU17" i="12"/>
  <c r="BU18" i="12" s="1"/>
  <c r="BU2" i="11"/>
  <c r="BU47" i="10"/>
  <c r="BU47" i="6"/>
  <c r="BU48" i="10"/>
  <c r="AP17" i="12"/>
  <c r="AP18" i="12" s="1"/>
  <c r="AP2" i="11"/>
  <c r="AP47" i="10"/>
  <c r="AP47" i="6"/>
  <c r="AP48" i="10"/>
  <c r="CD36" i="6"/>
  <c r="CD37" i="6" s="1"/>
  <c r="CD28" i="6"/>
  <c r="CD29" i="6" s="1"/>
  <c r="CD32" i="11" s="1"/>
  <c r="CD44" i="11" s="1"/>
  <c r="CD16" i="6"/>
  <c r="CD17" i="6" s="1"/>
  <c r="CD18" i="6" s="1"/>
  <c r="BE17" i="12"/>
  <c r="BE18" i="12" s="1"/>
  <c r="BE2" i="11"/>
  <c r="BE47" i="10"/>
  <c r="BE47" i="6"/>
  <c r="BE48" i="10"/>
  <c r="AN17" i="12"/>
  <c r="AN18" i="12" s="1"/>
  <c r="AN2" i="11"/>
  <c r="AN47" i="10"/>
  <c r="AN48" i="10"/>
  <c r="AN47" i="6"/>
  <c r="BC17" i="12"/>
  <c r="BC18" i="12" s="1"/>
  <c r="BC2" i="11"/>
  <c r="BC47" i="10"/>
  <c r="BC48" i="10"/>
  <c r="BC47" i="6"/>
  <c r="T42" i="10"/>
  <c r="J42" i="10"/>
  <c r="H17" i="12"/>
  <c r="H18" i="12" s="1"/>
  <c r="H2" i="11"/>
  <c r="H47" i="10"/>
  <c r="H47" i="6"/>
  <c r="BL17" i="12"/>
  <c r="BL18" i="12" s="1"/>
  <c r="BL47" i="10"/>
  <c r="BL2" i="11"/>
  <c r="BL48" i="10"/>
  <c r="BL47" i="6"/>
  <c r="AJ17" i="12"/>
  <c r="AJ18" i="12" s="1"/>
  <c r="AJ2" i="11"/>
  <c r="AJ47" i="10"/>
  <c r="AJ48" i="10"/>
  <c r="AJ47" i="6"/>
  <c r="AW17" i="12"/>
  <c r="AW18" i="12" s="1"/>
  <c r="AW2" i="11"/>
  <c r="AW47" i="10"/>
  <c r="AW47" i="6"/>
  <c r="AW48" i="10"/>
  <c r="AU42" i="10"/>
  <c r="C43" i="6"/>
  <c r="C47" i="6"/>
  <c r="AK6" i="8"/>
  <c r="AK7" i="8" s="1"/>
  <c r="AK36" i="6"/>
  <c r="AK37" i="6" s="1"/>
  <c r="AK28" i="6"/>
  <c r="AK29" i="6" s="1"/>
  <c r="AK32" i="11" s="1"/>
  <c r="AK44" i="11" s="1"/>
  <c r="AK16" i="6"/>
  <c r="AK17" i="6" s="1"/>
  <c r="AK18" i="6" s="1"/>
  <c r="AV17" i="12"/>
  <c r="AV18" i="12" s="1"/>
  <c r="AV2" i="11"/>
  <c r="AV47" i="10"/>
  <c r="AV48" i="10"/>
  <c r="AV47" i="6"/>
  <c r="BA17" i="12"/>
  <c r="BA18" i="12" s="1"/>
  <c r="BA2" i="11"/>
  <c r="BA47" i="10"/>
  <c r="BA48" i="10"/>
  <c r="BA47" i="6"/>
  <c r="AO6" i="8"/>
  <c r="AO7" i="8" s="1"/>
  <c r="AO36" i="6"/>
  <c r="AO37" i="6" s="1"/>
  <c r="AO28" i="6"/>
  <c r="AO29" i="6" s="1"/>
  <c r="AO32" i="11" s="1"/>
  <c r="AO44" i="11" s="1"/>
  <c r="AO16" i="6"/>
  <c r="AO17" i="6" s="1"/>
  <c r="AO18" i="6" s="1"/>
  <c r="BT6" i="8"/>
  <c r="BT7" i="8" s="1"/>
  <c r="BT28" i="6"/>
  <c r="BT29" i="6" s="1"/>
  <c r="BT32" i="11" s="1"/>
  <c r="BT44" i="11" s="1"/>
  <c r="BT36" i="6"/>
  <c r="BT37" i="6" s="1"/>
  <c r="BT16" i="6"/>
  <c r="BT17" i="6" s="1"/>
  <c r="BT18" i="6" s="1"/>
  <c r="Z17" i="12"/>
  <c r="Z18" i="12" s="1"/>
  <c r="Z2" i="11"/>
  <c r="Z47" i="10"/>
  <c r="Z47" i="6"/>
  <c r="AC17" i="12"/>
  <c r="AC18" i="12" s="1"/>
  <c r="AC2" i="11"/>
  <c r="AC47" i="10"/>
  <c r="AC47" i="6"/>
  <c r="AG6" i="8"/>
  <c r="AG7" i="8" s="1"/>
  <c r="AG36" i="6"/>
  <c r="AG37" i="6" s="1"/>
  <c r="AG28" i="6"/>
  <c r="AG29" i="6" s="1"/>
  <c r="AG32" i="11" s="1"/>
  <c r="AG44" i="11" s="1"/>
  <c r="AG16" i="6"/>
  <c r="AG17" i="6" s="1"/>
  <c r="AG18" i="6" s="1"/>
  <c r="BU6" i="8"/>
  <c r="BU7" i="8" s="1"/>
  <c r="BU36" i="6"/>
  <c r="BU37" i="6" s="1"/>
  <c r="BU28" i="6"/>
  <c r="BU29" i="6" s="1"/>
  <c r="BU32" i="11" s="1"/>
  <c r="BU44" i="11" s="1"/>
  <c r="BU16" i="6"/>
  <c r="BU17" i="6" s="1"/>
  <c r="BU18" i="6" s="1"/>
  <c r="CI28" i="6"/>
  <c r="CI29" i="6" s="1"/>
  <c r="CI32" i="11" s="1"/>
  <c r="CI44" i="11" s="1"/>
  <c r="CI36" i="6"/>
  <c r="CI37" i="6" s="1"/>
  <c r="CI16" i="6"/>
  <c r="CI17" i="6" s="1"/>
  <c r="CI18" i="6" s="1"/>
  <c r="AP6" i="8"/>
  <c r="AP7" i="8" s="1"/>
  <c r="AP36" i="6"/>
  <c r="AP37" i="6" s="1"/>
  <c r="AP28" i="6"/>
  <c r="AP29" i="6" s="1"/>
  <c r="AP32" i="11" s="1"/>
  <c r="AP44" i="11" s="1"/>
  <c r="AP16" i="6"/>
  <c r="AP17" i="6" s="1"/>
  <c r="AP18" i="6" s="1"/>
  <c r="AZ6" i="8"/>
  <c r="AZ7" i="8" s="1"/>
  <c r="AZ36" i="6"/>
  <c r="AZ37" i="6" s="1"/>
  <c r="AZ28" i="6"/>
  <c r="AZ29" i="6" s="1"/>
  <c r="AZ32" i="11" s="1"/>
  <c r="AZ44" i="11" s="1"/>
  <c r="AZ16" i="6"/>
  <c r="AZ17" i="6" s="1"/>
  <c r="AZ18" i="6" s="1"/>
  <c r="AR6" i="8"/>
  <c r="AR7" i="8" s="1"/>
  <c r="AR36" i="6"/>
  <c r="AR37" i="6" s="1"/>
  <c r="AR28" i="6"/>
  <c r="AR29" i="6" s="1"/>
  <c r="AR32" i="11" s="1"/>
  <c r="AR44" i="11" s="1"/>
  <c r="AR16" i="6"/>
  <c r="AR17" i="6" s="1"/>
  <c r="AR18" i="6" s="1"/>
  <c r="CD17" i="12"/>
  <c r="CD18" i="12" s="1"/>
  <c r="CD2" i="11"/>
  <c r="CD47" i="10"/>
  <c r="CD49" i="10" s="1"/>
  <c r="CD47" i="6"/>
  <c r="CD48" i="10"/>
  <c r="AN6" i="8"/>
  <c r="AN7" i="8" s="1"/>
  <c r="AN28" i="6"/>
  <c r="AN29" i="6" s="1"/>
  <c r="AN32" i="11" s="1"/>
  <c r="AN44" i="11" s="1"/>
  <c r="AN36" i="6"/>
  <c r="AN37" i="6" s="1"/>
  <c r="AN16" i="6"/>
  <c r="AN17" i="6" s="1"/>
  <c r="AN18" i="6" s="1"/>
  <c r="M17" i="12"/>
  <c r="M18" i="12" s="1"/>
  <c r="M2" i="11"/>
  <c r="M47" i="10"/>
  <c r="M47" i="6"/>
  <c r="H6" i="8"/>
  <c r="H7" i="8" s="1"/>
  <c r="H28" i="6"/>
  <c r="H29" i="6" s="1"/>
  <c r="H32" i="11" s="1"/>
  <c r="H44" i="11" s="1"/>
  <c r="H36" i="6"/>
  <c r="H37" i="6" s="1"/>
  <c r="H16" i="6"/>
  <c r="H17" i="6" s="1"/>
  <c r="H18" i="6" s="1"/>
  <c r="BO36" i="6"/>
  <c r="BO37" i="6" s="1"/>
  <c r="BO6" i="8"/>
  <c r="BO7" i="8" s="1"/>
  <c r="BO28" i="6"/>
  <c r="BO29" i="6" s="1"/>
  <c r="BO32" i="11" s="1"/>
  <c r="BO44" i="11" s="1"/>
  <c r="BO16" i="6"/>
  <c r="BO17" i="6" s="1"/>
  <c r="BO18" i="6" s="1"/>
  <c r="AJ6" i="8"/>
  <c r="AJ7" i="8" s="1"/>
  <c r="AJ36" i="6"/>
  <c r="AJ37" i="6" s="1"/>
  <c r="AJ28" i="6"/>
  <c r="AJ29" i="6" s="1"/>
  <c r="AJ32" i="11" s="1"/>
  <c r="AJ44" i="11" s="1"/>
  <c r="AJ16" i="6"/>
  <c r="AJ17" i="6" s="1"/>
  <c r="AJ18" i="6" s="1"/>
  <c r="AM42" i="10"/>
  <c r="BX17" i="12"/>
  <c r="BX18" i="12" s="1"/>
  <c r="BX2" i="11"/>
  <c r="BX47" i="10"/>
  <c r="BX48" i="10"/>
  <c r="BX47" i="6"/>
  <c r="W11" i="11"/>
  <c r="CC17" i="12"/>
  <c r="CC18" i="12" s="1"/>
  <c r="CC2" i="11"/>
  <c r="CC47" i="10"/>
  <c r="CC47" i="6"/>
  <c r="CC48" i="10"/>
  <c r="AW6" i="8"/>
  <c r="AW7" i="8" s="1"/>
  <c r="AW36" i="6"/>
  <c r="AW37" i="6" s="1"/>
  <c r="AW28" i="6"/>
  <c r="AW29" i="6" s="1"/>
  <c r="AW32" i="11" s="1"/>
  <c r="AW44" i="11" s="1"/>
  <c r="AW16" i="6"/>
  <c r="AW17" i="6" s="1"/>
  <c r="AW18" i="6" s="1"/>
  <c r="BW36" i="6"/>
  <c r="BW37" i="6" s="1"/>
  <c r="BW28" i="6"/>
  <c r="BW29" i="6" s="1"/>
  <c r="BW32" i="11" s="1"/>
  <c r="BW44" i="11" s="1"/>
  <c r="BW16" i="6"/>
  <c r="BW17" i="6" s="1"/>
  <c r="BW18" i="6" s="1"/>
  <c r="AB17" i="12"/>
  <c r="AB18" i="12" s="1"/>
  <c r="AB2" i="11"/>
  <c r="AB47" i="10"/>
  <c r="AB47" i="6"/>
  <c r="AA17" i="12"/>
  <c r="AA18" i="12" s="1"/>
  <c r="AA2" i="11"/>
  <c r="AA47" i="10"/>
  <c r="AA47" i="6"/>
  <c r="R17" i="12"/>
  <c r="R18" i="12" s="1"/>
  <c r="R2" i="11"/>
  <c r="R47" i="10"/>
  <c r="R47" i="6"/>
  <c r="BS17" i="12"/>
  <c r="BS18" i="12" s="1"/>
  <c r="BS2" i="11"/>
  <c r="BS47" i="10"/>
  <c r="BS48" i="10"/>
  <c r="BS47" i="6"/>
  <c r="D43" i="6"/>
  <c r="D47" i="6"/>
  <c r="BI6" i="8"/>
  <c r="BI7" i="8" s="1"/>
  <c r="BI36" i="6"/>
  <c r="BI37" i="6" s="1"/>
  <c r="BI28" i="6"/>
  <c r="BI29" i="6" s="1"/>
  <c r="BI32" i="11" s="1"/>
  <c r="BI44" i="11" s="1"/>
  <c r="BI16" i="6"/>
  <c r="BI17" i="6" s="1"/>
  <c r="BI18" i="6" s="1"/>
  <c r="CE17" i="12"/>
  <c r="CE18" i="12" s="1"/>
  <c r="CE2" i="11"/>
  <c r="CE47" i="10"/>
  <c r="CE47" i="6"/>
  <c r="CE48" i="10"/>
  <c r="BK6" i="8"/>
  <c r="BK7" i="8" s="1"/>
  <c r="BK28" i="6"/>
  <c r="BK29" i="6" s="1"/>
  <c r="BK32" i="11" s="1"/>
  <c r="BK44" i="11" s="1"/>
  <c r="BK36" i="6"/>
  <c r="BK37" i="6" s="1"/>
  <c r="BK16" i="6"/>
  <c r="BK17" i="6" s="1"/>
  <c r="BK18" i="6" s="1"/>
  <c r="AV6" i="8"/>
  <c r="AV7" i="8" s="1"/>
  <c r="AV28" i="6"/>
  <c r="AV29" i="6" s="1"/>
  <c r="AV32" i="11" s="1"/>
  <c r="AV44" i="11" s="1"/>
  <c r="AV36" i="6"/>
  <c r="AV37" i="6" s="1"/>
  <c r="AV16" i="6"/>
  <c r="AV17" i="6" s="1"/>
  <c r="AV18" i="6" s="1"/>
  <c r="K17" i="12"/>
  <c r="K18" i="12" s="1"/>
  <c r="K2" i="11"/>
  <c r="K47" i="10"/>
  <c r="K47" i="6"/>
  <c r="Z6" i="8"/>
  <c r="Z7" i="8" s="1"/>
  <c r="Z36" i="6"/>
  <c r="Z37" i="6" s="1"/>
  <c r="Z28" i="6"/>
  <c r="Z29" i="6" s="1"/>
  <c r="Z32" i="11" s="1"/>
  <c r="Z44" i="11" s="1"/>
  <c r="Z16" i="6"/>
  <c r="Z17" i="6" s="1"/>
  <c r="Z18" i="6" s="1"/>
  <c r="AY17" i="12"/>
  <c r="AY18" i="12" s="1"/>
  <c r="AY2" i="11"/>
  <c r="AY47" i="10"/>
  <c r="AY47" i="6"/>
  <c r="AY48" i="10"/>
  <c r="AC6" i="8"/>
  <c r="AC7" i="8" s="1"/>
  <c r="AC36" i="6"/>
  <c r="AC37" i="6" s="1"/>
  <c r="AC28" i="6"/>
  <c r="AC29" i="6" s="1"/>
  <c r="AC32" i="11" s="1"/>
  <c r="AC44" i="11" s="1"/>
  <c r="AC16" i="6"/>
  <c r="AC17" i="6" s="1"/>
  <c r="AC18" i="6" s="1"/>
  <c r="BZ5" i="11"/>
  <c r="BZ50" i="10"/>
  <c r="CF17" i="12"/>
  <c r="CF18" i="12" s="1"/>
  <c r="CF2" i="11"/>
  <c r="CF47" i="10"/>
  <c r="CF48" i="10"/>
  <c r="CF47" i="6"/>
  <c r="BQ17" i="12"/>
  <c r="BQ18" i="12" s="1"/>
  <c r="BQ2" i="11"/>
  <c r="BQ47" i="10"/>
  <c r="BQ48" i="10"/>
  <c r="BQ47" i="6"/>
  <c r="E17" i="12"/>
  <c r="E18" i="12" s="1"/>
  <c r="E2" i="11"/>
  <c r="E47" i="10"/>
  <c r="E47" i="6"/>
  <c r="AW42" i="10"/>
  <c r="BP6" i="8"/>
  <c r="BP7" i="8" s="1"/>
  <c r="BP36" i="6"/>
  <c r="BP37" i="6" s="1"/>
  <c r="BP28" i="6"/>
  <c r="BP29" i="6" s="1"/>
  <c r="BP32" i="11" s="1"/>
  <c r="BP44" i="11" s="1"/>
  <c r="BP16" i="6"/>
  <c r="BP17" i="6" s="1"/>
  <c r="BP18" i="6" s="1"/>
  <c r="AH17" i="12"/>
  <c r="AH18" i="12" s="1"/>
  <c r="AH2" i="11"/>
  <c r="AH47" i="10"/>
  <c r="AH47" i="6"/>
  <c r="AH48" i="10"/>
  <c r="CH13" i="11"/>
  <c r="CH12" i="11"/>
  <c r="CH14" i="11" s="1"/>
  <c r="M6" i="8"/>
  <c r="M7" i="8" s="1"/>
  <c r="M36" i="6"/>
  <c r="M37" i="6" s="1"/>
  <c r="M28" i="6"/>
  <c r="M29" i="6" s="1"/>
  <c r="M32" i="11" s="1"/>
  <c r="M44" i="11" s="1"/>
  <c r="M16" i="6"/>
  <c r="M17" i="6" s="1"/>
  <c r="M18" i="6" s="1"/>
  <c r="Q17" i="12"/>
  <c r="Q18" i="12" s="1"/>
  <c r="Q2" i="11"/>
  <c r="Q47" i="10"/>
  <c r="Q47" i="6"/>
  <c r="AK42" i="10"/>
  <c r="BO17" i="12"/>
  <c r="BO18" i="12" s="1"/>
  <c r="BO2" i="11"/>
  <c r="BO47" i="10"/>
  <c r="BO48" i="10"/>
  <c r="BO47" i="6"/>
  <c r="CH33" i="6"/>
  <c r="CH34" i="6" s="1"/>
  <c r="CC36" i="6"/>
  <c r="CC37" i="6" s="1"/>
  <c r="CC28" i="6"/>
  <c r="CC29" i="6" s="1"/>
  <c r="CC32" i="11" s="1"/>
  <c r="CC44" i="11" s="1"/>
  <c r="CC16" i="6"/>
  <c r="CC17" i="6" s="1"/>
  <c r="CC18" i="6" s="1"/>
  <c r="AB6" i="8"/>
  <c r="AB7" i="8" s="1"/>
  <c r="AB36" i="6"/>
  <c r="AB37" i="6" s="1"/>
  <c r="AB28" i="6"/>
  <c r="AB29" i="6" s="1"/>
  <c r="AB32" i="11" s="1"/>
  <c r="AB44" i="11" s="1"/>
  <c r="AB16" i="6"/>
  <c r="AB17" i="6" s="1"/>
  <c r="AB18" i="6" s="1"/>
  <c r="R6" i="8"/>
  <c r="R7" i="8" s="1"/>
  <c r="R36" i="6"/>
  <c r="R37" i="6" s="1"/>
  <c r="R28" i="6"/>
  <c r="R29" i="6" s="1"/>
  <c r="R32" i="11" s="1"/>
  <c r="R44" i="11" s="1"/>
  <c r="R16" i="6"/>
  <c r="R17" i="6" s="1"/>
  <c r="R18" i="6" s="1"/>
  <c r="D36" i="6"/>
  <c r="D37" i="6" s="1"/>
  <c r="D28" i="6"/>
  <c r="D29" i="6" s="1"/>
  <c r="D16" i="6"/>
  <c r="D17" i="6" s="1"/>
  <c r="P17" i="12"/>
  <c r="P18" i="12" s="1"/>
  <c r="P2" i="11"/>
  <c r="P47" i="10"/>
  <c r="P47" i="6"/>
  <c r="BT17" i="12"/>
  <c r="BT18" i="12" s="1"/>
  <c r="BT2" i="11"/>
  <c r="BT47" i="10"/>
  <c r="BT48" i="10"/>
  <c r="BT47" i="6"/>
  <c r="G17" i="12"/>
  <c r="G18" i="12" s="1"/>
  <c r="G2" i="11"/>
  <c r="G47" i="10"/>
  <c r="G47" i="6"/>
  <c r="BY36" i="6"/>
  <c r="BY37" i="6" s="1"/>
  <c r="BY28" i="6"/>
  <c r="BY29" i="6" s="1"/>
  <c r="BY32" i="11" s="1"/>
  <c r="BY44" i="11" s="1"/>
  <c r="BY16" i="6"/>
  <c r="BY17" i="6" s="1"/>
  <c r="BY18" i="6" s="1"/>
  <c r="CI17" i="12"/>
  <c r="CI18" i="12" s="1"/>
  <c r="CI2" i="11"/>
  <c r="CI47" i="10"/>
  <c r="CI49" i="10" s="1"/>
  <c r="CI48" i="10"/>
  <c r="CI47" i="6"/>
  <c r="E7" i="8"/>
  <c r="E36" i="6"/>
  <c r="E37" i="6" s="1"/>
  <c r="E28" i="6"/>
  <c r="E29" i="6" s="1"/>
  <c r="E32" i="11" s="1"/>
  <c r="E44" i="11" s="1"/>
  <c r="E16" i="6"/>
  <c r="E17" i="6" s="1"/>
  <c r="E18" i="6" s="1"/>
  <c r="BF6" i="8"/>
  <c r="BF7" i="8" s="1"/>
  <c r="BF36" i="6"/>
  <c r="BF37" i="6" s="1"/>
  <c r="BF28" i="6"/>
  <c r="BF29" i="6" s="1"/>
  <c r="BF32" i="11" s="1"/>
  <c r="BF44" i="11" s="1"/>
  <c r="BF16" i="6"/>
  <c r="BF17" i="6" s="1"/>
  <c r="BF18" i="6" s="1"/>
  <c r="AZ17" i="12"/>
  <c r="AZ18" i="12" s="1"/>
  <c r="AZ2" i="11"/>
  <c r="AZ47" i="10"/>
  <c r="AZ48" i="10"/>
  <c r="AZ47" i="6"/>
  <c r="AR17" i="12"/>
  <c r="AR18" i="12" s="1"/>
  <c r="AR2" i="11"/>
  <c r="AR47" i="10"/>
  <c r="AR48" i="10"/>
  <c r="AR47" i="6"/>
  <c r="AH6" i="8"/>
  <c r="AH7" i="8" s="1"/>
  <c r="AH36" i="6"/>
  <c r="AH37" i="6" s="1"/>
  <c r="AH28" i="6"/>
  <c r="AH29" i="6" s="1"/>
  <c r="AH32" i="11" s="1"/>
  <c r="AH44" i="11" s="1"/>
  <c r="AH16" i="6"/>
  <c r="AH17" i="6" s="1"/>
  <c r="AH18" i="6" s="1"/>
  <c r="AQ42" i="10"/>
  <c r="BV42" i="10"/>
  <c r="Q6" i="8"/>
  <c r="Q7" i="8" s="1"/>
  <c r="Q36" i="6"/>
  <c r="Q37" i="6" s="1"/>
  <c r="Q28" i="6"/>
  <c r="Q29" i="6" s="1"/>
  <c r="Q32" i="11" s="1"/>
  <c r="Q44" i="11" s="1"/>
  <c r="Q16" i="6"/>
  <c r="Q17" i="6" s="1"/>
  <c r="Q18" i="6" s="1"/>
  <c r="BM42" i="10"/>
  <c r="BS42" i="10"/>
  <c r="CJ28" i="6"/>
  <c r="CJ29" i="6" s="1"/>
  <c r="CJ32" i="11" s="1"/>
  <c r="CJ44" i="11" s="1"/>
  <c r="CJ36" i="6"/>
  <c r="CJ37" i="6" s="1"/>
  <c r="CJ16" i="6"/>
  <c r="CJ17" i="6" s="1"/>
  <c r="CJ18" i="6" s="1"/>
  <c r="BW17" i="12"/>
  <c r="BW18" i="12" s="1"/>
  <c r="BW2" i="11"/>
  <c r="BW47" i="10"/>
  <c r="BW47" i="6"/>
  <c r="BW48" i="10"/>
  <c r="T17" i="12"/>
  <c r="T18" i="12" s="1"/>
  <c r="T2" i="11"/>
  <c r="T47" i="10"/>
  <c r="T47" i="6"/>
  <c r="BI17" i="12"/>
  <c r="BI18" i="12" s="1"/>
  <c r="BI2" i="11"/>
  <c r="BI47" i="10"/>
  <c r="BI48" i="10"/>
  <c r="BI47" i="6"/>
  <c r="AM17" i="12"/>
  <c r="AM18" i="12" s="1"/>
  <c r="AM2" i="11"/>
  <c r="AM47" i="10"/>
  <c r="AM48" i="10"/>
  <c r="AM47" i="6"/>
  <c r="BK17" i="12"/>
  <c r="BK18" i="12" s="1"/>
  <c r="BK2" i="11"/>
  <c r="BK47" i="10"/>
  <c r="BK48" i="10"/>
  <c r="BK47" i="6"/>
  <c r="BH6" i="8"/>
  <c r="BH7" i="8" s="1"/>
  <c r="BH36" i="6"/>
  <c r="BH37" i="6" s="1"/>
  <c r="BH28" i="6"/>
  <c r="BH29" i="6" s="1"/>
  <c r="BH32" i="11" s="1"/>
  <c r="BH44" i="11" s="1"/>
  <c r="BH16" i="6"/>
  <c r="BH17" i="6" s="1"/>
  <c r="BH18" i="6" s="1"/>
  <c r="P6" i="8"/>
  <c r="P7" i="8" s="1"/>
  <c r="P28" i="6"/>
  <c r="P29" i="6" s="1"/>
  <c r="P32" i="11" s="1"/>
  <c r="P44" i="11" s="1"/>
  <c r="P36" i="6"/>
  <c r="P37" i="6" s="1"/>
  <c r="P16" i="6"/>
  <c r="P17" i="6" s="1"/>
  <c r="P18" i="6" s="1"/>
  <c r="G6" i="8"/>
  <c r="G7" i="8" s="1"/>
  <c r="G28" i="6"/>
  <c r="G29" i="6" s="1"/>
  <c r="G32" i="11" s="1"/>
  <c r="G44" i="11" s="1"/>
  <c r="G36" i="6"/>
  <c r="G37" i="6" s="1"/>
  <c r="G16" i="6"/>
  <c r="G17" i="6" s="1"/>
  <c r="G18" i="6" s="1"/>
  <c r="BD6" i="8"/>
  <c r="BD7" i="8" s="1"/>
  <c r="BD28" i="6"/>
  <c r="BD29" i="6" s="1"/>
  <c r="BD32" i="11" s="1"/>
  <c r="BD44" i="11" s="1"/>
  <c r="BD36" i="6"/>
  <c r="BD37" i="6" s="1"/>
  <c r="BD16" i="6"/>
  <c r="BD17" i="6" s="1"/>
  <c r="BD18" i="6" s="1"/>
  <c r="L17" i="12"/>
  <c r="L18" i="12" s="1"/>
  <c r="L2" i="11"/>
  <c r="L47" i="10"/>
  <c r="L47" i="6"/>
  <c r="BF17" i="12"/>
  <c r="BF18" i="12" s="1"/>
  <c r="BF2" i="11"/>
  <c r="BF47" i="10"/>
  <c r="BF47" i="6"/>
  <c r="BF48" i="10"/>
  <c r="AS17" i="12"/>
  <c r="AS18" i="12" s="1"/>
  <c r="AS2" i="11"/>
  <c r="AS47" i="10"/>
  <c r="AS48" i="10"/>
  <c r="AS47" i="6"/>
  <c r="BP17" i="12"/>
  <c r="BP18" i="12" s="1"/>
  <c r="BP2" i="11"/>
  <c r="BP47" i="10"/>
  <c r="BP48" i="10"/>
  <c r="BP47" i="6"/>
  <c r="CB28" i="6"/>
  <c r="CB29" i="6" s="1"/>
  <c r="CB32" i="11" s="1"/>
  <c r="CB44" i="11" s="1"/>
  <c r="CB36" i="6"/>
  <c r="CB37" i="6" s="1"/>
  <c r="CB16" i="6"/>
  <c r="CB17" i="6" s="1"/>
  <c r="CB18" i="6" s="1"/>
  <c r="R42" i="10"/>
  <c r="BT42" i="10"/>
  <c r="CJ42" i="10"/>
  <c r="U17" i="12"/>
  <c r="U18" i="12" s="1"/>
  <c r="U2" i="11"/>
  <c r="U47" i="10"/>
  <c r="U47" i="6"/>
  <c r="O17" i="12"/>
  <c r="O18" i="12" s="1"/>
  <c r="O2" i="11"/>
  <c r="O47" i="10"/>
  <c r="O47" i="6"/>
  <c r="AI6" i="8"/>
  <c r="AI7" i="8" s="1"/>
  <c r="AI36" i="6"/>
  <c r="AI37" i="6" s="1"/>
  <c r="AI28" i="6"/>
  <c r="AI29" i="6" s="1"/>
  <c r="AI32" i="11" s="1"/>
  <c r="AI44" i="11" s="1"/>
  <c r="AI16" i="6"/>
  <c r="AI17" i="6" s="1"/>
  <c r="AI18" i="6" s="1"/>
  <c r="Y17" i="12"/>
  <c r="Y18" i="12" s="1"/>
  <c r="Y2" i="11"/>
  <c r="Y47" i="10"/>
  <c r="Y47" i="6"/>
  <c r="W17" i="12"/>
  <c r="W18" i="12" s="1"/>
  <c r="W2" i="11"/>
  <c r="W47" i="10"/>
  <c r="W47" i="6"/>
  <c r="T6" i="8"/>
  <c r="T7" i="8" s="1"/>
  <c r="T36" i="6"/>
  <c r="T37" i="6" s="1"/>
  <c r="T28" i="6"/>
  <c r="T29" i="6" s="1"/>
  <c r="T32" i="11" s="1"/>
  <c r="T44" i="11" s="1"/>
  <c r="T16" i="6"/>
  <c r="T17" i="6" s="1"/>
  <c r="T18" i="6" s="1"/>
  <c r="AQ36" i="6"/>
  <c r="AQ37" i="6" s="1"/>
  <c r="AQ28" i="6"/>
  <c r="AQ29" i="6" s="1"/>
  <c r="AQ32" i="11" s="1"/>
  <c r="AQ44" i="11" s="1"/>
  <c r="AQ6" i="8"/>
  <c r="AQ7" i="8" s="1"/>
  <c r="AQ16" i="6"/>
  <c r="AQ17" i="6" s="1"/>
  <c r="AQ18" i="6" s="1"/>
  <c r="AM6" i="8"/>
  <c r="AM7" i="8" s="1"/>
  <c r="AM28" i="6"/>
  <c r="AM29" i="6" s="1"/>
  <c r="AM32" i="11" s="1"/>
  <c r="AM44" i="11" s="1"/>
  <c r="AM36" i="6"/>
  <c r="AM37" i="6" s="1"/>
  <c r="AM16" i="6"/>
  <c r="AM17" i="6" s="1"/>
  <c r="AM18" i="6" s="1"/>
  <c r="AU6" i="8"/>
  <c r="AU7" i="8" s="1"/>
  <c r="AU28" i="6"/>
  <c r="AU29" i="6" s="1"/>
  <c r="AU32" i="11" s="1"/>
  <c r="AU44" i="11" s="1"/>
  <c r="AU36" i="6"/>
  <c r="AU37" i="6" s="1"/>
  <c r="AU16" i="6"/>
  <c r="AU17" i="6" s="1"/>
  <c r="AU18" i="6" s="1"/>
  <c r="AX17" i="12"/>
  <c r="AX18" i="12" s="1"/>
  <c r="AX2" i="11"/>
  <c r="AX47" i="10"/>
  <c r="AX47" i="6"/>
  <c r="AX48" i="10"/>
  <c r="BY17" i="12"/>
  <c r="BY18" i="12" s="1"/>
  <c r="BY2" i="11"/>
  <c r="BY47" i="10"/>
  <c r="BY48" i="10"/>
  <c r="BY47" i="6"/>
  <c r="BZ13" i="11"/>
  <c r="BZ12" i="11"/>
  <c r="BZ14" i="11" s="1"/>
  <c r="BZ4" i="11"/>
  <c r="L6" i="8"/>
  <c r="L7" i="8" s="1"/>
  <c r="L36" i="6"/>
  <c r="L37" i="6" s="1"/>
  <c r="L28" i="6"/>
  <c r="L29" i="6" s="1"/>
  <c r="L32" i="11" s="1"/>
  <c r="L44" i="11" s="1"/>
  <c r="L16" i="6"/>
  <c r="L17" i="6" s="1"/>
  <c r="L18" i="6" s="1"/>
  <c r="BK42" i="10"/>
  <c r="AS6" i="8"/>
  <c r="AS7" i="8" s="1"/>
  <c r="AS36" i="6"/>
  <c r="AS37" i="6" s="1"/>
  <c r="AS28" i="6"/>
  <c r="AS29" i="6" s="1"/>
  <c r="AS32" i="11" s="1"/>
  <c r="AS44" i="11" s="1"/>
  <c r="AS16" i="6"/>
  <c r="AS17" i="6" s="1"/>
  <c r="AS18" i="6" s="1"/>
  <c r="W42" i="10"/>
  <c r="BZ15" i="12"/>
  <c r="BZ16" i="12" s="1"/>
  <c r="BZ23" i="10"/>
  <c r="BZ24" i="10" s="1"/>
  <c r="BZ33" i="6"/>
  <c r="BZ34" i="6" s="1"/>
  <c r="U6" i="8"/>
  <c r="U7" i="8" s="1"/>
  <c r="U36" i="6"/>
  <c r="U37" i="6" s="1"/>
  <c r="U28" i="6"/>
  <c r="U29" i="6" s="1"/>
  <c r="U32" i="11" s="1"/>
  <c r="U44" i="11" s="1"/>
  <c r="U16" i="6"/>
  <c r="U17" i="6" s="1"/>
  <c r="U18" i="6" s="1"/>
  <c r="O6" i="8"/>
  <c r="O7" i="8" s="1"/>
  <c r="O28" i="6"/>
  <c r="O29" i="6" s="1"/>
  <c r="O32" i="11" s="1"/>
  <c r="O44" i="11" s="1"/>
  <c r="O36" i="6"/>
  <c r="O37" i="6" s="1"/>
  <c r="O16" i="6"/>
  <c r="O17" i="6" s="1"/>
  <c r="O18" i="6" s="1"/>
  <c r="AO42" i="10"/>
  <c r="Y6" i="8"/>
  <c r="Y7" i="8" s="1"/>
  <c r="Y36" i="6"/>
  <c r="Y37" i="6" s="1"/>
  <c r="Y28" i="6"/>
  <c r="Y29" i="6" s="1"/>
  <c r="Y32" i="11" s="1"/>
  <c r="Y44" i="11" s="1"/>
  <c r="Y16" i="6"/>
  <c r="Y17" i="6" s="1"/>
  <c r="Y18" i="6" s="1"/>
  <c r="BI42" i="10"/>
  <c r="W6" i="8"/>
  <c r="W7" i="8" s="1"/>
  <c r="W28" i="6"/>
  <c r="W29" i="6" s="1"/>
  <c r="W32" i="11" s="1"/>
  <c r="W44" i="11" s="1"/>
  <c r="W36" i="6"/>
  <c r="W37" i="6" s="1"/>
  <c r="W16" i="6"/>
  <c r="W17" i="6" s="1"/>
  <c r="W18" i="6" s="1"/>
  <c r="CJ17" i="12"/>
  <c r="CJ18" i="12" s="1"/>
  <c r="CJ2" i="11"/>
  <c r="CJ47" i="10"/>
  <c r="CJ49" i="10" s="1"/>
  <c r="CJ48" i="10"/>
  <c r="CJ47" i="6"/>
  <c r="V15" i="12"/>
  <c r="V16" i="12" s="1"/>
  <c r="V23" i="10"/>
  <c r="V33" i="6"/>
  <c r="V34" i="6" s="1"/>
  <c r="BV36" i="6"/>
  <c r="BV37" i="6" s="1"/>
  <c r="BV28" i="6"/>
  <c r="BV29" i="6" s="1"/>
  <c r="BV32" i="11" s="1"/>
  <c r="BV44" i="11" s="1"/>
  <c r="BV16" i="6"/>
  <c r="BV17" i="6" s="1"/>
  <c r="BV18" i="6" s="1"/>
  <c r="B47" i="6"/>
  <c r="B43" i="6"/>
  <c r="BM17" i="12"/>
  <c r="BM18" i="12" s="1"/>
  <c r="BM2" i="11"/>
  <c r="BM47" i="10"/>
  <c r="BM47" i="6"/>
  <c r="BM48" i="10"/>
  <c r="BH17" i="12"/>
  <c r="BH18" i="12" s="1"/>
  <c r="BH2" i="11"/>
  <c r="BH47" i="10"/>
  <c r="BH48" i="10"/>
  <c r="BH47" i="6"/>
  <c r="CG36" i="6"/>
  <c r="CG37" i="6" s="1"/>
  <c r="CG28" i="6"/>
  <c r="CG29" i="6" s="1"/>
  <c r="CG32" i="11" s="1"/>
  <c r="CG44" i="11" s="1"/>
  <c r="CG16" i="6"/>
  <c r="CG17" i="6" s="1"/>
  <c r="CG18" i="6" s="1"/>
  <c r="CA28" i="6"/>
  <c r="CA29" i="6" s="1"/>
  <c r="CA32" i="11" s="1"/>
  <c r="CA44" i="11" s="1"/>
  <c r="CA36" i="6"/>
  <c r="CA37" i="6" s="1"/>
  <c r="CA16" i="6"/>
  <c r="CA17" i="6" s="1"/>
  <c r="CA18" i="6" s="1"/>
  <c r="X17" i="12"/>
  <c r="X18" i="12" s="1"/>
  <c r="X2" i="11"/>
  <c r="X47" i="10"/>
  <c r="X47" i="6"/>
  <c r="J17" i="12"/>
  <c r="J18" i="12" s="1"/>
  <c r="J2" i="11"/>
  <c r="J47" i="10"/>
  <c r="J47" i="6"/>
  <c r="S6" i="8"/>
  <c r="S7" i="8" s="1"/>
  <c r="S36" i="6"/>
  <c r="S37" i="6" s="1"/>
  <c r="S28" i="6"/>
  <c r="S29" i="6" s="1"/>
  <c r="S32" i="11" s="1"/>
  <c r="S44" i="11" s="1"/>
  <c r="S16" i="6"/>
  <c r="S17" i="6" s="1"/>
  <c r="S18" i="6" s="1"/>
  <c r="AX6" i="8"/>
  <c r="AX7" i="8" s="1"/>
  <c r="AX36" i="6"/>
  <c r="AX37" i="6" s="1"/>
  <c r="AX28" i="6"/>
  <c r="AX29" i="6" s="1"/>
  <c r="AX32" i="11" s="1"/>
  <c r="AX44" i="11" s="1"/>
  <c r="AX16" i="6"/>
  <c r="AX17" i="6" s="1"/>
  <c r="AX18" i="6" s="1"/>
  <c r="BD17" i="12"/>
  <c r="BD18" i="12" s="1"/>
  <c r="BD47" i="10"/>
  <c r="BD2" i="11"/>
  <c r="BD48" i="10"/>
  <c r="BD47" i="6"/>
  <c r="BG36" i="6"/>
  <c r="BG37" i="6" s="1"/>
  <c r="BG6" i="8"/>
  <c r="BG7" i="8" s="1"/>
  <c r="BG28" i="6"/>
  <c r="BG29" i="6" s="1"/>
  <c r="BG32" i="11" s="1"/>
  <c r="BG44" i="11" s="1"/>
  <c r="BG16" i="6"/>
  <c r="BG17" i="6" s="1"/>
  <c r="BG18" i="6" s="1"/>
  <c r="AL13" i="11"/>
  <c r="AL12" i="11"/>
  <c r="AL14" i="11" s="1"/>
  <c r="O42" i="10"/>
  <c r="BN6" i="8"/>
  <c r="BN7" i="8" s="1"/>
  <c r="BN36" i="6"/>
  <c r="BN37" i="6" s="1"/>
  <c r="BN28" i="6"/>
  <c r="BN29" i="6" s="1"/>
  <c r="BN32" i="11" s="1"/>
  <c r="BN44" i="11" s="1"/>
  <c r="BN16" i="6"/>
  <c r="BN17" i="6" s="1"/>
  <c r="BN18" i="6" s="1"/>
  <c r="CB17" i="12"/>
  <c r="CB18" i="12" s="1"/>
  <c r="CB2" i="11"/>
  <c r="CB47" i="10"/>
  <c r="CB48" i="10"/>
  <c r="CB47" i="6"/>
  <c r="AA42" i="10"/>
  <c r="AE17" i="12"/>
  <c r="AE18" i="12" s="1"/>
  <c r="AE2" i="11"/>
  <c r="AE47" i="10"/>
  <c r="AE48" i="10"/>
  <c r="AE47" i="6"/>
  <c r="CC42" i="10"/>
  <c r="BC6" i="8"/>
  <c r="BC7" i="8" s="1"/>
  <c r="BC28" i="6"/>
  <c r="BC29" i="6" s="1"/>
  <c r="BC32" i="11" s="1"/>
  <c r="BC44" i="11" s="1"/>
  <c r="BC36" i="6"/>
  <c r="BC37" i="6" s="1"/>
  <c r="BC16" i="6"/>
  <c r="BC17" i="6" s="1"/>
  <c r="BC18" i="6" s="1"/>
  <c r="BW42" i="10"/>
  <c r="AB42" i="10"/>
  <c r="I17" i="12"/>
  <c r="I18" i="12" s="1"/>
  <c r="I2" i="11"/>
  <c r="I47" i="10"/>
  <c r="I47" i="6"/>
  <c r="AI17" i="12"/>
  <c r="AI18" i="12" s="1"/>
  <c r="AI2" i="11"/>
  <c r="AI47" i="10"/>
  <c r="AI48" i="10"/>
  <c r="AI47" i="6"/>
  <c r="BL6" i="8"/>
  <c r="BL7" i="8" s="1"/>
  <c r="BL28" i="6"/>
  <c r="BL29" i="6" s="1"/>
  <c r="BL32" i="11" s="1"/>
  <c r="BL44" i="11" s="1"/>
  <c r="BL36" i="6"/>
  <c r="BL37" i="6" s="1"/>
  <c r="BL16" i="6"/>
  <c r="BL17" i="6" s="1"/>
  <c r="BL18" i="6" s="1"/>
  <c r="AF17" i="12"/>
  <c r="AF18" i="12" s="1"/>
  <c r="AF2" i="11"/>
  <c r="AF47" i="10"/>
  <c r="AF48" i="10"/>
  <c r="AF47" i="6"/>
  <c r="BJ15" i="12"/>
  <c r="BJ16" i="12" s="1"/>
  <c r="BJ23" i="10"/>
  <c r="BJ24" i="10" s="1"/>
  <c r="BJ33" i="6"/>
  <c r="BJ34" i="6" s="1"/>
  <c r="AQ17" i="12"/>
  <c r="AQ18" i="12" s="1"/>
  <c r="AQ2" i="11"/>
  <c r="AQ47" i="10"/>
  <c r="AQ47" i="6"/>
  <c r="AQ48" i="10"/>
  <c r="C36" i="6"/>
  <c r="C37" i="6" s="1"/>
  <c r="C28" i="6"/>
  <c r="C29" i="6" s="1"/>
  <c r="C16" i="6"/>
  <c r="C17" i="6" s="1"/>
  <c r="BV17" i="12"/>
  <c r="BV18" i="12" s="1"/>
  <c r="BV2" i="11"/>
  <c r="BV47" i="10"/>
  <c r="BV49" i="10" s="1"/>
  <c r="BV47" i="6"/>
  <c r="BV48" i="10"/>
  <c r="B36" i="6"/>
  <c r="B37" i="6" s="1"/>
  <c r="B28" i="6"/>
  <c r="B29" i="6" s="1"/>
  <c r="B16" i="6"/>
  <c r="B17" i="6" s="1"/>
  <c r="BA6" i="8"/>
  <c r="BA7" i="8" s="1"/>
  <c r="BA36" i="6"/>
  <c r="BA37" i="6" s="1"/>
  <c r="BA28" i="6"/>
  <c r="BA29" i="6" s="1"/>
  <c r="BA32" i="11" s="1"/>
  <c r="BA44" i="11" s="1"/>
  <c r="BA16" i="6"/>
  <c r="BA17" i="6" s="1"/>
  <c r="BA18" i="6" s="1"/>
  <c r="X6" i="8"/>
  <c r="X7" i="8" s="1"/>
  <c r="X28" i="6"/>
  <c r="X29" i="6" s="1"/>
  <c r="X32" i="11" s="1"/>
  <c r="X44" i="11" s="1"/>
  <c r="X36" i="6"/>
  <c r="X37" i="6" s="1"/>
  <c r="X16" i="6"/>
  <c r="X17" i="6" s="1"/>
  <c r="X18" i="6" s="1"/>
  <c r="J6" i="8"/>
  <c r="J7" i="8" s="1"/>
  <c r="J36" i="6"/>
  <c r="J37" i="6" s="1"/>
  <c r="J28" i="6"/>
  <c r="J29" i="6" s="1"/>
  <c r="J32" i="11" s="1"/>
  <c r="J44" i="11" s="1"/>
  <c r="J16" i="6"/>
  <c r="J17" i="6" s="1"/>
  <c r="J18" i="6" s="1"/>
  <c r="AU17" i="12"/>
  <c r="AU18" i="12" s="1"/>
  <c r="AU2" i="11"/>
  <c r="AU47" i="10"/>
  <c r="AU48" i="10"/>
  <c r="AU47" i="6"/>
  <c r="BN17" i="12"/>
  <c r="BN18" i="12" s="1"/>
  <c r="BN2" i="11"/>
  <c r="BN47" i="10"/>
  <c r="BN47" i="6"/>
  <c r="BN48" i="10"/>
  <c r="BE42" i="10"/>
  <c r="BR5" i="11"/>
  <c r="CH5" i="11"/>
  <c r="CH50" i="10"/>
  <c r="BE6" i="8"/>
  <c r="BE7" i="8" s="1"/>
  <c r="BE36" i="6"/>
  <c r="BE37" i="6" s="1"/>
  <c r="BE28" i="6"/>
  <c r="BE29" i="6" s="1"/>
  <c r="BE32" i="11" s="1"/>
  <c r="BE44" i="11" s="1"/>
  <c r="BE16" i="6"/>
  <c r="BE17" i="6" s="1"/>
  <c r="BE18" i="6" s="1"/>
  <c r="AE6" i="8"/>
  <c r="AE7" i="8" s="1"/>
  <c r="AE28" i="6"/>
  <c r="AE29" i="6" s="1"/>
  <c r="AE32" i="11" s="1"/>
  <c r="AE44" i="11" s="1"/>
  <c r="AE36" i="6"/>
  <c r="AE37" i="6" s="1"/>
  <c r="AE16" i="6"/>
  <c r="AE17" i="6" s="1"/>
  <c r="AE18" i="6" s="1"/>
  <c r="AF42" i="10"/>
  <c r="BJ50" i="10"/>
  <c r="I6" i="8"/>
  <c r="I7" i="8" s="1"/>
  <c r="I36" i="6"/>
  <c r="I37" i="6" s="1"/>
  <c r="I28" i="6"/>
  <c r="I29" i="6" s="1"/>
  <c r="I32" i="11" s="1"/>
  <c r="I44" i="11" s="1"/>
  <c r="I16" i="6"/>
  <c r="I17" i="6" s="1"/>
  <c r="I18" i="6" s="1"/>
  <c r="CE42" i="10"/>
  <c r="BX36" i="6"/>
  <c r="BX37" i="6" s="1"/>
  <c r="BX28" i="6"/>
  <c r="BX29" i="6" s="1"/>
  <c r="BX32" i="11" s="1"/>
  <c r="BX44" i="11" s="1"/>
  <c r="BX16" i="6"/>
  <c r="BX17" i="6" s="1"/>
  <c r="BX18" i="6" s="1"/>
  <c r="P12" i="8"/>
  <c r="P11" i="8"/>
  <c r="AY14" i="9"/>
  <c r="AY28" i="9"/>
  <c r="AY13" i="9"/>
  <c r="AY33" i="9"/>
  <c r="AY26" i="9"/>
  <c r="G13" i="9"/>
  <c r="G28" i="9"/>
  <c r="G26" i="9"/>
  <c r="G14" i="9"/>
  <c r="G33" i="9"/>
  <c r="K12" i="8"/>
  <c r="K11" i="8"/>
  <c r="CF14" i="9"/>
  <c r="CF28" i="9"/>
  <c r="CF13" i="9"/>
  <c r="CF26" i="9"/>
  <c r="CF33" i="9"/>
  <c r="CK15" i="9"/>
  <c r="CK17" i="9"/>
  <c r="H12" i="8"/>
  <c r="H11" i="8"/>
  <c r="J26" i="9"/>
  <c r="J28" i="9"/>
  <c r="J14" i="9"/>
  <c r="J13" i="9"/>
  <c r="J33" i="9"/>
  <c r="X12" i="8"/>
  <c r="X11" i="8"/>
  <c r="AW13" i="9"/>
  <c r="AW14" i="9"/>
  <c r="AW28" i="9"/>
  <c r="AW26" i="9"/>
  <c r="AW33" i="9"/>
  <c r="BR12" i="8"/>
  <c r="BR11" i="8"/>
  <c r="V13" i="9"/>
  <c r="V28" i="9"/>
  <c r="V14" i="9"/>
  <c r="V33" i="9"/>
  <c r="V26" i="9"/>
  <c r="CJ13" i="9"/>
  <c r="CJ26" i="9"/>
  <c r="CJ28" i="9"/>
  <c r="CJ14" i="9"/>
  <c r="CJ33" i="9"/>
  <c r="AC13" i="9"/>
  <c r="AC28" i="9"/>
  <c r="AC14" i="9"/>
  <c r="AC26" i="9"/>
  <c r="AC33" i="9"/>
  <c r="AO13" i="9"/>
  <c r="AO14" i="9"/>
  <c r="AO28" i="9"/>
  <c r="AO26" i="9"/>
  <c r="AO33" i="9"/>
  <c r="S14" i="9"/>
  <c r="S85" i="9" s="1"/>
  <c r="S80" i="9" s="1"/>
  <c r="S28" i="9"/>
  <c r="S13" i="9"/>
  <c r="S82" i="9" s="1"/>
  <c r="S83" i="9" s="1"/>
  <c r="S26" i="9"/>
  <c r="S33" i="9"/>
  <c r="AQ12" i="8"/>
  <c r="AQ11" i="8"/>
  <c r="CI13" i="9"/>
  <c r="CI28" i="9"/>
  <c r="CI26" i="9"/>
  <c r="CI14" i="9"/>
  <c r="CI33" i="9"/>
  <c r="BM12" i="8"/>
  <c r="BM11" i="8"/>
  <c r="BC13" i="9"/>
  <c r="BC28" i="9"/>
  <c r="BC26" i="9"/>
  <c r="BC14" i="9"/>
  <c r="BC33" i="9"/>
  <c r="R12" i="8"/>
  <c r="R11" i="8"/>
  <c r="BK13" i="9"/>
  <c r="BK28" i="9"/>
  <c r="BK26" i="9"/>
  <c r="BK14" i="9"/>
  <c r="BK33" i="9"/>
  <c r="T12" i="8"/>
  <c r="T11" i="8"/>
  <c r="K14" i="9"/>
  <c r="K28" i="9"/>
  <c r="K13" i="9"/>
  <c r="K26" i="9"/>
  <c r="K33" i="9"/>
  <c r="BI12" i="8"/>
  <c r="BI11" i="8"/>
  <c r="H13" i="9"/>
  <c r="H26" i="9"/>
  <c r="H14" i="9"/>
  <c r="H28" i="9"/>
  <c r="H33" i="9"/>
  <c r="AV12" i="8"/>
  <c r="AV11" i="8"/>
  <c r="X13" i="9"/>
  <c r="X26" i="9"/>
  <c r="X14" i="9"/>
  <c r="X28" i="9"/>
  <c r="X33" i="9"/>
  <c r="AP12" i="8"/>
  <c r="AP11" i="8"/>
  <c r="AM13" i="9"/>
  <c r="AM28" i="9"/>
  <c r="AM14" i="9"/>
  <c r="AM26" i="9"/>
  <c r="AM33" i="9"/>
  <c r="BF12" i="8"/>
  <c r="BF11" i="8"/>
  <c r="BR13" i="9"/>
  <c r="BR28" i="9"/>
  <c r="BR14" i="9"/>
  <c r="BR26" i="9"/>
  <c r="BR33" i="9"/>
  <c r="BS12" i="8"/>
  <c r="BS11" i="8"/>
  <c r="AH12" i="8"/>
  <c r="AH11" i="8"/>
  <c r="CD28" i="9"/>
  <c r="CD26" i="9"/>
  <c r="CD14" i="9"/>
  <c r="CD13" i="9"/>
  <c r="CD33" i="9"/>
  <c r="BX14" i="9"/>
  <c r="BX28" i="9"/>
  <c r="BX13" i="9"/>
  <c r="BX26" i="9"/>
  <c r="BX33" i="9"/>
  <c r="M12" i="8"/>
  <c r="M11" i="8"/>
  <c r="AQ14" i="9"/>
  <c r="AQ28" i="9"/>
  <c r="AQ13" i="9"/>
  <c r="AQ26" i="9"/>
  <c r="AQ33" i="9"/>
  <c r="BM13" i="9"/>
  <c r="BM28" i="9"/>
  <c r="BM14" i="9"/>
  <c r="BM33" i="9"/>
  <c r="BM26" i="9"/>
  <c r="R28" i="9"/>
  <c r="R26" i="9"/>
  <c r="R14" i="9"/>
  <c r="R85" i="9" s="1"/>
  <c r="R80" i="9" s="1"/>
  <c r="R13" i="9"/>
  <c r="R82" i="9" s="1"/>
  <c r="R83" i="9" s="1"/>
  <c r="R33" i="9"/>
  <c r="T14" i="9"/>
  <c r="T85" i="9" s="1"/>
  <c r="T80" i="9" s="1"/>
  <c r="T28" i="9"/>
  <c r="T13" i="9"/>
  <c r="T82" i="9" s="1"/>
  <c r="T83" i="9" s="1"/>
  <c r="T26" i="9"/>
  <c r="T33" i="9"/>
  <c r="BN12" i="8"/>
  <c r="BN11" i="8"/>
  <c r="BI13" i="9"/>
  <c r="BI28" i="9"/>
  <c r="BI14" i="9"/>
  <c r="BI33" i="9"/>
  <c r="BI26" i="9"/>
  <c r="Q12" i="8"/>
  <c r="Q11" i="8"/>
  <c r="AV13" i="9"/>
  <c r="AV26" i="9"/>
  <c r="AV28" i="9"/>
  <c r="AV14" i="9"/>
  <c r="AV33" i="9"/>
  <c r="BH12" i="8"/>
  <c r="BH11" i="8"/>
  <c r="AP26" i="9"/>
  <c r="AP28" i="9"/>
  <c r="AP14" i="9"/>
  <c r="AP13" i="9"/>
  <c r="AP33" i="9"/>
  <c r="AD12" i="8"/>
  <c r="AD11" i="8"/>
  <c r="BF28" i="9"/>
  <c r="BF26" i="9"/>
  <c r="BF14" i="9"/>
  <c r="BF13" i="9"/>
  <c r="BF33" i="9"/>
  <c r="AB12" i="8"/>
  <c r="AB11" i="8"/>
  <c r="AH26" i="9"/>
  <c r="AH28" i="9"/>
  <c r="AH14" i="9"/>
  <c r="AH13" i="9"/>
  <c r="AH33" i="9"/>
  <c r="AZ12" i="8"/>
  <c r="AZ11" i="8"/>
  <c r="F12" i="8"/>
  <c r="F11" i="8"/>
  <c r="CB13" i="9"/>
  <c r="CB26" i="9"/>
  <c r="CB14" i="9"/>
  <c r="CB28" i="9"/>
  <c r="CB33" i="9"/>
  <c r="O12" i="8"/>
  <c r="O11" i="8"/>
  <c r="BV26" i="9"/>
  <c r="BV28" i="9"/>
  <c r="BV14" i="9"/>
  <c r="BV13" i="9"/>
  <c r="BV33" i="9"/>
  <c r="BQ12" i="8"/>
  <c r="BQ11" i="8"/>
  <c r="BN26" i="9"/>
  <c r="BN28" i="9"/>
  <c r="BN14" i="9"/>
  <c r="BN13" i="9"/>
  <c r="BN33" i="9"/>
  <c r="BA12" i="8"/>
  <c r="BA11" i="8"/>
  <c r="E12" i="8"/>
  <c r="E11" i="8"/>
  <c r="Q13" i="9"/>
  <c r="Q82" i="9" s="1"/>
  <c r="Q83" i="9" s="1"/>
  <c r="Q28" i="9"/>
  <c r="Q14" i="9"/>
  <c r="Q85" i="9" s="1"/>
  <c r="Q80" i="9" s="1"/>
  <c r="Q26" i="9"/>
  <c r="Q33" i="9"/>
  <c r="Z12" i="8"/>
  <c r="Z11" i="8"/>
  <c r="BH14" i="9"/>
  <c r="BH28" i="9"/>
  <c r="BH13" i="9"/>
  <c r="BH26" i="9"/>
  <c r="BH33" i="9"/>
  <c r="AD13" i="9"/>
  <c r="AD28" i="9"/>
  <c r="AD14" i="9"/>
  <c r="AD26" i="9"/>
  <c r="AD33" i="9"/>
  <c r="AK12" i="8"/>
  <c r="AK11" i="8"/>
  <c r="AB14" i="9"/>
  <c r="AB28" i="9"/>
  <c r="AB13" i="9"/>
  <c r="AB26" i="9"/>
  <c r="AB33" i="9"/>
  <c r="BS13" i="9"/>
  <c r="BS28" i="9"/>
  <c r="BS14" i="9"/>
  <c r="BS26" i="9"/>
  <c r="BS33" i="9"/>
  <c r="AN12" i="8"/>
  <c r="AN11" i="8"/>
  <c r="AZ14" i="9"/>
  <c r="AZ28" i="9"/>
  <c r="AZ13" i="9"/>
  <c r="AZ26" i="9"/>
  <c r="AZ33" i="9"/>
  <c r="M13" i="9"/>
  <c r="M28" i="9"/>
  <c r="M14" i="9"/>
  <c r="M33" i="9"/>
  <c r="M26" i="9"/>
  <c r="BE12" i="8"/>
  <c r="BE11" i="8"/>
  <c r="BJ12" i="8"/>
  <c r="BJ11" i="8"/>
  <c r="BU12" i="8"/>
  <c r="BU11" i="8"/>
  <c r="BU13" i="9"/>
  <c r="BU28" i="9"/>
  <c r="BU14" i="9"/>
  <c r="BU26" i="9"/>
  <c r="BU33" i="9"/>
  <c r="AS13" i="9"/>
  <c r="AS28" i="9"/>
  <c r="AS14" i="9"/>
  <c r="AS33" i="9"/>
  <c r="AS26" i="9"/>
  <c r="AI12" i="8"/>
  <c r="AI11" i="8"/>
  <c r="CA13" i="9"/>
  <c r="CA28" i="9"/>
  <c r="CA26" i="9"/>
  <c r="CA14" i="9"/>
  <c r="CA33" i="9"/>
  <c r="G12" i="8"/>
  <c r="G11" i="8"/>
  <c r="AE12" i="8"/>
  <c r="AE11" i="8"/>
  <c r="BA13" i="9"/>
  <c r="BA28" i="9"/>
  <c r="BA14" i="9"/>
  <c r="BA33" i="9"/>
  <c r="BA26" i="9"/>
  <c r="BG12" i="8"/>
  <c r="BG11" i="8"/>
  <c r="Z28" i="9"/>
  <c r="Z26" i="9"/>
  <c r="Z14" i="9"/>
  <c r="Z13" i="9"/>
  <c r="Z33" i="9"/>
  <c r="W12" i="8"/>
  <c r="W11" i="8"/>
  <c r="AT12" i="8"/>
  <c r="AT11" i="8"/>
  <c r="AG12" i="8"/>
  <c r="AG11" i="8"/>
  <c r="AN26" i="9"/>
  <c r="AN28" i="9"/>
  <c r="AN13" i="9"/>
  <c r="AN14" i="9"/>
  <c r="AN33" i="9"/>
  <c r="AJ12" i="8"/>
  <c r="AJ11" i="8"/>
  <c r="BO12" i="8"/>
  <c r="BO11" i="8"/>
  <c r="F13" i="9"/>
  <c r="F28" i="9"/>
  <c r="F14" i="9"/>
  <c r="F33" i="9"/>
  <c r="F26" i="9"/>
  <c r="N12" i="8"/>
  <c r="N11" i="8"/>
  <c r="BE13" i="9"/>
  <c r="BE28" i="9"/>
  <c r="BE14" i="9"/>
  <c r="BE26" i="9"/>
  <c r="BE33" i="9"/>
  <c r="BJ13" i="9"/>
  <c r="BJ28" i="9"/>
  <c r="BJ14" i="9"/>
  <c r="BJ26" i="9"/>
  <c r="BJ33" i="9"/>
  <c r="BP12" i="8"/>
  <c r="BP11" i="8"/>
  <c r="AI14" i="9"/>
  <c r="AI28" i="9"/>
  <c r="AI13" i="9"/>
  <c r="AI26" i="9"/>
  <c r="AI33" i="9"/>
  <c r="BQ13" i="9"/>
  <c r="BQ28" i="9"/>
  <c r="BQ14" i="9"/>
  <c r="BQ33" i="9"/>
  <c r="BQ26" i="9"/>
  <c r="AA12" i="8"/>
  <c r="AA11" i="8"/>
  <c r="E13" i="9"/>
  <c r="E20" i="9"/>
  <c r="E28" i="9"/>
  <c r="E14" i="9"/>
  <c r="E26" i="9"/>
  <c r="E33" i="9"/>
  <c r="AX12" i="8"/>
  <c r="AX11" i="8"/>
  <c r="AL12" i="8"/>
  <c r="AL11" i="8"/>
  <c r="AT13" i="9"/>
  <c r="AT28" i="9"/>
  <c r="AT14" i="9"/>
  <c r="AT33" i="9"/>
  <c r="AT26" i="9"/>
  <c r="AK13" i="9"/>
  <c r="AK28" i="9"/>
  <c r="AK14" i="9"/>
  <c r="AK26" i="9"/>
  <c r="AK33" i="9"/>
  <c r="AU12" i="8"/>
  <c r="AU11" i="8"/>
  <c r="AG13" i="9"/>
  <c r="AG28" i="9"/>
  <c r="AG14" i="9"/>
  <c r="AG33" i="9"/>
  <c r="AG26" i="9"/>
  <c r="AJ14" i="9"/>
  <c r="AJ28" i="9"/>
  <c r="AJ13" i="9"/>
  <c r="AJ33" i="9"/>
  <c r="AJ26" i="9"/>
  <c r="BO14" i="9"/>
  <c r="BO28" i="9"/>
  <c r="BO13" i="9"/>
  <c r="BO26" i="9"/>
  <c r="BO33" i="9"/>
  <c r="L12" i="8"/>
  <c r="L11" i="8"/>
  <c r="N13" i="9"/>
  <c r="N82" i="9" s="1"/>
  <c r="N83" i="9" s="1"/>
  <c r="N28" i="9"/>
  <c r="N14" i="9"/>
  <c r="N85" i="9" s="1"/>
  <c r="N80" i="9" s="1"/>
  <c r="N26" i="9"/>
  <c r="N33" i="9"/>
  <c r="CG13" i="9"/>
  <c r="CG28" i="9"/>
  <c r="CG14" i="9"/>
  <c r="CG33" i="9"/>
  <c r="CG26" i="9"/>
  <c r="AF12" i="8"/>
  <c r="AF11" i="8"/>
  <c r="P13" i="9"/>
  <c r="P82" i="9" s="1"/>
  <c r="P83" i="9" s="1"/>
  <c r="P26" i="9"/>
  <c r="P14" i="9"/>
  <c r="P85" i="9" s="1"/>
  <c r="P80" i="9" s="1"/>
  <c r="P28" i="9"/>
  <c r="P33" i="9"/>
  <c r="BW14" i="9"/>
  <c r="BW28" i="9"/>
  <c r="BW13" i="9"/>
  <c r="BW26" i="9"/>
  <c r="BW33" i="9"/>
  <c r="O13" i="9"/>
  <c r="O82" i="9" s="1"/>
  <c r="O83" i="9" s="1"/>
  <c r="O28" i="9"/>
  <c r="O26" i="9"/>
  <c r="O14" i="9"/>
  <c r="O85" i="9" s="1"/>
  <c r="O80" i="9" s="1"/>
  <c r="O33" i="9"/>
  <c r="AY12" i="8"/>
  <c r="AY11" i="8"/>
  <c r="BB12" i="8"/>
  <c r="BB11" i="8"/>
  <c r="Y12" i="8"/>
  <c r="Y11" i="8"/>
  <c r="BL12" i="8"/>
  <c r="BL11" i="8"/>
  <c r="AX28" i="9"/>
  <c r="AX26" i="9"/>
  <c r="AX14" i="9"/>
  <c r="AX13" i="9"/>
  <c r="AX33" i="9"/>
  <c r="BG14" i="9"/>
  <c r="BG28" i="9"/>
  <c r="BG13" i="9"/>
  <c r="BG26" i="9"/>
  <c r="BG33" i="9"/>
  <c r="BD12" i="8"/>
  <c r="BD11" i="8"/>
  <c r="AL13" i="9"/>
  <c r="AL28" i="9"/>
  <c r="AL14" i="9"/>
  <c r="AL33" i="9"/>
  <c r="AL26" i="9"/>
  <c r="AR12" i="8"/>
  <c r="AR11" i="8"/>
  <c r="I12" i="8"/>
  <c r="I11" i="8"/>
  <c r="CC13" i="9"/>
  <c r="CC28" i="9"/>
  <c r="CC14" i="9"/>
  <c r="CC26" i="9"/>
  <c r="CC33" i="9"/>
  <c r="L14" i="9"/>
  <c r="L28" i="9"/>
  <c r="L13" i="9"/>
  <c r="L26" i="9"/>
  <c r="L33" i="9"/>
  <c r="S12" i="8"/>
  <c r="S11" i="8"/>
  <c r="AF13" i="9"/>
  <c r="AF26" i="9"/>
  <c r="AF28" i="9"/>
  <c r="AF14" i="9"/>
  <c r="AF33" i="9"/>
  <c r="U12" i="8"/>
  <c r="U11" i="8"/>
  <c r="AS12" i="8"/>
  <c r="AS11" i="8"/>
  <c r="BT12" i="8"/>
  <c r="BT11" i="8"/>
  <c r="BP14" i="9"/>
  <c r="BP28" i="9"/>
  <c r="BP13" i="9"/>
  <c r="BP26" i="9"/>
  <c r="BP33" i="9"/>
  <c r="BT13" i="9"/>
  <c r="BT26" i="9"/>
  <c r="BT14" i="9"/>
  <c r="BT28" i="9"/>
  <c r="BT33" i="9"/>
  <c r="CE14" i="9"/>
  <c r="CE28" i="9"/>
  <c r="CE13" i="9"/>
  <c r="CE33" i="9"/>
  <c r="CE26" i="9"/>
  <c r="CH13" i="9"/>
  <c r="CH14" i="9"/>
  <c r="CH28" i="9"/>
  <c r="CH33" i="9"/>
  <c r="CH26" i="9"/>
  <c r="BC12" i="8"/>
  <c r="BC11" i="8"/>
  <c r="BB13" i="9"/>
  <c r="BB28" i="9"/>
  <c r="BB14" i="9"/>
  <c r="BB33" i="9"/>
  <c r="BB26" i="9"/>
  <c r="BK12" i="8"/>
  <c r="BK11" i="8"/>
  <c r="AE13" i="9"/>
  <c r="AE28" i="9"/>
  <c r="AE14" i="9"/>
  <c r="AE26" i="9"/>
  <c r="AE33" i="9"/>
  <c r="Y13" i="9"/>
  <c r="Y28" i="9"/>
  <c r="Y14" i="9"/>
  <c r="Y26" i="9"/>
  <c r="Y33" i="9"/>
  <c r="AA14" i="9"/>
  <c r="AA28" i="9"/>
  <c r="AA13" i="9"/>
  <c r="AA33" i="9"/>
  <c r="AA26" i="9"/>
  <c r="BZ13" i="9"/>
  <c r="BZ28" i="9"/>
  <c r="BZ14" i="9"/>
  <c r="BZ33" i="9"/>
  <c r="BZ26" i="9"/>
  <c r="BL13" i="9"/>
  <c r="BL26" i="9"/>
  <c r="BL28" i="9"/>
  <c r="BL14" i="9"/>
  <c r="BL33" i="9"/>
  <c r="J12" i="8"/>
  <c r="J11" i="8"/>
  <c r="BD13" i="9"/>
  <c r="BD26" i="9"/>
  <c r="BD28" i="9"/>
  <c r="BD14" i="9"/>
  <c r="BD33" i="9"/>
  <c r="AW12" i="8"/>
  <c r="AW11" i="8"/>
  <c r="W13" i="9"/>
  <c r="W28" i="9"/>
  <c r="W26" i="9"/>
  <c r="W14" i="9"/>
  <c r="W33" i="9"/>
  <c r="BY13" i="9"/>
  <c r="BY28" i="9"/>
  <c r="BY14" i="9"/>
  <c r="BY33" i="9"/>
  <c r="BY26" i="9"/>
  <c r="AM12" i="8"/>
  <c r="AM11" i="8"/>
  <c r="AR14" i="9"/>
  <c r="AR28" i="9"/>
  <c r="AR13" i="9"/>
  <c r="AR33" i="9"/>
  <c r="AR26" i="9"/>
  <c r="AU13" i="9"/>
  <c r="AU28" i="9"/>
  <c r="AU26" i="9"/>
  <c r="AU14" i="9"/>
  <c r="AU33" i="9"/>
  <c r="V12" i="8"/>
  <c r="V11" i="8"/>
  <c r="I13" i="9"/>
  <c r="I28" i="9"/>
  <c r="I14" i="9"/>
  <c r="I26" i="9"/>
  <c r="I33" i="9"/>
  <c r="AC12" i="8"/>
  <c r="AC11" i="8"/>
  <c r="AO12" i="8"/>
  <c r="AO11" i="8"/>
  <c r="U13" i="9"/>
  <c r="U82" i="9" s="1"/>
  <c r="U83" i="9" s="1"/>
  <c r="U28" i="9"/>
  <c r="U14" i="9"/>
  <c r="U85" i="9" s="1"/>
  <c r="U80" i="9" s="1"/>
  <c r="U26" i="9"/>
  <c r="U33" i="9"/>
  <c r="F19" i="13"/>
  <c r="BZ49" i="10" l="1"/>
  <c r="BY49" i="10"/>
  <c r="AP49" i="10"/>
  <c r="J49" i="10"/>
  <c r="AT13" i="11"/>
  <c r="BB4" i="11"/>
  <c r="CH23" i="10"/>
  <c r="CH24" i="10" s="1"/>
  <c r="BB12" i="11"/>
  <c r="BB14" i="11" s="1"/>
  <c r="BB13" i="8" s="1"/>
  <c r="CH15" i="12"/>
  <c r="CH16" i="12" s="1"/>
  <c r="AL33" i="6"/>
  <c r="AL34" i="6" s="1"/>
  <c r="AT15" i="12"/>
  <c r="AT16" i="12" s="1"/>
  <c r="BJ4" i="11"/>
  <c r="AL23" i="10"/>
  <c r="AL24" i="10" s="1"/>
  <c r="BJ12" i="11"/>
  <c r="BJ14" i="11" s="1"/>
  <c r="BJ13" i="8" s="1"/>
  <c r="BF49" i="10"/>
  <c r="AT33" i="6"/>
  <c r="AT34" i="6" s="1"/>
  <c r="AT23" i="10"/>
  <c r="AT24" i="10" s="1"/>
  <c r="BC49" i="10"/>
  <c r="AT50" i="10"/>
  <c r="BW49" i="10"/>
  <c r="N33" i="6"/>
  <c r="N34" i="6" s="1"/>
  <c r="BQ49" i="10"/>
  <c r="AX49" i="10"/>
  <c r="N23" i="10"/>
  <c r="N24" i="10" s="1"/>
  <c r="N15" i="12"/>
  <c r="N16" i="12" s="1"/>
  <c r="AL13" i="8"/>
  <c r="F59" i="9"/>
  <c r="V24" i="10"/>
  <c r="V56" i="10"/>
  <c r="V57" i="10" s="1"/>
  <c r="G62" i="9"/>
  <c r="S62" i="9"/>
  <c r="P84" i="9"/>
  <c r="N13" i="8"/>
  <c r="S84" i="9"/>
  <c r="N84" i="9"/>
  <c r="K74" i="9"/>
  <c r="K85" i="9"/>
  <c r="K80" i="9" s="1"/>
  <c r="I71" i="9"/>
  <c r="I82" i="9"/>
  <c r="I83" i="9" s="1"/>
  <c r="O84" i="9"/>
  <c r="AT13" i="8"/>
  <c r="R84" i="9"/>
  <c r="S59" i="9"/>
  <c r="G59" i="9"/>
  <c r="U59" i="9"/>
  <c r="N59" i="9"/>
  <c r="L74" i="9"/>
  <c r="L70" i="9" s="1"/>
  <c r="L85" i="9"/>
  <c r="L80" i="9" s="1"/>
  <c r="J71" i="9"/>
  <c r="J82" i="9"/>
  <c r="J83" i="9" s="1"/>
  <c r="M62" i="9"/>
  <c r="G74" i="9"/>
  <c r="G85" i="9"/>
  <c r="G80" i="9" s="1"/>
  <c r="F74" i="9"/>
  <c r="F70" i="9" s="1"/>
  <c r="F85" i="9"/>
  <c r="J74" i="9"/>
  <c r="J70" i="9" s="1"/>
  <c r="J85" i="9"/>
  <c r="J80" i="9" s="1"/>
  <c r="Q84" i="9"/>
  <c r="AD13" i="8"/>
  <c r="P59" i="9"/>
  <c r="F71" i="9"/>
  <c r="F82" i="9"/>
  <c r="F83" i="9" s="1"/>
  <c r="T84" i="9"/>
  <c r="K71" i="9"/>
  <c r="K82" i="9"/>
  <c r="K83" i="9" s="1"/>
  <c r="G71" i="9"/>
  <c r="G82" i="9"/>
  <c r="G83" i="9" s="1"/>
  <c r="N62" i="9"/>
  <c r="I74" i="9"/>
  <c r="I85" i="9"/>
  <c r="I80" i="9" s="1"/>
  <c r="M74" i="9"/>
  <c r="M70" i="9" s="1"/>
  <c r="M85" i="9"/>
  <c r="M80" i="9" s="1"/>
  <c r="H74" i="9"/>
  <c r="H85" i="9"/>
  <c r="H80" i="9" s="1"/>
  <c r="U84" i="9"/>
  <c r="L71" i="9"/>
  <c r="L82" i="9"/>
  <c r="L83" i="9" s="1"/>
  <c r="M71" i="9"/>
  <c r="M82" i="9"/>
  <c r="M83" i="9" s="1"/>
  <c r="H71" i="9"/>
  <c r="H82" i="9"/>
  <c r="H83" i="9" s="1"/>
  <c r="AD13" i="11"/>
  <c r="N13" i="11"/>
  <c r="AT4" i="11"/>
  <c r="AD4" i="11"/>
  <c r="BR12" i="11"/>
  <c r="BR14" i="11" s="1"/>
  <c r="BR13" i="8" s="1"/>
  <c r="N74" i="9"/>
  <c r="N51" i="9"/>
  <c r="N47" i="9"/>
  <c r="N48" i="9"/>
  <c r="N49" i="9"/>
  <c r="U74" i="9"/>
  <c r="U51" i="9"/>
  <c r="U48" i="9"/>
  <c r="U47" i="9"/>
  <c r="U49" i="9"/>
  <c r="O74" i="9"/>
  <c r="O51" i="9"/>
  <c r="O48" i="9"/>
  <c r="O47" i="9"/>
  <c r="O49" i="9"/>
  <c r="E82" i="9"/>
  <c r="E83" i="9" s="1"/>
  <c r="E71" i="9"/>
  <c r="T50" i="9"/>
  <c r="T71" i="9"/>
  <c r="K59" i="9"/>
  <c r="J59" i="9"/>
  <c r="O59" i="9"/>
  <c r="N50" i="9"/>
  <c r="N71" i="9"/>
  <c r="L59" i="9"/>
  <c r="U50" i="9"/>
  <c r="U71" i="9"/>
  <c r="T74" i="9"/>
  <c r="T51" i="9"/>
  <c r="T48" i="9"/>
  <c r="T47" i="9"/>
  <c r="T49" i="9"/>
  <c r="T59" i="9"/>
  <c r="H59" i="9"/>
  <c r="I59" i="9"/>
  <c r="E59" i="9"/>
  <c r="F62" i="9"/>
  <c r="O71" i="9"/>
  <c r="O50" i="9"/>
  <c r="P74" i="9"/>
  <c r="P51" i="9"/>
  <c r="P48" i="9"/>
  <c r="P47" i="9"/>
  <c r="P49" i="9"/>
  <c r="R62" i="9"/>
  <c r="H62" i="9"/>
  <c r="K62" i="9"/>
  <c r="P62" i="9"/>
  <c r="J62" i="9"/>
  <c r="U62" i="9"/>
  <c r="Q62" i="9"/>
  <c r="Q74" i="9"/>
  <c r="Q51" i="9"/>
  <c r="Q48" i="9"/>
  <c r="Q47" i="9"/>
  <c r="Q49" i="9"/>
  <c r="R50" i="9"/>
  <c r="R71" i="9"/>
  <c r="S50" i="9"/>
  <c r="S71" i="9"/>
  <c r="T62" i="9"/>
  <c r="L62" i="9"/>
  <c r="E62" i="9"/>
  <c r="Q59" i="9"/>
  <c r="P71" i="9"/>
  <c r="P50" i="9"/>
  <c r="E74" i="9"/>
  <c r="E85" i="9"/>
  <c r="E80" i="9" s="1"/>
  <c r="R51" i="9"/>
  <c r="R74" i="9"/>
  <c r="R48" i="9"/>
  <c r="R47" i="9"/>
  <c r="R49" i="9"/>
  <c r="R59" i="9"/>
  <c r="I62" i="9"/>
  <c r="O62" i="9"/>
  <c r="Q71" i="9"/>
  <c r="Q50" i="9"/>
  <c r="S74" i="9"/>
  <c r="S51" i="9"/>
  <c r="S48" i="9"/>
  <c r="S47" i="9"/>
  <c r="S49" i="9"/>
  <c r="M59" i="9"/>
  <c r="N4" i="11"/>
  <c r="BR4" i="11"/>
  <c r="BN49" i="10"/>
  <c r="N50" i="10"/>
  <c r="BR23" i="10"/>
  <c r="BR24" i="10" s="1"/>
  <c r="BR15" i="12"/>
  <c r="BR16" i="12" s="1"/>
  <c r="AL15" i="12"/>
  <c r="AL16" i="12" s="1"/>
  <c r="BR33" i="6"/>
  <c r="BR34" i="6" s="1"/>
  <c r="BB50" i="10"/>
  <c r="AD50" i="10"/>
  <c r="BH49" i="10"/>
  <c r="V5" i="11"/>
  <c r="BB33" i="6"/>
  <c r="BB34" i="6" s="1"/>
  <c r="BB23" i="10"/>
  <c r="BB24" i="10" s="1"/>
  <c r="BB15" i="12"/>
  <c r="BB16" i="12" s="1"/>
  <c r="BM49" i="10"/>
  <c r="BO49" i="10"/>
  <c r="BP49" i="10"/>
  <c r="AS49" i="10"/>
  <c r="AD33" i="6"/>
  <c r="AD34" i="6" s="1"/>
  <c r="AD15" i="12"/>
  <c r="AD16" i="12" s="1"/>
  <c r="CB49" i="10"/>
  <c r="CC49" i="10"/>
  <c r="AL50" i="10"/>
  <c r="AH49" i="10"/>
  <c r="Z49" i="10"/>
  <c r="V12" i="11"/>
  <c r="V14" i="11" s="1"/>
  <c r="V13" i="8" s="1"/>
  <c r="F50" i="10"/>
  <c r="AD23" i="10"/>
  <c r="AD24" i="10" s="1"/>
  <c r="AU49" i="10"/>
  <c r="R49" i="10"/>
  <c r="V4" i="11"/>
  <c r="AY49" i="10"/>
  <c r="BA49" i="10"/>
  <c r="F23" i="10"/>
  <c r="F4" i="11"/>
  <c r="F15" i="12"/>
  <c r="F16" i="12" s="1"/>
  <c r="F12" i="11"/>
  <c r="F14" i="11" s="1"/>
  <c r="F13" i="8" s="1"/>
  <c r="F33" i="6"/>
  <c r="F34" i="6" s="1"/>
  <c r="BT49" i="10"/>
  <c r="AT49" i="10"/>
  <c r="AR49" i="10"/>
  <c r="BK49" i="10"/>
  <c r="J50" i="9"/>
  <c r="F50" i="9"/>
  <c r="I50" i="9"/>
  <c r="M50" i="9"/>
  <c r="L50" i="9"/>
  <c r="K50" i="9"/>
  <c r="G50" i="9"/>
  <c r="H51" i="9"/>
  <c r="H48" i="9"/>
  <c r="H47" i="9"/>
  <c r="H49" i="9"/>
  <c r="L51" i="9"/>
  <c r="L47" i="9"/>
  <c r="L48" i="9"/>
  <c r="L49" i="9"/>
  <c r="K51" i="9"/>
  <c r="K48" i="9"/>
  <c r="K47" i="9"/>
  <c r="K49" i="9"/>
  <c r="E51" i="9"/>
  <c r="E48" i="9"/>
  <c r="E47" i="9"/>
  <c r="E49" i="9"/>
  <c r="F51" i="9"/>
  <c r="F47" i="9"/>
  <c r="F48" i="9"/>
  <c r="F49" i="9"/>
  <c r="H50" i="9"/>
  <c r="G51" i="9"/>
  <c r="G47" i="9"/>
  <c r="G48" i="9"/>
  <c r="G49" i="9"/>
  <c r="E50" i="9"/>
  <c r="J51" i="9"/>
  <c r="J48" i="9"/>
  <c r="J47" i="9"/>
  <c r="J49" i="9"/>
  <c r="I51" i="9"/>
  <c r="I48" i="9"/>
  <c r="I47" i="9"/>
  <c r="I49" i="9"/>
  <c r="M51" i="9"/>
  <c r="M48" i="9"/>
  <c r="M47" i="9"/>
  <c r="M49" i="9"/>
  <c r="K39" i="13"/>
  <c r="N49" i="10"/>
  <c r="Y49" i="10"/>
  <c r="AF49" i="10"/>
  <c r="F69" i="13"/>
  <c r="L69" i="13" s="1"/>
  <c r="F66" i="13"/>
  <c r="F70" i="13"/>
  <c r="L70" i="13" s="1"/>
  <c r="K66" i="13"/>
  <c r="J66" i="13"/>
  <c r="K65" i="13"/>
  <c r="F65" i="13"/>
  <c r="J65" i="13"/>
  <c r="K64" i="13"/>
  <c r="J64" i="13"/>
  <c r="W49" i="10"/>
  <c r="V49" i="10"/>
  <c r="X49" i="10"/>
  <c r="O49" i="10"/>
  <c r="I49" i="10"/>
  <c r="AL49" i="10"/>
  <c r="AD49" i="10"/>
  <c r="L49" i="10"/>
  <c r="G49" i="10"/>
  <c r="AC49" i="10"/>
  <c r="AI49" i="10"/>
  <c r="F49" i="10"/>
  <c r="U49" i="10"/>
  <c r="AG49" i="10"/>
  <c r="I15" i="12"/>
  <c r="I16" i="12" s="1"/>
  <c r="I23" i="10"/>
  <c r="I33" i="6"/>
  <c r="I34" i="6" s="1"/>
  <c r="BV12" i="11"/>
  <c r="BV14" i="11" s="1"/>
  <c r="BV13" i="8" s="1"/>
  <c r="BV4" i="11"/>
  <c r="BV13" i="11"/>
  <c r="AE15" i="12"/>
  <c r="AE16" i="12" s="1"/>
  <c r="AE23" i="10"/>
  <c r="AE24" i="10" s="1"/>
  <c r="AE33" i="6"/>
  <c r="AE34" i="6" s="1"/>
  <c r="BN12" i="11"/>
  <c r="BN14" i="11" s="1"/>
  <c r="BN13" i="8" s="1"/>
  <c r="BN4" i="11"/>
  <c r="BN13" i="11"/>
  <c r="AQ49" i="10"/>
  <c r="BC15" i="12"/>
  <c r="BC16" i="12" s="1"/>
  <c r="BC23" i="10"/>
  <c r="BC24" i="10" s="1"/>
  <c r="BC33" i="6"/>
  <c r="BC34" i="6" s="1"/>
  <c r="AE12" i="11"/>
  <c r="AE14" i="11" s="1"/>
  <c r="AE13" i="8" s="1"/>
  <c r="AE13" i="11"/>
  <c r="AE4" i="11"/>
  <c r="BD50" i="10"/>
  <c r="BD5" i="11"/>
  <c r="CA15" i="12"/>
  <c r="CA16" i="12" s="1"/>
  <c r="CA23" i="10"/>
  <c r="CA24" i="10" s="1"/>
  <c r="CA33" i="6"/>
  <c r="CA34" i="6" s="1"/>
  <c r="W12" i="11"/>
  <c r="W14" i="11" s="1"/>
  <c r="W13" i="8" s="1"/>
  <c r="W13" i="11"/>
  <c r="W4" i="11"/>
  <c r="AM5" i="11"/>
  <c r="AM50" i="10"/>
  <c r="BI13" i="11"/>
  <c r="BI12" i="11"/>
  <c r="BI14" i="11" s="1"/>
  <c r="BI13" i="8" s="1"/>
  <c r="BI4" i="11"/>
  <c r="T49" i="10"/>
  <c r="CJ15" i="12"/>
  <c r="CJ16" i="12" s="1"/>
  <c r="CJ23" i="10"/>
  <c r="CJ24" i="10" s="1"/>
  <c r="CJ33" i="6"/>
  <c r="CJ34" i="6" s="1"/>
  <c r="AR13" i="11"/>
  <c r="AR12" i="11"/>
  <c r="AR14" i="11" s="1"/>
  <c r="AR13" i="8" s="1"/>
  <c r="AR4" i="11"/>
  <c r="P49" i="10"/>
  <c r="BO50" i="10"/>
  <c r="BO5" i="11"/>
  <c r="AY50" i="10"/>
  <c r="AY5" i="11"/>
  <c r="BB49" i="10"/>
  <c r="CE49" i="10"/>
  <c r="AB5" i="11"/>
  <c r="AB50" i="10"/>
  <c r="AW15" i="12"/>
  <c r="AW16" i="12" s="1"/>
  <c r="AW23" i="10"/>
  <c r="AW24" i="10" s="1"/>
  <c r="AW33" i="6"/>
  <c r="AW34" i="6" s="1"/>
  <c r="BX5" i="11"/>
  <c r="BX50" i="10"/>
  <c r="AN15" i="12"/>
  <c r="AN16" i="12" s="1"/>
  <c r="AN23" i="10"/>
  <c r="AN24" i="10" s="1"/>
  <c r="AN33" i="6"/>
  <c r="AN34" i="6" s="1"/>
  <c r="CD12" i="11"/>
  <c r="CD14" i="11" s="1"/>
  <c r="CD4" i="11"/>
  <c r="CD13" i="11"/>
  <c r="AV50" i="10"/>
  <c r="AV5" i="11"/>
  <c r="AN50" i="10"/>
  <c r="AN5" i="11"/>
  <c r="BE12" i="11"/>
  <c r="BE14" i="11" s="1"/>
  <c r="BE13" i="8" s="1"/>
  <c r="BE4" i="11"/>
  <c r="BE13" i="11"/>
  <c r="AP12" i="11"/>
  <c r="AP14" i="11" s="1"/>
  <c r="AP13" i="8" s="1"/>
  <c r="AP13" i="11"/>
  <c r="AP4" i="11"/>
  <c r="AY15" i="12"/>
  <c r="AY16" i="12" s="1"/>
  <c r="AY23" i="10"/>
  <c r="AY24" i="10" s="1"/>
  <c r="AY33" i="6"/>
  <c r="AY34" i="6" s="1"/>
  <c r="AO50" i="10"/>
  <c r="AO5" i="11"/>
  <c r="CE15" i="12"/>
  <c r="CE16" i="12" s="1"/>
  <c r="CE23" i="10"/>
  <c r="CE24" i="10" s="1"/>
  <c r="CE33" i="6"/>
  <c r="CE34" i="6" s="1"/>
  <c r="BS15" i="12"/>
  <c r="BS16" i="12" s="1"/>
  <c r="BS23" i="10"/>
  <c r="BS24" i="10" s="1"/>
  <c r="BS33" i="6"/>
  <c r="BS34" i="6" s="1"/>
  <c r="AF15" i="12"/>
  <c r="AF16" i="12" s="1"/>
  <c r="AF23" i="10"/>
  <c r="AF24" i="10" s="1"/>
  <c r="AF33" i="6"/>
  <c r="AF34" i="6" s="1"/>
  <c r="J12" i="11"/>
  <c r="J14" i="11" s="1"/>
  <c r="J13" i="8" s="1"/>
  <c r="J13" i="11"/>
  <c r="J4" i="11"/>
  <c r="BH13" i="11"/>
  <c r="BH12" i="11"/>
  <c r="BH14" i="11" s="1"/>
  <c r="BH13" i="8" s="1"/>
  <c r="BH4" i="11"/>
  <c r="BY5" i="11"/>
  <c r="BY50" i="10"/>
  <c r="AX12" i="11"/>
  <c r="AX14" i="11" s="1"/>
  <c r="AX13" i="8" s="1"/>
  <c r="AX4" i="11"/>
  <c r="AX13" i="11"/>
  <c r="AU15" i="12"/>
  <c r="AU16" i="12" s="1"/>
  <c r="AU23" i="10"/>
  <c r="AU24" i="10" s="1"/>
  <c r="AU33" i="6"/>
  <c r="AU34" i="6" s="1"/>
  <c r="L5" i="11"/>
  <c r="L50" i="10"/>
  <c r="P15" i="12"/>
  <c r="P16" i="12" s="1"/>
  <c r="P23" i="10"/>
  <c r="P33" i="6"/>
  <c r="P34" i="6" s="1"/>
  <c r="T13" i="11"/>
  <c r="T12" i="11"/>
  <c r="T14" i="11" s="1"/>
  <c r="T13" i="8" s="1"/>
  <c r="T4" i="11"/>
  <c r="AH15" i="12"/>
  <c r="AH16" i="12" s="1"/>
  <c r="AH23" i="10"/>
  <c r="AH24" i="10" s="1"/>
  <c r="AH33" i="6"/>
  <c r="AH34" i="6" s="1"/>
  <c r="BT50" i="10"/>
  <c r="BT5" i="11"/>
  <c r="P12" i="11"/>
  <c r="P14" i="11" s="1"/>
  <c r="P13" i="8" s="1"/>
  <c r="P13" i="11"/>
  <c r="P4" i="11"/>
  <c r="AH50" i="10"/>
  <c r="AH5" i="11"/>
  <c r="CE4" i="11"/>
  <c r="CE13" i="11"/>
  <c r="CE12" i="11"/>
  <c r="CE14" i="11" s="1"/>
  <c r="BS5" i="11"/>
  <c r="BS50" i="10"/>
  <c r="R12" i="11"/>
  <c r="R14" i="11" s="1"/>
  <c r="R13" i="8" s="1"/>
  <c r="R13" i="11"/>
  <c r="R4" i="11"/>
  <c r="BU15" i="12"/>
  <c r="BU16" i="12" s="1"/>
  <c r="BU23" i="10"/>
  <c r="BU24" i="10" s="1"/>
  <c r="BU33" i="6"/>
  <c r="BU34" i="6" s="1"/>
  <c r="AC5" i="11"/>
  <c r="AC50" i="10"/>
  <c r="Z12" i="11"/>
  <c r="Z14" i="11" s="1"/>
  <c r="Z13" i="8" s="1"/>
  <c r="Z13" i="11"/>
  <c r="Z4" i="11"/>
  <c r="BL12" i="11"/>
  <c r="BL14" i="11" s="1"/>
  <c r="BL13" i="8" s="1"/>
  <c r="BL4" i="11"/>
  <c r="BL13" i="11"/>
  <c r="AG50" i="10"/>
  <c r="AG5" i="11"/>
  <c r="AO49" i="10"/>
  <c r="AQ13" i="11"/>
  <c r="AQ12" i="11"/>
  <c r="AQ14" i="11" s="1"/>
  <c r="AQ13" i="8" s="1"/>
  <c r="AQ4" i="11"/>
  <c r="AF12" i="11"/>
  <c r="AF14" i="11" s="1"/>
  <c r="AF13" i="8" s="1"/>
  <c r="AF13" i="11"/>
  <c r="AF4" i="11"/>
  <c r="I50" i="10"/>
  <c r="I5" i="11"/>
  <c r="BD12" i="11"/>
  <c r="BD14" i="11" s="1"/>
  <c r="BD13" i="8" s="1"/>
  <c r="BD4" i="11"/>
  <c r="BD13" i="11"/>
  <c r="S15" i="12"/>
  <c r="S16" i="12" s="1"/>
  <c r="S23" i="10"/>
  <c r="S33" i="6"/>
  <c r="S34" i="6" s="1"/>
  <c r="CJ50" i="10"/>
  <c r="CJ5" i="11"/>
  <c r="Y15" i="12"/>
  <c r="Y16" i="12" s="1"/>
  <c r="Y23" i="10"/>
  <c r="Y33" i="6"/>
  <c r="Y34" i="6" s="1"/>
  <c r="L15" i="12"/>
  <c r="L16" i="12" s="1"/>
  <c r="L23" i="10"/>
  <c r="L33" i="6"/>
  <c r="L34" i="6" s="1"/>
  <c r="Y50" i="10"/>
  <c r="Y5" i="11"/>
  <c r="O5" i="11"/>
  <c r="O50" i="10"/>
  <c r="U13" i="11"/>
  <c r="U12" i="11"/>
  <c r="U14" i="11" s="1"/>
  <c r="U13" i="8" s="1"/>
  <c r="U4" i="11"/>
  <c r="BP5" i="11"/>
  <c r="BP50" i="10"/>
  <c r="AS13" i="11"/>
  <c r="AS12" i="11"/>
  <c r="AS14" i="11" s="1"/>
  <c r="AS13" i="8" s="1"/>
  <c r="AS4" i="11"/>
  <c r="AM49" i="10"/>
  <c r="AZ5" i="11"/>
  <c r="AZ50" i="10"/>
  <c r="CI12" i="11"/>
  <c r="CI14" i="11" s="1"/>
  <c r="CI4" i="11"/>
  <c r="CI13" i="11"/>
  <c r="AB15" i="12"/>
  <c r="AB16" i="12" s="1"/>
  <c r="AB23" i="10"/>
  <c r="AB33" i="6"/>
  <c r="AB34" i="6" s="1"/>
  <c r="Q50" i="10"/>
  <c r="Q5" i="11"/>
  <c r="E5" i="11"/>
  <c r="E50" i="10"/>
  <c r="BQ13" i="11"/>
  <c r="BQ12" i="11"/>
  <c r="BQ14" i="11" s="1"/>
  <c r="BQ13" i="8" s="1"/>
  <c r="BQ4" i="11"/>
  <c r="AY4" i="11"/>
  <c r="AY13" i="11"/>
  <c r="AY12" i="11"/>
  <c r="AY14" i="11" s="1"/>
  <c r="AY13" i="8" s="1"/>
  <c r="K50" i="10"/>
  <c r="K5" i="11"/>
  <c r="BK15" i="12"/>
  <c r="BK16" i="12" s="1"/>
  <c r="BK23" i="10"/>
  <c r="BK24" i="10" s="1"/>
  <c r="BK33" i="6"/>
  <c r="BK34" i="6" s="1"/>
  <c r="AB49" i="10"/>
  <c r="BX49" i="10"/>
  <c r="BO15" i="12"/>
  <c r="BO16" i="12" s="1"/>
  <c r="BO23" i="10"/>
  <c r="BO24" i="10" s="1"/>
  <c r="BO33" i="6"/>
  <c r="BO34" i="6" s="1"/>
  <c r="BJ49" i="10"/>
  <c r="AR15" i="12"/>
  <c r="AR16" i="12" s="1"/>
  <c r="AR23" i="10"/>
  <c r="AR24" i="10" s="1"/>
  <c r="AR33" i="6"/>
  <c r="AR34" i="6" s="1"/>
  <c r="AP15" i="12"/>
  <c r="AP16" i="12" s="1"/>
  <c r="AP23" i="10"/>
  <c r="AP24" i="10" s="1"/>
  <c r="AP33" i="6"/>
  <c r="AP34" i="6" s="1"/>
  <c r="AV49" i="10"/>
  <c r="AJ5" i="11"/>
  <c r="AJ50" i="10"/>
  <c r="BL49" i="10"/>
  <c r="AN49" i="10"/>
  <c r="CD15" i="12"/>
  <c r="CD16" i="12" s="1"/>
  <c r="CD23" i="10"/>
  <c r="CD24" i="10" s="1"/>
  <c r="CD33" i="6"/>
  <c r="CD34" i="6" s="1"/>
  <c r="S50" i="10"/>
  <c r="S5" i="11"/>
  <c r="CA5" i="11"/>
  <c r="CA50" i="10"/>
  <c r="CG5" i="11"/>
  <c r="CG50" i="10"/>
  <c r="AO12" i="11"/>
  <c r="AO14" i="11" s="1"/>
  <c r="AO13" i="8" s="1"/>
  <c r="AO13" i="11"/>
  <c r="AO4" i="11"/>
  <c r="J15" i="12"/>
  <c r="J16" i="12" s="1"/>
  <c r="J23" i="10"/>
  <c r="J33" i="6"/>
  <c r="J34" i="6" s="1"/>
  <c r="B33" i="6"/>
  <c r="B34" i="6" s="1"/>
  <c r="B18" i="6"/>
  <c r="C33" i="6"/>
  <c r="C34" i="6" s="1"/>
  <c r="C18" i="6"/>
  <c r="CB50" i="10"/>
  <c r="CB5" i="11"/>
  <c r="BD49" i="10"/>
  <c r="X50" i="10"/>
  <c r="X5" i="11"/>
  <c r="CG15" i="12"/>
  <c r="CG16" i="12" s="1"/>
  <c r="CG23" i="10"/>
  <c r="CG24" i="10" s="1"/>
  <c r="CG33" i="6"/>
  <c r="CG34" i="6" s="1"/>
  <c r="BV15" i="12"/>
  <c r="BV16" i="12" s="1"/>
  <c r="BV23" i="10"/>
  <c r="BV24" i="10" s="1"/>
  <c r="BV33" i="6"/>
  <c r="BV34" i="6" s="1"/>
  <c r="U15" i="12"/>
  <c r="U16" i="12" s="1"/>
  <c r="U23" i="10"/>
  <c r="U33" i="6"/>
  <c r="U34" i="6" s="1"/>
  <c r="AQ15" i="12"/>
  <c r="AQ16" i="12" s="1"/>
  <c r="AQ23" i="10"/>
  <c r="AQ24" i="10" s="1"/>
  <c r="AQ33" i="6"/>
  <c r="AQ34" i="6" s="1"/>
  <c r="BK5" i="11"/>
  <c r="BK50" i="10"/>
  <c r="AM12" i="11"/>
  <c r="AM14" i="11" s="1"/>
  <c r="AM13" i="8" s="1"/>
  <c r="AM13" i="11"/>
  <c r="AM4" i="11"/>
  <c r="Q15" i="12"/>
  <c r="Q16" i="12" s="1"/>
  <c r="Q23" i="10"/>
  <c r="Q33" i="6"/>
  <c r="Q34" i="6" s="1"/>
  <c r="E15" i="12"/>
  <c r="E16" i="12" s="1"/>
  <c r="E23" i="10"/>
  <c r="E33" i="6"/>
  <c r="E34" i="6" s="1"/>
  <c r="D18" i="6"/>
  <c r="D33" i="6"/>
  <c r="D34" i="6" s="1"/>
  <c r="BO4" i="11"/>
  <c r="BO13" i="11"/>
  <c r="BO12" i="11"/>
  <c r="BO14" i="11" s="1"/>
  <c r="BO13" i="8" s="1"/>
  <c r="Q49" i="10"/>
  <c r="AH12" i="11"/>
  <c r="AH14" i="11" s="1"/>
  <c r="AH13" i="8" s="1"/>
  <c r="AH13" i="11"/>
  <c r="AH4" i="11"/>
  <c r="AC15" i="12"/>
  <c r="AC16" i="12" s="1"/>
  <c r="AC23" i="10"/>
  <c r="AC33" i="6"/>
  <c r="AC34" i="6" s="1"/>
  <c r="K49" i="10"/>
  <c r="BI15" i="12"/>
  <c r="BI16" i="12" s="1"/>
  <c r="BI23" i="10"/>
  <c r="BI24" i="10" s="1"/>
  <c r="BI33" i="6"/>
  <c r="BI34" i="6" s="1"/>
  <c r="BS49" i="10"/>
  <c r="AA50" i="10"/>
  <c r="AA5" i="11"/>
  <c r="AB13" i="11"/>
  <c r="AB12" i="11"/>
  <c r="AB14" i="11" s="1"/>
  <c r="AB13" i="8" s="1"/>
  <c r="AB4" i="11"/>
  <c r="BX13" i="11"/>
  <c r="BX12" i="11"/>
  <c r="BX14" i="11" s="1"/>
  <c r="BX4" i="11"/>
  <c r="M5" i="11"/>
  <c r="M50" i="10"/>
  <c r="BT15" i="12"/>
  <c r="BT16" i="12" s="1"/>
  <c r="BT23" i="10"/>
  <c r="BT24" i="10" s="1"/>
  <c r="BT33" i="6"/>
  <c r="BT34" i="6" s="1"/>
  <c r="BA5" i="11"/>
  <c r="BA50" i="10"/>
  <c r="AV12" i="11"/>
  <c r="AV14" i="11" s="1"/>
  <c r="AV13" i="8" s="1"/>
  <c r="AV4" i="11"/>
  <c r="AV13" i="11"/>
  <c r="BC5" i="11"/>
  <c r="BC50" i="10"/>
  <c r="AN12" i="11"/>
  <c r="AN14" i="11" s="1"/>
  <c r="AN13" i="8" s="1"/>
  <c r="AN13" i="11"/>
  <c r="AN4" i="11"/>
  <c r="BU50" i="10"/>
  <c r="BU5" i="11"/>
  <c r="BG50" i="10"/>
  <c r="BG5" i="11"/>
  <c r="AG12" i="11"/>
  <c r="AG14" i="11" s="1"/>
  <c r="AG13" i="8" s="1"/>
  <c r="AG13" i="11"/>
  <c r="AG4" i="11"/>
  <c r="S49" i="10"/>
  <c r="AK5" i="11"/>
  <c r="AK50" i="10"/>
  <c r="BE15" i="12"/>
  <c r="BE16" i="12" s="1"/>
  <c r="BE23" i="10"/>
  <c r="BE24" i="10" s="1"/>
  <c r="BE33" i="6"/>
  <c r="BE34" i="6" s="1"/>
  <c r="BL15" i="12"/>
  <c r="BL16" i="12" s="1"/>
  <c r="BL23" i="10"/>
  <c r="BL24" i="10" s="1"/>
  <c r="BL33" i="6"/>
  <c r="BL34" i="6" s="1"/>
  <c r="AI50" i="10"/>
  <c r="AI5" i="11"/>
  <c r="I12" i="11"/>
  <c r="I14" i="11" s="1"/>
  <c r="I13" i="8" s="1"/>
  <c r="I13" i="11"/>
  <c r="I4" i="11"/>
  <c r="BN15" i="12"/>
  <c r="BN16" i="12" s="1"/>
  <c r="BN23" i="10"/>
  <c r="BN24" i="10" s="1"/>
  <c r="BN33" i="6"/>
  <c r="BN34" i="6" s="1"/>
  <c r="BG15" i="12"/>
  <c r="BG16" i="12" s="1"/>
  <c r="BG23" i="10"/>
  <c r="BG24" i="10" s="1"/>
  <c r="BG33" i="6"/>
  <c r="BG34" i="6" s="1"/>
  <c r="AS15" i="12"/>
  <c r="AS16" i="12" s="1"/>
  <c r="AS23" i="10"/>
  <c r="AS24" i="10" s="1"/>
  <c r="AS33" i="6"/>
  <c r="AS34" i="6" s="1"/>
  <c r="BY13" i="11"/>
  <c r="BY12" i="11"/>
  <c r="BY14" i="11" s="1"/>
  <c r="BY4" i="11"/>
  <c r="Y12" i="11"/>
  <c r="Y14" i="11" s="1"/>
  <c r="Y13" i="8" s="1"/>
  <c r="Y13" i="11"/>
  <c r="Y4" i="11"/>
  <c r="L13" i="11"/>
  <c r="L12" i="11"/>
  <c r="L14" i="11" s="1"/>
  <c r="L13" i="8" s="1"/>
  <c r="L4" i="11"/>
  <c r="BW50" i="10"/>
  <c r="BW5" i="11"/>
  <c r="AZ49" i="10"/>
  <c r="G5" i="11"/>
  <c r="G50" i="10"/>
  <c r="BT12" i="11"/>
  <c r="BT14" i="11" s="1"/>
  <c r="BT13" i="8" s="1"/>
  <c r="BT4" i="11"/>
  <c r="BT13" i="11"/>
  <c r="Q12" i="11"/>
  <c r="Q14" i="11" s="1"/>
  <c r="Q13" i="8" s="1"/>
  <c r="Q13" i="11"/>
  <c r="Q4" i="11"/>
  <c r="E49" i="10"/>
  <c r="CF5" i="11"/>
  <c r="CF50" i="10"/>
  <c r="Z15" i="12"/>
  <c r="Z16" i="12" s="1"/>
  <c r="Z23" i="10"/>
  <c r="Z33" i="6"/>
  <c r="Z34" i="6" s="1"/>
  <c r="K13" i="11"/>
  <c r="K12" i="11"/>
  <c r="K14" i="11" s="1"/>
  <c r="K13" i="8" s="1"/>
  <c r="K4" i="11"/>
  <c r="BS12" i="11"/>
  <c r="BS14" i="11" s="1"/>
  <c r="BS13" i="8" s="1"/>
  <c r="BS4" i="11"/>
  <c r="BS13" i="11"/>
  <c r="BR49" i="10"/>
  <c r="AC13" i="11"/>
  <c r="AC12" i="11"/>
  <c r="AC14" i="11" s="1"/>
  <c r="AC13" i="8" s="1"/>
  <c r="AC4" i="11"/>
  <c r="AJ49" i="10"/>
  <c r="H50" i="10"/>
  <c r="H5" i="11"/>
  <c r="BU49" i="10"/>
  <c r="S13" i="11"/>
  <c r="S12" i="11"/>
  <c r="S14" i="11" s="1"/>
  <c r="S13" i="8" s="1"/>
  <c r="S4" i="11"/>
  <c r="CA49" i="10"/>
  <c r="BM15" i="12"/>
  <c r="BM16" i="12" s="1"/>
  <c r="BM23" i="10"/>
  <c r="BM24" i="10" s="1"/>
  <c r="BM33" i="6"/>
  <c r="BM34" i="6" s="1"/>
  <c r="AA15" i="12"/>
  <c r="AA16" i="12" s="1"/>
  <c r="AA23" i="10"/>
  <c r="AA33" i="6"/>
  <c r="AA34" i="6" s="1"/>
  <c r="BX15" i="12"/>
  <c r="BX16" i="12" s="1"/>
  <c r="BX23" i="10"/>
  <c r="BX24" i="10" s="1"/>
  <c r="BX33" i="6"/>
  <c r="BX34" i="6" s="1"/>
  <c r="AE5" i="11"/>
  <c r="AE50" i="10"/>
  <c r="AX15" i="12"/>
  <c r="AX16" i="12" s="1"/>
  <c r="AX23" i="10"/>
  <c r="AX24" i="10" s="1"/>
  <c r="AX33" i="6"/>
  <c r="AX34" i="6" s="1"/>
  <c r="BM50" i="10"/>
  <c r="BM5" i="11"/>
  <c r="CJ12" i="11"/>
  <c r="CJ14" i="11" s="1"/>
  <c r="CJ4" i="11"/>
  <c r="CJ13" i="11"/>
  <c r="W5" i="11"/>
  <c r="W50" i="10"/>
  <c r="O12" i="11"/>
  <c r="O14" i="11" s="1"/>
  <c r="O13" i="8" s="1"/>
  <c r="O13" i="11"/>
  <c r="O4" i="11"/>
  <c r="BP13" i="11"/>
  <c r="BP12" i="11"/>
  <c r="BP14" i="11" s="1"/>
  <c r="BP13" i="8" s="1"/>
  <c r="BP4" i="11"/>
  <c r="BF50" i="10"/>
  <c r="BF5" i="11"/>
  <c r="G15" i="12"/>
  <c r="G16" i="12" s="1"/>
  <c r="G23" i="10"/>
  <c r="G33" i="6"/>
  <c r="G34" i="6" s="1"/>
  <c r="BH15" i="12"/>
  <c r="BH16" i="12" s="1"/>
  <c r="BH23" i="10"/>
  <c r="BH24" i="10" s="1"/>
  <c r="BH33" i="6"/>
  <c r="BH34" i="6" s="1"/>
  <c r="BI5" i="11"/>
  <c r="BI50" i="10"/>
  <c r="AR5" i="11"/>
  <c r="AR50" i="10"/>
  <c r="AZ13" i="11"/>
  <c r="AZ12" i="11"/>
  <c r="AZ14" i="11" s="1"/>
  <c r="AZ13" i="8" s="1"/>
  <c r="AZ4" i="11"/>
  <c r="BP15" i="12"/>
  <c r="BP16" i="12" s="1"/>
  <c r="BP23" i="10"/>
  <c r="BP24" i="10" s="1"/>
  <c r="BP33" i="6"/>
  <c r="BP34" i="6" s="1"/>
  <c r="E13" i="11"/>
  <c r="E12" i="11"/>
  <c r="E14" i="11" s="1"/>
  <c r="E4" i="11"/>
  <c r="AA49" i="10"/>
  <c r="BW15" i="12"/>
  <c r="BW16" i="12" s="1"/>
  <c r="BW23" i="10"/>
  <c r="BW24" i="10" s="1"/>
  <c r="BW33" i="6"/>
  <c r="BW34" i="6" s="1"/>
  <c r="CC50" i="10"/>
  <c r="CC5" i="11"/>
  <c r="M49" i="10"/>
  <c r="AG15" i="12"/>
  <c r="AG16" i="12" s="1"/>
  <c r="AG23" i="10"/>
  <c r="AG24" i="10" s="1"/>
  <c r="AG33" i="6"/>
  <c r="AG34" i="6" s="1"/>
  <c r="AK15" i="12"/>
  <c r="AK16" i="12" s="1"/>
  <c r="AK23" i="10"/>
  <c r="AK24" i="10" s="1"/>
  <c r="AK33" i="6"/>
  <c r="AK34" i="6" s="1"/>
  <c r="AW50" i="10"/>
  <c r="AW5" i="11"/>
  <c r="AJ13" i="11"/>
  <c r="AJ12" i="11"/>
  <c r="AJ14" i="11" s="1"/>
  <c r="AJ13" i="8" s="1"/>
  <c r="AJ4" i="11"/>
  <c r="BU12" i="11"/>
  <c r="BU14" i="11" s="1"/>
  <c r="BU13" i="8" s="1"/>
  <c r="BU4" i="11"/>
  <c r="BU13" i="11"/>
  <c r="BG49" i="10"/>
  <c r="CF15" i="12"/>
  <c r="CF16" i="12" s="1"/>
  <c r="CF23" i="10"/>
  <c r="CF24" i="10" s="1"/>
  <c r="CF33" i="6"/>
  <c r="CF34" i="6" s="1"/>
  <c r="CA12" i="11"/>
  <c r="CA14" i="11" s="1"/>
  <c r="CA4" i="11"/>
  <c r="CA13" i="11"/>
  <c r="CG13" i="11"/>
  <c r="CG12" i="11"/>
  <c r="CG14" i="11" s="1"/>
  <c r="CG4" i="11"/>
  <c r="AK49" i="10"/>
  <c r="AU12" i="11"/>
  <c r="AU14" i="11" s="1"/>
  <c r="AU13" i="8" s="1"/>
  <c r="AU4" i="11"/>
  <c r="AU13" i="11"/>
  <c r="BN50" i="10"/>
  <c r="BN5" i="11"/>
  <c r="AU5" i="11"/>
  <c r="AU50" i="10"/>
  <c r="CB12" i="11"/>
  <c r="CB14" i="11" s="1"/>
  <c r="CB4" i="11"/>
  <c r="CB13" i="11"/>
  <c r="X12" i="11"/>
  <c r="X14" i="11" s="1"/>
  <c r="X13" i="8" s="1"/>
  <c r="X13" i="11"/>
  <c r="X4" i="11"/>
  <c r="BH5" i="11"/>
  <c r="BH50" i="10"/>
  <c r="AI15" i="12"/>
  <c r="AI16" i="12" s="1"/>
  <c r="AI23" i="10"/>
  <c r="AI24" i="10" s="1"/>
  <c r="AI33" i="6"/>
  <c r="AI34" i="6" s="1"/>
  <c r="BK12" i="11"/>
  <c r="BK14" i="11" s="1"/>
  <c r="BK13" i="8" s="1"/>
  <c r="BK4" i="11"/>
  <c r="BK13" i="11"/>
  <c r="T5" i="11"/>
  <c r="T50" i="10"/>
  <c r="BW4" i="11"/>
  <c r="BW13" i="11"/>
  <c r="BW12" i="11"/>
  <c r="BW14" i="11" s="1"/>
  <c r="BY15" i="12"/>
  <c r="BY16" i="12" s="1"/>
  <c r="BY23" i="10"/>
  <c r="BY24" i="10" s="1"/>
  <c r="BY33" i="6"/>
  <c r="BY34" i="6" s="1"/>
  <c r="P50" i="10"/>
  <c r="P5" i="11"/>
  <c r="R15" i="12"/>
  <c r="R16" i="12" s="1"/>
  <c r="R23" i="10"/>
  <c r="R33" i="6"/>
  <c r="R34" i="6" s="1"/>
  <c r="CC15" i="12"/>
  <c r="CC16" i="12" s="1"/>
  <c r="CC23" i="10"/>
  <c r="CC24" i="10" s="1"/>
  <c r="CC33" i="6"/>
  <c r="CC34" i="6" s="1"/>
  <c r="M15" i="12"/>
  <c r="M16" i="12" s="1"/>
  <c r="M23" i="10"/>
  <c r="M33" i="6"/>
  <c r="M34" i="6" s="1"/>
  <c r="CF49" i="10"/>
  <c r="AV15" i="12"/>
  <c r="AV16" i="12" s="1"/>
  <c r="AV23" i="10"/>
  <c r="AV24" i="10" s="1"/>
  <c r="AV33" i="6"/>
  <c r="AV34" i="6" s="1"/>
  <c r="AA13" i="11"/>
  <c r="AA12" i="11"/>
  <c r="AA14" i="11" s="1"/>
  <c r="AA13" i="8" s="1"/>
  <c r="AA4" i="11"/>
  <c r="AJ15" i="12"/>
  <c r="AJ16" i="12" s="1"/>
  <c r="AJ23" i="10"/>
  <c r="AJ24" i="10" s="1"/>
  <c r="AJ33" i="6"/>
  <c r="AJ34" i="6" s="1"/>
  <c r="H15" i="12"/>
  <c r="H16" i="12" s="1"/>
  <c r="H23" i="10"/>
  <c r="H33" i="6"/>
  <c r="H34" i="6" s="1"/>
  <c r="M13" i="11"/>
  <c r="M12" i="11"/>
  <c r="M14" i="11" s="1"/>
  <c r="M13" i="8" s="1"/>
  <c r="M4" i="11"/>
  <c r="CD50" i="10"/>
  <c r="CD5" i="11"/>
  <c r="AZ15" i="12"/>
  <c r="AZ16" i="12" s="1"/>
  <c r="AZ23" i="10"/>
  <c r="AZ24" i="10" s="1"/>
  <c r="AZ33" i="6"/>
  <c r="AZ34" i="6" s="1"/>
  <c r="CI15" i="12"/>
  <c r="CI16" i="12" s="1"/>
  <c r="CI23" i="10"/>
  <c r="CI24" i="10" s="1"/>
  <c r="CI33" i="6"/>
  <c r="CI34" i="6" s="1"/>
  <c r="BA13" i="11"/>
  <c r="BA12" i="11"/>
  <c r="BA14" i="11" s="1"/>
  <c r="BA13" i="8" s="1"/>
  <c r="BA4" i="11"/>
  <c r="AW49" i="10"/>
  <c r="H49" i="10"/>
  <c r="BC12" i="11"/>
  <c r="BC14" i="11" s="1"/>
  <c r="BC13" i="8" s="1"/>
  <c r="BC4" i="11"/>
  <c r="BC13" i="11"/>
  <c r="BE50" i="10"/>
  <c r="BE5" i="11"/>
  <c r="AP50" i="10"/>
  <c r="AP5" i="11"/>
  <c r="BG4" i="11"/>
  <c r="BG13" i="11"/>
  <c r="BG12" i="11"/>
  <c r="BG14" i="11" s="1"/>
  <c r="BG13" i="8" s="1"/>
  <c r="K15" i="12"/>
  <c r="K16" i="12" s="1"/>
  <c r="K23" i="10"/>
  <c r="K33" i="6"/>
  <c r="K34" i="6" s="1"/>
  <c r="AK13" i="11"/>
  <c r="AK12" i="11"/>
  <c r="AK14" i="11" s="1"/>
  <c r="AK13" i="8" s="1"/>
  <c r="AK4" i="11"/>
  <c r="X15" i="12"/>
  <c r="X16" i="12" s="1"/>
  <c r="X23" i="10"/>
  <c r="X33" i="6"/>
  <c r="X34" i="6" s="1"/>
  <c r="BA15" i="12"/>
  <c r="BA16" i="12" s="1"/>
  <c r="BA23" i="10"/>
  <c r="BA24" i="10" s="1"/>
  <c r="BA33" i="6"/>
  <c r="BA34" i="6" s="1"/>
  <c r="BV50" i="10"/>
  <c r="BV5" i="11"/>
  <c r="AQ50" i="10"/>
  <c r="AQ5" i="11"/>
  <c r="AF50" i="10"/>
  <c r="AF5" i="11"/>
  <c r="AI13" i="11"/>
  <c r="AI12" i="11"/>
  <c r="AI14" i="11" s="1"/>
  <c r="AI13" i="8" s="1"/>
  <c r="AI4" i="11"/>
  <c r="AE49" i="10"/>
  <c r="J50" i="10"/>
  <c r="J5" i="11"/>
  <c r="BM12" i="11"/>
  <c r="BM14" i="11" s="1"/>
  <c r="BM13" i="8" s="1"/>
  <c r="BM4" i="11"/>
  <c r="BM13" i="11"/>
  <c r="W15" i="12"/>
  <c r="W16" i="12" s="1"/>
  <c r="W23" i="10"/>
  <c r="W33" i="6"/>
  <c r="W34" i="6" s="1"/>
  <c r="O15" i="12"/>
  <c r="O16" i="12" s="1"/>
  <c r="O23" i="10"/>
  <c r="O33" i="6"/>
  <c r="O34" i="6" s="1"/>
  <c r="AX50" i="10"/>
  <c r="AX5" i="11"/>
  <c r="AM15" i="12"/>
  <c r="AM16" i="12" s="1"/>
  <c r="AM23" i="10"/>
  <c r="AM24" i="10" s="1"/>
  <c r="AM33" i="6"/>
  <c r="AM34" i="6" s="1"/>
  <c r="T15" i="12"/>
  <c r="T16" i="12" s="1"/>
  <c r="T23" i="10"/>
  <c r="T33" i="6"/>
  <c r="T34" i="6" s="1"/>
  <c r="U5" i="11"/>
  <c r="U50" i="10"/>
  <c r="CB15" i="12"/>
  <c r="CB16" i="12" s="1"/>
  <c r="CB23" i="10"/>
  <c r="CB24" i="10" s="1"/>
  <c r="CB33" i="6"/>
  <c r="CB34" i="6" s="1"/>
  <c r="AS5" i="11"/>
  <c r="AS50" i="10"/>
  <c r="BF12" i="11"/>
  <c r="BF14" i="11" s="1"/>
  <c r="BF13" i="8" s="1"/>
  <c r="BF4" i="11"/>
  <c r="BF13" i="11"/>
  <c r="BD15" i="12"/>
  <c r="BD16" i="12" s="1"/>
  <c r="BD23" i="10"/>
  <c r="BD24" i="10" s="1"/>
  <c r="BD33" i="6"/>
  <c r="BD34" i="6" s="1"/>
  <c r="BI49" i="10"/>
  <c r="BF15" i="12"/>
  <c r="BF16" i="12" s="1"/>
  <c r="BF23" i="10"/>
  <c r="BF24" i="10" s="1"/>
  <c r="BF33" i="6"/>
  <c r="BF34" i="6" s="1"/>
  <c r="CI5" i="11"/>
  <c r="CI50" i="10"/>
  <c r="G12" i="11"/>
  <c r="G14" i="11" s="1"/>
  <c r="G13" i="8" s="1"/>
  <c r="G13" i="11"/>
  <c r="G4" i="11"/>
  <c r="BQ5" i="11"/>
  <c r="BQ50" i="10"/>
  <c r="CF13" i="11"/>
  <c r="CF12" i="11"/>
  <c r="CF14" i="11" s="1"/>
  <c r="CF4" i="11"/>
  <c r="CE50" i="10"/>
  <c r="CE5" i="11"/>
  <c r="R50" i="10"/>
  <c r="R5" i="11"/>
  <c r="CC12" i="11"/>
  <c r="CC14" i="11" s="1"/>
  <c r="CC4" i="11"/>
  <c r="CC13" i="11"/>
  <c r="Z50" i="10"/>
  <c r="Z5" i="11"/>
  <c r="AO15" i="12"/>
  <c r="AO16" i="12" s="1"/>
  <c r="AO23" i="10"/>
  <c r="AO24" i="10" s="1"/>
  <c r="AO33" i="6"/>
  <c r="AO34" i="6" s="1"/>
  <c r="AW12" i="11"/>
  <c r="AW14" i="11" s="1"/>
  <c r="AW13" i="8" s="1"/>
  <c r="AW4" i="11"/>
  <c r="AW13" i="11"/>
  <c r="BL50" i="10"/>
  <c r="BL5" i="11"/>
  <c r="H12" i="11"/>
  <c r="H14" i="11" s="1"/>
  <c r="H13" i="8" s="1"/>
  <c r="H13" i="11"/>
  <c r="H4" i="11"/>
  <c r="BE49" i="10"/>
  <c r="BQ15" i="12"/>
  <c r="BQ16" i="12" s="1"/>
  <c r="BQ23" i="10"/>
  <c r="BQ24" i="10" s="1"/>
  <c r="BQ33" i="6"/>
  <c r="BQ34" i="6" s="1"/>
  <c r="W17" i="9"/>
  <c r="W15" i="9"/>
  <c r="BD15" i="9"/>
  <c r="BD17" i="9"/>
  <c r="BZ15" i="9"/>
  <c r="BZ17" i="9"/>
  <c r="AE17" i="9"/>
  <c r="AE15" i="9"/>
  <c r="BB17" i="9"/>
  <c r="BB15" i="9"/>
  <c r="BP17" i="9"/>
  <c r="BP15" i="9"/>
  <c r="AF15" i="9"/>
  <c r="AF17" i="9"/>
  <c r="CC15" i="9"/>
  <c r="CC17" i="9"/>
  <c r="AN17" i="9"/>
  <c r="AN15" i="9"/>
  <c r="CA17" i="9"/>
  <c r="CA15" i="9"/>
  <c r="AS17" i="9"/>
  <c r="AS15" i="9"/>
  <c r="BF15" i="9"/>
  <c r="BF17" i="9"/>
  <c r="AX15" i="9"/>
  <c r="AX17" i="9"/>
  <c r="AG17" i="9"/>
  <c r="AG15" i="9"/>
  <c r="AK17" i="9"/>
  <c r="AK15" i="9"/>
  <c r="BJ17" i="9"/>
  <c r="BJ15" i="9"/>
  <c r="BS15" i="9"/>
  <c r="BS17" i="9"/>
  <c r="BH17" i="9"/>
  <c r="BH15" i="9"/>
  <c r="AP15" i="9"/>
  <c r="AP17" i="9"/>
  <c r="R15" i="9"/>
  <c r="R17" i="9"/>
  <c r="CD15" i="9"/>
  <c r="CD17" i="9"/>
  <c r="AC15" i="9"/>
  <c r="AC17" i="9"/>
  <c r="J15" i="9"/>
  <c r="J17" i="9"/>
  <c r="BL15" i="9"/>
  <c r="BL17" i="9"/>
  <c r="CH17" i="9"/>
  <c r="CH15" i="9"/>
  <c r="P17" i="9"/>
  <c r="P15" i="9"/>
  <c r="CG15" i="9"/>
  <c r="CG17" i="9"/>
  <c r="AJ15" i="9"/>
  <c r="AJ17" i="9"/>
  <c r="BM17" i="9"/>
  <c r="BM15" i="9"/>
  <c r="AY15" i="9"/>
  <c r="AY17" i="9"/>
  <c r="BY15" i="9"/>
  <c r="BY17" i="9"/>
  <c r="AA15" i="9"/>
  <c r="AA17" i="9"/>
  <c r="Y15" i="9"/>
  <c r="Y17" i="9"/>
  <c r="BW15" i="9"/>
  <c r="BW17" i="9"/>
  <c r="BA17" i="9"/>
  <c r="BA15" i="9"/>
  <c r="M15" i="9"/>
  <c r="M17" i="9"/>
  <c r="Q15" i="9"/>
  <c r="Q17" i="9"/>
  <c r="BN15" i="9"/>
  <c r="BN17" i="9"/>
  <c r="BV15" i="9"/>
  <c r="BV17" i="9"/>
  <c r="T17" i="9"/>
  <c r="T15" i="9"/>
  <c r="V17" i="9"/>
  <c r="V15" i="9"/>
  <c r="AR15" i="9"/>
  <c r="AR17" i="9"/>
  <c r="BT17" i="9"/>
  <c r="BT15" i="9"/>
  <c r="E15" i="9"/>
  <c r="E17" i="9"/>
  <c r="BQ17" i="9"/>
  <c r="BQ15" i="9"/>
  <c r="AB15" i="9"/>
  <c r="AB17" i="9"/>
  <c r="AV15" i="9"/>
  <c r="AV17" i="9"/>
  <c r="BI17" i="9"/>
  <c r="BI15" i="9"/>
  <c r="AO15" i="9"/>
  <c r="AO17" i="9"/>
  <c r="AW15" i="9"/>
  <c r="AW17" i="9"/>
  <c r="CF15" i="9"/>
  <c r="CF17" i="9"/>
  <c r="I17" i="9"/>
  <c r="I15" i="9"/>
  <c r="AU17" i="9"/>
  <c r="AU15" i="9"/>
  <c r="CE15" i="9"/>
  <c r="CE17" i="9"/>
  <c r="BG15" i="9"/>
  <c r="BG17" i="9"/>
  <c r="BO15" i="9"/>
  <c r="BO17" i="9"/>
  <c r="BU17" i="9"/>
  <c r="BU15" i="9"/>
  <c r="AQ15" i="9"/>
  <c r="AQ17" i="9"/>
  <c r="BX15" i="9"/>
  <c r="BX17" i="9"/>
  <c r="K15" i="9"/>
  <c r="K17" i="9"/>
  <c r="S15" i="9"/>
  <c r="S17" i="9"/>
  <c r="AT15" i="9"/>
  <c r="AT17" i="9"/>
  <c r="BE15" i="9"/>
  <c r="BE17" i="9"/>
  <c r="AD17" i="9"/>
  <c r="AD15" i="9"/>
  <c r="CJ17" i="9"/>
  <c r="CJ15" i="9"/>
  <c r="U15" i="9"/>
  <c r="U17" i="9"/>
  <c r="L15" i="9"/>
  <c r="L17" i="9"/>
  <c r="AL15" i="9"/>
  <c r="AL17" i="9"/>
  <c r="O17" i="9"/>
  <c r="O15" i="9"/>
  <c r="N15" i="9"/>
  <c r="N17" i="9"/>
  <c r="AI15" i="9"/>
  <c r="AI17" i="9"/>
  <c r="F15" i="9"/>
  <c r="F17" i="9"/>
  <c r="Z15" i="9"/>
  <c r="Z17" i="9"/>
  <c r="AZ15" i="9"/>
  <c r="AZ17" i="9"/>
  <c r="CB17" i="9"/>
  <c r="CB15" i="9"/>
  <c r="AH15" i="9"/>
  <c r="AH17" i="9"/>
  <c r="BR15" i="9"/>
  <c r="BR17" i="9"/>
  <c r="AM17" i="9"/>
  <c r="AM15" i="9"/>
  <c r="X17" i="9"/>
  <c r="X15" i="9"/>
  <c r="H17" i="9"/>
  <c r="H15" i="9"/>
  <c r="BK17" i="9"/>
  <c r="BK15" i="9"/>
  <c r="BC17" i="9"/>
  <c r="BC15" i="9"/>
  <c r="CI17" i="9"/>
  <c r="CI15" i="9"/>
  <c r="G15" i="9"/>
  <c r="G17" i="9"/>
  <c r="G19" i="13"/>
  <c r="N56" i="10" l="1"/>
  <c r="N57" i="10" s="1"/>
  <c r="E13" i="8"/>
  <c r="F1" i="13" s="1"/>
  <c r="K24" i="10"/>
  <c r="K56" i="10"/>
  <c r="K57" i="10" s="1"/>
  <c r="R24" i="10"/>
  <c r="R56" i="10"/>
  <c r="R57" i="10" s="1"/>
  <c r="AC24" i="10"/>
  <c r="AC56" i="10"/>
  <c r="AC57" i="10" s="1"/>
  <c r="L24" i="10"/>
  <c r="L56" i="10"/>
  <c r="L57" i="10" s="1"/>
  <c r="S24" i="10"/>
  <c r="S56" i="10"/>
  <c r="S57" i="10" s="1"/>
  <c r="P24" i="10"/>
  <c r="P56" i="10"/>
  <c r="P57" i="10" s="1"/>
  <c r="T24" i="10"/>
  <c r="T56" i="10"/>
  <c r="T57" i="10" s="1"/>
  <c r="O24" i="10"/>
  <c r="O56" i="10"/>
  <c r="O57" i="10" s="1"/>
  <c r="X24" i="10"/>
  <c r="X56" i="10"/>
  <c r="X57" i="10" s="1"/>
  <c r="M24" i="10"/>
  <c r="M56" i="10"/>
  <c r="M57" i="10" s="1"/>
  <c r="G24" i="10"/>
  <c r="G56" i="10"/>
  <c r="G57" i="10" s="1"/>
  <c r="U24" i="10"/>
  <c r="U56" i="10"/>
  <c r="U57" i="10" s="1"/>
  <c r="AB24" i="10"/>
  <c r="AB56" i="10"/>
  <c r="AB57" i="10" s="1"/>
  <c r="Y24" i="10"/>
  <c r="Y56" i="10"/>
  <c r="Y57" i="10" s="1"/>
  <c r="AA24" i="10"/>
  <c r="AA56" i="10"/>
  <c r="AA57" i="10" s="1"/>
  <c r="Z24" i="10"/>
  <c r="Z56" i="10"/>
  <c r="Z57" i="10" s="1"/>
  <c r="E24" i="10"/>
  <c r="E56" i="10"/>
  <c r="E57" i="10" s="1"/>
  <c r="J24" i="10"/>
  <c r="J56" i="10"/>
  <c r="J57" i="10" s="1"/>
  <c r="I24" i="10"/>
  <c r="I56" i="10"/>
  <c r="I57" i="10" s="1"/>
  <c r="W24" i="10"/>
  <c r="W56" i="10"/>
  <c r="W57" i="10" s="1"/>
  <c r="H24" i="10"/>
  <c r="H56" i="10"/>
  <c r="H57" i="10" s="1"/>
  <c r="Q24" i="10"/>
  <c r="Q56" i="10"/>
  <c r="Q57" i="10" s="1"/>
  <c r="F24" i="10"/>
  <c r="F56" i="10"/>
  <c r="F57" i="10" s="1"/>
  <c r="K72" i="9"/>
  <c r="K84" i="9"/>
  <c r="H73" i="9"/>
  <c r="O72" i="9"/>
  <c r="G73" i="9"/>
  <c r="N72" i="9"/>
  <c r="G70" i="9"/>
  <c r="H70" i="9"/>
  <c r="G72" i="9"/>
  <c r="H72" i="9"/>
  <c r="M72" i="9"/>
  <c r="K73" i="9"/>
  <c r="R72" i="9"/>
  <c r="G84" i="9"/>
  <c r="L73" i="9"/>
  <c r="K70" i="9"/>
  <c r="F73" i="9"/>
  <c r="T72" i="9"/>
  <c r="S72" i="9"/>
  <c r="L84" i="9"/>
  <c r="J84" i="9"/>
  <c r="I73" i="9"/>
  <c r="L72" i="9"/>
  <c r="J72" i="9"/>
  <c r="I84" i="9"/>
  <c r="J73" i="9"/>
  <c r="H84" i="9"/>
  <c r="I72" i="9"/>
  <c r="I70" i="9"/>
  <c r="M73" i="9"/>
  <c r="F72" i="9"/>
  <c r="M84" i="9"/>
  <c r="F84" i="9"/>
  <c r="F80" i="9"/>
  <c r="P73" i="9"/>
  <c r="P70" i="9"/>
  <c r="E84" i="9"/>
  <c r="Q73" i="9"/>
  <c r="Q70" i="9"/>
  <c r="S73" i="9"/>
  <c r="S70" i="9"/>
  <c r="E73" i="9"/>
  <c r="E70" i="9"/>
  <c r="U73" i="9"/>
  <c r="U70" i="9"/>
  <c r="Q72" i="9"/>
  <c r="P72" i="9"/>
  <c r="R73" i="9"/>
  <c r="R70" i="9"/>
  <c r="O73" i="9"/>
  <c r="O70" i="9"/>
  <c r="T73" i="9"/>
  <c r="T70" i="9"/>
  <c r="U72" i="9"/>
  <c r="E72" i="9"/>
  <c r="N73" i="9"/>
  <c r="N70" i="9"/>
  <c r="L39" i="13"/>
  <c r="L66" i="13"/>
  <c r="L65" i="13"/>
  <c r="H19" i="13"/>
  <c r="B4" i="13" l="1"/>
  <c r="D8" i="13" s="1"/>
  <c r="D9" i="13" s="1"/>
  <c r="M39" i="13"/>
  <c r="I19" i="13"/>
  <c r="B5" i="13" l="1"/>
  <c r="B9" i="13" s="1"/>
  <c r="B11" i="13" s="1"/>
  <c r="B13" i="13" s="1"/>
  <c r="B20" i="13"/>
  <c r="B40" i="13"/>
  <c r="N39" i="13"/>
  <c r="Q40" i="13" l="1"/>
  <c r="R40" i="13"/>
  <c r="K40" i="13"/>
  <c r="K41" i="13" s="1"/>
  <c r="P40" i="13"/>
  <c r="S40" i="13"/>
  <c r="J40" i="13"/>
  <c r="J41" i="13" s="1"/>
  <c r="L40" i="13"/>
  <c r="L41" i="13" s="1"/>
  <c r="E40" i="13"/>
  <c r="E41" i="13" s="1"/>
  <c r="M40" i="13"/>
  <c r="M41" i="13" s="1"/>
  <c r="D40" i="13"/>
  <c r="D41" i="13" s="1"/>
  <c r="N40" i="13"/>
  <c r="N41" i="13" s="1"/>
  <c r="I40" i="13"/>
  <c r="I41" i="13" s="1"/>
  <c r="G40" i="13"/>
  <c r="G41" i="13" s="1"/>
  <c r="F40" i="13"/>
  <c r="F41" i="13" s="1"/>
  <c r="O40" i="13"/>
  <c r="H40" i="13"/>
  <c r="H41" i="13" s="1"/>
  <c r="I20" i="13"/>
  <c r="I21" i="13" s="1"/>
  <c r="I22" i="13" s="1"/>
  <c r="D20" i="13"/>
  <c r="D21" i="13" s="1"/>
  <c r="E20" i="13"/>
  <c r="E21" i="13" s="1"/>
  <c r="F20" i="13"/>
  <c r="F21" i="13" s="1"/>
  <c r="G20" i="13"/>
  <c r="G21" i="13" s="1"/>
  <c r="H20" i="13"/>
  <c r="H21" i="13" s="1"/>
  <c r="O39" i="13"/>
  <c r="D42" i="13" l="1"/>
  <c r="D22" i="13"/>
  <c r="B23" i="13" s="1"/>
  <c r="B24" i="13" s="1"/>
  <c r="B28" i="13" s="1"/>
  <c r="B30" i="13" s="1"/>
  <c r="B32" i="13" s="1"/>
  <c r="O41" i="13"/>
  <c r="P39" i="13"/>
  <c r="E31" i="13" l="1"/>
  <c r="D31" i="13"/>
  <c r="C31" i="13"/>
  <c r="P41" i="13"/>
  <c r="Q39" i="13"/>
  <c r="R39" i="13" l="1"/>
  <c r="Q41" i="13"/>
  <c r="S39" i="13" l="1"/>
  <c r="S41" i="13" s="1"/>
  <c r="S42" i="13" s="1"/>
  <c r="R41" i="13"/>
  <c r="I42" i="13" s="1"/>
  <c r="B43" i="13" l="1"/>
  <c r="B44" i="13" s="1"/>
  <c r="B48" i="13" s="1"/>
  <c r="B50" i="13" s="1"/>
  <c r="B52" i="13" s="1"/>
  <c r="E52" i="13" s="1"/>
  <c r="C52" i="13" l="1"/>
  <c r="D52" i="13"/>
</calcChain>
</file>

<file path=xl/sharedStrings.xml><?xml version="1.0" encoding="utf-8"?>
<sst xmlns="http://schemas.openxmlformats.org/spreadsheetml/2006/main" count="1008" uniqueCount="752">
  <si>
    <t>资产结构</t>
    <phoneticPr fontId="1" type="noConversion"/>
  </si>
  <si>
    <t xml:space="preserve">  货币奖金</t>
    <phoneticPr fontId="1" type="noConversion"/>
  </si>
  <si>
    <t xml:space="preserve">  交易性金融资产</t>
    <phoneticPr fontId="1" type="noConversion"/>
  </si>
  <si>
    <t xml:space="preserve">  一年内到期的非流动资产</t>
    <phoneticPr fontId="1" type="noConversion"/>
  </si>
  <si>
    <t xml:space="preserve">  发放货款及垫款</t>
    <phoneticPr fontId="1" type="noConversion"/>
  </si>
  <si>
    <t xml:space="preserve">  可供出售金融资产</t>
    <phoneticPr fontId="1" type="noConversion"/>
  </si>
  <si>
    <t xml:space="preserve">  持有至到期投资</t>
    <phoneticPr fontId="1" type="noConversion"/>
  </si>
  <si>
    <t xml:space="preserve">  投资性房地产</t>
    <phoneticPr fontId="1" type="noConversion"/>
  </si>
  <si>
    <t xml:space="preserve">  应收股利</t>
    <phoneticPr fontId="1" type="noConversion"/>
  </si>
  <si>
    <t xml:space="preserve">  买入返售金融资产</t>
    <phoneticPr fontId="1" type="noConversion"/>
  </si>
  <si>
    <t xml:space="preserve">  应收利息</t>
    <phoneticPr fontId="1" type="noConversion"/>
  </si>
  <si>
    <t>金融资产合计</t>
    <phoneticPr fontId="1" type="noConversion"/>
  </si>
  <si>
    <t>经营资产：</t>
    <phoneticPr fontId="1" type="noConversion"/>
  </si>
  <si>
    <t xml:space="preserve">  划分为持有待售的资产</t>
    <phoneticPr fontId="1" type="noConversion"/>
  </si>
  <si>
    <t xml:space="preserve">  应收票据</t>
    <phoneticPr fontId="1" type="noConversion"/>
  </si>
  <si>
    <t xml:space="preserve">  应收账款</t>
    <phoneticPr fontId="1" type="noConversion"/>
  </si>
  <si>
    <t xml:space="preserve">  预付款项</t>
    <phoneticPr fontId="1" type="noConversion"/>
  </si>
  <si>
    <t xml:space="preserve">  其他应收款</t>
    <phoneticPr fontId="1" type="noConversion"/>
  </si>
  <si>
    <t xml:space="preserve">  存货</t>
    <phoneticPr fontId="1" type="noConversion"/>
  </si>
  <si>
    <t xml:space="preserve">  其他流动资产</t>
    <phoneticPr fontId="1" type="noConversion"/>
  </si>
  <si>
    <t xml:space="preserve">  营运资产小计</t>
    <phoneticPr fontId="1" type="noConversion"/>
  </si>
  <si>
    <t xml:space="preserve">  应付票据</t>
    <phoneticPr fontId="1" type="noConversion"/>
  </si>
  <si>
    <t xml:space="preserve">  应付账款</t>
    <phoneticPr fontId="1" type="noConversion"/>
  </si>
  <si>
    <t xml:space="preserve">  预收款项</t>
    <phoneticPr fontId="1" type="noConversion"/>
  </si>
  <si>
    <t xml:space="preserve">  应付手续费及佣金</t>
    <phoneticPr fontId="1" type="noConversion"/>
  </si>
  <si>
    <t xml:space="preserve">  应付职工薪酬</t>
    <phoneticPr fontId="1" type="noConversion"/>
  </si>
  <si>
    <t xml:space="preserve">  应交税费</t>
    <phoneticPr fontId="1" type="noConversion"/>
  </si>
  <si>
    <t xml:space="preserve">  其他应付款</t>
    <phoneticPr fontId="1" type="noConversion"/>
  </si>
  <si>
    <t xml:space="preserve">  长期应付职工薪酬</t>
    <phoneticPr fontId="1" type="noConversion"/>
  </si>
  <si>
    <t xml:space="preserve">  递延收益--非流动负债</t>
    <phoneticPr fontId="1" type="noConversion"/>
  </si>
  <si>
    <t xml:space="preserve">  专项应付款</t>
    <phoneticPr fontId="1" type="noConversion"/>
  </si>
  <si>
    <t xml:space="preserve">  其他流动负债</t>
    <phoneticPr fontId="1" type="noConversion"/>
  </si>
  <si>
    <t xml:space="preserve">  营运负债小计</t>
    <phoneticPr fontId="1" type="noConversion"/>
  </si>
  <si>
    <t>长期经营资产：</t>
    <phoneticPr fontId="1" type="noConversion"/>
  </si>
  <si>
    <t xml:space="preserve">  固定资产</t>
    <phoneticPr fontId="1" type="noConversion"/>
  </si>
  <si>
    <t xml:space="preserve">  在建工程</t>
    <phoneticPr fontId="1" type="noConversion"/>
  </si>
  <si>
    <t xml:space="preserve">  工程物资</t>
    <phoneticPr fontId="1" type="noConversion"/>
  </si>
  <si>
    <t xml:space="preserve">  固定资产清理</t>
    <phoneticPr fontId="1" type="noConversion"/>
  </si>
  <si>
    <t xml:space="preserve">  生产性生物资产</t>
    <phoneticPr fontId="1" type="noConversion"/>
  </si>
  <si>
    <t xml:space="preserve">  油气资产</t>
    <phoneticPr fontId="1" type="noConversion"/>
  </si>
  <si>
    <t xml:space="preserve">  无形资产</t>
    <phoneticPr fontId="1" type="noConversion"/>
  </si>
  <si>
    <t xml:space="preserve">  开发支出</t>
    <phoneticPr fontId="1" type="noConversion"/>
  </si>
  <si>
    <t xml:space="preserve">  商誉</t>
    <phoneticPr fontId="1" type="noConversion"/>
  </si>
  <si>
    <t xml:space="preserve">  长期待摊费用</t>
    <phoneticPr fontId="1" type="noConversion"/>
  </si>
  <si>
    <t xml:space="preserve">  递延所得税资产（营运类）</t>
    <phoneticPr fontId="1" type="noConversion"/>
  </si>
  <si>
    <t xml:space="preserve">  减：递延所得税负债（营运类）</t>
    <phoneticPr fontId="1" type="noConversion"/>
  </si>
  <si>
    <t xml:space="preserve">  其他非流动资产</t>
    <phoneticPr fontId="1" type="noConversion"/>
  </si>
  <si>
    <t>长期经营资产合计</t>
    <phoneticPr fontId="1" type="noConversion"/>
  </si>
  <si>
    <t>经营资产合计</t>
    <phoneticPr fontId="1" type="noConversion"/>
  </si>
  <si>
    <t>资产总额</t>
    <phoneticPr fontId="1" type="noConversion"/>
  </si>
  <si>
    <t>资本结构</t>
    <phoneticPr fontId="1" type="noConversion"/>
  </si>
  <si>
    <t>短期债务：</t>
    <phoneticPr fontId="1" type="noConversion"/>
  </si>
  <si>
    <t xml:space="preserve">  短期借款</t>
    <phoneticPr fontId="1" type="noConversion"/>
  </si>
  <si>
    <t xml:space="preserve">  交易性金融负债</t>
    <phoneticPr fontId="1" type="noConversion"/>
  </si>
  <si>
    <t xml:space="preserve">  一年内到期的非流动负债</t>
    <phoneticPr fontId="1" type="noConversion"/>
  </si>
  <si>
    <t xml:space="preserve">  应付短期债券</t>
    <phoneticPr fontId="1" type="noConversion"/>
  </si>
  <si>
    <t>长期债务：</t>
    <phoneticPr fontId="1" type="noConversion"/>
  </si>
  <si>
    <t xml:space="preserve">  长期借款</t>
    <phoneticPr fontId="1" type="noConversion"/>
  </si>
  <si>
    <t xml:space="preserve">  应付债券</t>
    <phoneticPr fontId="1" type="noConversion"/>
  </si>
  <si>
    <t xml:space="preserve">  长期应付款</t>
    <phoneticPr fontId="1" type="noConversion"/>
  </si>
  <si>
    <t>有息债务合计</t>
    <phoneticPr fontId="1" type="noConversion"/>
  </si>
  <si>
    <t>所有者权益（或股东权益）：</t>
    <phoneticPr fontId="1" type="noConversion"/>
  </si>
  <si>
    <t xml:space="preserve">  实收资本（或股本）</t>
    <phoneticPr fontId="1" type="noConversion"/>
  </si>
  <si>
    <t xml:space="preserve">  资本公积金</t>
    <phoneticPr fontId="1" type="noConversion"/>
  </si>
  <si>
    <t xml:space="preserve">  减：库存股</t>
    <phoneticPr fontId="1" type="noConversion"/>
  </si>
  <si>
    <t xml:space="preserve">  其他综合收益</t>
    <phoneticPr fontId="1" type="noConversion"/>
  </si>
  <si>
    <t xml:space="preserve">  专项储备</t>
    <phoneticPr fontId="1" type="noConversion"/>
  </si>
  <si>
    <t xml:space="preserve">  盈余公积金</t>
    <phoneticPr fontId="1" type="noConversion"/>
  </si>
  <si>
    <t xml:space="preserve">  一般风险准备</t>
    <phoneticPr fontId="1" type="noConversion"/>
  </si>
  <si>
    <t xml:space="preserve">  未分配利润</t>
    <phoneticPr fontId="1" type="noConversion"/>
  </si>
  <si>
    <t xml:space="preserve">  应付股利</t>
    <phoneticPr fontId="1" type="noConversion"/>
  </si>
  <si>
    <t xml:space="preserve">  未确认的投资损失</t>
    <phoneticPr fontId="1" type="noConversion"/>
  </si>
  <si>
    <t xml:space="preserve">  归属母公司所有者权益合计</t>
    <phoneticPr fontId="1" type="noConversion"/>
  </si>
  <si>
    <t xml:space="preserve">  少数股东权益</t>
    <phoneticPr fontId="1" type="noConversion"/>
  </si>
  <si>
    <t>所有者权益合计</t>
    <phoneticPr fontId="1" type="noConversion"/>
  </si>
  <si>
    <t>资本总额</t>
    <phoneticPr fontId="1" type="noConversion"/>
  </si>
  <si>
    <t xml:space="preserve">  长期应收款</t>
    <phoneticPr fontId="1" type="noConversion"/>
  </si>
  <si>
    <t xml:space="preserve">  应付利息</t>
    <phoneticPr fontId="1" type="noConversion"/>
  </si>
  <si>
    <t>长期股权投资</t>
    <phoneticPr fontId="1" type="noConversion"/>
  </si>
  <si>
    <t>长期股权投资:</t>
    <phoneticPr fontId="1" type="noConversion"/>
  </si>
  <si>
    <t>营运资产：</t>
    <phoneticPr fontId="1" type="noConversion"/>
  </si>
  <si>
    <t>营运资产合计</t>
    <phoneticPr fontId="1" type="noConversion"/>
  </si>
  <si>
    <t>营运负债：</t>
    <phoneticPr fontId="1" type="noConversion"/>
  </si>
  <si>
    <t xml:space="preserve">  其它非流动负债</t>
    <phoneticPr fontId="1" type="noConversion"/>
  </si>
  <si>
    <t>项目（单位：万元）</t>
    <phoneticPr fontId="1" type="noConversion"/>
  </si>
  <si>
    <t>经营活动收益</t>
    <phoneticPr fontId="1" type="noConversion"/>
  </si>
  <si>
    <t>股权投资活动收益</t>
    <phoneticPr fontId="1" type="noConversion"/>
  </si>
  <si>
    <t>金融资产收益</t>
    <phoneticPr fontId="1" type="noConversion"/>
  </si>
  <si>
    <t>总资产收益</t>
    <phoneticPr fontId="1" type="noConversion"/>
  </si>
  <si>
    <t>股权价值损益</t>
    <phoneticPr fontId="1" type="noConversion"/>
  </si>
  <si>
    <t>减：利息支出</t>
    <phoneticPr fontId="1" type="noConversion"/>
  </si>
  <si>
    <t>汇总损益-净额</t>
    <phoneticPr fontId="1" type="noConversion"/>
  </si>
  <si>
    <t>其他</t>
    <phoneticPr fontId="1" type="noConversion"/>
  </si>
  <si>
    <t>合计</t>
    <phoneticPr fontId="1" type="noConversion"/>
  </si>
  <si>
    <t>利润总额(万元)</t>
    <phoneticPr fontId="1" type="noConversion"/>
  </si>
  <si>
    <t>所得税费用(万元)</t>
    <phoneticPr fontId="1" type="noConversion"/>
  </si>
  <si>
    <t>净利润(万元)</t>
    <phoneticPr fontId="1" type="noConversion"/>
  </si>
  <si>
    <t>实际企业所得税税率 = 1- 净利润/ 税前利润 × 100%
净利润 = 税前利润- 企业所得税费用</t>
    <phoneticPr fontId="1" type="noConversion"/>
  </si>
  <si>
    <t>投资收益</t>
    <phoneticPr fontId="1" type="noConversion"/>
  </si>
  <si>
    <t>股权投资收益</t>
    <phoneticPr fontId="1" type="noConversion"/>
  </si>
  <si>
    <t>短期投资净收益</t>
    <phoneticPr fontId="1" type="noConversion"/>
  </si>
  <si>
    <t>财务费用(万元)</t>
    <phoneticPr fontId="1" type="noConversion"/>
  </si>
  <si>
    <t>股权资本成本率</t>
    <phoneticPr fontId="1" type="noConversion"/>
  </si>
  <si>
    <t>所有者权益</t>
    <phoneticPr fontId="1" type="noConversion"/>
  </si>
  <si>
    <t>财务费用：需要从财报中查找</t>
    <phoneticPr fontId="1" type="noConversion"/>
  </si>
  <si>
    <t>单位</t>
  </si>
  <si>
    <t>元</t>
  </si>
  <si>
    <t>流动资产</t>
  </si>
  <si>
    <t>货币资金</t>
  </si>
  <si>
    <t>交易性金融资产</t>
  </si>
  <si>
    <t>衍生金融资产</t>
  </si>
  <si>
    <t>应收票据</t>
  </si>
  <si>
    <t>应收账款</t>
  </si>
  <si>
    <t>预付款项</t>
  </si>
  <si>
    <t>应收利息</t>
  </si>
  <si>
    <t>应收股利</t>
  </si>
  <si>
    <t>其他应收款</t>
  </si>
  <si>
    <t>买入返售金融资产</t>
  </si>
  <si>
    <t>存货</t>
  </si>
  <si>
    <t>划分为持有待售的资产</t>
  </si>
  <si>
    <t>一年内到期的非流动资产</t>
  </si>
  <si>
    <t>待摊费用</t>
  </si>
  <si>
    <t>待处理流动资产损益</t>
  </si>
  <si>
    <t>其他流动资产</t>
  </si>
  <si>
    <t>流动资产合计</t>
  </si>
  <si>
    <t>非流动资产</t>
  </si>
  <si>
    <t>发放贷款及垫款</t>
  </si>
  <si>
    <t>可供出售金融资产</t>
  </si>
  <si>
    <t>持有至到期投资</t>
  </si>
  <si>
    <t>长期应收款</t>
  </si>
  <si>
    <t>长期股权投资</t>
  </si>
  <si>
    <t>投资性房地产</t>
  </si>
  <si>
    <t>固定资产净额</t>
  </si>
  <si>
    <t>在建工程</t>
  </si>
  <si>
    <t>工程物资</t>
  </si>
  <si>
    <t>固定资产清理</t>
  </si>
  <si>
    <t>生产性生物资产</t>
  </si>
  <si>
    <t>公益性生物资产</t>
  </si>
  <si>
    <t>油气资产</t>
  </si>
  <si>
    <t>无形资产</t>
  </si>
  <si>
    <t>开发支出</t>
  </si>
  <si>
    <t>商誉</t>
  </si>
  <si>
    <t>长期待摊费用</t>
  </si>
  <si>
    <t>递延所得税资产</t>
  </si>
  <si>
    <t>其他非流动资产</t>
  </si>
  <si>
    <t>非流动资产合计</t>
  </si>
  <si>
    <t>资产总计</t>
  </si>
  <si>
    <t>流动负债</t>
  </si>
  <si>
    <t>短期借款</t>
  </si>
  <si>
    <t>交易性金融负债</t>
  </si>
  <si>
    <t>应付票据</t>
  </si>
  <si>
    <t>应付账款</t>
  </si>
  <si>
    <t>预收款项</t>
  </si>
  <si>
    <t>应付手续费及佣金</t>
  </si>
  <si>
    <t>应付职工薪酬</t>
  </si>
  <si>
    <t>应交税费</t>
  </si>
  <si>
    <t>应付利息</t>
  </si>
  <si>
    <t>应付股利</t>
  </si>
  <si>
    <t>其他应付款</t>
  </si>
  <si>
    <t>预提费用</t>
  </si>
  <si>
    <t>一年内的递延收益</t>
  </si>
  <si>
    <t>应付短期债券</t>
  </si>
  <si>
    <t>一年内到期的非流动负债</t>
  </si>
  <si>
    <t>其他流动负债</t>
  </si>
  <si>
    <t>流动负债合计</t>
  </si>
  <si>
    <t>非流动负债</t>
  </si>
  <si>
    <t>长期借款</t>
  </si>
  <si>
    <t>应付债券</t>
  </si>
  <si>
    <t>长期应付款</t>
  </si>
  <si>
    <t>长期应付职工薪酬</t>
  </si>
  <si>
    <t>专项应付款</t>
  </si>
  <si>
    <t>预计非流动负债</t>
  </si>
  <si>
    <t>递延所得税负债</t>
  </si>
  <si>
    <t>长期递延收益</t>
  </si>
  <si>
    <t>其他非流动负债</t>
  </si>
  <si>
    <t>非流动负债合计</t>
  </si>
  <si>
    <t>负债合计</t>
  </si>
  <si>
    <t>所有者权益</t>
  </si>
  <si>
    <t>实收资本(或股本)</t>
  </si>
  <si>
    <t>资本公积</t>
  </si>
  <si>
    <t>减：库存股</t>
  </si>
  <si>
    <t>其他综合收益</t>
  </si>
  <si>
    <t>专项储备</t>
  </si>
  <si>
    <t>盈余公积</t>
  </si>
  <si>
    <t>一般风险准备</t>
  </si>
  <si>
    <t>未分配利润</t>
  </si>
  <si>
    <t>归属于母公司股东权益合计</t>
  </si>
  <si>
    <t>少数股东权益</t>
  </si>
  <si>
    <t>所有者权益(或股东权益)合计</t>
  </si>
  <si>
    <t>负债和所有者权益(或股东权益)总计</t>
  </si>
  <si>
    <t>一、营业总收入</t>
  </si>
  <si>
    <t>营业收入</t>
  </si>
  <si>
    <t>二、营业总成本</t>
  </si>
  <si>
    <t>营业成本</t>
  </si>
  <si>
    <t>营业税金及附加</t>
  </si>
  <si>
    <t>销售费用</t>
  </si>
  <si>
    <t>管理费用</t>
  </si>
  <si>
    <t>财务费用</t>
  </si>
  <si>
    <t>资产减值损失</t>
  </si>
  <si>
    <t>公允价值变动收益</t>
  </si>
  <si>
    <t>投资收益</t>
  </si>
  <si>
    <t>其中:对联营企业和合营企业的投资收益</t>
  </si>
  <si>
    <t>汇兑收益</t>
  </si>
  <si>
    <t>三、营业利润</t>
  </si>
  <si>
    <t>加:营业外收入</t>
  </si>
  <si>
    <t>减：营业外支出</t>
  </si>
  <si>
    <t>其中：非流动资产处置损失</t>
  </si>
  <si>
    <t>四、利润总额</t>
  </si>
  <si>
    <t>减：所得税费用</t>
  </si>
  <si>
    <t>五、净利润</t>
  </si>
  <si>
    <t>归属于母公司所有者的净利润</t>
  </si>
  <si>
    <t>少数股东损益</t>
  </si>
  <si>
    <t>六、每股收益</t>
  </si>
  <si>
    <t>基本每股收益(元/股)</t>
  </si>
  <si>
    <t>稀释每股收益(元/股)</t>
  </si>
  <si>
    <t>七、其他综合收益</t>
  </si>
  <si>
    <t>八、综合收益总额</t>
  </si>
  <si>
    <t>归属于母公司所有者的综合收益总额</t>
  </si>
  <si>
    <t>归属于少数股东的综合收益总额</t>
  </si>
  <si>
    <t>一、经营活动产生的现金流量</t>
  </si>
  <si>
    <t>销售商品、提供劳务收到的现金</t>
  </si>
  <si>
    <t>收到的税费返还</t>
  </si>
  <si>
    <t>收到的其他与经营活动有关的现金</t>
  </si>
  <si>
    <t>经营活动现金流入小计</t>
  </si>
  <si>
    <t>购买商品、接受劳务支付的现金</t>
  </si>
  <si>
    <t>支付给职工以及为职工支付的现金</t>
  </si>
  <si>
    <t>支付的各项税费</t>
  </si>
  <si>
    <t>支付的其他与经营活动有关的现金</t>
  </si>
  <si>
    <t>经营活动现金流出小计</t>
  </si>
  <si>
    <t>经营活动产生的现金流量净额</t>
  </si>
  <si>
    <t>二、投资活动产生的现金流量</t>
  </si>
  <si>
    <t>收回投资所收到的现金</t>
  </si>
  <si>
    <t>取得投资收益所收到的现金</t>
  </si>
  <si>
    <t>处置固定资产、无形资产和其他长期资产所收回的现金净额</t>
  </si>
  <si>
    <t>处置子公司及其他营业单位收到的现金净额</t>
  </si>
  <si>
    <t>收到的其他与投资活动有关的现金</t>
  </si>
  <si>
    <t>投资活动现金流入小计</t>
  </si>
  <si>
    <t>购建固定资产、无形资产和其他长期资产所支付的现金</t>
  </si>
  <si>
    <t>投资所支付的现金</t>
  </si>
  <si>
    <t>取得子公司及其他营业单位支付的现金净额</t>
  </si>
  <si>
    <t>支付的其他与投资活动有关的现金</t>
  </si>
  <si>
    <t>投资活动现金流出小计</t>
  </si>
  <si>
    <t>投资活动产生的现金流量净额</t>
  </si>
  <si>
    <t>三、筹资活动产生的现金流量</t>
  </si>
  <si>
    <t>吸收投资收到的现金</t>
  </si>
  <si>
    <t>其中：子公司吸收少数股东投资收到的现金</t>
  </si>
  <si>
    <t>取得借款收到的现金</t>
  </si>
  <si>
    <t>发行债券收到的现金</t>
  </si>
  <si>
    <t>收到其他与筹资活动有关的现金</t>
  </si>
  <si>
    <t>筹资活动现金流入小计</t>
  </si>
  <si>
    <t>偿还债务支付的现金</t>
  </si>
  <si>
    <t>其中：子公司支付给少数股东的股利、利润</t>
  </si>
  <si>
    <t>支付其他与筹资活动有关的现金</t>
  </si>
  <si>
    <t>筹资活动现金流出小计</t>
  </si>
  <si>
    <t>筹资活动产生的现金流量净额</t>
  </si>
  <si>
    <t>四、汇率变动对现金及现金等价物的影响</t>
  </si>
  <si>
    <t>五、现金及现金等价物净增加额</t>
  </si>
  <si>
    <t>加:期初现金及现金等价物余额</t>
  </si>
  <si>
    <t>六、期末现金及现金等价物余额</t>
  </si>
  <si>
    <t>附注</t>
  </si>
  <si>
    <t>净利润</t>
  </si>
  <si>
    <t>未确认的投资损失</t>
  </si>
  <si>
    <t>资产减值准备</t>
  </si>
  <si>
    <t>固定资产折旧、油气资产折耗、生产性物资折旧</t>
  </si>
  <si>
    <t>无形资产摊销</t>
  </si>
  <si>
    <t>长期待摊费用摊销</t>
  </si>
  <si>
    <t>待摊费用的减少</t>
  </si>
  <si>
    <t>预提费用的增加</t>
  </si>
  <si>
    <t>处置固定资产、无形资产和其他长期资产的损失</t>
  </si>
  <si>
    <t>固定资产报废损失</t>
  </si>
  <si>
    <t>公允价值变动损失</t>
  </si>
  <si>
    <t>递延收益增加（减：减少）</t>
  </si>
  <si>
    <t>预计负债</t>
  </si>
  <si>
    <t>投资损失</t>
  </si>
  <si>
    <t>递延所得税资产减少</t>
  </si>
  <si>
    <t>递延所得税负债增加</t>
  </si>
  <si>
    <t>存货的减少</t>
  </si>
  <si>
    <t>经营性应收项目的减少</t>
  </si>
  <si>
    <t>经营性应付项目的增加</t>
  </si>
  <si>
    <t>已完工尚未结算款的减少(减:增加)</t>
  </si>
  <si>
    <t>已结算尚未完工款的增加(减:减少)</t>
  </si>
  <si>
    <t>其他</t>
  </si>
  <si>
    <t>经营活动产生现金流量净额</t>
  </si>
  <si>
    <t>债务转为资本</t>
  </si>
  <si>
    <t>一年内到期的可转换公司债券</t>
  </si>
  <si>
    <t>融资租入固定资产</t>
  </si>
  <si>
    <t>现金的期末余额</t>
  </si>
  <si>
    <t>现金的期初余额</t>
  </si>
  <si>
    <t>现金等价物的期末余额</t>
  </si>
  <si>
    <t>现金等价物的期初余额</t>
  </si>
  <si>
    <t>现金及现金等价物的净增加额</t>
  </si>
  <si>
    <t xml:space="preserve">  外币报表折算差额</t>
    <phoneticPr fontId="1" type="noConversion"/>
  </si>
  <si>
    <t>自我构建长期资产</t>
    <phoneticPr fontId="1" type="noConversion"/>
  </si>
  <si>
    <t>兼收并购长期资产</t>
    <phoneticPr fontId="1" type="noConversion"/>
  </si>
  <si>
    <t>现金自给率分析</t>
    <phoneticPr fontId="1" type="noConversion"/>
  </si>
  <si>
    <t>(3)长期资产净投资额=2-1</t>
    <phoneticPr fontId="1" type="noConversion"/>
  </si>
  <si>
    <t>(9)长期资产新投资额=3-4-5-6-7-8</t>
    <phoneticPr fontId="1" type="noConversion"/>
  </si>
  <si>
    <t>(10)期初长期资产净值</t>
    <phoneticPr fontId="1" type="noConversion"/>
  </si>
  <si>
    <t>(14)净合并额=13-12</t>
    <phoneticPr fontId="1" type="noConversion"/>
  </si>
  <si>
    <t>(15)战略投资综合现金需求=3+14</t>
    <phoneticPr fontId="1" type="noConversion"/>
  </si>
  <si>
    <t>(16)经营活动产生的现金流量净额</t>
    <phoneticPr fontId="1" type="noConversion"/>
  </si>
  <si>
    <t>(18)期初金融资产金额</t>
    <phoneticPr fontId="1" type="noConversion"/>
  </si>
  <si>
    <t>(19)筹资需求=16+18-15</t>
    <phoneticPr fontId="1" type="noConversion"/>
  </si>
  <si>
    <t>(20)筹资活动产生的现金流量净额</t>
    <phoneticPr fontId="1" type="noConversion"/>
  </si>
  <si>
    <t>(2)购建固定资产、无形资产和其他长期资产支付的现金</t>
    <phoneticPr fontId="1" type="noConversion"/>
  </si>
  <si>
    <t>(4)固定资产折旧、油气资产折耗、生产性生物资产折旧</t>
    <phoneticPr fontId="1" type="noConversion"/>
  </si>
  <si>
    <t>(5)无形资产摊销</t>
    <phoneticPr fontId="1" type="noConversion"/>
  </si>
  <si>
    <t>(6)长期待摊费用摊销</t>
    <phoneticPr fontId="1" type="noConversion"/>
  </si>
  <si>
    <t>(7)处置固定资产、无形资产和其他长期资产的损失</t>
    <phoneticPr fontId="1" type="noConversion"/>
  </si>
  <si>
    <t>(8)固定资产报废损失</t>
    <phoneticPr fontId="1" type="noConversion"/>
  </si>
  <si>
    <t>非流动资产合计</t>
    <phoneticPr fontId="1" type="noConversion"/>
  </si>
  <si>
    <t>商誉</t>
    <phoneticPr fontId="1" type="noConversion"/>
  </si>
  <si>
    <t>可供出售金融资产</t>
    <phoneticPr fontId="1" type="noConversion"/>
  </si>
  <si>
    <t>(12)处置子公司及其他营业单位收到的现金净额</t>
    <phoneticPr fontId="1" type="noConversion"/>
  </si>
  <si>
    <t>(13)取得子公司及其他营业单位支付的现金净额</t>
    <phoneticPr fontId="1" type="noConversion"/>
  </si>
  <si>
    <t>长期资产</t>
    <phoneticPr fontId="1" type="noConversion"/>
  </si>
  <si>
    <t>金融资产：</t>
    <phoneticPr fontId="1" type="noConversion"/>
  </si>
  <si>
    <t>金融资产</t>
    <phoneticPr fontId="1" type="noConversion"/>
  </si>
  <si>
    <t>筹资来源</t>
    <phoneticPr fontId="1" type="noConversion"/>
  </si>
  <si>
    <t>股东之间的筹资活动</t>
    <phoneticPr fontId="1" type="noConversion"/>
  </si>
  <si>
    <t>(1)处置固定资产、无形资产和其他长期资产收回的现金净额</t>
    <phoneticPr fontId="1" type="noConversion"/>
  </si>
  <si>
    <t>债权人之间的筹资活动</t>
    <phoneticPr fontId="1" type="noConversion"/>
  </si>
  <si>
    <t>(3)股东筹资净额=1-2</t>
    <phoneticPr fontId="1" type="noConversion"/>
  </si>
  <si>
    <t>(5)财务费用中利息支出</t>
    <phoneticPr fontId="1" type="noConversion"/>
  </si>
  <si>
    <t>(4)取得借款收到的现金</t>
    <phoneticPr fontId="1" type="noConversion"/>
  </si>
  <si>
    <t>(6)应付利息</t>
    <phoneticPr fontId="1" type="noConversion"/>
  </si>
  <si>
    <t>(7)偿还债务支付的现金</t>
    <phoneticPr fontId="1" type="noConversion"/>
  </si>
  <si>
    <t>平均资本成本计算</t>
    <phoneticPr fontId="1" type="noConversion"/>
  </si>
  <si>
    <t>(1)利息支出</t>
    <phoneticPr fontId="1" type="noConversion"/>
  </si>
  <si>
    <t>(2)有息债务</t>
    <phoneticPr fontId="1" type="noConversion"/>
  </si>
  <si>
    <t>(4)税后债务资金成本=3*（100%-企业实际所得税税率)</t>
    <phoneticPr fontId="1" type="noConversion"/>
  </si>
  <si>
    <t>(5)股东权益</t>
    <phoneticPr fontId="1" type="noConversion"/>
  </si>
  <si>
    <t>(7)资本总额</t>
    <phoneticPr fontId="1" type="noConversion"/>
  </si>
  <si>
    <r>
      <t>(3)税前债务资本成本=1/期初期末平均2=</t>
    </r>
    <r>
      <rPr>
        <b/>
        <sz val="11"/>
        <color theme="1"/>
        <rFont val="宋体"/>
        <family val="3"/>
        <charset val="134"/>
        <scheme val="minor"/>
      </rPr>
      <t>(1)/平均有息债务余额</t>
    </r>
    <phoneticPr fontId="1" type="noConversion"/>
  </si>
  <si>
    <t>其中：营运资产</t>
    <phoneticPr fontId="1" type="noConversion"/>
  </si>
  <si>
    <t xml:space="preserve">      营运负债</t>
    <phoneticPr fontId="1" type="noConversion"/>
  </si>
  <si>
    <t>(4)长期经营资产</t>
    <phoneticPr fontId="1" type="noConversion"/>
  </si>
  <si>
    <t>(5)经营资产合计</t>
    <phoneticPr fontId="1" type="noConversion"/>
  </si>
  <si>
    <t>(6)资产总额合计</t>
    <phoneticPr fontId="1" type="noConversion"/>
  </si>
  <si>
    <t>(7)短期债务</t>
    <phoneticPr fontId="1" type="noConversion"/>
  </si>
  <si>
    <t>(8)长期债务</t>
    <phoneticPr fontId="1" type="noConversion"/>
  </si>
  <si>
    <t>(9)有息债务合计</t>
    <phoneticPr fontId="1" type="noConversion"/>
  </si>
  <si>
    <t>(11)资本合计</t>
    <phoneticPr fontId="1" type="noConversion"/>
  </si>
  <si>
    <t>长期融资净值=8+10-2-3-4</t>
    <phoneticPr fontId="1" type="noConversion"/>
  </si>
  <si>
    <t>短期融资净值=7-1</t>
    <phoneticPr fontId="1" type="noConversion"/>
  </si>
  <si>
    <t>(10)股东权益=6-9</t>
    <phoneticPr fontId="1" type="noConversion"/>
  </si>
  <si>
    <t>企业实际所得税税率%</t>
    <phoneticPr fontId="1" type="noConversion"/>
  </si>
  <si>
    <t>(8)债务资金比例%=2/7</t>
    <phoneticPr fontId="1" type="noConversion"/>
  </si>
  <si>
    <t>(9)股权资金比例%=5/7</t>
    <phoneticPr fontId="1" type="noConversion"/>
  </si>
  <si>
    <t>(10)加权平均资金成本(WACC)%</t>
    <phoneticPr fontId="1" type="noConversion"/>
  </si>
  <si>
    <t>(11)长期资产扩张性资本支出比例%=9/10*100%</t>
    <phoneticPr fontId="1" type="noConversion"/>
  </si>
  <si>
    <t>营业收入</t>
    <phoneticPr fontId="1" type="noConversion"/>
  </si>
  <si>
    <t>营业成本</t>
    <phoneticPr fontId="1" type="noConversion"/>
  </si>
  <si>
    <t>营业成本率</t>
    <phoneticPr fontId="1" type="noConversion"/>
  </si>
  <si>
    <t>营业成本增长率</t>
    <phoneticPr fontId="1" type="noConversion"/>
  </si>
  <si>
    <t>毛利</t>
    <phoneticPr fontId="1" type="noConversion"/>
  </si>
  <si>
    <t>毛利率</t>
    <phoneticPr fontId="1" type="noConversion"/>
  </si>
  <si>
    <t>毛利增长率</t>
    <phoneticPr fontId="1" type="noConversion"/>
  </si>
  <si>
    <t>税金及附加</t>
    <phoneticPr fontId="1" type="noConversion"/>
  </si>
  <si>
    <t>税金及附加率</t>
    <phoneticPr fontId="1" type="noConversion"/>
  </si>
  <si>
    <t>销售费用</t>
    <phoneticPr fontId="1" type="noConversion"/>
  </si>
  <si>
    <t>销售费用率</t>
    <phoneticPr fontId="1" type="noConversion"/>
  </si>
  <si>
    <t>管理费用</t>
    <phoneticPr fontId="1" type="noConversion"/>
  </si>
  <si>
    <t>管理费用率</t>
    <phoneticPr fontId="1" type="noConversion"/>
  </si>
  <si>
    <t>资产减值损失</t>
    <phoneticPr fontId="1" type="noConversion"/>
  </si>
  <si>
    <t>财务费用中其他（财务手续费)</t>
    <phoneticPr fontId="1" type="noConversion"/>
  </si>
  <si>
    <t>财务手续费率</t>
    <phoneticPr fontId="1" type="noConversion"/>
  </si>
  <si>
    <t>营业外收支净额</t>
    <phoneticPr fontId="1" type="noConversion"/>
  </si>
  <si>
    <t>营业外收支净额率</t>
    <phoneticPr fontId="1" type="noConversion"/>
  </si>
  <si>
    <t>总费用率</t>
    <phoneticPr fontId="1" type="noConversion"/>
  </si>
  <si>
    <t>息前税后经营利润</t>
    <phoneticPr fontId="1" type="noConversion"/>
  </si>
  <si>
    <t>息前税后经营利润率</t>
    <phoneticPr fontId="1" type="noConversion"/>
  </si>
  <si>
    <t>营业收入增长率%</t>
    <phoneticPr fontId="1" type="noConversion"/>
  </si>
  <si>
    <t>息税前经营利润</t>
    <phoneticPr fontId="1" type="noConversion"/>
  </si>
  <si>
    <t>对联营企业和合营企业的股权投资收益</t>
    <phoneticPr fontId="1" type="noConversion"/>
  </si>
  <si>
    <t>息税前金融资产收益</t>
    <phoneticPr fontId="1" type="noConversion"/>
  </si>
  <si>
    <t>息税前利润</t>
    <phoneticPr fontId="1" type="noConversion"/>
  </si>
  <si>
    <t>息税前利润结构分析</t>
    <phoneticPr fontId="1" type="noConversion"/>
  </si>
  <si>
    <t>息税前经营利润占比</t>
    <phoneticPr fontId="1" type="noConversion"/>
  </si>
  <si>
    <t>对联营企业和合营企业的股权投资收益占比</t>
    <phoneticPr fontId="1" type="noConversion"/>
  </si>
  <si>
    <t>息税前金融资产收益占比</t>
    <phoneticPr fontId="1" type="noConversion"/>
  </si>
  <si>
    <t>财务成本负担率</t>
    <phoneticPr fontId="1" type="noConversion"/>
  </si>
  <si>
    <t>税前利润</t>
    <phoneticPr fontId="1" type="noConversion"/>
  </si>
  <si>
    <t>财务成本负担率=1-税前利润/息税前利润</t>
    <phoneticPr fontId="1" type="noConversion"/>
  </si>
  <si>
    <t>(1) 营业收入</t>
    <phoneticPr fontId="1" type="noConversion"/>
  </si>
  <si>
    <t>(2) 减：营业成本</t>
    <phoneticPr fontId="1" type="noConversion"/>
  </si>
  <si>
    <t>(3)毛利额=1-2</t>
    <phoneticPr fontId="1" type="noConversion"/>
  </si>
  <si>
    <t xml:space="preserve">   毛利率</t>
    <phoneticPr fontId="1" type="noConversion"/>
  </si>
  <si>
    <t>(4) 减：（营业）税金及附加</t>
    <phoneticPr fontId="1" type="noConversion"/>
  </si>
  <si>
    <t>(5) 销售费用</t>
    <phoneticPr fontId="1" type="noConversion"/>
  </si>
  <si>
    <t>(6) 管理费用</t>
    <phoneticPr fontId="1" type="noConversion"/>
  </si>
  <si>
    <t>(7) 资产减值损失</t>
    <phoneticPr fontId="1" type="noConversion"/>
  </si>
  <si>
    <t>(8) 财务费用中其他（与经营活动有关的财务手续费）</t>
    <phoneticPr fontId="1" type="noConversion"/>
  </si>
  <si>
    <t>(9) 加：营业外收入</t>
    <phoneticPr fontId="1" type="noConversion"/>
  </si>
  <si>
    <t>(10) 减：营业外支出</t>
    <phoneticPr fontId="1" type="noConversion"/>
  </si>
  <si>
    <t>(12) 经营利润所得税=11*实际所得税税率</t>
    <phoneticPr fontId="1" type="noConversion"/>
  </si>
  <si>
    <t>(13)息前税后经营利润=11-12</t>
    <phoneticPr fontId="1" type="noConversion"/>
  </si>
  <si>
    <t>(11)息税前经营利润=3-（4+5+6+7+8）+9-10</t>
    <phoneticPr fontId="1" type="noConversion"/>
  </si>
  <si>
    <t xml:space="preserve">    息前税后经营利润率=13/1*100%</t>
    <phoneticPr fontId="1" type="noConversion"/>
  </si>
  <si>
    <t>(14) 对联营企业和合营企业的股权投资收益</t>
    <phoneticPr fontId="1" type="noConversion"/>
  </si>
  <si>
    <t>(15) 公允价值变动净收益</t>
    <phoneticPr fontId="1" type="noConversion"/>
  </si>
  <si>
    <t xml:space="preserve">(16) 财务费用中的利息收入 </t>
    <phoneticPr fontId="1" type="noConversion"/>
  </si>
  <si>
    <t>(17) 短期投资净收益=投资收益-股权投资收益</t>
    <phoneticPr fontId="1" type="noConversion"/>
  </si>
  <si>
    <t>(18) 财务费用中的汇兑净收益</t>
    <phoneticPr fontId="1" type="noConversion"/>
  </si>
  <si>
    <t>(19) 其他综合收益</t>
    <phoneticPr fontId="1" type="noConversion"/>
  </si>
  <si>
    <t>(20) 息税前金融资产收益=15+16+17+18+19</t>
    <phoneticPr fontId="1" type="noConversion"/>
  </si>
  <si>
    <t>(21) 金融资产收益所得税=（20-19）*实际所得税税率</t>
    <phoneticPr fontId="1" type="noConversion"/>
  </si>
  <si>
    <t>(22) 息前税后金融资产收益=20-21</t>
    <phoneticPr fontId="1" type="noConversion"/>
  </si>
  <si>
    <t>(23) 息税前利润=11+14+20</t>
    <phoneticPr fontId="1" type="noConversion"/>
  </si>
  <si>
    <t xml:space="preserve">    息税前利润率=23/1*100%</t>
    <phoneticPr fontId="1" type="noConversion"/>
  </si>
  <si>
    <t>(24) 息前税后利润=13+14+22</t>
    <phoneticPr fontId="1" type="noConversion"/>
  </si>
  <si>
    <t xml:space="preserve">    息前税后利润率=24/1*100%</t>
    <phoneticPr fontId="1" type="noConversion"/>
  </si>
  <si>
    <t>(25) 真实财务费用=利润表中财务费用+16</t>
    <phoneticPr fontId="1" type="noConversion"/>
  </si>
  <si>
    <t>(26) 减：利息支出税收抵扣=25*实际所得税税率</t>
    <phoneticPr fontId="1" type="noConversion"/>
  </si>
  <si>
    <t>(27) 税后财务费用=25-26</t>
    <phoneticPr fontId="1" type="noConversion"/>
  </si>
  <si>
    <t>(28)（息后）税前利润=（23-25）或 （24-27）</t>
    <phoneticPr fontId="1" type="noConversion"/>
  </si>
  <si>
    <t xml:space="preserve">    （息后）税前利润率=28/1*100%</t>
    <phoneticPr fontId="1" type="noConversion"/>
  </si>
  <si>
    <t>(29) 减：所得税费用</t>
    <phoneticPr fontId="1" type="noConversion"/>
  </si>
  <si>
    <t xml:space="preserve">    净利润率=30/1*100%</t>
    <phoneticPr fontId="1" type="noConversion"/>
  </si>
  <si>
    <t>(30)净利润=28-29</t>
    <phoneticPr fontId="1" type="noConversion"/>
  </si>
  <si>
    <t>(31) 减：股权资本成本=所有者权益*股权资本成本率</t>
    <phoneticPr fontId="1" type="noConversion"/>
  </si>
  <si>
    <t xml:space="preserve">     假设股权资本成本率为8%</t>
    <phoneticPr fontId="1" type="noConversion"/>
  </si>
  <si>
    <t>(32) 股权价值增加=30-31</t>
    <phoneticPr fontId="1" type="noConversion"/>
  </si>
  <si>
    <t>净利润、股权价值增加值</t>
    <phoneticPr fontId="1" type="noConversion"/>
  </si>
  <si>
    <t>净利润</t>
    <phoneticPr fontId="1" type="noConversion"/>
  </si>
  <si>
    <t>环比增长</t>
    <phoneticPr fontId="1" type="noConversion"/>
  </si>
  <si>
    <t>股权价值增加值</t>
    <phoneticPr fontId="1" type="noConversion"/>
  </si>
  <si>
    <t>净利润率%</t>
    <phoneticPr fontId="1" type="noConversion"/>
  </si>
  <si>
    <t>利息保障倍数=息税前利润/利息费用(利息费用?)</t>
    <phoneticPr fontId="1" type="noConversion"/>
  </si>
  <si>
    <t>股东权益</t>
    <phoneticPr fontId="1" type="noConversion"/>
  </si>
  <si>
    <t>股东权益回报率=净利润/股东权益</t>
    <phoneticPr fontId="1" type="noConversion"/>
  </si>
  <si>
    <t>(2)资产总额周转率=营业收入/资产总额</t>
    <phoneticPr fontId="1" type="noConversion"/>
  </si>
  <si>
    <t>(3)财务成本效应比率=税前利润/息税前利润</t>
    <phoneticPr fontId="1" type="noConversion"/>
  </si>
  <si>
    <t>(4)财务杠杆倍数=资产总额/股东权益</t>
    <phoneticPr fontId="1" type="noConversion"/>
  </si>
  <si>
    <t>(5)企业所得税效应比率=净利润/税前利润</t>
    <phoneticPr fontId="1" type="noConversion"/>
  </si>
  <si>
    <t>实际所得税税率=1-净利润/税前利润</t>
    <phoneticPr fontId="1" type="noConversion"/>
  </si>
  <si>
    <t>股东权益回报率=1*2*3*4*5</t>
    <phoneticPr fontId="1" type="noConversion"/>
  </si>
  <si>
    <t>(1)息税前利润率=息税前利润/营业收入%</t>
    <phoneticPr fontId="1" type="noConversion"/>
  </si>
  <si>
    <t>息税前资产回报率=息税前利润/资产总额</t>
    <phoneticPr fontId="1" type="noConversion"/>
  </si>
  <si>
    <t xml:space="preserve">财务杠杆效应=财务成本效应比率*财务杠杆倍数 </t>
    <phoneticPr fontId="1" type="noConversion"/>
  </si>
  <si>
    <t>营运资产回报率分析</t>
    <phoneticPr fontId="1" type="noConversion"/>
  </si>
  <si>
    <t>长期股权投资的回报率分析</t>
    <phoneticPr fontId="1" type="noConversion"/>
  </si>
  <si>
    <t>长期股权投资收益</t>
    <phoneticPr fontId="1" type="noConversion"/>
  </si>
  <si>
    <t>长期股权投资</t>
    <phoneticPr fontId="1" type="noConversion"/>
  </si>
  <si>
    <t>长期股权投资收益率</t>
    <phoneticPr fontId="1" type="noConversion"/>
  </si>
  <si>
    <t>金融资产回报率分析</t>
    <phoneticPr fontId="1" type="noConversion"/>
  </si>
  <si>
    <t>(1)营业收入</t>
    <phoneticPr fontId="1" type="noConversion"/>
  </si>
  <si>
    <t>(2)息税前经营利润</t>
    <phoneticPr fontId="1" type="noConversion"/>
  </si>
  <si>
    <t>(3)息税前经营利润率=2/1</t>
    <phoneticPr fontId="1" type="noConversion"/>
  </si>
  <si>
    <t>息前税后金融资产收益</t>
    <phoneticPr fontId="1" type="noConversion"/>
  </si>
  <si>
    <t>金融资产：</t>
    <phoneticPr fontId="1" type="noConversion"/>
  </si>
  <si>
    <t>货币资金</t>
    <phoneticPr fontId="1" type="noConversion"/>
  </si>
  <si>
    <t>以公允价值计量且其变动计入当期损益的金融资产</t>
    <phoneticPr fontId="1" type="noConversion"/>
  </si>
  <si>
    <t>应收利息</t>
    <phoneticPr fontId="1" type="noConversion"/>
  </si>
  <si>
    <t>应收股利</t>
    <phoneticPr fontId="1" type="noConversion"/>
  </si>
  <si>
    <t>可供出售金融资产</t>
    <phoneticPr fontId="1" type="noConversion"/>
  </si>
  <si>
    <t>持有至到期投资</t>
    <phoneticPr fontId="1" type="noConversion"/>
  </si>
  <si>
    <t>投资性房地产</t>
    <phoneticPr fontId="1" type="noConversion"/>
  </si>
  <si>
    <t>买入返售金融资产</t>
    <phoneticPr fontId="1" type="noConversion"/>
  </si>
  <si>
    <t>划分为持有待售的资产</t>
    <phoneticPr fontId="1" type="noConversion"/>
  </si>
  <si>
    <t>金融资产合计</t>
    <phoneticPr fontId="1" type="noConversion"/>
  </si>
  <si>
    <t>税后金融资产收益率</t>
    <phoneticPr fontId="1" type="noConversion"/>
  </si>
  <si>
    <t>息税前资产周转率分析</t>
    <phoneticPr fontId="1" type="noConversion"/>
  </si>
  <si>
    <t>营业收入</t>
    <phoneticPr fontId="1" type="noConversion"/>
  </si>
  <si>
    <t>营运资产总额</t>
    <phoneticPr fontId="1" type="noConversion"/>
  </si>
  <si>
    <t>营运资产周转率</t>
    <phoneticPr fontId="1" type="noConversion"/>
  </si>
  <si>
    <t>长期经营资产总额</t>
    <phoneticPr fontId="1" type="noConversion"/>
  </si>
  <si>
    <t>长期经营资产周转率</t>
    <phoneticPr fontId="1" type="noConversion"/>
  </si>
  <si>
    <t>金融资产总额</t>
    <phoneticPr fontId="1" type="noConversion"/>
  </si>
  <si>
    <t>金融资产周转率</t>
    <phoneticPr fontId="1" type="noConversion"/>
  </si>
  <si>
    <t>长期股权投资周转率</t>
    <phoneticPr fontId="1" type="noConversion"/>
  </si>
  <si>
    <t>营运资本管理效率分析</t>
    <phoneticPr fontId="1" type="noConversion"/>
  </si>
  <si>
    <t>计算周期(天)</t>
    <phoneticPr fontId="1" type="noConversion"/>
  </si>
  <si>
    <t>应收账款+应收票据-预收账款</t>
    <phoneticPr fontId="1" type="noConversion"/>
  </si>
  <si>
    <t>(2)应收账款周转天数</t>
    <phoneticPr fontId="1" type="noConversion"/>
  </si>
  <si>
    <t>营业成本</t>
    <phoneticPr fontId="1" type="noConversion"/>
  </si>
  <si>
    <t>存货</t>
    <phoneticPr fontId="1" type="noConversion"/>
  </si>
  <si>
    <t>(3)存货平均周转率=营业成本/平均存货额</t>
    <phoneticPr fontId="1" type="noConversion"/>
  </si>
  <si>
    <t>(4)存货周转天数</t>
    <phoneticPr fontId="1" type="noConversion"/>
  </si>
  <si>
    <t>应付账款+应付票据-预付账款</t>
    <phoneticPr fontId="1" type="noConversion"/>
  </si>
  <si>
    <t>(5)应付平均周转率=营业成本/平均应付成本</t>
    <phoneticPr fontId="1" type="noConversion"/>
  </si>
  <si>
    <t>(6)应付账款周转天数</t>
    <phoneticPr fontId="1" type="noConversion"/>
  </si>
  <si>
    <t>(7)营业周期(天) = 2+ 4</t>
    <phoneticPr fontId="1" type="noConversion"/>
  </si>
  <si>
    <t>(8)现金周期(天) = 2+4-6</t>
    <phoneticPr fontId="1" type="noConversion"/>
  </si>
  <si>
    <t>占用上下游资金</t>
    <phoneticPr fontId="1" type="noConversion"/>
  </si>
  <si>
    <t>(1)销售商品、提供劳务收到的现金</t>
    <phoneticPr fontId="1" type="noConversion"/>
  </si>
  <si>
    <t>(2)营业总收入</t>
    <phoneticPr fontId="1" type="noConversion"/>
  </si>
  <si>
    <t>营业收入现金含量= ((1)/(1+(3))/(2)</t>
    <phoneticPr fontId="1" type="noConversion"/>
  </si>
  <si>
    <t>(4)购买商品、接受劳务支出的现金</t>
    <phoneticPr fontId="1" type="noConversion"/>
  </si>
  <si>
    <t>(5)支付给职工以及为职工支付的现金</t>
    <phoneticPr fontId="1" type="noConversion"/>
  </si>
  <si>
    <t xml:space="preserve">(6)营业成本 </t>
    <phoneticPr fontId="1" type="noConversion"/>
  </si>
  <si>
    <t>(7)营业税金及附加</t>
    <phoneticPr fontId="1" type="noConversion"/>
  </si>
  <si>
    <t>(8)销售费用</t>
    <phoneticPr fontId="1" type="noConversion"/>
  </si>
  <si>
    <t>(9)管理费用</t>
    <phoneticPr fontId="1" type="noConversion"/>
  </si>
  <si>
    <t>(10)营业总成本=6+7+8+9</t>
    <phoneticPr fontId="1" type="noConversion"/>
  </si>
  <si>
    <t>成本费用付现率=((4)/(1+(3))+(5))/(10)</t>
    <phoneticPr fontId="1" type="noConversion"/>
  </si>
  <si>
    <t>(11)经营活动产生的现金流量净额</t>
    <phoneticPr fontId="1" type="noConversion"/>
  </si>
  <si>
    <t>(12)息前税后经营利润</t>
    <phoneticPr fontId="1" type="noConversion"/>
  </si>
  <si>
    <t>经营利润现金含量=11/12</t>
    <phoneticPr fontId="1" type="noConversion"/>
  </si>
  <si>
    <t>(13)净利润</t>
    <phoneticPr fontId="1" type="noConversion"/>
  </si>
  <si>
    <t>净利润现金含量=11/13</t>
    <phoneticPr fontId="1" type="noConversion"/>
  </si>
  <si>
    <t>(14)资产减值准备</t>
    <phoneticPr fontId="1" type="noConversion"/>
  </si>
  <si>
    <t>(15)固定资产折旧、油气资产折旧、生产性生物资产折旧</t>
    <phoneticPr fontId="1" type="noConversion"/>
  </si>
  <si>
    <t>(16)无形资产摊销</t>
    <phoneticPr fontId="1" type="noConversion"/>
  </si>
  <si>
    <t>(17)长期待摊费用摊销</t>
    <phoneticPr fontId="1" type="noConversion"/>
  </si>
  <si>
    <t>(18)处置固定资产、无形资产和其他长期资产的损失</t>
    <phoneticPr fontId="1" type="noConversion"/>
  </si>
  <si>
    <t>(19)固定资产报废损失</t>
    <phoneticPr fontId="1" type="noConversion"/>
  </si>
  <si>
    <t>非付现成本费用=14+15+16+17+18+19</t>
    <phoneticPr fontId="1" type="noConversion"/>
  </si>
  <si>
    <t>经营活动产生的现金流量净额-非付现成本费用</t>
    <phoneticPr fontId="1" type="noConversion"/>
  </si>
  <si>
    <t>经营资产自由现金流=经营活动现金流量净额-保全性资本支出</t>
    <phoneticPr fontId="1" type="noConversion"/>
  </si>
  <si>
    <t>自由现金流增长率</t>
    <phoneticPr fontId="1" type="noConversion"/>
  </si>
  <si>
    <t>(3)增值税销项税率</t>
    <phoneticPr fontId="1" type="noConversion"/>
  </si>
  <si>
    <t>增值税销项税率</t>
    <phoneticPr fontId="1" type="noConversion"/>
  </si>
  <si>
    <t xml:space="preserve">不同公司的自由现金流计算是有差异的。并非所有的公司都要 按照这个公式和口径来计算，要看不同的公司做不同的调整。
</t>
    <phoneticPr fontId="1" type="noConversion"/>
  </si>
  <si>
    <t>一阶段：缓慢增长DCF假设</t>
    <phoneticPr fontId="1" type="noConversion"/>
  </si>
  <si>
    <t>(1)最近一年自由现金流为基准</t>
    <phoneticPr fontId="1" type="noConversion"/>
  </si>
  <si>
    <t>(2)缓慢增长率g</t>
    <phoneticPr fontId="1" type="noConversion"/>
  </si>
  <si>
    <t>(3)贴现率(WACC)</t>
    <phoneticPr fontId="1" type="noConversion"/>
  </si>
  <si>
    <t>(4)经营类资产价值=(1) * (1+g)/(WACC-g)</t>
    <phoneticPr fontId="1" type="noConversion"/>
  </si>
  <si>
    <t>(5)加：金融资产</t>
    <phoneticPr fontId="1" type="noConversion"/>
  </si>
  <si>
    <t>(6)加：股权投资</t>
    <phoneticPr fontId="1" type="noConversion"/>
  </si>
  <si>
    <t>(7)减：公司债务</t>
    <phoneticPr fontId="1" type="noConversion"/>
  </si>
  <si>
    <t>(8)公司价值=（4）+（5）+（6）-（7）</t>
    <phoneticPr fontId="1" type="noConversion"/>
  </si>
  <si>
    <t>(9)少数股东比例</t>
    <phoneticPr fontId="1" type="noConversion"/>
  </si>
  <si>
    <t>(11)股本</t>
    <phoneticPr fontId="1" type="noConversion"/>
  </si>
  <si>
    <t>(12)每股内在价值（元）=（10）/（11）</t>
    <phoneticPr fontId="1" type="noConversion"/>
  </si>
  <si>
    <t>DCF两段</t>
    <phoneticPr fontId="1" type="noConversion"/>
  </si>
  <si>
    <t>n年之内增长率</t>
    <phoneticPr fontId="1" type="noConversion"/>
  </si>
  <si>
    <t>贴现率</t>
    <phoneticPr fontId="1" type="noConversion"/>
  </si>
  <si>
    <t>折现后价值</t>
    <phoneticPr fontId="1" type="noConversion"/>
  </si>
  <si>
    <t>两段合计</t>
    <phoneticPr fontId="1" type="noConversion"/>
  </si>
  <si>
    <t>经营性资产价值</t>
    <phoneticPr fontId="1" type="noConversion"/>
  </si>
  <si>
    <t>加：金融资产价值</t>
    <phoneticPr fontId="1" type="noConversion"/>
  </si>
  <si>
    <t>加：长期股权价值</t>
    <phoneticPr fontId="1" type="noConversion"/>
  </si>
  <si>
    <t>减：公司债务</t>
    <phoneticPr fontId="1" type="noConversion"/>
  </si>
  <si>
    <t>公司价值</t>
    <phoneticPr fontId="1" type="noConversion"/>
  </si>
  <si>
    <t>少数股东比例</t>
    <phoneticPr fontId="1" type="noConversion"/>
  </si>
  <si>
    <t>归属上市公司股东的价值</t>
    <phoneticPr fontId="1" type="noConversion"/>
  </si>
  <si>
    <t>每股内在价值（元）</t>
    <phoneticPr fontId="1" type="noConversion"/>
  </si>
  <si>
    <t>总股本（万股）</t>
    <phoneticPr fontId="1" type="noConversion"/>
  </si>
  <si>
    <t>最近一年自由现金流</t>
    <phoneticPr fontId="1" type="noConversion"/>
  </si>
  <si>
    <t>头5年增长率g1</t>
    <phoneticPr fontId="1" type="noConversion"/>
  </si>
  <si>
    <t>5年后增长率g2</t>
    <phoneticPr fontId="1" type="noConversion"/>
  </si>
  <si>
    <t>安全区间</t>
    <phoneticPr fontId="1" type="noConversion"/>
  </si>
  <si>
    <t>DCF三段</t>
    <phoneticPr fontId="1" type="noConversion"/>
  </si>
  <si>
    <t>三段合计</t>
    <phoneticPr fontId="1" type="noConversion"/>
  </si>
  <si>
    <t>此后增长率g3</t>
    <phoneticPr fontId="1" type="noConversion"/>
  </si>
  <si>
    <t>合计价值</t>
    <phoneticPr fontId="1" type="noConversion"/>
  </si>
  <si>
    <t>公司自由现金流：free cash flow,FCF</t>
    <phoneticPr fontId="1" type="noConversion"/>
  </si>
  <si>
    <t>(10)归属上市公司股东价值= (8) * (1-(9))</t>
    <phoneticPr fontId="1" type="noConversion"/>
  </si>
  <si>
    <t>股本</t>
    <phoneticPr fontId="1" type="noConversion"/>
  </si>
  <si>
    <t>分配股利、利润或偿付利息所支付的现金</t>
  </si>
  <si>
    <t>(1)金融资产</t>
    <phoneticPr fontId="1" type="noConversion"/>
  </si>
  <si>
    <t>(2)长期股权投资</t>
    <phoneticPr fontId="1" type="noConversion"/>
  </si>
  <si>
    <t>金融资产变化率</t>
    <phoneticPr fontId="1" type="noConversion"/>
  </si>
  <si>
    <t>长期股权投资变化率</t>
    <phoneticPr fontId="1" type="noConversion"/>
  </si>
  <si>
    <t>营运资产变化率</t>
    <phoneticPr fontId="1" type="noConversion"/>
  </si>
  <si>
    <t>营运负责变化率</t>
    <phoneticPr fontId="1" type="noConversion"/>
  </si>
  <si>
    <t>(3)营运资本(营运资产-营运负债)</t>
    <phoneticPr fontId="1" type="noConversion"/>
  </si>
  <si>
    <t>长期经营资产变化率</t>
    <phoneticPr fontId="1" type="noConversion"/>
  </si>
  <si>
    <t>短期债务变化率</t>
    <phoneticPr fontId="1" type="noConversion"/>
  </si>
  <si>
    <t>长期债务变化率</t>
    <phoneticPr fontId="1" type="noConversion"/>
  </si>
  <si>
    <t>金融资产占比</t>
    <phoneticPr fontId="1" type="noConversion"/>
  </si>
  <si>
    <t>长期股权投资占比</t>
    <phoneticPr fontId="1" type="noConversion"/>
  </si>
  <si>
    <t>短期债务占比</t>
    <phoneticPr fontId="1" type="noConversion"/>
  </si>
  <si>
    <t>长期债务占比</t>
    <phoneticPr fontId="1" type="noConversion"/>
  </si>
  <si>
    <t>长期经营资产占比</t>
    <phoneticPr fontId="1" type="noConversion"/>
  </si>
  <si>
    <t>5年</t>
    <phoneticPr fontId="1" type="noConversion"/>
  </si>
  <si>
    <t>自由现金流增长率</t>
    <phoneticPr fontId="1" type="noConversion"/>
  </si>
  <si>
    <t>7年</t>
    <phoneticPr fontId="1" type="noConversion"/>
  </si>
  <si>
    <t>复合增长率 = POWER(现有价值/基础价值， 1/年数） -1</t>
    <phoneticPr fontId="1" type="noConversion"/>
  </si>
  <si>
    <t>利息收入(此处填为负数）</t>
    <phoneticPr fontId="1" type="noConversion"/>
  </si>
  <si>
    <t>营运资本变化率</t>
    <phoneticPr fontId="1" type="noConversion"/>
  </si>
  <si>
    <t>营运资本</t>
    <phoneticPr fontId="1" type="noConversion"/>
  </si>
  <si>
    <t>复合增长</t>
  </si>
  <si>
    <t>资产总额</t>
    <phoneticPr fontId="1" type="noConversion"/>
  </si>
  <si>
    <t>营运资产</t>
    <phoneticPr fontId="1" type="noConversion"/>
  </si>
  <si>
    <t>营运负债</t>
    <phoneticPr fontId="1" type="noConversion"/>
  </si>
  <si>
    <t>长期经营资产</t>
    <phoneticPr fontId="1" type="noConversion"/>
  </si>
  <si>
    <t>长期经营资产周转率分析</t>
    <phoneticPr fontId="1" type="noConversion"/>
  </si>
  <si>
    <t>营业收入</t>
    <phoneticPr fontId="1" type="noConversion"/>
  </si>
  <si>
    <t>长期经营资产总额</t>
    <phoneticPr fontId="1" type="noConversion"/>
  </si>
  <si>
    <t>长期经营资产周转率</t>
    <phoneticPr fontId="1" type="noConversion"/>
  </si>
  <si>
    <t>固定资产</t>
    <phoneticPr fontId="1" type="noConversion"/>
  </si>
  <si>
    <t>固定资产周转率</t>
    <phoneticPr fontId="1" type="noConversion"/>
  </si>
  <si>
    <t>在建工程</t>
    <phoneticPr fontId="1" type="noConversion"/>
  </si>
  <si>
    <t>在建工程周转率</t>
    <phoneticPr fontId="1" type="noConversion"/>
  </si>
  <si>
    <t>工程物资</t>
    <phoneticPr fontId="1" type="noConversion"/>
  </si>
  <si>
    <t>固定资产清理</t>
    <phoneticPr fontId="1" type="noConversion"/>
  </si>
  <si>
    <t>生产性生物资产</t>
    <phoneticPr fontId="1" type="noConversion"/>
  </si>
  <si>
    <t>油气资产</t>
    <phoneticPr fontId="1" type="noConversion"/>
  </si>
  <si>
    <t>无形资产</t>
    <phoneticPr fontId="1" type="noConversion"/>
  </si>
  <si>
    <t>开发支出</t>
    <phoneticPr fontId="1" type="noConversion"/>
  </si>
  <si>
    <t>商誉</t>
    <phoneticPr fontId="1" type="noConversion"/>
  </si>
  <si>
    <t>长期待摊费用</t>
    <phoneticPr fontId="1" type="noConversion"/>
  </si>
  <si>
    <t>递延所得税资产</t>
    <phoneticPr fontId="1" type="noConversion"/>
  </si>
  <si>
    <t>减：递延所得税负债</t>
    <phoneticPr fontId="1" type="noConversion"/>
  </si>
  <si>
    <t>其他非流动资产</t>
    <phoneticPr fontId="1" type="noConversion"/>
  </si>
  <si>
    <t>(8)发行债券收到的现金</t>
    <phoneticPr fontId="1" type="noConversion"/>
  </si>
  <si>
    <t>(9)债务筹资净额=4+8-5-6-7</t>
    <phoneticPr fontId="1" type="noConversion"/>
  </si>
  <si>
    <t>近6年营业收入复合增长</t>
    <phoneticPr fontId="1" type="noConversion"/>
  </si>
  <si>
    <t>6年</t>
    <phoneticPr fontId="1" type="noConversion"/>
  </si>
  <si>
    <t>6年</t>
    <phoneticPr fontId="1" type="noConversion"/>
  </si>
  <si>
    <t>复合增长率</t>
    <phoneticPr fontId="1" type="noConversion"/>
  </si>
  <si>
    <t>5年</t>
    <phoneticPr fontId="1" type="noConversion"/>
  </si>
  <si>
    <t>6年</t>
    <phoneticPr fontId="1" type="noConversion"/>
  </si>
  <si>
    <t>7年</t>
    <phoneticPr fontId="1" type="noConversion"/>
  </si>
  <si>
    <t>经营性现金流</t>
    <phoneticPr fontId="1" type="noConversion"/>
  </si>
  <si>
    <t>维斯效应，就是有关市场预期与上市公司价格波动之间的双倍数效应。也就是说当一个公司利润持续增长使得每股收益提高，同时市场给予的估值也提高，股价得到了相乘倍数的上涨，这就叫戴维斯双击；相反，当一个公司业绩下滑时，每股收益减
少或下降，市场给予的估值也下降，股价得到相乘倍数的下跌，这就叫戴维斯双杀。</t>
    <phoneticPr fontId="1" type="noConversion"/>
  </si>
  <si>
    <t xml:space="preserve">    实际所得税税率=29/28</t>
    <phoneticPr fontId="1" type="noConversion"/>
  </si>
  <si>
    <t>PEG测算</t>
    <phoneticPr fontId="1" type="noConversion"/>
  </si>
  <si>
    <t>最高股份日期</t>
    <phoneticPr fontId="1" type="noConversion"/>
  </si>
  <si>
    <t>最高股价（复权）</t>
    <phoneticPr fontId="1" type="noConversion"/>
  </si>
  <si>
    <t>股本（亿股）</t>
    <phoneticPr fontId="1" type="noConversion"/>
  </si>
  <si>
    <t>净利润增长率%</t>
    <phoneticPr fontId="1" type="noConversion"/>
  </si>
  <si>
    <t>收盘价</t>
    <phoneticPr fontId="1" type="noConversion"/>
  </si>
  <si>
    <t>市值</t>
    <phoneticPr fontId="1" type="noConversion"/>
  </si>
  <si>
    <t>最高市值</t>
    <phoneticPr fontId="1" type="noConversion"/>
  </si>
  <si>
    <t>市盈率</t>
    <phoneticPr fontId="1" type="noConversion"/>
  </si>
  <si>
    <t>最高市盈率</t>
    <phoneticPr fontId="1" type="noConversion"/>
  </si>
  <si>
    <t>最高PEG</t>
    <phoneticPr fontId="1" type="noConversion"/>
  </si>
  <si>
    <t>净利润（预测）</t>
    <phoneticPr fontId="1" type="noConversion"/>
  </si>
  <si>
    <t>2018年预测</t>
    <phoneticPr fontId="1" type="noConversion"/>
  </si>
  <si>
    <t>市盈率P/E</t>
    <phoneticPr fontId="1" type="noConversion"/>
  </si>
  <si>
    <t>市值(亿）</t>
    <phoneticPr fontId="1" type="noConversion"/>
  </si>
  <si>
    <t>最高PEG=市盈率除以公司的盈利增长速度</t>
    <phoneticPr fontId="1" type="noConversion"/>
  </si>
  <si>
    <t>根据2018年中报预报,净利润为中报*2</t>
    <phoneticPr fontId="1" type="noConversion"/>
  </si>
  <si>
    <t>根据券商报告预测净利润</t>
    <phoneticPr fontId="1" type="noConversion"/>
  </si>
  <si>
    <t>净利润亿（财报）</t>
    <phoneticPr fontId="1" type="noConversion"/>
  </si>
  <si>
    <t>所谓PEG，是用公司的市盈率（PE）除以公司未来3或5年的（每股收益复合增长率*100）。（PE）仅仅反映了某股票当前价值，PEG则把股票当前的价值和该股未来的成长联系了起来 。比如一只股票当前的市盈率为20倍，其未来5年的预期每股收益复合增长率为20%，那么这只股票的PEG就是1。当PEG等于1时，表明市场赋予这只股票的估值可以充分反映其未来业绩的成长性。
如果PEG大于1，则这只股票的价值就可能被高估，或市场认为这家公司的业绩成长性会高于市场的预期。
通常，那些成长型股票的PEG都会高于1，甚至在2以上，投资者愿意给予其高估值，表明这家公司未来很有可能会保持业绩的快速增长，这样的股票就容易有超出想象的市盈率估值。
当PEG小于1时，要么是市场低估了这只股票的价值，要么是市场认为其业绩成长性可能比预期的要差。通常价值型股票的PEG都会低于1，以反映低业绩增长的预期。投资者需要注意的是，像其他财务指标一样，PEG也不能单独使用，必须要和其他指标结合起来，这里最关键的还是对公司业绩的预期。
由于PEG需要对未来至少3年的业绩增长情况作出判断，而不能只用未来12个月的盈利预测，因此大大提高了准确判断的难度。事实上，只有当投资者有把握对未来3年以上的业绩表现作出比较准确的预测时，PEG的使用效果才会体现出来，否则反而会起误导作用。此外，投资者不能仅看公司自身的PEG来确认它是高估还是低估，如果某公司股票的PEG为1.2,而其他成长性类似的同行业公司股票的PEG都在1.5以上，则该公司的PEG虽然已经高于1，但价值仍可能被低估</t>
    <phoneticPr fontId="1" type="noConversion"/>
  </si>
  <si>
    <t>(21)收回投资收到的现金</t>
    <phoneticPr fontId="1" type="noConversion"/>
  </si>
  <si>
    <t>(22)投资支付的现金</t>
    <phoneticPr fontId="1" type="noConversion"/>
  </si>
  <si>
    <t>(23)投资现金流出净额</t>
    <phoneticPr fontId="1" type="noConversion"/>
  </si>
  <si>
    <t>投资现金流出净额5年复合增长</t>
    <phoneticPr fontId="1" type="noConversion"/>
  </si>
  <si>
    <t>(2)分配股利、利润所支付的现金（当年所支付入现金：上一前的财报数据)</t>
    <phoneticPr fontId="1" type="noConversion"/>
  </si>
  <si>
    <t>百分比</t>
    <phoneticPr fontId="1" type="noConversion"/>
  </si>
  <si>
    <t>后10年增长率g2</t>
    <phoneticPr fontId="1" type="noConversion"/>
  </si>
  <si>
    <t>(5)经营资产合计=3+4</t>
    <phoneticPr fontId="1" type="noConversion"/>
  </si>
  <si>
    <t>(9)有息债务合计=7+8</t>
    <phoneticPr fontId="1" type="noConversion"/>
  </si>
  <si>
    <t>(6)资产总额合计=1+2+5</t>
    <phoneticPr fontId="1" type="noConversion"/>
  </si>
  <si>
    <t>(11)资本合计=9+10</t>
    <phoneticPr fontId="1" type="noConversion"/>
  </si>
  <si>
    <t>资产期限结构分析</t>
    <phoneticPr fontId="1" type="noConversion"/>
  </si>
  <si>
    <t>短期资产合计</t>
    <phoneticPr fontId="1" type="noConversion"/>
  </si>
  <si>
    <t>长期资产合计</t>
    <phoneticPr fontId="1" type="noConversion"/>
  </si>
  <si>
    <t>资产总计</t>
    <phoneticPr fontId="1" type="noConversion"/>
  </si>
  <si>
    <t xml:space="preserve">  金融资产</t>
    <phoneticPr fontId="1" type="noConversion"/>
  </si>
  <si>
    <t xml:space="preserve">  营运资本</t>
    <phoneticPr fontId="1" type="noConversion"/>
  </si>
  <si>
    <t xml:space="preserve">  其中：营运资产</t>
    <phoneticPr fontId="1" type="noConversion"/>
  </si>
  <si>
    <t xml:space="preserve">        营运负债</t>
    <phoneticPr fontId="1" type="noConversion"/>
  </si>
  <si>
    <t xml:space="preserve">  长期股权投资</t>
    <phoneticPr fontId="1" type="noConversion"/>
  </si>
  <si>
    <t xml:space="preserve">  长期经营资产</t>
    <phoneticPr fontId="1" type="noConversion"/>
  </si>
  <si>
    <t>资本来源结构分析</t>
    <phoneticPr fontId="1" type="noConversion"/>
  </si>
  <si>
    <t>短期债务</t>
    <phoneticPr fontId="1" type="noConversion"/>
  </si>
  <si>
    <t>长期债务</t>
    <phoneticPr fontId="1" type="noConversion"/>
  </si>
  <si>
    <t>有息债务合计</t>
    <phoneticPr fontId="1" type="noConversion"/>
  </si>
  <si>
    <t>股东权益</t>
    <phoneticPr fontId="1" type="noConversion"/>
  </si>
  <si>
    <t>资本总额</t>
    <phoneticPr fontId="1" type="noConversion"/>
  </si>
  <si>
    <t>有息债务率=69/74</t>
    <phoneticPr fontId="1" type="noConversion"/>
  </si>
  <si>
    <t>股权资本比率=71/74</t>
    <phoneticPr fontId="1" type="noConversion"/>
  </si>
  <si>
    <t>财务杠杆=74/71 最好在2倍以下</t>
    <phoneticPr fontId="1" type="noConversion"/>
  </si>
  <si>
    <t>资本期限结构分析</t>
    <phoneticPr fontId="1" type="noConversion"/>
  </si>
  <si>
    <t>短期资本合计</t>
    <phoneticPr fontId="1" type="noConversion"/>
  </si>
  <si>
    <t>短期资本比例</t>
    <phoneticPr fontId="1" type="noConversion"/>
  </si>
  <si>
    <t>长期资本合计</t>
    <phoneticPr fontId="1" type="noConversion"/>
  </si>
  <si>
    <t>长期资本比例</t>
    <phoneticPr fontId="1" type="noConversion"/>
  </si>
  <si>
    <t>运营资本长期化率=（8+10-4-2）/3</t>
    <phoneticPr fontId="1" type="noConversion"/>
  </si>
  <si>
    <t>(17)现金自给率=16/15</t>
    <phoneticPr fontId="1" type="noConversion"/>
  </si>
  <si>
    <t>优序筹资理论：
  首选内源筹资，基次为外源筹资，在外源筹资中又首选债务筹资，其次才是股权筹资
筹资时机：
  在股份较高时选择股权筹资，在股份较低时选择债务筹资，以利用较低的筹资成本优势。一家公司在股价被严重低估时选择股权筹资，将极大损害现有股东的利益，就是对现有股东利益的侵蚀。从这个意义上讲，
给现有股东配股筹资要比折扣价定向增发，对现有股东更加公平有利。
  我们可以通过筹资时机分析，判断一家公司的管理层是否认真对待股东的利益，是否是真正负责的管理层</t>
    <phoneticPr fontId="1" type="noConversion"/>
  </si>
  <si>
    <t>WACC增加，股票价值减小;WACC减小，股票价值增加;
基准利率和国债利率上升，则投资者预期回报上升，WACC上升;基准利率和国债利率下降，则投资者预期回报下降，WACC下降;
2016年我国5年期国债利率4.2%左右，换句话说，股东的预期收益率应该大于4.2%</t>
    <phoneticPr fontId="1" type="noConversion"/>
  </si>
  <si>
    <t>资产减值损失率（大比例变动可能操纵利润）</t>
    <phoneticPr fontId="1" type="noConversion"/>
  </si>
  <si>
    <r>
      <rPr>
        <b/>
        <sz val="11"/>
        <color rgb="FFFF0000"/>
        <rFont val="宋体"/>
        <family val="3"/>
        <charset val="134"/>
        <scheme val="minor"/>
      </rPr>
      <t>营业收入：</t>
    </r>
    <r>
      <rPr>
        <b/>
        <sz val="11"/>
        <color theme="1"/>
        <rFont val="宋体"/>
        <family val="3"/>
        <charset val="134"/>
        <scheme val="minor"/>
      </rPr>
      <t xml:space="preserve">
    1，营业收入逐年快速增长的公司，可以称之为成长型公司;营业收入逐年下降的公司，为衰退型公司;营业收入各年间保持稳定的公司，则称为成熟型公司。
    2，一家公司要提高营业收入有两个途径：一是扩大销量，二是提高价格。
    3，营业收入分析的特殊问题：收入的确认问题（虚构收入陷阱，结合现金流分析来规避）
</t>
    </r>
    <r>
      <rPr>
        <b/>
        <sz val="11"/>
        <color rgb="FFFF0000"/>
        <rFont val="宋体"/>
        <family val="3"/>
        <charset val="134"/>
        <scheme val="minor"/>
      </rPr>
      <t>营业成本：</t>
    </r>
    <r>
      <rPr>
        <b/>
        <sz val="11"/>
        <color theme="1"/>
        <rFont val="宋体"/>
        <family val="3"/>
        <charset val="134"/>
        <scheme val="minor"/>
      </rPr>
      <t xml:space="preserve">
    1，对于轻资产行业的固定成本比较低，一旦竞争对手进行恶性竞争，我们可以选择彻底退出，从而相对业说出现产能过剩的情况会少得多;对于进入重资产行业的公司来说，要通过差异化
竞争策略把自己跟其他公司区别开来，才能避免陷入价格战以及周期性产能过剩。
    2，一家公司要控制营业成本有两个途径：一是控制单位固定成本，二是控制单位变动成本 （营业成本=销量*（单位固定成本+单位变动成本）），
        从控制单位固定成本的角度来看，我们需要对公司业务规模做一个大致的预测和判断。在固定成本总额不变的情况下，业务规模越大，则单位固定成本越低。
        从控制单位变动成本的角度来看，我们需要分析公司内部管理的精细化程度，比如采购管理、精益生产方式等。
</t>
    </r>
    <r>
      <rPr>
        <b/>
        <sz val="11"/>
        <color rgb="FFFF0000"/>
        <rFont val="宋体"/>
        <family val="3"/>
        <charset val="134"/>
        <scheme val="minor"/>
      </rPr>
      <t>成本与收入匹配原则：</t>
    </r>
    <r>
      <rPr>
        <b/>
        <sz val="11"/>
        <color theme="1"/>
        <rFont val="宋体"/>
        <family val="3"/>
        <charset val="134"/>
        <scheme val="minor"/>
      </rPr>
      <t xml:space="preserve">
     一家公司某个会计期间或某个会计对象所取得的营业收入应与为取得该收入所发生的营业成本相匹配，以正确计算在该会计期间的营业利润，有些公司为了操纵利润，在某些年度少结转营业
成本，导致虚增公司利润的同时虚增公司存货。此时，我们要结合公司的毛利率以及存货周转率等指标，来进行分析为判断公司是否存在着财报舞弊。
</t>
    </r>
    <r>
      <rPr>
        <b/>
        <sz val="11"/>
        <color rgb="FFFF0000"/>
        <rFont val="宋体"/>
        <family val="3"/>
        <charset val="134"/>
        <scheme val="minor"/>
      </rPr>
      <t>毛利：</t>
    </r>
    <r>
      <rPr>
        <b/>
        <sz val="11"/>
        <color theme="1"/>
        <rFont val="宋体"/>
        <family val="3"/>
        <charset val="134"/>
        <scheme val="minor"/>
      </rPr>
      <t xml:space="preserve">
    在财报中，多数时候一家公司毛利率的高低就是反映其是否有护城河的指标 ：毛利率越高越稳定，护城河越深。
    1，一般而言，毛利率长期低于15%的行业属于过度竞争行业，
    2，毛利率长期在15%~25%的行业属于高度竞争行业，
    3，毛利率长期在25%以上的行业属于竞争格局比较好的行业。
    毛利率波动比较大的行业受外部因素如宏观经济形势，上下游供应链等影响比较大。
    1，对于有发展前景的公司，营业收入应该逐年增加，同时营业成本也会有所增长，但增长幅度应该低于营业收入。因此，毛利应该逐年与营业收入保持同幅度增长，或者更大幅度增长，
    2，反之，如果营业收入逐年增长，但营业成本增幅超过营业收入，则公司增收不增利;
    3，如果营业收入下降，营业成本下降，则公司陷入衰退境地。
费用分析：
    1，销售费用率  2，管理费用率  3，资产减值损失率  4，营业外收支净额率
</t>
    </r>
    <phoneticPr fontId="1" type="noConversion"/>
  </si>
  <si>
    <t>利润分析</t>
    <phoneticPr fontId="1" type="noConversion"/>
  </si>
  <si>
    <t>息税前经营利润</t>
    <phoneticPr fontId="1" type="noConversion"/>
  </si>
  <si>
    <t>息税前经营利润率</t>
    <phoneticPr fontId="1" type="noConversion"/>
  </si>
  <si>
    <t>息前税后经营利润</t>
    <phoneticPr fontId="1" type="noConversion"/>
  </si>
  <si>
    <t>营业收入利润率=息前税后经营利润/营业收入</t>
    <phoneticPr fontId="1" type="noConversion"/>
  </si>
  <si>
    <t>息税前经营利润和息前税后经营利润反映一家公司通过营业活动获取收益的绝对金额。营业收入利润率反映一家公司通过经营活动获取收益的相对能力。
对于一家有发展前景的公司，息前税后经营利润应该稳步上升，营业收入利润率保持稳定或者略有上升;反之，则表明公司发展前景堪忧。</t>
    <phoneticPr fontId="1" type="noConversion"/>
  </si>
  <si>
    <t>资产带来收入和利润。利润包括金融资产收益、长期股权投资收益和经营利润。经营利润是一般工商企业的利润来源，一般而言，经营利润的稳定性和持续性比金融资产
收益和长期股权投资收益要高，因此经营利润构成了一般工商企业的核心利润。</t>
    <phoneticPr fontId="1" type="noConversion"/>
  </si>
  <si>
    <t>实际企业所得税</t>
    <phoneticPr fontId="1" type="noConversion"/>
  </si>
  <si>
    <t>税前利润</t>
    <phoneticPr fontId="1" type="noConversion"/>
  </si>
  <si>
    <t>所得税</t>
    <phoneticPr fontId="1" type="noConversion"/>
  </si>
  <si>
    <t>净利润</t>
    <phoneticPr fontId="1" type="noConversion"/>
  </si>
  <si>
    <t>实际所得税率</t>
    <phoneticPr fontId="1" type="noConversion"/>
  </si>
  <si>
    <t>实际所得税率含义是，一家公司的税前利润中有多少比例用于缴纳企业所得税。该比例越低，则企业税前利润中用于缴纳企业所得税就越少。在15左右可能是享受高新技术企业的所得税优惠政策。</t>
    <phoneticPr fontId="1" type="noConversion"/>
  </si>
  <si>
    <t>如果股权价值增加值为负，则即使净利润为正数，公司也没有给股东创造价值，反而在损毁价值。
如果股权价值增加值接近于零，公司为股东创造了预期回报。
只有在股权价值增加值为正数的情况下，公司才为股东创造超预期回报。
如果一个公司股权价值增加值高，并不一定意味着公司具有广阔发展远景，原因：一：股权价值增加值是基于净利润调整而来，而净利润可以通过利润操纵进行调整;二：利润和现金流量之间具有差异性。</t>
    <phoneticPr fontId="1" type="noConversion"/>
  </si>
  <si>
    <t>(4)经营资产总额</t>
    <phoneticPr fontId="1" type="noConversion"/>
  </si>
  <si>
    <t>(5)经营资产周转率=1/4</t>
    <phoneticPr fontId="1" type="noConversion"/>
  </si>
  <si>
    <t>固定资产平均净值</t>
    <phoneticPr fontId="1" type="noConversion"/>
  </si>
  <si>
    <t>固定资产成新率</t>
    <phoneticPr fontId="1" type="noConversion"/>
  </si>
  <si>
    <t xml:space="preserve">长期经营资产周转率用来衡量长期经营资产的管理效率。长期经营资产包括固定资产、在建工程、无形资产、研发支出、商誉、长期待摊费用、递延所得税资产
长期经营资产除了固定资产和土地使用权外，其他不计算周转率，计算长期资产周转率的意义在于，通过长期经营资产周转率分析来判断一家公司的长期经营资产结构是否合理，管理效率是得到了提升还是下降。
    * 一般在建工程、研发支出属于前期投入阶段，无法带来营业收入，因此不计算这些资产的周转率。
    * 无形资产包括土地使用权、专利权、著作权、商标权等，土地使用权的含义代表了公司的营业规模和营业能力，与固定资产一般，因此对于土地使用权利等无形资产我们计算周转率。
    * 专利权、著作权、商标权，商誉等无形资产并不是通过直接带来营业收入创造价值，而是通过价格上的溢价来体现，因此不计算周转率
    * 长期待摊费用和递延所得税资产也多数与营业收入不存在直接的关系，因此不计算周转率
    1,固定资产一般通过生产各种商品带来收入，因此固定资产和营业收入之间存在非常密切的关系，从而我们会计算固定资产周转率。固定资产周转率主要用于分析对厂房、设备等固定资产的利用效率。比率越高，
      说明利用率越高，管理水平越好。如果固定资产周转率与同行业平均水平相比偏低，则说明公司对固定资产的利用率较低，可能会影响公司的获利能力。
    2,固定资产成新率对大多数公司来说应保持在50%以上，一般在70%以上，如果低于50%，说明公司的固定资产已经严重老化。
</t>
    <phoneticPr fontId="1" type="noConversion"/>
  </si>
  <si>
    <t>无形资产周转率（土地使用权）</t>
    <phoneticPr fontId="1" type="noConversion"/>
  </si>
  <si>
    <t>应收账款周转率：
   表示公司公司从获利应收账款的权利到收回款项、变成现金所需要的时间。一般来说，应收账款周转率越高越好，表明公司收账速度快、平均收账期短、坏账少、资产流动快、偿债能力强。
   影响应收账款周转率和周转天数正确性的因素：首先由于公司生产经营的季节性原因，使应收账款周转率不能正确反映公司销售的实际情况。其次，某些公司在产品销售中大量使用分期付款的方式 。再次，有些公司采取大量收取现金的方式进行销售。最后，有些公司年末销售量大量增加或年末销售大量下降。分析应收账款周转率和周转天数这两个指标应将公司本期指标和前期指标，行业平均水平或其他类似公司相比较，判断指标高低。
存货周转率：
   衡量和评价企业购入存货、投入生产、销售收回等环节管理状况的综合性指标。一般来说，存货周转速度越快（存货周转率或存货周转次数越大，存货周转天数越短），存货占用水平越低，流动性越强，存货转化为现金或应收账款的速度就越快，表明企业的销售能力越强，营运资本占用在存货上的金额也越少。存货周转速度分析利于找出存货管理中存在的问题，尽可能降低资金占用水平。
应付账款周转率：
   反映的是企业应付账款的流动程度。合理的应付账款周转率来自同行业对比和公司历史正常水平。如果应付账款周转率低于行业平均水平，说明公司较同行可以更多占用供应商赀款，显示其重要的市场地位，但同时也要承担较多的还款压力。如果公司应付账款周转率较以前出现快速提高，说明公司占用供应商货款降低，可能反映上游供应商谈判实力增强，要求快速回款的情况，也可能预示原材料供应紧俏甚至吃紧。
营业周期和现金周期：
   用来判断一家公司营运资本的管理效率
   1，营业周期可以帮助我们判断哪一家公司生产、销售产品的速度比较快
   2，现金周期帮助我们判断哪一家公司生产、销售并回收现金速度比较快。
一般来说，同一行业中营业周期和现金周期比较短的公司，其效率要高于其他公司，营运资本需求也比较少。</t>
    <phoneticPr fontId="1" type="noConversion"/>
  </si>
  <si>
    <t>(1)应收平均周转率=营业收入/平均应收额</t>
    <phoneticPr fontId="1" type="noConversion"/>
  </si>
  <si>
    <t>(6)息税前经营资产回报率=3*5</t>
    <phoneticPr fontId="1" type="noConversion"/>
  </si>
  <si>
    <t xml:space="preserve">经营资产 = 营运资产（经营活动...） + 长期经营资产(在建工程...) ，要分析经营资产回报率，从营业资产回报率和长期经营资产回报率来详细分析。
</t>
    <phoneticPr fontId="1" type="noConversion"/>
  </si>
  <si>
    <t>息税前营运资产回报率：
   公司投资和经营活动的效率越高，盈利能力越强，则公司的股东权益回报率越高。
   1、资产周转率反映公司投资和经营活动的管理效率; （提高方法：提高存货周转率，缩短应收账款回收期以及减少销售占用的长期资产数）
   2、息税前经营利润率反映公司资产的盈利能力; （提高方法：1、提高价格或以已快于营业支出增加的速度来提高销售量，从而使销售额上升。2、以快于销售额       减少的速度来压缩营业开支。）
长期股权投资：
   一般来说，长期股权投资收益要高于公司的加权平均资本成本率，则长期股权投资实现了保值增值的目标;反之，如果长期股权投资收益率低于公司的加权平均资本成本率，则长期股权投资的价值需要打折。另外，长期股权投资还需要结合公司的战略安排来分析。有时候长期股权投资是为了保证公司上游供应商和下游渠道的稳定，此时收益回报并非决定性因素。</t>
    <phoneticPr fontId="1" type="noConversion"/>
  </si>
  <si>
    <t>一般来说公司的金融资产是不了应付经营活动的现金需求以防范资金危机和投机性需求，但是对于非金融公司来说，不应该大量持有金融资产，一般占公司资产总额的
5%~10%为宜。</t>
    <phoneticPr fontId="1" type="noConversion"/>
  </si>
  <si>
    <t>金融资产占比</t>
    <phoneticPr fontId="1" type="noConversion"/>
  </si>
  <si>
    <t>股东权益回报率分析:  
   股东权益回报率受息税前经营利润率、资产周转率、财务成本效应比率、财务杠杆倍数、企业所得税效应五个因素影响。
   1、息税前经营利润和资产周转率     -----反映公司的投资和经营活动效率
   2、财务成本效应比率和财务杠杆倍数 -----反映公司的筹资活动效率
   3、企业所得税效应比率            ------反映政府的税收以及公司的税务管理活动
债务筹资对股东权益回报率的影响：
  财务杠杆倍数和财务成本效应比率反映公司的债务筹资活动对股东权益回报率的影响，
  1，财务成本效应比率：财务成本效应比率越高，则公司的财务成本 负担率越低，财务成本越少;财务成本效应比率越低，则公司财务成本负担率越高，财务成本越多
  2，财务杠杆倍数：对于固定规模的公司，当债务增加（减少）时会引起：a:股东权益减少（增加） b:财务杠杆倍数增加（减小） c:股东权益回报率提高（降低)
  3，财务杠杆效应：财务杠杆效应越高，越有助于提升股东权益回报率;财务杠杆效应越低，则越会降低股东权益回报率。因此，提高财务杠杆效应，可以提高股东权益回报率。
而要提高财务杠杆效应，必须综合考虑合理改善财务成本效应比率和财务杠杆倍数：提高财务杠杆倍数会增加财务成本负担率，从而降低财务成本效应比率;降低财务杠杆倍数则
会减少财务成本负担率，从而提高财务成本效应比率。</t>
    <phoneticPr fontId="1" type="noConversion"/>
  </si>
  <si>
    <t>财务成本负担率含义是，一家公司的息税前利润中有多少比例用于支付利息。这一比例越低，息税前利润用于支付利息就越少，公司的财务成本负担越轻;反之，则用于
支付利息的就越多，公司的财务成本负担就越重。有些公司财务成本负担率非常高。达到80%到90%，整个公司都在给银行打工。降低此财务成本负担率的方法：
1，改善资本结构，比如增加股权融资，降低财务成本负担
2，提高运营效率、加强成本控制，提升获利能力。
当然，从根源上讲，公司需要从竞争策略上做出改进--行业的选择以及竞争格局的改变。
利息保障倍数： 应高于1，如果低于1，则意味着公司无法保证债权人的利息支付。该比率越高，债权人的利息保障程度越高。</t>
    <phoneticPr fontId="1" type="noConversion"/>
  </si>
  <si>
    <t>按变现周期，资产分为长期资产和短期资产</t>
    <phoneticPr fontId="1" type="noConversion"/>
  </si>
  <si>
    <t>有息债务：指公司资本总额中债务资本所占比例，有息债务越少越好，预收款项、应付款项等经营负债在正常经营情况下越多越好。
股权资本比率：是指公司资本总额中股权资本所占比例。
财务杠杆：财务杠杆是一柄双刃剑。债务资本成本一般来说低于股权资本成本，举债可以降低公司的综合资金成本。但是，如果财务杠杆倍数过高，会加大公司的财务风险。公司的资产收益率低于资本成本将损害公司的利益，甚至导致公司无法偿还到期债务而陷入破产清算。对投资者而言，公司的财务杠杆倍数最好控制在2以内。</t>
    <phoneticPr fontId="1" type="noConversion"/>
  </si>
  <si>
    <t>资本按照期限分为短期资本和长期资本。一般来说，一年及一年内到期的资本为短期资本，以年以上到期的资本为长期资本。因此，短期债务为短期资本，长期债务为长期资本。</t>
    <phoneticPr fontId="1" type="noConversion"/>
  </si>
  <si>
    <t>项目</t>
    <phoneticPr fontId="1" type="noConversion"/>
  </si>
  <si>
    <t>竞争策略</t>
    <phoneticPr fontId="1" type="noConversion"/>
  </si>
  <si>
    <t>1，核心</t>
    <phoneticPr fontId="1" type="noConversion"/>
  </si>
  <si>
    <t>2，适用性</t>
    <phoneticPr fontId="1" type="noConversion"/>
  </si>
  <si>
    <t>总成本领先策略</t>
    <phoneticPr fontId="1" type="noConversion"/>
  </si>
  <si>
    <t>差异化策略</t>
    <phoneticPr fontId="1" type="noConversion"/>
  </si>
  <si>
    <t>对于成本和费用的控制，将不为客户带来附加价值的产品、服务予以简化</t>
    <phoneticPr fontId="1" type="noConversion"/>
  </si>
  <si>
    <t>取得某种对顾客有价值的独特性</t>
    <phoneticPr fontId="1" type="noConversion"/>
  </si>
  <si>
    <t xml:space="preserve">适合于无法提供差异化产品或服务的行业
</t>
    <phoneticPr fontId="1" type="noConversion"/>
  </si>
  <si>
    <t xml:space="preserve">适合于创新创意、品牌消费等行业
</t>
    <phoneticPr fontId="1" type="noConversion"/>
  </si>
  <si>
    <t>1，资产特征</t>
    <phoneticPr fontId="1" type="noConversion"/>
  </si>
  <si>
    <t>2，资本特征</t>
    <phoneticPr fontId="1" type="noConversion"/>
  </si>
  <si>
    <t>3，资产周转</t>
    <phoneticPr fontId="1" type="noConversion"/>
  </si>
  <si>
    <t>4，营运资本需求</t>
    <phoneticPr fontId="1" type="noConversion"/>
  </si>
  <si>
    <t>5，毛利率的高低</t>
    <phoneticPr fontId="1" type="noConversion"/>
  </si>
  <si>
    <t>6，毛利率的稳定</t>
    <phoneticPr fontId="1" type="noConversion"/>
  </si>
  <si>
    <t>7，费用率</t>
    <phoneticPr fontId="1" type="noConversion"/>
  </si>
  <si>
    <t>财报特征</t>
    <phoneticPr fontId="1" type="noConversion"/>
  </si>
  <si>
    <t xml:space="preserve">以固定资产、无形资产（土地使用权）为主的重资产
</t>
    <phoneticPr fontId="1" type="noConversion"/>
  </si>
  <si>
    <t xml:space="preserve">以流动资产和金融资产为主的轻资产
</t>
    <phoneticPr fontId="1" type="noConversion"/>
  </si>
  <si>
    <t xml:space="preserve">长期资产投入巨大，较高的财务杠杆
</t>
    <phoneticPr fontId="1" type="noConversion"/>
  </si>
  <si>
    <t xml:space="preserve">长期资产投入较少，较低的财务杠杆
</t>
    <phoneticPr fontId="1" type="noConversion"/>
  </si>
  <si>
    <t xml:space="preserve">高速的重资产周转以降低单位固定成本，同时要做好营运资本管理
</t>
    <phoneticPr fontId="1" type="noConversion"/>
  </si>
  <si>
    <t xml:space="preserve">重点在于存货、应收账款和应付账款等营运资本的周转管理
</t>
    <phoneticPr fontId="1" type="noConversion"/>
  </si>
  <si>
    <t xml:space="preserve">在产业链中不具有谈判优势，营运资本投入较大，现金周期较长
</t>
    <phoneticPr fontId="1" type="noConversion"/>
  </si>
  <si>
    <t xml:space="preserve">在产业链中具有谈判优势，营运资本投入较少，现金周期较短甚至为负数
</t>
    <phoneticPr fontId="1" type="noConversion"/>
  </si>
  <si>
    <t>较低的毛利率</t>
    <phoneticPr fontId="1" type="noConversion"/>
  </si>
  <si>
    <t>很高的毛利率</t>
    <phoneticPr fontId="1" type="noConversion"/>
  </si>
  <si>
    <t xml:space="preserve">受竞争环境影响，毛利率波动性比较大
</t>
    <phoneticPr fontId="1" type="noConversion"/>
  </si>
  <si>
    <t xml:space="preserve">取决于自身的核心竞争力，毛利率比较稳定
</t>
    <phoneticPr fontId="1" type="noConversion"/>
  </si>
  <si>
    <t xml:space="preserve">严格的费用控制下较低的费用率
</t>
    <phoneticPr fontId="1" type="noConversion"/>
  </si>
  <si>
    <t xml:space="preserve">保持核心竞争力需要某一方面的较大支出，导致费用率较高
</t>
    <phoneticPr fontId="1" type="noConversion"/>
  </si>
  <si>
    <t xml:space="preserve">不同竞争策略下的公司财报存在着不同特征。成功实施差异化策略的公司通过技术专利、品牌形象等构筑了很深的竞争壁垒，一般的竞争者根本无法跨越竞争壁垒从而保证了其竞争优势，公司的毛利率、销售净利率等比较高且稳定，盈利能力很强。总成本领先策略无法建立起竞争壁垒，进入门槛不高，没有特别核心的技术，对竞争者的要求主要集中在工艺上，新进入者进行追赶甚至替代老公司的难度相对较低，因此市场竞争日益激烈，最后往往只能陷入价格战，公司的毛利率、销售净利率等比较低且波动性很大，甚至会陷入亏损的境地。
</t>
    <phoneticPr fontId="1" type="noConversion"/>
  </si>
  <si>
    <t>不忘实心，方得始终：
    1，公司战略决定投资方向和活动，投资方向和活动决定资产结构和质量;
    2，筹资活动募集现金为了满足投资活动需求，筹资活动决定资本结构及资本成本;
    3，资产结构和资本结构的匹配程度决定公司的短期风险;
    4，资产转化为成本费用的同时带来收入并形成利润，因此资产结构和质量及营运活动效率决定利润结构、质量和多寡，利润与资本成本决定公司创造价值的程度及长期风险;
    5，营业收入、营业成本和利润要转化为经营活动现金流，经营活动现金流决定自由现金流，自由现金流决定公司价值。</t>
    <phoneticPr fontId="1" type="noConversion"/>
  </si>
  <si>
    <t>营业收入现金含量：
   该指标反映公司的营业收入中实际收到现金的比例。从公司的成长过程分析，在公司开始从事经营活动的初期或者快速扩张期，由于公司在销售中需要给予客户信用期而产生较大的应收
账款，形成营业收入已经确认，但 是现金尚未收到的结果，从而有可能使公司在这一时期的营业收入现金含量小于1，这是公司在发展过程中不可避免的状态。但是在公司的平稳经营阶段，
剔除增值税的影响后，营业收入现金含量应该在1左右，否则说明营业收入含量不够高，存在一些水分。
成本费用付现率：
    该指标在公司开始从事经营活动的初期或者快速扩张期会高于1，此时的分析意义不大。其原因有两个：一是公司需要先期支付现金购买原材料，生产为商品，但是尚未销售转入营业成本 
，导致付出的现金多于营业成本费用;二是公司在扩张期需要采购长期资产和支付建设安装的人工费用，该部分现金支出不构成当期的营业成本费用，导致付出的现金多于营业成本。在公司平稳
运营阶段，剔除增值税影响后，考虑到成本费用中包括无须付现的折旧摊销，成本费用付现率应该低于1.在公司平稳经营阶段，该指标可结合公司发展情况，用于预测一家公司以后期间经营活动
中所需支付的现金。
经营利润现金含量、净利润现金含量：
    这两个指标衡量一家公司的经营利润和净利润是不是真金白银的利润。对于成熟稳定的公司来说，该指标应该大于1，否则说明经营利润和净利润质量不高。
经营活动产生的现金流量的一种状态：
    1，经营活动产生的现金流量小于零：这种情况意味着公司通过正常的商品购产销所带来的现金流入量，不足以支付因上述经营活动而引起的现金流出;
    2，经营活动产生的现金流量等于零：这种情况意味着公司通过正常的商品购产销所带来的现金流入量，恰恰能够支付因上述经营活动而引起的现金流出，公司正常经营活动不需要额外补充流
动资金，公司的经营活动也不能为公司的投资活动以及筹资活动贡献现金。但是，必须注意的是，在公司的成本消耗中，有相当一部分属于按照权责发生制原则的要求而确认的摊销成本 ，即非付
现成本，显然，在经营活动产生现金流量等于零时，公司经营活动产生的现金流量不可能为这部分非付现成本的资源消耗提供现金补偿。因此，长期来看，根本不可能维持公司经营活动的现金“简单
现生产”，公司也将陷入经营困境。
    3，经营活动产生的现金流量大于零，但不足以补偿当期的非付现成本：虽然公司在现金流量的压力方面比前两种状态要好，但是如果这种状态持续，也不可能维持公司现金“简单再生产”。
    4，经营活动产生的现金流量大于零，并恰能补偿当期的非付现成本：这种情况，公司摆脱了在经营活动现金流量方面的压力，能维持公司现金“简单再生产”，但总体来看，仍然不能为公司扩大
投资等发展提供现金支持。
    5，经营活动产生的现金流量大于零，并在补偿当期非付现成本后仍有剩余：如果这种状态持续，经营活动产生的现金流量将对公司经营活动的稳定与发展、公司投资规模的扩大起到重要的促进作用。</t>
    <phoneticPr fontId="1" type="noConversion"/>
  </si>
  <si>
    <t>零增长模型：对于一家成熟稳定、没有增长的公司而言，每年的自由现金流也保持在一个稳定的金额水平，类似于永久年金。
不变增长模型：缓慢增长率g每年不变</t>
    <phoneticPr fontId="1" type="noConversion"/>
  </si>
  <si>
    <t>两阶段模型：
    第一阶段被称为详细预测期，通常为3~5年。此期间通过对公司的收入与成本、资产和资本等项目的详细预测，得出第一时间段的现金流。
    第二阶段被称为终值期，此期间现金流的现值和价值被称为终值。
通常，第一阶段采用一个较高的增长率，第二阶段采用一 个较低的增长率。</t>
    <phoneticPr fontId="1" type="noConversion"/>
  </si>
  <si>
    <r>
      <rPr>
        <b/>
        <sz val="11"/>
        <color theme="1"/>
        <rFont val="宋体"/>
        <family val="3"/>
        <charset val="134"/>
        <scheme val="minor"/>
      </rPr>
      <t>三阶段模型：
   假设公司都经历三个阶段：成长阶段、过渡阶段和稳定阶段。三个阶段的增长率由高到低，成长阶段最高，过渡阶段逐步下降，稳定阶段保持较低增长率的不变增长。</t>
    </r>
    <r>
      <rPr>
        <sz val="11"/>
        <color theme="1"/>
        <rFont val="宋体"/>
        <family val="2"/>
        <charset val="134"/>
        <scheme val="minor"/>
      </rPr>
      <t xml:space="preserve">
</t>
    </r>
    <phoneticPr fontId="1" type="noConversion"/>
  </si>
  <si>
    <t>(6)股权资金成本%</t>
    <phoneticPr fontId="1" type="noConversion"/>
  </si>
  <si>
    <t>长期资产扩张性资本支出比例，代表一家公司当期新增加的经营规模和生产能力占前期经营规模和生产能力的比重，反映一家公司扩张的相对程度。
  如果一家公司的长期资产新投资额远远大于零，则这家公司采取了扩张战略。
  如果一家公司的长期资产新投资额远远小于零，则这家公司采取了收缩战略。
  如果一家公司的长期资产新投资额接近于零，则这家公司采取了维持战略。
现金自给率：
  如果现金自给率高于1，则意味着这个公司的战略投资活动现金可以全部来自于公司的经营活动，而无须额外的融资;反之，如果现金自给率低于1，则意味着这个公司的经营活动现金流量无法完全满足战略投资活动现金需求，而需要动
用公司存量资金或者外源筹资。
筹资需求为正，表示资金充足，不需要筹资; 筹资活动产生的现金流量净额为负，表示没有筹资或筹资较少。</t>
    <phoneticPr fontId="1" type="noConversion"/>
  </si>
  <si>
    <t>(1)吸收投资收到的现金（发行股票等方式筹资）</t>
    <phoneticPr fontId="1" type="noConversion"/>
  </si>
  <si>
    <r>
      <rPr>
        <b/>
        <sz val="11"/>
        <color rgb="FF002060"/>
        <rFont val="宋体"/>
        <family val="3"/>
        <charset val="134"/>
        <scheme val="minor"/>
      </rPr>
      <t>流动性分析首先看资产结构和资本结构，然后看营运资本中来自长期资本部分所占比例
  在资产结构和资本结构管理中存在着三种策略，即匹配策略、稳健策略和激进策略，激进策略比较容易出现流动性危机;匹配策略和稳健策略的公司不大存在短期流动风险，不过过于稳健（储备过多现金），
则有可能降低公司的资产回报能力，因此很多公司会采取匹配策略</t>
    </r>
    <r>
      <rPr>
        <b/>
        <sz val="11"/>
        <color rgb="FFFF0000"/>
        <rFont val="宋体"/>
        <family val="3"/>
        <charset val="134"/>
        <scheme val="minor"/>
      </rPr>
      <t xml:space="preserve">
  运营资本长期化率侧重分析营运资本需求的资金结构，更准确地说，就是营运资本需求中来自长期资本的部分。比例越高流动性越好。营运资本为负的公司不能用此指标分析，营运资本为负的公司在产业链
和供应链具有竞争优势的公司，因此不会有流动性风险。改善流动性状况的方法：
1，在资本规模不变的情况下改变资本期限结构，增加长期资本。
2，在不影响经营规模的情况下提升资产效率，改变资产结构，减少长期资产净值的投入。
3，提升营运效率，减少营运资本。 
在下列情况下长期资本会增加：1，申请长期贷款。2，提高权益资本（发行新股）。3，增加留存收益（减少股利）
  长期融资为负，则说明公司存在着短期资本用于资产长期资金的现象，即激进型资产资本结构，非常容易陷入财务困境，如果长期融资净值等于零或者接近于零，则为匹配型资产资本结构。如果长期融资净
值为正，则为稳健型资产资本结构。
  如果短期融资净值为负，则说明公司的金融资产超过了短期资本，现金储备充足，则是上述的稳健资本结构。如果短期融资净值为正，则为激进型资产资本结构。如果短期融资净值等于或者接近于零，则为
匹配型资产资本结构。</t>
    </r>
    <phoneticPr fontId="1" type="noConversion"/>
  </si>
  <si>
    <t>金融资产</t>
    <phoneticPr fontId="1" type="noConversion"/>
  </si>
  <si>
    <t>金融资产每股价值</t>
    <phoneticPr fontId="1" type="noConversion"/>
  </si>
  <si>
    <t>总股本</t>
    <phoneticPr fontId="1" type="noConversion"/>
  </si>
  <si>
    <t>永续年金</t>
    <phoneticPr fontId="1" type="noConversion"/>
  </si>
  <si>
    <t>每股价值</t>
    <phoneticPr fontId="1" type="noConversion"/>
  </si>
  <si>
    <t xml:space="preserve">股权资本成本 </t>
    <phoneticPr fontId="1" type="noConversion"/>
  </si>
  <si>
    <t>WACC</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</si>
</sst>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76" formatCode="#,##0_);[Red]\(#,##0\)"/>
    <numFmt numFmtId="177" formatCode="#,##0_ "/>
    <numFmt numFmtId="178" formatCode="0.00_ "/>
    <numFmt numFmtId="179" formatCode="#,##0.00_ "/>
    <numFmt numFmtId="180" formatCode="0.00000000000000_ "/>
  </numFmts>
  <fonts count="31" x14ac:knownFonts="1">
    <font>
      <sz val="11"/>
      <color theme="1"/>
      <name val="宋体"/>
      <family val="2"/>
      <charset val="134"/>
      <scheme val="minor"/>
    </font>
    <font>
      <sz val="9"/>
      <name val="宋体"/>
      <family val="2"/>
      <charset val="134"/>
      <scheme val="minor"/>
    </font>
    <font>
      <sz val="11"/>
      <color rgb="FF006100"/>
      <name val="宋体"/>
      <family val="2"/>
      <charset val="134"/>
      <scheme val="minor"/>
    </font>
    <font>
      <sz val="11"/>
      <color rgb="FF9C0006"/>
      <name val="宋体"/>
      <family val="2"/>
      <charset val="134"/>
      <scheme val="minor"/>
    </font>
    <font>
      <sz val="11"/>
      <color rgb="FFFF0000"/>
      <name val="宋体"/>
      <family val="2"/>
      <charset val="134"/>
      <scheme val="minor"/>
    </font>
    <font>
      <b/>
      <sz val="11"/>
      <color theme="1"/>
      <name val="宋体"/>
      <family val="3"/>
      <charset val="134"/>
      <scheme val="minor"/>
    </font>
    <font>
      <sz val="11"/>
      <color theme="1"/>
      <name val="宋体"/>
      <family val="3"/>
      <charset val="134"/>
      <scheme val="minor"/>
    </font>
    <font>
      <sz val="11"/>
      <color rgb="FFFF0000"/>
      <name val="宋体"/>
      <family val="3"/>
      <charset val="134"/>
      <scheme val="minor"/>
    </font>
    <font>
      <b/>
      <sz val="11"/>
      <name val="宋体"/>
      <family val="3"/>
      <charset val="134"/>
      <scheme val="minor"/>
    </font>
    <font>
      <sz val="11"/>
      <name val="宋体"/>
      <family val="3"/>
      <charset val="134"/>
      <scheme val="minor"/>
    </font>
    <font>
      <sz val="11"/>
      <color theme="1"/>
      <name val="宋体"/>
      <family val="2"/>
      <charset val="134"/>
      <scheme val="minor"/>
    </font>
    <font>
      <b/>
      <sz val="18"/>
      <color theme="3"/>
      <name val="宋体"/>
      <family val="2"/>
      <charset val="134"/>
      <scheme val="major"/>
    </font>
    <font>
      <b/>
      <sz val="15"/>
      <color theme="3"/>
      <name val="宋体"/>
      <family val="2"/>
      <charset val="134"/>
      <scheme val="minor"/>
    </font>
    <font>
      <b/>
      <sz val="13"/>
      <color theme="3"/>
      <name val="宋体"/>
      <family val="2"/>
      <charset val="134"/>
      <scheme val="minor"/>
    </font>
    <font>
      <b/>
      <sz val="11"/>
      <color theme="3"/>
      <name val="宋体"/>
      <family val="2"/>
      <charset val="134"/>
      <scheme val="minor"/>
    </font>
    <font>
      <sz val="11"/>
      <color rgb="FF9C6500"/>
      <name val="宋体"/>
      <family val="2"/>
      <charset val="134"/>
      <scheme val="minor"/>
    </font>
    <font>
      <sz val="11"/>
      <color rgb="FF3F3F76"/>
      <name val="宋体"/>
      <family val="2"/>
      <charset val="134"/>
      <scheme val="minor"/>
    </font>
    <font>
      <b/>
      <sz val="11"/>
      <color rgb="FF3F3F3F"/>
      <name val="宋体"/>
      <family val="2"/>
      <charset val="134"/>
      <scheme val="minor"/>
    </font>
    <font>
      <b/>
      <sz val="11"/>
      <color rgb="FFFA7D00"/>
      <name val="宋体"/>
      <family val="2"/>
      <charset val="134"/>
      <scheme val="minor"/>
    </font>
    <font>
      <sz val="11"/>
      <color rgb="FFFA7D00"/>
      <name val="宋体"/>
      <family val="2"/>
      <charset val="134"/>
      <scheme val="minor"/>
    </font>
    <font>
      <b/>
      <sz val="11"/>
      <color theme="0"/>
      <name val="宋体"/>
      <family val="2"/>
      <charset val="134"/>
      <scheme val="minor"/>
    </font>
    <font>
      <i/>
      <sz val="11"/>
      <color rgb="FF7F7F7F"/>
      <name val="宋体"/>
      <family val="2"/>
      <charset val="134"/>
      <scheme val="minor"/>
    </font>
    <font>
      <b/>
      <sz val="11"/>
      <color theme="1"/>
      <name val="宋体"/>
      <family val="2"/>
      <charset val="134"/>
      <scheme val="minor"/>
    </font>
    <font>
      <sz val="11"/>
      <color theme="0"/>
      <name val="宋体"/>
      <family val="2"/>
      <charset val="134"/>
      <scheme val="minor"/>
    </font>
    <font>
      <sz val="11"/>
      <name val="宋体"/>
      <family val="2"/>
      <charset val="134"/>
      <scheme val="minor"/>
    </font>
    <font>
      <b/>
      <sz val="11"/>
      <color rgb="FF006100"/>
      <name val="宋体"/>
      <family val="3"/>
      <charset val="134"/>
      <scheme val="minor"/>
    </font>
    <font>
      <b/>
      <sz val="11"/>
      <color rgb="FFFF0000"/>
      <name val="宋体"/>
      <family val="3"/>
      <charset val="134"/>
      <scheme val="minor"/>
    </font>
    <font>
      <b/>
      <sz val="11"/>
      <color rgb="FF9C0006"/>
      <name val="宋体"/>
      <family val="3"/>
      <charset val="134"/>
      <scheme val="minor"/>
    </font>
    <font>
      <b/>
      <sz val="11"/>
      <color rgb="FF9C6500"/>
      <name val="宋体"/>
      <family val="3"/>
      <charset val="134"/>
      <scheme val="minor"/>
    </font>
    <font>
      <b/>
      <sz val="11"/>
      <color rgb="FF002060"/>
      <name val="宋体"/>
      <family val="3"/>
      <charset val="134"/>
      <scheme val="minor"/>
    </font>
    <font>
      <b/>
      <sz val="9"/>
      <color rgb="FFFF0000"/>
      <name val="宋体"/>
      <family val="3"/>
      <charset val="134"/>
      <scheme val="minor"/>
    </font>
  </fonts>
  <fills count="46">
    <fill>
      <patternFill patternType="none"/>
    </fill>
    <fill>
      <patternFill patternType="gray125"/>
    </fill>
    <fill>
      <patternFill patternType="solid">
        <fgColor rgb="FFC6EFCE"/>
      </patternFill>
    </fill>
    <fill>
      <patternFill patternType="solid">
        <fgColor rgb="FFFFC7CE"/>
      </patternFill>
    </fill>
    <fill>
      <patternFill patternType="solid">
        <fgColor rgb="FF00B0F0"/>
        <bgColor indexed="64"/>
      </patternFill>
    </fill>
    <fill>
      <patternFill patternType="solid">
        <fgColor rgb="FF92D050"/>
        <bgColor indexed="64"/>
      </patternFill>
    </fill>
    <fill>
      <patternFill patternType="solid">
        <fgColor rgb="FFFFFF00"/>
        <bgColor indexed="64"/>
      </patternFill>
    </fill>
    <fill>
      <patternFill patternType="solid">
        <fgColor theme="5"/>
        <bgColor indexed="64"/>
      </patternFill>
    </fill>
    <fill>
      <patternFill patternType="solid">
        <fgColor theme="9" tint="0.79998168889431442"/>
        <bgColor indexed="64"/>
      </patternFill>
    </fill>
    <fill>
      <patternFill patternType="solid">
        <fgColor rgb="FFFFC000"/>
        <bgColor indexed="64"/>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bgColor indexed="64"/>
      </patternFill>
    </fill>
    <fill>
      <patternFill patternType="solid">
        <fgColor theme="3" tint="0.59999389629810485"/>
        <bgColor indexed="64"/>
      </patternFill>
    </fill>
    <fill>
      <patternFill patternType="solid">
        <fgColor theme="0"/>
        <bgColor indexed="64"/>
      </patternFill>
    </fill>
    <fill>
      <patternFill patternType="solid">
        <fgColor theme="2"/>
        <bgColor indexed="64"/>
      </patternFill>
    </fill>
    <fill>
      <patternFill patternType="solid">
        <fgColor rgb="FFC00000"/>
        <bgColor indexed="64"/>
      </patternFill>
    </fill>
    <fill>
      <patternFill patternType="solid">
        <fgColor rgb="FF00B050"/>
        <bgColor indexed="64"/>
      </patternFill>
    </fill>
    <fill>
      <patternFill patternType="solid">
        <fgColor theme="8" tint="0.39997558519241921"/>
        <bgColor indexed="64"/>
      </patternFill>
    </fill>
  </fills>
  <borders count="37">
    <border>
      <left/>
      <right/>
      <top/>
      <bottom/>
      <diagonal/>
    </border>
    <border>
      <left/>
      <right/>
      <top style="medium">
        <color indexed="64"/>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diagonal/>
    </border>
    <border>
      <left/>
      <right style="medium">
        <color indexed="64"/>
      </right>
      <top/>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indexed="64"/>
      </left>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s>
  <cellStyleXfs count="42">
    <xf numFmtId="0" fontId="0" fillId="0" borderId="0">
      <alignment vertical="center"/>
    </xf>
    <xf numFmtId="0" fontId="2" fillId="2" borderId="0" applyNumberFormat="0" applyBorder="0" applyAlignment="0" applyProtection="0">
      <alignment vertical="center"/>
    </xf>
    <xf numFmtId="0" fontId="3" fillId="3" borderId="0" applyNumberFormat="0" applyBorder="0" applyAlignment="0" applyProtection="0">
      <alignment vertical="center"/>
    </xf>
    <xf numFmtId="0" fontId="11" fillId="0" borderId="0" applyNumberFormat="0" applyFill="0" applyBorder="0" applyAlignment="0" applyProtection="0">
      <alignment vertical="center"/>
    </xf>
    <xf numFmtId="0" fontId="12" fillId="0" borderId="2" applyNumberFormat="0" applyFill="0" applyAlignment="0" applyProtection="0">
      <alignment vertical="center"/>
    </xf>
    <xf numFmtId="0" fontId="13" fillId="0" borderId="3" applyNumberFormat="0" applyFill="0" applyAlignment="0" applyProtection="0">
      <alignment vertical="center"/>
    </xf>
    <xf numFmtId="0" fontId="14" fillId="0" borderId="4" applyNumberFormat="0" applyFill="0" applyAlignment="0" applyProtection="0">
      <alignment vertical="center"/>
    </xf>
    <xf numFmtId="0" fontId="14" fillId="0" borderId="0" applyNumberFormat="0" applyFill="0" applyBorder="0" applyAlignment="0" applyProtection="0">
      <alignment vertical="center"/>
    </xf>
    <xf numFmtId="0" fontId="15" fillId="10" borderId="0" applyNumberFormat="0" applyBorder="0" applyAlignment="0" applyProtection="0">
      <alignment vertical="center"/>
    </xf>
    <xf numFmtId="0" fontId="16" fillId="11" borderId="5" applyNumberFormat="0" applyAlignment="0" applyProtection="0">
      <alignment vertical="center"/>
    </xf>
    <xf numFmtId="0" fontId="17" fillId="12" borderId="6" applyNumberFormat="0" applyAlignment="0" applyProtection="0">
      <alignment vertical="center"/>
    </xf>
    <xf numFmtId="0" fontId="18" fillId="12" borderId="5" applyNumberFormat="0" applyAlignment="0" applyProtection="0">
      <alignment vertical="center"/>
    </xf>
    <xf numFmtId="0" fontId="19" fillId="0" borderId="7" applyNumberFormat="0" applyFill="0" applyAlignment="0" applyProtection="0">
      <alignment vertical="center"/>
    </xf>
    <xf numFmtId="0" fontId="20" fillId="13" borderId="8" applyNumberFormat="0" applyAlignment="0" applyProtection="0">
      <alignment vertical="center"/>
    </xf>
    <xf numFmtId="0" fontId="4" fillId="0" borderId="0" applyNumberFormat="0" applyFill="0" applyBorder="0" applyAlignment="0" applyProtection="0">
      <alignment vertical="center"/>
    </xf>
    <xf numFmtId="0" fontId="10" fillId="14" borderId="9" applyNumberFormat="0" applyFont="0" applyAlignment="0" applyProtection="0">
      <alignment vertical="center"/>
    </xf>
    <xf numFmtId="0" fontId="21" fillId="0" borderId="0" applyNumberFormat="0" applyFill="0" applyBorder="0" applyAlignment="0" applyProtection="0">
      <alignment vertical="center"/>
    </xf>
    <xf numFmtId="0" fontId="22" fillId="0" borderId="10" applyNumberFormat="0" applyFill="0" applyAlignment="0" applyProtection="0">
      <alignment vertical="center"/>
    </xf>
    <xf numFmtId="0" fontId="23" fillId="15" borderId="0" applyNumberFormat="0" applyBorder="0" applyAlignment="0" applyProtection="0">
      <alignment vertical="center"/>
    </xf>
    <xf numFmtId="0" fontId="10" fillId="16" borderId="0" applyNumberFormat="0" applyBorder="0" applyAlignment="0" applyProtection="0">
      <alignment vertical="center"/>
    </xf>
    <xf numFmtId="0" fontId="10" fillId="17" borderId="0" applyNumberFormat="0" applyBorder="0" applyAlignment="0" applyProtection="0">
      <alignment vertical="center"/>
    </xf>
    <xf numFmtId="0" fontId="23" fillId="18" borderId="0" applyNumberFormat="0" applyBorder="0" applyAlignment="0" applyProtection="0">
      <alignment vertical="center"/>
    </xf>
    <xf numFmtId="0" fontId="23" fillId="19" borderId="0" applyNumberFormat="0" applyBorder="0" applyAlignment="0" applyProtection="0">
      <alignment vertical="center"/>
    </xf>
    <xf numFmtId="0" fontId="10" fillId="20" borderId="0" applyNumberFormat="0" applyBorder="0" applyAlignment="0" applyProtection="0">
      <alignment vertical="center"/>
    </xf>
    <xf numFmtId="0" fontId="10" fillId="21" borderId="0" applyNumberFormat="0" applyBorder="0" applyAlignment="0" applyProtection="0">
      <alignment vertical="center"/>
    </xf>
    <xf numFmtId="0" fontId="23" fillId="22" borderId="0" applyNumberFormat="0" applyBorder="0" applyAlignment="0" applyProtection="0">
      <alignment vertical="center"/>
    </xf>
    <xf numFmtId="0" fontId="23" fillId="23" borderId="0" applyNumberFormat="0" applyBorder="0" applyAlignment="0" applyProtection="0">
      <alignment vertical="center"/>
    </xf>
    <xf numFmtId="0" fontId="10" fillId="24" borderId="0" applyNumberFormat="0" applyBorder="0" applyAlignment="0" applyProtection="0">
      <alignment vertical="center"/>
    </xf>
    <xf numFmtId="0" fontId="10" fillId="25" borderId="0" applyNumberFormat="0" applyBorder="0" applyAlignment="0" applyProtection="0">
      <alignment vertical="center"/>
    </xf>
    <xf numFmtId="0" fontId="23" fillId="26" borderId="0" applyNumberFormat="0" applyBorder="0" applyAlignment="0" applyProtection="0">
      <alignment vertical="center"/>
    </xf>
    <xf numFmtId="0" fontId="23" fillId="27" borderId="0" applyNumberFormat="0" applyBorder="0" applyAlignment="0" applyProtection="0">
      <alignment vertical="center"/>
    </xf>
    <xf numFmtId="0" fontId="10" fillId="28" borderId="0" applyNumberFormat="0" applyBorder="0" applyAlignment="0" applyProtection="0">
      <alignment vertical="center"/>
    </xf>
    <xf numFmtId="0" fontId="10" fillId="29" borderId="0" applyNumberFormat="0" applyBorder="0" applyAlignment="0" applyProtection="0">
      <alignment vertical="center"/>
    </xf>
    <xf numFmtId="0" fontId="23" fillId="30" borderId="0" applyNumberFormat="0" applyBorder="0" applyAlignment="0" applyProtection="0">
      <alignment vertical="center"/>
    </xf>
    <xf numFmtId="0" fontId="23" fillId="31" borderId="0" applyNumberFormat="0" applyBorder="0" applyAlignment="0" applyProtection="0">
      <alignment vertical="center"/>
    </xf>
    <xf numFmtId="0" fontId="10" fillId="32" borderId="0" applyNumberFormat="0" applyBorder="0" applyAlignment="0" applyProtection="0">
      <alignment vertical="center"/>
    </xf>
    <xf numFmtId="0" fontId="10" fillId="33" borderId="0" applyNumberFormat="0" applyBorder="0" applyAlignment="0" applyProtection="0">
      <alignment vertical="center"/>
    </xf>
    <xf numFmtId="0" fontId="23" fillId="34" borderId="0" applyNumberFormat="0" applyBorder="0" applyAlignment="0" applyProtection="0">
      <alignment vertical="center"/>
    </xf>
    <xf numFmtId="0" fontId="23" fillId="35" borderId="0" applyNumberFormat="0" applyBorder="0" applyAlignment="0" applyProtection="0">
      <alignment vertical="center"/>
    </xf>
    <xf numFmtId="0" fontId="10" fillId="36" borderId="0" applyNumberFormat="0" applyBorder="0" applyAlignment="0" applyProtection="0">
      <alignment vertical="center"/>
    </xf>
    <xf numFmtId="0" fontId="10" fillId="37" borderId="0" applyNumberFormat="0" applyBorder="0" applyAlignment="0" applyProtection="0">
      <alignment vertical="center"/>
    </xf>
    <xf numFmtId="0" fontId="23" fillId="38" borderId="0" applyNumberFormat="0" applyBorder="0" applyAlignment="0" applyProtection="0">
      <alignment vertical="center"/>
    </xf>
  </cellStyleXfs>
  <cellXfs count="317">
    <xf numFmtId="0" fontId="0" fillId="0" borderId="0" xfId="0">
      <alignment vertical="center"/>
    </xf>
    <xf numFmtId="14" fontId="0" fillId="0" borderId="0" xfId="0" applyNumberFormat="1">
      <alignment vertical="center"/>
    </xf>
    <xf numFmtId="0" fontId="5" fillId="0" borderId="0" xfId="0" applyFont="1">
      <alignment vertical="center"/>
    </xf>
    <xf numFmtId="0" fontId="6" fillId="0" borderId="0" xfId="0" applyFont="1">
      <alignment vertical="center"/>
    </xf>
    <xf numFmtId="0" fontId="2" fillId="2" borderId="0" xfId="1">
      <alignment vertical="center"/>
    </xf>
    <xf numFmtId="0" fontId="0" fillId="5" borderId="0" xfId="0" applyFill="1">
      <alignment vertical="center"/>
    </xf>
    <xf numFmtId="0" fontId="0" fillId="6" borderId="0" xfId="0" applyFill="1">
      <alignment vertical="center"/>
    </xf>
    <xf numFmtId="0" fontId="7" fillId="0" borderId="0" xfId="0" applyFont="1">
      <alignment vertical="center"/>
    </xf>
    <xf numFmtId="0" fontId="9" fillId="7" borderId="0" xfId="0" applyFont="1" applyFill="1">
      <alignment vertical="center"/>
    </xf>
    <xf numFmtId="0" fontId="0" fillId="7" borderId="0" xfId="0" applyFill="1">
      <alignment vertical="center"/>
    </xf>
    <xf numFmtId="0" fontId="0" fillId="8" borderId="0" xfId="0" applyFill="1">
      <alignment vertical="center"/>
    </xf>
    <xf numFmtId="0" fontId="0" fillId="0" borderId="0" xfId="0" applyFill="1">
      <alignment vertical="center"/>
    </xf>
    <xf numFmtId="0" fontId="0" fillId="9" borderId="0" xfId="0" applyFill="1">
      <alignment vertical="center"/>
    </xf>
    <xf numFmtId="176" fontId="0" fillId="0" borderId="0" xfId="0" applyNumberFormat="1">
      <alignment vertical="center"/>
    </xf>
    <xf numFmtId="176" fontId="0" fillId="0" borderId="0" xfId="0" applyNumberFormat="1" applyFill="1">
      <alignment vertical="center"/>
    </xf>
    <xf numFmtId="177" fontId="0" fillId="9" borderId="0" xfId="0" applyNumberFormat="1" applyFill="1">
      <alignment vertical="center"/>
    </xf>
    <xf numFmtId="0" fontId="5" fillId="6" borderId="0" xfId="0" applyFont="1" applyFill="1">
      <alignment vertical="center"/>
    </xf>
    <xf numFmtId="49" fontId="0" fillId="0" borderId="0" xfId="0" applyNumberFormat="1">
      <alignment vertical="center"/>
    </xf>
    <xf numFmtId="49" fontId="5" fillId="6" borderId="0" xfId="0" applyNumberFormat="1" applyFont="1" applyFill="1">
      <alignment vertical="center"/>
    </xf>
    <xf numFmtId="49" fontId="0" fillId="0" borderId="0" xfId="0" applyNumberFormat="1" applyAlignment="1">
      <alignment horizontal="left" vertical="center"/>
    </xf>
    <xf numFmtId="49" fontId="5" fillId="0" borderId="0" xfId="0" applyNumberFormat="1" applyFont="1">
      <alignment vertical="center"/>
    </xf>
    <xf numFmtId="49" fontId="4" fillId="0" borderId="0" xfId="0" applyNumberFormat="1" applyFont="1">
      <alignment vertical="center"/>
    </xf>
    <xf numFmtId="49" fontId="2" fillId="2" borderId="0" xfId="1" applyNumberFormat="1">
      <alignment vertical="center"/>
    </xf>
    <xf numFmtId="178" fontId="0" fillId="0" borderId="0" xfId="0" applyNumberFormat="1">
      <alignment vertical="center"/>
    </xf>
    <xf numFmtId="178" fontId="5" fillId="0" borderId="0" xfId="0" applyNumberFormat="1" applyFont="1">
      <alignment vertical="center"/>
    </xf>
    <xf numFmtId="178" fontId="6" fillId="0" borderId="0" xfId="0" applyNumberFormat="1" applyFont="1">
      <alignment vertical="center"/>
    </xf>
    <xf numFmtId="179" fontId="0" fillId="0" borderId="0" xfId="0" applyNumberFormat="1">
      <alignment vertical="center"/>
    </xf>
    <xf numFmtId="179" fontId="6" fillId="0" borderId="0" xfId="0" applyNumberFormat="1" applyFont="1">
      <alignment vertical="center"/>
    </xf>
    <xf numFmtId="179" fontId="5" fillId="0" borderId="0" xfId="0" applyNumberFormat="1" applyFont="1">
      <alignment vertical="center"/>
    </xf>
    <xf numFmtId="179" fontId="7" fillId="0" borderId="0" xfId="0" applyNumberFormat="1" applyFont="1">
      <alignment vertical="center"/>
    </xf>
    <xf numFmtId="179" fontId="5" fillId="6" borderId="0" xfId="0" applyNumberFormat="1" applyFont="1" applyFill="1">
      <alignment vertical="center"/>
    </xf>
    <xf numFmtId="9" fontId="2" fillId="2" borderId="0" xfId="1" applyNumberFormat="1">
      <alignment vertical="center"/>
    </xf>
    <xf numFmtId="178" fontId="0" fillId="0" borderId="0" xfId="0" applyNumberFormat="1" applyFill="1">
      <alignment vertical="center"/>
    </xf>
    <xf numFmtId="179" fontId="0" fillId="5" borderId="0" xfId="0" applyNumberFormat="1" applyFill="1">
      <alignment vertical="center"/>
    </xf>
    <xf numFmtId="179" fontId="0" fillId="0" borderId="0" xfId="0" applyNumberFormat="1" applyFill="1">
      <alignment vertical="center"/>
    </xf>
    <xf numFmtId="179" fontId="0" fillId="8" borderId="0" xfId="0" applyNumberFormat="1" applyFill="1">
      <alignment vertical="center"/>
    </xf>
    <xf numFmtId="179" fontId="0" fillId="9" borderId="0" xfId="0" applyNumberFormat="1" applyFill="1">
      <alignment vertical="center"/>
    </xf>
    <xf numFmtId="179" fontId="0" fillId="7" borderId="0" xfId="0" applyNumberFormat="1" applyFill="1">
      <alignment vertical="center"/>
    </xf>
    <xf numFmtId="179" fontId="9" fillId="7" borderId="0" xfId="0" applyNumberFormat="1" applyFont="1" applyFill="1">
      <alignment vertical="center"/>
    </xf>
    <xf numFmtId="0" fontId="24" fillId="0" borderId="0" xfId="0" applyFont="1">
      <alignment vertical="center"/>
    </xf>
    <xf numFmtId="0" fontId="0" fillId="0" borderId="0" xfId="0">
      <alignment vertical="center"/>
    </xf>
    <xf numFmtId="49" fontId="0" fillId="4" borderId="0" xfId="0" applyNumberFormat="1" applyFill="1">
      <alignment vertical="center"/>
    </xf>
    <xf numFmtId="179" fontId="3" fillId="3" borderId="0" xfId="2" applyNumberFormat="1" applyBorder="1">
      <alignment vertical="center"/>
    </xf>
    <xf numFmtId="179" fontId="3" fillId="3" borderId="0" xfId="2" applyNumberFormat="1">
      <alignment vertical="center"/>
    </xf>
    <xf numFmtId="179" fontId="2" fillId="2" borderId="0" xfId="1" applyNumberFormat="1" applyBorder="1">
      <alignment vertical="center"/>
    </xf>
    <xf numFmtId="0" fontId="5" fillId="39" borderId="0" xfId="0" applyFont="1" applyFill="1">
      <alignment vertical="center"/>
    </xf>
    <xf numFmtId="49" fontId="5" fillId="39" borderId="0" xfId="0" applyNumberFormat="1" applyFont="1" applyFill="1">
      <alignment vertical="center"/>
    </xf>
    <xf numFmtId="179" fontId="0" fillId="40" borderId="0" xfId="0" applyNumberFormat="1" applyFill="1">
      <alignment vertical="center"/>
    </xf>
    <xf numFmtId="179" fontId="5" fillId="39" borderId="0" xfId="0" applyNumberFormat="1" applyFont="1" applyFill="1">
      <alignment vertical="center"/>
    </xf>
    <xf numFmtId="179" fontId="2" fillId="2" borderId="13" xfId="1" applyNumberFormat="1" applyBorder="1">
      <alignment vertical="center"/>
    </xf>
    <xf numFmtId="179" fontId="2" fillId="2" borderId="14" xfId="1" applyNumberFormat="1" applyBorder="1">
      <alignment vertical="center"/>
    </xf>
    <xf numFmtId="179" fontId="2" fillId="2" borderId="1" xfId="1" applyNumberFormat="1" applyBorder="1">
      <alignment vertical="center"/>
    </xf>
    <xf numFmtId="179" fontId="8" fillId="39" borderId="0" xfId="0" applyNumberFormat="1" applyFont="1" applyFill="1">
      <alignment vertical="center"/>
    </xf>
    <xf numFmtId="179" fontId="26" fillId="6" borderId="0" xfId="0" applyNumberFormat="1" applyFont="1" applyFill="1">
      <alignment vertical="center"/>
    </xf>
    <xf numFmtId="179" fontId="2" fillId="41" borderId="0" xfId="1" applyNumberFormat="1" applyFill="1" applyBorder="1">
      <alignment vertical="center"/>
    </xf>
    <xf numFmtId="49" fontId="26" fillId="2" borderId="1" xfId="1" applyNumberFormat="1" applyFont="1" applyBorder="1">
      <alignment vertical="center"/>
    </xf>
    <xf numFmtId="0" fontId="26" fillId="0" borderId="0" xfId="0" applyFont="1">
      <alignment vertical="center"/>
    </xf>
    <xf numFmtId="10" fontId="5" fillId="0" borderId="0" xfId="0" applyNumberFormat="1" applyFont="1">
      <alignment vertical="center"/>
    </xf>
    <xf numFmtId="179" fontId="0" fillId="39" borderId="0" xfId="0" applyNumberFormat="1" applyFill="1">
      <alignment vertical="center"/>
    </xf>
    <xf numFmtId="10" fontId="0" fillId="39" borderId="0" xfId="0" applyNumberFormat="1" applyFill="1">
      <alignment vertical="center"/>
    </xf>
    <xf numFmtId="0" fontId="4" fillId="0" borderId="0" xfId="0" applyFont="1">
      <alignment vertical="center"/>
    </xf>
    <xf numFmtId="179" fontId="15" fillId="10" borderId="0" xfId="8" applyNumberFormat="1">
      <alignment vertical="center"/>
    </xf>
    <xf numFmtId="0" fontId="0" fillId="0" borderId="13" xfId="0" applyBorder="1">
      <alignment vertical="center"/>
    </xf>
    <xf numFmtId="10" fontId="0" fillId="0" borderId="0" xfId="0" applyNumberFormat="1">
      <alignment vertical="center"/>
    </xf>
    <xf numFmtId="0" fontId="0" fillId="0" borderId="16" xfId="0" applyBorder="1">
      <alignment vertical="center"/>
    </xf>
    <xf numFmtId="0" fontId="5" fillId="0" borderId="16" xfId="0" applyFont="1" applyBorder="1">
      <alignment vertical="center"/>
    </xf>
    <xf numFmtId="10" fontId="5" fillId="39" borderId="0" xfId="0" applyNumberFormat="1" applyFont="1" applyFill="1">
      <alignment vertical="center"/>
    </xf>
    <xf numFmtId="49" fontId="26" fillId="0" borderId="0" xfId="0" applyNumberFormat="1" applyFont="1" applyAlignment="1">
      <alignment vertical="center" wrapText="1"/>
    </xf>
    <xf numFmtId="49" fontId="5" fillId="0" borderId="15" xfId="0" applyNumberFormat="1" applyFont="1" applyBorder="1">
      <alignment vertical="center"/>
    </xf>
    <xf numFmtId="179" fontId="0" fillId="0" borderId="17" xfId="0" applyNumberFormat="1" applyBorder="1">
      <alignment vertical="center"/>
    </xf>
    <xf numFmtId="49" fontId="0" fillId="0" borderId="11" xfId="0" applyNumberFormat="1" applyBorder="1">
      <alignment vertical="center"/>
    </xf>
    <xf numFmtId="179" fontId="0" fillId="0" borderId="18" xfId="0" applyNumberFormat="1" applyBorder="1">
      <alignment vertical="center"/>
    </xf>
    <xf numFmtId="10" fontId="0" fillId="0" borderId="11" xfId="0" applyNumberFormat="1" applyBorder="1">
      <alignment vertical="center"/>
    </xf>
    <xf numFmtId="10" fontId="0" fillId="0" borderId="18" xfId="0" applyNumberFormat="1" applyBorder="1">
      <alignment vertical="center"/>
    </xf>
    <xf numFmtId="49" fontId="0" fillId="0" borderId="12" xfId="0" applyNumberFormat="1" applyBorder="1">
      <alignment vertical="center"/>
    </xf>
    <xf numFmtId="179" fontId="0" fillId="0" borderId="14" xfId="0" applyNumberFormat="1" applyBorder="1">
      <alignment vertical="center"/>
    </xf>
    <xf numFmtId="179" fontId="0" fillId="0" borderId="0" xfId="0" applyNumberFormat="1" applyBorder="1">
      <alignment vertical="center"/>
    </xf>
    <xf numFmtId="0" fontId="0" fillId="0" borderId="0" xfId="0" applyBorder="1">
      <alignment vertical="center"/>
    </xf>
    <xf numFmtId="10" fontId="0" fillId="0" borderId="0" xfId="0" applyNumberFormat="1" applyBorder="1">
      <alignment vertical="center"/>
    </xf>
    <xf numFmtId="0" fontId="0" fillId="0" borderId="18" xfId="0" applyBorder="1">
      <alignment vertical="center"/>
    </xf>
    <xf numFmtId="0" fontId="5" fillId="0" borderId="0" xfId="0" applyFont="1" applyBorder="1">
      <alignment vertical="center"/>
    </xf>
    <xf numFmtId="0" fontId="5" fillId="0" borderId="18" xfId="0" applyFont="1" applyBorder="1">
      <alignment vertical="center"/>
    </xf>
    <xf numFmtId="49" fontId="5" fillId="0" borderId="11" xfId="0" applyNumberFormat="1" applyFont="1" applyBorder="1">
      <alignment vertical="center"/>
    </xf>
    <xf numFmtId="179" fontId="5" fillId="0" borderId="0" xfId="0" applyNumberFormat="1" applyFont="1" applyBorder="1">
      <alignment vertical="center"/>
    </xf>
    <xf numFmtId="49" fontId="5" fillId="0" borderId="12" xfId="0" applyNumberFormat="1" applyFont="1" applyBorder="1">
      <alignment vertical="center"/>
    </xf>
    <xf numFmtId="179" fontId="5" fillId="0" borderId="13" xfId="0" applyNumberFormat="1" applyFont="1" applyBorder="1">
      <alignment vertical="center"/>
    </xf>
    <xf numFmtId="0" fontId="5" fillId="0" borderId="13" xfId="0" applyFont="1" applyBorder="1">
      <alignment vertical="center"/>
    </xf>
    <xf numFmtId="0" fontId="5" fillId="0" borderId="14" xfId="0" applyFont="1" applyBorder="1">
      <alignment vertical="center"/>
    </xf>
    <xf numFmtId="49" fontId="0" fillId="0" borderId="0" xfId="0" applyNumberFormat="1" applyBorder="1">
      <alignment vertical="center"/>
    </xf>
    <xf numFmtId="179" fontId="0" fillId="0" borderId="16" xfId="0" applyNumberFormat="1" applyBorder="1">
      <alignment vertical="center"/>
    </xf>
    <xf numFmtId="10" fontId="0" fillId="0" borderId="16" xfId="0" applyNumberFormat="1" applyBorder="1">
      <alignment vertical="center"/>
    </xf>
    <xf numFmtId="10" fontId="5" fillId="0" borderId="16" xfId="0" applyNumberFormat="1" applyFont="1" applyBorder="1">
      <alignment vertical="center"/>
    </xf>
    <xf numFmtId="49" fontId="0" fillId="0" borderId="11" xfId="0" applyNumberFormat="1" applyBorder="1" applyAlignment="1">
      <alignment horizontal="center" vertical="center"/>
    </xf>
    <xf numFmtId="179" fontId="0" fillId="0" borderId="13" xfId="0" applyNumberFormat="1" applyBorder="1">
      <alignment vertical="center"/>
    </xf>
    <xf numFmtId="179" fontId="0" fillId="42" borderId="16" xfId="0" applyNumberFormat="1" applyFill="1" applyBorder="1">
      <alignment vertical="center"/>
    </xf>
    <xf numFmtId="10" fontId="26" fillId="42" borderId="16" xfId="0" applyNumberFormat="1" applyFont="1" applyFill="1" applyBorder="1">
      <alignment vertical="center"/>
    </xf>
    <xf numFmtId="0" fontId="2" fillId="2" borderId="16" xfId="1" applyBorder="1">
      <alignment vertical="center"/>
    </xf>
    <xf numFmtId="0" fontId="15" fillId="10" borderId="16" xfId="8" applyBorder="1">
      <alignment vertical="center"/>
    </xf>
    <xf numFmtId="10" fontId="4" fillId="0" borderId="18" xfId="0" applyNumberFormat="1" applyFont="1" applyBorder="1">
      <alignment vertical="center"/>
    </xf>
    <xf numFmtId="179" fontId="0" fillId="42" borderId="16" xfId="0" applyNumberFormat="1" applyFill="1" applyBorder="1" applyAlignment="1">
      <alignment horizontal="right" vertical="center"/>
    </xf>
    <xf numFmtId="179" fontId="26" fillId="0" borderId="0" xfId="0" applyNumberFormat="1" applyFont="1" applyBorder="1">
      <alignment vertical="center"/>
    </xf>
    <xf numFmtId="179" fontId="9" fillId="0" borderId="0" xfId="0" applyNumberFormat="1" applyFont="1" applyBorder="1">
      <alignment vertical="center"/>
    </xf>
    <xf numFmtId="0" fontId="26" fillId="0" borderId="0" xfId="0" applyFont="1" applyBorder="1">
      <alignment vertical="center"/>
    </xf>
    <xf numFmtId="0" fontId="5" fillId="0" borderId="1" xfId="0" applyFont="1" applyBorder="1">
      <alignment vertical="center"/>
    </xf>
    <xf numFmtId="49" fontId="0" fillId="6" borderId="0" xfId="0" applyNumberFormat="1" applyFill="1">
      <alignment vertical="center"/>
    </xf>
    <xf numFmtId="179" fontId="0" fillId="41" borderId="0" xfId="0" applyNumberFormat="1" applyFill="1">
      <alignment vertical="center"/>
    </xf>
    <xf numFmtId="179" fontId="2" fillId="5" borderId="13" xfId="1" applyNumberFormat="1" applyFill="1" applyBorder="1">
      <alignment vertical="center"/>
    </xf>
    <xf numFmtId="10" fontId="2" fillId="2" borderId="23" xfId="1" applyNumberFormat="1" applyBorder="1">
      <alignment vertical="center"/>
    </xf>
    <xf numFmtId="10" fontId="2" fillId="2" borderId="0" xfId="1" applyNumberFormat="1" applyBorder="1">
      <alignment vertical="center"/>
    </xf>
    <xf numFmtId="10" fontId="15" fillId="10" borderId="0" xfId="8" applyNumberFormat="1" applyBorder="1">
      <alignment vertical="center"/>
    </xf>
    <xf numFmtId="10" fontId="2" fillId="2" borderId="26" xfId="1" applyNumberFormat="1" applyBorder="1">
      <alignment vertical="center"/>
    </xf>
    <xf numFmtId="49" fontId="2" fillId="2" borderId="16" xfId="1" applyNumberFormat="1" applyBorder="1">
      <alignment vertical="center"/>
    </xf>
    <xf numFmtId="10" fontId="2" fillId="2" borderId="16" xfId="1" applyNumberFormat="1" applyBorder="1">
      <alignment vertical="center"/>
    </xf>
    <xf numFmtId="49" fontId="3" fillId="3" borderId="16" xfId="2" applyNumberFormat="1" applyBorder="1">
      <alignment vertical="center"/>
    </xf>
    <xf numFmtId="0" fontId="3" fillId="3" borderId="16" xfId="2" applyBorder="1">
      <alignment vertical="center"/>
    </xf>
    <xf numFmtId="10" fontId="3" fillId="3" borderId="16" xfId="2" applyNumberFormat="1" applyBorder="1">
      <alignment vertical="center"/>
    </xf>
    <xf numFmtId="179" fontId="0" fillId="0" borderId="23" xfId="0" applyNumberFormat="1" applyBorder="1">
      <alignment vertical="center"/>
    </xf>
    <xf numFmtId="179" fontId="2" fillId="2" borderId="26" xfId="1" applyNumberFormat="1" applyBorder="1">
      <alignment vertical="center"/>
    </xf>
    <xf numFmtId="49" fontId="5" fillId="0" borderId="27" xfId="0" applyNumberFormat="1" applyFont="1" applyBorder="1">
      <alignment vertical="center"/>
    </xf>
    <xf numFmtId="0" fontId="0" fillId="0" borderId="23" xfId="0" applyBorder="1">
      <alignment vertical="center"/>
    </xf>
    <xf numFmtId="179" fontId="0" fillId="39" borderId="26" xfId="0" applyNumberFormat="1" applyFill="1" applyBorder="1">
      <alignment vertical="center"/>
    </xf>
    <xf numFmtId="49" fontId="0" fillId="5" borderId="0" xfId="0" applyNumberFormat="1" applyFill="1">
      <alignment vertical="center"/>
    </xf>
    <xf numFmtId="49" fontId="5" fillId="0" borderId="0" xfId="0" applyNumberFormat="1" applyFont="1" applyFill="1">
      <alignment vertical="center"/>
    </xf>
    <xf numFmtId="49" fontId="0" fillId="8" borderId="0" xfId="0" applyNumberFormat="1" applyFill="1">
      <alignment vertical="center"/>
    </xf>
    <xf numFmtId="49" fontId="24" fillId="0" borderId="0" xfId="0" applyNumberFormat="1" applyFont="1">
      <alignment vertical="center"/>
    </xf>
    <xf numFmtId="49" fontId="0" fillId="9" borderId="0" xfId="0" applyNumberFormat="1" applyFill="1">
      <alignment vertical="center"/>
    </xf>
    <xf numFmtId="49" fontId="5" fillId="5" borderId="0" xfId="0" applyNumberFormat="1" applyFont="1" applyFill="1">
      <alignment vertical="center"/>
    </xf>
    <xf numFmtId="49" fontId="5" fillId="7" borderId="0" xfId="0" applyNumberFormat="1" applyFont="1" applyFill="1">
      <alignment vertical="center"/>
    </xf>
    <xf numFmtId="49" fontId="6" fillId="0" borderId="0" xfId="0" applyNumberFormat="1" applyFont="1">
      <alignment vertical="center"/>
    </xf>
    <xf numFmtId="49" fontId="6" fillId="5" borderId="0" xfId="0" applyNumberFormat="1" applyFont="1" applyFill="1">
      <alignment vertical="center"/>
    </xf>
    <xf numFmtId="49" fontId="8" fillId="7" borderId="0" xfId="0" applyNumberFormat="1" applyFont="1" applyFill="1">
      <alignment vertical="center"/>
    </xf>
    <xf numFmtId="49" fontId="27" fillId="3" borderId="0" xfId="2" applyNumberFormat="1" applyFont="1" applyBorder="1">
      <alignment vertical="center"/>
    </xf>
    <xf numFmtId="49" fontId="3" fillId="3" borderId="0" xfId="2" applyNumberFormat="1" applyBorder="1">
      <alignment vertical="center"/>
    </xf>
    <xf numFmtId="49" fontId="2" fillId="2" borderId="0" xfId="1" applyNumberFormat="1" applyBorder="1">
      <alignment vertical="center"/>
    </xf>
    <xf numFmtId="49" fontId="5" fillId="0" borderId="0" xfId="0" applyNumberFormat="1" applyFont="1" applyAlignment="1">
      <alignment vertical="center" wrapText="1"/>
    </xf>
    <xf numFmtId="49" fontId="0" fillId="40" borderId="0" xfId="0" applyNumberFormat="1" applyFill="1">
      <alignment vertical="center"/>
    </xf>
    <xf numFmtId="49" fontId="0" fillId="41" borderId="0" xfId="0" applyNumberFormat="1" applyFill="1">
      <alignment vertical="center"/>
    </xf>
    <xf numFmtId="49" fontId="25" fillId="6" borderId="16" xfId="1" applyNumberFormat="1" applyFont="1" applyFill="1" applyBorder="1">
      <alignment vertical="center"/>
    </xf>
    <xf numFmtId="49" fontId="2" fillId="41" borderId="16" xfId="1" applyNumberFormat="1" applyFill="1" applyBorder="1">
      <alignment vertical="center"/>
    </xf>
    <xf numFmtId="49" fontId="2" fillId="2" borderId="12" xfId="1" applyNumberFormat="1" applyBorder="1">
      <alignment vertical="center"/>
    </xf>
    <xf numFmtId="49" fontId="2" fillId="5" borderId="12" xfId="1" applyNumberFormat="1" applyFill="1" applyBorder="1">
      <alignment vertical="center"/>
    </xf>
    <xf numFmtId="49" fontId="26" fillId="6" borderId="0" xfId="0" applyNumberFormat="1" applyFont="1" applyFill="1">
      <alignment vertical="center"/>
    </xf>
    <xf numFmtId="49" fontId="8" fillId="39" borderId="0" xfId="0" applyNumberFormat="1" applyFont="1" applyFill="1">
      <alignment vertical="center"/>
    </xf>
    <xf numFmtId="49" fontId="2" fillId="2" borderId="24" xfId="1" applyNumberFormat="1" applyBorder="1">
      <alignment vertical="center"/>
    </xf>
    <xf numFmtId="49" fontId="15" fillId="10" borderId="24" xfId="8" applyNumberFormat="1" applyBorder="1">
      <alignment vertical="center"/>
    </xf>
    <xf numFmtId="49" fontId="2" fillId="2" borderId="25" xfId="1" applyNumberFormat="1" applyBorder="1">
      <alignment vertical="center"/>
    </xf>
    <xf numFmtId="49" fontId="0" fillId="39" borderId="0" xfId="0" applyNumberFormat="1" applyFill="1">
      <alignment vertical="center"/>
    </xf>
    <xf numFmtId="49" fontId="0" fillId="0" borderId="24" xfId="0" applyNumberFormat="1" applyBorder="1">
      <alignment vertical="center"/>
    </xf>
    <xf numFmtId="49" fontId="5" fillId="0" borderId="24" xfId="0" applyNumberFormat="1" applyFont="1" applyBorder="1">
      <alignment vertical="center"/>
    </xf>
    <xf numFmtId="49" fontId="0" fillId="39" borderId="25" xfId="0" applyNumberFormat="1" applyFill="1" applyBorder="1">
      <alignment vertical="center"/>
    </xf>
    <xf numFmtId="179" fontId="4" fillId="0" borderId="0" xfId="0" applyNumberFormat="1" applyFont="1">
      <alignment vertical="center"/>
    </xf>
    <xf numFmtId="10" fontId="2" fillId="2" borderId="28" xfId="1" applyNumberFormat="1" applyBorder="1">
      <alignment vertical="center"/>
    </xf>
    <xf numFmtId="10" fontId="2" fillId="2" borderId="29" xfId="1" applyNumberFormat="1" applyBorder="1">
      <alignment vertical="center"/>
    </xf>
    <xf numFmtId="10" fontId="2" fillId="2" borderId="30" xfId="1" applyNumberFormat="1" applyBorder="1">
      <alignment vertical="center"/>
    </xf>
    <xf numFmtId="49" fontId="25" fillId="2" borderId="24" xfId="1" applyNumberFormat="1" applyFont="1" applyBorder="1">
      <alignment vertical="center"/>
    </xf>
    <xf numFmtId="179" fontId="25" fillId="2" borderId="0" xfId="1" applyNumberFormat="1" applyFont="1" applyBorder="1">
      <alignment vertical="center"/>
    </xf>
    <xf numFmtId="0" fontId="25" fillId="2" borderId="0" xfId="1" applyFont="1">
      <alignment vertical="center"/>
    </xf>
    <xf numFmtId="179" fontId="2" fillId="2" borderId="0" xfId="1" applyNumberFormat="1">
      <alignment vertical="center"/>
    </xf>
    <xf numFmtId="10" fontId="28" fillId="10" borderId="0" xfId="8" applyNumberFormat="1" applyFont="1">
      <alignment vertical="center"/>
    </xf>
    <xf numFmtId="179" fontId="0" fillId="0" borderId="11" xfId="0" applyNumberFormat="1" applyBorder="1">
      <alignment vertical="center"/>
    </xf>
    <xf numFmtId="10" fontId="5" fillId="0" borderId="12" xfId="0" applyNumberFormat="1" applyFont="1" applyBorder="1">
      <alignment vertical="center"/>
    </xf>
    <xf numFmtId="10" fontId="5" fillId="0" borderId="13" xfId="0" applyNumberFormat="1" applyFont="1" applyBorder="1">
      <alignment vertical="center"/>
    </xf>
    <xf numFmtId="179" fontId="5" fillId="0" borderId="11" xfId="0" applyNumberFormat="1" applyFont="1" applyBorder="1">
      <alignment vertical="center"/>
    </xf>
    <xf numFmtId="14" fontId="5" fillId="0" borderId="0" xfId="0" applyNumberFormat="1" applyFont="1" applyBorder="1">
      <alignment vertical="center"/>
    </xf>
    <xf numFmtId="179" fontId="2" fillId="2" borderId="11" xfId="1" applyNumberFormat="1" applyBorder="1">
      <alignment vertical="center"/>
    </xf>
    <xf numFmtId="179" fontId="15" fillId="10" borderId="0" xfId="8" applyNumberFormat="1" applyBorder="1">
      <alignment vertical="center"/>
    </xf>
    <xf numFmtId="179" fontId="5" fillId="0" borderId="16" xfId="0" applyNumberFormat="1" applyFont="1" applyBorder="1">
      <alignment vertical="center"/>
    </xf>
    <xf numFmtId="14" fontId="5" fillId="0" borderId="16" xfId="0" applyNumberFormat="1" applyFont="1" applyBorder="1">
      <alignment vertical="center"/>
    </xf>
    <xf numFmtId="179" fontId="15" fillId="10" borderId="16" xfId="8" applyNumberFormat="1" applyBorder="1">
      <alignment vertical="center"/>
    </xf>
    <xf numFmtId="179" fontId="5" fillId="0" borderId="31" xfId="0" applyNumberFormat="1" applyFont="1" applyBorder="1">
      <alignment vertical="center"/>
    </xf>
    <xf numFmtId="14" fontId="5" fillId="0" borderId="32" xfId="0" applyNumberFormat="1" applyFont="1" applyBorder="1">
      <alignment vertical="center"/>
    </xf>
    <xf numFmtId="179" fontId="5" fillId="0" borderId="32" xfId="0" applyNumberFormat="1" applyFont="1" applyBorder="1">
      <alignment vertical="center"/>
    </xf>
    <xf numFmtId="179" fontId="15" fillId="10" borderId="32" xfId="8" applyNumberFormat="1" applyBorder="1">
      <alignment vertical="center"/>
    </xf>
    <xf numFmtId="179" fontId="5" fillId="0" borderId="34" xfId="0" applyNumberFormat="1" applyFont="1" applyBorder="1">
      <alignment vertical="center"/>
    </xf>
    <xf numFmtId="14" fontId="5" fillId="0" borderId="19" xfId="0" applyNumberFormat="1" applyFont="1" applyBorder="1">
      <alignment vertical="center"/>
    </xf>
    <xf numFmtId="179" fontId="5" fillId="0" borderId="19" xfId="0" applyNumberFormat="1" applyFont="1" applyBorder="1">
      <alignment vertical="center"/>
    </xf>
    <xf numFmtId="179" fontId="15" fillId="10" borderId="19" xfId="8" applyNumberFormat="1" applyBorder="1">
      <alignment vertical="center"/>
    </xf>
    <xf numFmtId="179" fontId="2" fillId="2" borderId="16" xfId="1" applyNumberFormat="1" applyBorder="1">
      <alignment vertical="center"/>
    </xf>
    <xf numFmtId="49" fontId="25" fillId="2" borderId="16" xfId="1" applyNumberFormat="1" applyFont="1" applyBorder="1" applyAlignment="1">
      <alignment horizontal="left" vertical="center"/>
    </xf>
    <xf numFmtId="14" fontId="15" fillId="10" borderId="16" xfId="8" applyNumberFormat="1" applyBorder="1" applyAlignment="1">
      <alignment horizontal="left" vertical="center"/>
    </xf>
    <xf numFmtId="14" fontId="5" fillId="0" borderId="0" xfId="0" applyNumberFormat="1" applyFont="1">
      <alignment vertical="center"/>
    </xf>
    <xf numFmtId="49" fontId="3" fillId="3" borderId="0" xfId="2" applyNumberFormat="1">
      <alignment vertical="center"/>
    </xf>
    <xf numFmtId="10" fontId="3" fillId="3" borderId="0" xfId="2" applyNumberFormat="1">
      <alignment vertical="center"/>
    </xf>
    <xf numFmtId="180" fontId="0" fillId="0" borderId="16" xfId="0" applyNumberFormat="1" applyBorder="1">
      <alignment vertical="center"/>
    </xf>
    <xf numFmtId="49" fontId="0" fillId="0" borderId="16" xfId="0" applyNumberFormat="1" applyBorder="1">
      <alignment vertical="center"/>
    </xf>
    <xf numFmtId="49" fontId="5" fillId="39" borderId="16" xfId="0" applyNumberFormat="1" applyFont="1" applyFill="1" applyBorder="1">
      <alignment vertical="center"/>
    </xf>
    <xf numFmtId="49" fontId="27" fillId="3" borderId="16" xfId="2" applyNumberFormat="1" applyFont="1" applyBorder="1">
      <alignment vertical="center"/>
    </xf>
    <xf numFmtId="0" fontId="27" fillId="3" borderId="16" xfId="2" applyFont="1" applyBorder="1">
      <alignment vertical="center"/>
    </xf>
    <xf numFmtId="14" fontId="27" fillId="3" borderId="16" xfId="2" applyNumberFormat="1" applyFont="1" applyBorder="1">
      <alignment vertical="center"/>
    </xf>
    <xf numFmtId="0" fontId="27" fillId="3" borderId="0" xfId="2" applyFont="1">
      <alignment vertical="center"/>
    </xf>
    <xf numFmtId="0" fontId="0" fillId="0" borderId="0" xfId="0">
      <alignment vertical="center"/>
    </xf>
    <xf numFmtId="0" fontId="5" fillId="0" borderId="0" xfId="0" applyFont="1">
      <alignment vertical="center"/>
    </xf>
    <xf numFmtId="49" fontId="0" fillId="0" borderId="0" xfId="0" applyNumberFormat="1">
      <alignment vertical="center"/>
    </xf>
    <xf numFmtId="179" fontId="0" fillId="0" borderId="0" xfId="0" applyNumberFormat="1">
      <alignment vertical="center"/>
    </xf>
    <xf numFmtId="0" fontId="0" fillId="0" borderId="13" xfId="0" applyBorder="1">
      <alignment vertical="center"/>
    </xf>
    <xf numFmtId="49" fontId="5" fillId="0" borderId="15" xfId="0" applyNumberFormat="1" applyFont="1" applyBorder="1">
      <alignment vertical="center"/>
    </xf>
    <xf numFmtId="49" fontId="0" fillId="0" borderId="11" xfId="0" applyNumberFormat="1" applyBorder="1">
      <alignment vertical="center"/>
    </xf>
    <xf numFmtId="179" fontId="0" fillId="0" borderId="0" xfId="0" applyNumberFormat="1" applyBorder="1">
      <alignment vertical="center"/>
    </xf>
    <xf numFmtId="0" fontId="0" fillId="0" borderId="0" xfId="0" applyBorder="1">
      <alignment vertical="center"/>
    </xf>
    <xf numFmtId="10" fontId="0" fillId="0" borderId="0" xfId="0" applyNumberFormat="1" applyBorder="1">
      <alignment vertical="center"/>
    </xf>
    <xf numFmtId="0" fontId="0" fillId="0" borderId="18" xfId="0" applyBorder="1">
      <alignment vertical="center"/>
    </xf>
    <xf numFmtId="49" fontId="5" fillId="0" borderId="11" xfId="0" applyNumberFormat="1" applyFont="1" applyBorder="1">
      <alignment vertical="center"/>
    </xf>
    <xf numFmtId="49" fontId="5" fillId="0" borderId="12" xfId="0" applyNumberFormat="1" applyFont="1" applyBorder="1">
      <alignment vertical="center"/>
    </xf>
    <xf numFmtId="0" fontId="0" fillId="0" borderId="14" xfId="0" applyBorder="1">
      <alignment vertical="center"/>
    </xf>
    <xf numFmtId="10" fontId="0" fillId="0" borderId="16" xfId="0" applyNumberFormat="1" applyBorder="1">
      <alignment vertical="center"/>
    </xf>
    <xf numFmtId="10" fontId="5" fillId="0" borderId="16" xfId="0" applyNumberFormat="1" applyFont="1" applyBorder="1">
      <alignment vertical="center"/>
    </xf>
    <xf numFmtId="49" fontId="0" fillId="0" borderId="11" xfId="0" applyNumberFormat="1" applyBorder="1" applyAlignment="1">
      <alignment horizontal="center" vertical="center"/>
    </xf>
    <xf numFmtId="179" fontId="0" fillId="0" borderId="13" xfId="0" applyNumberFormat="1" applyBorder="1">
      <alignment vertical="center"/>
    </xf>
    <xf numFmtId="0" fontId="0" fillId="0" borderId="19" xfId="0" applyBorder="1">
      <alignment vertical="center"/>
    </xf>
    <xf numFmtId="10" fontId="26" fillId="42" borderId="16" xfId="0" applyNumberFormat="1" applyFont="1" applyFill="1" applyBorder="1">
      <alignment vertical="center"/>
    </xf>
    <xf numFmtId="178" fontId="0" fillId="42" borderId="16" xfId="0" applyNumberFormat="1" applyFill="1" applyBorder="1" applyAlignment="1">
      <alignment horizontal="right" vertical="center"/>
    </xf>
    <xf numFmtId="179" fontId="9" fillId="0" borderId="0" xfId="0" applyNumberFormat="1" applyFont="1" applyBorder="1">
      <alignment vertical="center"/>
    </xf>
    <xf numFmtId="49" fontId="26" fillId="0" borderId="11" xfId="0" applyNumberFormat="1" applyFont="1" applyBorder="1">
      <alignment vertical="center"/>
    </xf>
    <xf numFmtId="0" fontId="26" fillId="0" borderId="0" xfId="0" applyFont="1" applyBorder="1">
      <alignment vertical="center"/>
    </xf>
    <xf numFmtId="10" fontId="0" fillId="0" borderId="16" xfId="0" applyNumberFormat="1" applyBorder="1">
      <alignment vertical="center"/>
    </xf>
    <xf numFmtId="178" fontId="0" fillId="0" borderId="16" xfId="0" applyNumberFormat="1" applyBorder="1">
      <alignment vertical="center"/>
    </xf>
    <xf numFmtId="178" fontId="5" fillId="0" borderId="16" xfId="0" applyNumberFormat="1" applyFont="1" applyBorder="1">
      <alignment vertical="center"/>
    </xf>
    <xf numFmtId="178" fontId="15" fillId="10" borderId="16" xfId="8" applyNumberFormat="1" applyBorder="1">
      <alignment vertical="center"/>
    </xf>
    <xf numFmtId="178" fontId="2" fillId="2" borderId="16" xfId="1" applyNumberFormat="1" applyBorder="1">
      <alignment vertical="center"/>
    </xf>
    <xf numFmtId="178" fontId="3" fillId="3" borderId="16" xfId="2" applyNumberFormat="1" applyBorder="1">
      <alignment vertical="center"/>
    </xf>
    <xf numFmtId="10" fontId="0" fillId="4" borderId="0" xfId="0" applyNumberFormat="1" applyFill="1">
      <alignment vertical="center"/>
    </xf>
    <xf numFmtId="179" fontId="0" fillId="4" borderId="0" xfId="0" applyNumberFormat="1" applyFill="1">
      <alignment vertical="center"/>
    </xf>
    <xf numFmtId="49" fontId="0" fillId="4" borderId="16" xfId="0" applyNumberFormat="1" applyFill="1" applyBorder="1">
      <alignment vertical="center"/>
    </xf>
    <xf numFmtId="0" fontId="0" fillId="4" borderId="16" xfId="0" applyFill="1" applyBorder="1">
      <alignment vertical="center"/>
    </xf>
    <xf numFmtId="10" fontId="0" fillId="4" borderId="16" xfId="0" applyNumberFormat="1" applyFill="1" applyBorder="1">
      <alignment vertical="center"/>
    </xf>
    <xf numFmtId="0" fontId="0" fillId="4" borderId="0" xfId="0" applyFill="1">
      <alignment vertical="center"/>
    </xf>
    <xf numFmtId="49" fontId="5" fillId="0" borderId="16" xfId="0" applyNumberFormat="1" applyFont="1" applyBorder="1">
      <alignment vertical="center"/>
    </xf>
    <xf numFmtId="49" fontId="5" fillId="4" borderId="16" xfId="0" applyNumberFormat="1" applyFont="1" applyFill="1" applyBorder="1">
      <alignment vertical="center"/>
    </xf>
    <xf numFmtId="14" fontId="0" fillId="4" borderId="16" xfId="0" applyNumberFormat="1" applyFill="1" applyBorder="1">
      <alignment vertical="center"/>
    </xf>
    <xf numFmtId="49" fontId="5" fillId="7" borderId="16" xfId="0" applyNumberFormat="1" applyFont="1" applyFill="1" applyBorder="1">
      <alignment vertical="center"/>
    </xf>
    <xf numFmtId="0" fontId="0" fillId="7" borderId="16" xfId="0" applyFill="1" applyBorder="1">
      <alignment vertical="center"/>
    </xf>
    <xf numFmtId="14" fontId="0" fillId="7" borderId="16" xfId="0" applyNumberFormat="1" applyFill="1" applyBorder="1">
      <alignment vertical="center"/>
    </xf>
    <xf numFmtId="49" fontId="0" fillId="7" borderId="0" xfId="0" applyNumberFormat="1" applyFill="1">
      <alignment vertical="center"/>
    </xf>
    <xf numFmtId="14" fontId="0" fillId="7" borderId="0" xfId="0" applyNumberFormat="1" applyFill="1">
      <alignment vertical="center"/>
    </xf>
    <xf numFmtId="10" fontId="5" fillId="4" borderId="0" xfId="0" applyNumberFormat="1" applyFont="1" applyFill="1">
      <alignment vertical="center"/>
    </xf>
    <xf numFmtId="49" fontId="5" fillId="4" borderId="0" xfId="0" applyNumberFormat="1" applyFont="1" applyFill="1">
      <alignment vertical="center"/>
    </xf>
    <xf numFmtId="0" fontId="5" fillId="4" borderId="0" xfId="0" applyFont="1" applyFill="1">
      <alignment vertical="center"/>
    </xf>
    <xf numFmtId="178" fontId="5" fillId="4" borderId="0" xfId="0" applyNumberFormat="1" applyFont="1" applyFill="1">
      <alignment vertical="center"/>
    </xf>
    <xf numFmtId="0" fontId="5" fillId="43" borderId="0" xfId="0" applyFont="1" applyFill="1">
      <alignment vertical="center"/>
    </xf>
    <xf numFmtId="49" fontId="5" fillId="43" borderId="16" xfId="0" applyNumberFormat="1" applyFont="1" applyFill="1" applyBorder="1">
      <alignment vertical="center"/>
    </xf>
    <xf numFmtId="0" fontId="5" fillId="43" borderId="16" xfId="0" applyFont="1" applyFill="1" applyBorder="1">
      <alignment vertical="center"/>
    </xf>
    <xf numFmtId="14" fontId="5" fillId="43" borderId="16" xfId="0" applyNumberFormat="1" applyFont="1" applyFill="1" applyBorder="1">
      <alignment vertical="center"/>
    </xf>
    <xf numFmtId="179" fontId="26" fillId="0" borderId="0" xfId="0" applyNumberFormat="1" applyFont="1" applyAlignment="1">
      <alignment vertical="top"/>
    </xf>
    <xf numFmtId="49" fontId="28" fillId="10" borderId="0" xfId="8" applyNumberFormat="1" applyFont="1">
      <alignment vertical="center"/>
    </xf>
    <xf numFmtId="10" fontId="5" fillId="4" borderId="0" xfId="0" applyNumberFormat="1" applyFont="1" applyFill="1" applyBorder="1">
      <alignment vertical="center"/>
    </xf>
    <xf numFmtId="179" fontId="5" fillId="4" borderId="11" xfId="0" applyNumberFormat="1" applyFont="1" applyFill="1" applyBorder="1">
      <alignment vertical="center"/>
    </xf>
    <xf numFmtId="179" fontId="5" fillId="4" borderId="0" xfId="0" applyNumberFormat="1" applyFont="1" applyFill="1" applyBorder="1">
      <alignment vertical="center"/>
    </xf>
    <xf numFmtId="49" fontId="5" fillId="44" borderId="24" xfId="0" applyNumberFormat="1" applyFont="1" applyFill="1" applyBorder="1">
      <alignment vertical="center"/>
    </xf>
    <xf numFmtId="179" fontId="0" fillId="44" borderId="0" xfId="0" applyNumberFormat="1" applyFill="1" applyBorder="1">
      <alignment vertical="center"/>
    </xf>
    <xf numFmtId="49" fontId="5" fillId="44" borderId="15" xfId="0" applyNumberFormat="1" applyFont="1" applyFill="1" applyBorder="1">
      <alignment vertical="center"/>
    </xf>
    <xf numFmtId="0" fontId="0" fillId="44" borderId="1" xfId="0" applyFill="1" applyBorder="1">
      <alignment vertical="center"/>
    </xf>
    <xf numFmtId="49" fontId="25" fillId="2" borderId="11" xfId="1" applyNumberFormat="1" applyFont="1" applyBorder="1">
      <alignment vertical="center"/>
    </xf>
    <xf numFmtId="10" fontId="0" fillId="5" borderId="0" xfId="0" applyNumberFormat="1" applyFill="1" applyBorder="1">
      <alignment vertical="center"/>
    </xf>
    <xf numFmtId="10" fontId="5" fillId="5" borderId="0" xfId="0" applyNumberFormat="1" applyFont="1" applyFill="1" applyBorder="1">
      <alignment vertical="center"/>
    </xf>
    <xf numFmtId="49" fontId="2" fillId="41" borderId="11" xfId="1" applyNumberFormat="1" applyFill="1" applyBorder="1">
      <alignment vertical="center"/>
    </xf>
    <xf numFmtId="49" fontId="5" fillId="5" borderId="24" xfId="0" applyNumberFormat="1" applyFont="1" applyFill="1" applyBorder="1">
      <alignment vertical="center"/>
    </xf>
    <xf numFmtId="179" fontId="5" fillId="5" borderId="0" xfId="0" applyNumberFormat="1" applyFont="1" applyFill="1" applyBorder="1">
      <alignment vertical="center"/>
    </xf>
    <xf numFmtId="0" fontId="5" fillId="4" borderId="16" xfId="0" applyFont="1" applyFill="1" applyBorder="1">
      <alignment vertical="center"/>
    </xf>
    <xf numFmtId="0" fontId="5" fillId="0" borderId="16" xfId="0" applyFont="1" applyBorder="1" applyAlignment="1">
      <alignment horizontal="left" vertical="top" wrapText="1"/>
    </xf>
    <xf numFmtId="0" fontId="5" fillId="0" borderId="16" xfId="0" applyFont="1" applyBorder="1" applyAlignment="1">
      <alignment horizontal="left" vertical="top"/>
    </xf>
    <xf numFmtId="10" fontId="26" fillId="0" borderId="0" xfId="0" applyNumberFormat="1" applyFont="1">
      <alignment vertical="center"/>
    </xf>
    <xf numFmtId="178" fontId="26" fillId="0" borderId="0" xfId="0" applyNumberFormat="1" applyFont="1">
      <alignment vertical="center"/>
    </xf>
    <xf numFmtId="0" fontId="5" fillId="0" borderId="36" xfId="0" applyFont="1" applyBorder="1">
      <alignment vertical="center"/>
    </xf>
    <xf numFmtId="179" fontId="15" fillId="10" borderId="16" xfId="8" applyNumberFormat="1" applyBorder="1" applyAlignment="1">
      <alignment horizontal="left" vertical="center"/>
    </xf>
    <xf numFmtId="179" fontId="15" fillId="10" borderId="18" xfId="8" applyNumberFormat="1" applyBorder="1" applyAlignment="1">
      <alignment horizontal="left" vertical="center"/>
    </xf>
    <xf numFmtId="179" fontId="2" fillId="2" borderId="18" xfId="1" applyNumberFormat="1" applyBorder="1" applyAlignment="1">
      <alignment horizontal="left" vertical="center"/>
    </xf>
    <xf numFmtId="179" fontId="15" fillId="10" borderId="33" xfId="8" applyNumberFormat="1" applyBorder="1" applyAlignment="1">
      <alignment horizontal="left" vertical="center"/>
    </xf>
    <xf numFmtId="179" fontId="15" fillId="10" borderId="35" xfId="8" applyNumberFormat="1" applyBorder="1" applyAlignment="1">
      <alignment horizontal="left" vertical="center"/>
    </xf>
    <xf numFmtId="179" fontId="24" fillId="0" borderId="0" xfId="0" applyNumberFormat="1" applyFont="1" applyBorder="1">
      <alignment vertical="center"/>
    </xf>
    <xf numFmtId="0" fontId="5" fillId="39" borderId="16" xfId="0" applyFont="1" applyFill="1" applyBorder="1">
      <alignment vertical="center"/>
    </xf>
    <xf numFmtId="179" fontId="5" fillId="39" borderId="16" xfId="0" applyNumberFormat="1" applyFont="1" applyFill="1" applyBorder="1">
      <alignment vertical="center"/>
    </xf>
    <xf numFmtId="178" fontId="5" fillId="39" borderId="16" xfId="0" applyNumberFormat="1" applyFont="1" applyFill="1" applyBorder="1">
      <alignment vertical="center"/>
    </xf>
    <xf numFmtId="0" fontId="5" fillId="45" borderId="16" xfId="0" applyFont="1" applyFill="1" applyBorder="1">
      <alignment vertical="center"/>
    </xf>
    <xf numFmtId="179" fontId="5" fillId="45" borderId="16" xfId="0" applyNumberFormat="1" applyFont="1" applyFill="1" applyBorder="1">
      <alignment vertical="center"/>
    </xf>
    <xf numFmtId="179" fontId="30" fillId="6" borderId="0" xfId="0" applyNumberFormat="1" applyFont="1" applyFill="1" applyAlignment="1">
      <alignment horizontal="left" vertical="top" wrapText="1"/>
    </xf>
    <xf numFmtId="179" fontId="30" fillId="6" borderId="0" xfId="0" applyNumberFormat="1" applyFont="1" applyFill="1" applyAlignment="1">
      <alignment horizontal="left" vertical="top"/>
    </xf>
    <xf numFmtId="49" fontId="26" fillId="6" borderId="0" xfId="0" applyNumberFormat="1" applyFont="1" applyFill="1" applyAlignment="1">
      <alignment horizontal="left" vertical="top" wrapText="1"/>
    </xf>
    <xf numFmtId="49" fontId="5" fillId="6" borderId="0" xfId="0" applyNumberFormat="1" applyFont="1" applyFill="1" applyAlignment="1">
      <alignment horizontal="left" vertical="top"/>
    </xf>
    <xf numFmtId="49" fontId="5" fillId="6" borderId="0" xfId="0" applyNumberFormat="1" applyFont="1" applyFill="1" applyAlignment="1">
      <alignment horizontal="left" vertical="top" wrapText="1"/>
    </xf>
    <xf numFmtId="49" fontId="26" fillId="6" borderId="0" xfId="0" applyNumberFormat="1" applyFont="1" applyFill="1" applyAlignment="1">
      <alignment horizontal="left" vertical="top"/>
    </xf>
    <xf numFmtId="49" fontId="5" fillId="6" borderId="23" xfId="0" applyNumberFormat="1" applyFont="1" applyFill="1" applyBorder="1" applyAlignment="1">
      <alignment horizontal="left" vertical="top"/>
    </xf>
    <xf numFmtId="49" fontId="0" fillId="6" borderId="23" xfId="0" applyNumberFormat="1" applyFill="1" applyBorder="1" applyAlignment="1">
      <alignment horizontal="left" vertical="top"/>
    </xf>
    <xf numFmtId="0" fontId="5" fillId="6" borderId="0" xfId="0" applyFont="1" applyFill="1" applyAlignment="1">
      <alignment horizontal="left" vertical="top" wrapText="1"/>
    </xf>
    <xf numFmtId="0" fontId="5" fillId="6" borderId="0" xfId="0" applyFont="1" applyFill="1" applyAlignment="1">
      <alignment horizontal="left" vertical="top"/>
    </xf>
    <xf numFmtId="49" fontId="0" fillId="6" borderId="0" xfId="0" applyNumberFormat="1" applyFill="1" applyAlignment="1">
      <alignment horizontal="left" vertical="top"/>
    </xf>
    <xf numFmtId="49" fontId="5" fillId="4" borderId="16" xfId="0" applyNumberFormat="1" applyFont="1" applyFill="1" applyBorder="1" applyAlignment="1">
      <alignment horizontal="center" vertical="center"/>
    </xf>
    <xf numFmtId="49" fontId="5" fillId="0" borderId="16" xfId="0" applyNumberFormat="1" applyFont="1" applyBorder="1" applyAlignment="1">
      <alignment horizontal="center" vertical="center"/>
    </xf>
    <xf numFmtId="49" fontId="28" fillId="6" borderId="1" xfId="8" applyNumberFormat="1" applyFont="1" applyFill="1" applyBorder="1" applyAlignment="1">
      <alignment horizontal="left" vertical="top" wrapText="1"/>
    </xf>
    <xf numFmtId="49" fontId="28" fillId="6" borderId="1" xfId="8" applyNumberFormat="1" applyFont="1" applyFill="1" applyBorder="1" applyAlignment="1">
      <alignment horizontal="left" vertical="top"/>
    </xf>
    <xf numFmtId="49" fontId="5" fillId="6" borderId="23" xfId="0" applyNumberFormat="1" applyFont="1" applyFill="1" applyBorder="1" applyAlignment="1">
      <alignment horizontal="left" vertical="top" wrapText="1"/>
    </xf>
    <xf numFmtId="49" fontId="28" fillId="10" borderId="1" xfId="8" applyNumberFormat="1" applyFont="1" applyBorder="1" applyAlignment="1">
      <alignment horizontal="left" vertical="top" wrapText="1"/>
    </xf>
    <xf numFmtId="49" fontId="28" fillId="10" borderId="1" xfId="8" applyNumberFormat="1" applyFont="1" applyBorder="1" applyAlignment="1">
      <alignment horizontal="left" vertical="top"/>
    </xf>
    <xf numFmtId="49" fontId="25" fillId="2" borderId="0" xfId="1" applyNumberFormat="1" applyFont="1" applyAlignment="1">
      <alignment horizontal="left" vertical="top" wrapText="1"/>
    </xf>
    <xf numFmtId="49" fontId="25" fillId="2" borderId="0" xfId="1" applyNumberFormat="1" applyFont="1" applyAlignment="1">
      <alignment horizontal="left" vertical="top"/>
    </xf>
    <xf numFmtId="49" fontId="6" fillId="6" borderId="1" xfId="0" applyNumberFormat="1" applyFont="1" applyFill="1" applyBorder="1" applyAlignment="1">
      <alignment horizontal="left" vertical="top" wrapText="1"/>
    </xf>
    <xf numFmtId="49" fontId="0" fillId="6" borderId="1" xfId="0" applyNumberFormat="1" applyFill="1" applyBorder="1" applyAlignment="1">
      <alignment horizontal="left" vertical="top"/>
    </xf>
    <xf numFmtId="179" fontId="0" fillId="0" borderId="20" xfId="0" applyNumberFormat="1" applyBorder="1" applyAlignment="1">
      <alignment horizontal="center" vertical="center"/>
    </xf>
    <xf numFmtId="179" fontId="0" fillId="0" borderId="21" xfId="0" applyNumberFormat="1" applyBorder="1" applyAlignment="1">
      <alignment horizontal="center" vertical="center"/>
    </xf>
    <xf numFmtId="179" fontId="0" fillId="0" borderId="22" xfId="0" applyNumberFormat="1" applyBorder="1" applyAlignment="1">
      <alignment horizontal="center" vertical="center"/>
    </xf>
    <xf numFmtId="49" fontId="5" fillId="42" borderId="16" xfId="0" applyNumberFormat="1" applyFont="1" applyFill="1" applyBorder="1" applyAlignment="1">
      <alignment horizontal="center" vertical="center"/>
    </xf>
    <xf numFmtId="179" fontId="0" fillId="42" borderId="16" xfId="0" applyNumberFormat="1" applyFill="1" applyBorder="1" applyAlignment="1">
      <alignment horizontal="center" vertical="center"/>
    </xf>
    <xf numFmtId="0" fontId="0" fillId="0" borderId="16" xfId="0" applyBorder="1" applyAlignment="1">
      <alignment horizontal="center" vertical="center"/>
    </xf>
    <xf numFmtId="49" fontId="5" fillId="6" borderId="1" xfId="0" applyNumberFormat="1" applyFont="1" applyFill="1" applyBorder="1" applyAlignment="1">
      <alignment horizontal="left" vertical="top" wrapText="1"/>
    </xf>
    <xf numFmtId="49" fontId="5" fillId="6" borderId="1" xfId="0" applyNumberFormat="1" applyFont="1" applyFill="1" applyBorder="1" applyAlignment="1">
      <alignment horizontal="left" vertical="top"/>
    </xf>
    <xf numFmtId="0" fontId="0" fillId="0" borderId="20" xfId="0" applyBorder="1" applyAlignment="1">
      <alignment horizontal="center" vertical="center"/>
    </xf>
    <xf numFmtId="0" fontId="0" fillId="0" borderId="21" xfId="0" applyBorder="1" applyAlignment="1">
      <alignment horizontal="center" vertical="center"/>
    </xf>
    <xf numFmtId="0" fontId="0" fillId="0" borderId="22" xfId="0" applyBorder="1" applyAlignment="1">
      <alignment horizontal="center" vertical="center"/>
    </xf>
    <xf numFmtId="178" fontId="0" fillId="0" borderId="20" xfId="0" applyNumberFormat="1" applyBorder="1" applyAlignment="1">
      <alignment horizontal="center" vertical="center"/>
    </xf>
    <xf numFmtId="178" fontId="0" fillId="0" borderId="21" xfId="0" applyNumberFormat="1" applyBorder="1" applyAlignment="1">
      <alignment horizontal="center" vertical="center"/>
    </xf>
    <xf numFmtId="178" fontId="0" fillId="0" borderId="22" xfId="0" applyNumberFormat="1" applyBorder="1" applyAlignment="1">
      <alignment horizontal="center" vertical="center"/>
    </xf>
    <xf numFmtId="178" fontId="5" fillId="42" borderId="20" xfId="0" applyNumberFormat="1" applyFont="1" applyFill="1" applyBorder="1" applyAlignment="1">
      <alignment horizontal="center" vertical="center"/>
    </xf>
    <xf numFmtId="178" fontId="5" fillId="42" borderId="22" xfId="0" applyNumberFormat="1" applyFont="1" applyFill="1" applyBorder="1" applyAlignment="1">
      <alignment horizontal="center" vertical="center"/>
    </xf>
    <xf numFmtId="179" fontId="0" fillId="42" borderId="20" xfId="0" applyNumberFormat="1" applyFill="1" applyBorder="1" applyAlignment="1">
      <alignment horizontal="center" vertical="center"/>
    </xf>
    <xf numFmtId="179" fontId="0" fillId="42" borderId="22" xfId="0" applyNumberFormat="1" applyFill="1" applyBorder="1" applyAlignment="1">
      <alignment horizontal="center" vertical="center"/>
    </xf>
    <xf numFmtId="178" fontId="0" fillId="42" borderId="20" xfId="0" applyNumberFormat="1" applyFill="1" applyBorder="1" applyAlignment="1">
      <alignment horizontal="center" vertical="center"/>
    </xf>
    <xf numFmtId="178" fontId="0" fillId="42" borderId="22" xfId="0" applyNumberFormat="1" applyFill="1" applyBorder="1" applyAlignment="1">
      <alignment horizontal="center" vertical="center"/>
    </xf>
    <xf numFmtId="10" fontId="5" fillId="0" borderId="36" xfId="0" applyNumberFormat="1" applyFont="1" applyBorder="1" applyAlignment="1">
      <alignment horizontal="center" vertical="center" wrapText="1"/>
    </xf>
  </cellXfs>
  <cellStyles count="42">
    <cellStyle name="20% - 着色 1" xfId="19" builtinId="30" customBuiltin="1"/>
    <cellStyle name="20% - 着色 2" xfId="23" builtinId="34" customBuiltin="1"/>
    <cellStyle name="20% - 着色 3" xfId="27" builtinId="38" customBuiltin="1"/>
    <cellStyle name="20% - 着色 4" xfId="31" builtinId="42" customBuiltin="1"/>
    <cellStyle name="20% - 着色 5" xfId="35" builtinId="46" customBuiltin="1"/>
    <cellStyle name="20% - 着色 6" xfId="39" builtinId="50" customBuiltin="1"/>
    <cellStyle name="40% - 着色 1" xfId="20" builtinId="31" customBuiltin="1"/>
    <cellStyle name="40% - 着色 2" xfId="24" builtinId="35" customBuiltin="1"/>
    <cellStyle name="40% - 着色 3" xfId="28" builtinId="39" customBuiltin="1"/>
    <cellStyle name="40% - 着色 4" xfId="32" builtinId="43" customBuiltin="1"/>
    <cellStyle name="40% - 着色 5" xfId="36" builtinId="47" customBuiltin="1"/>
    <cellStyle name="40% - 着色 6" xfId="40" builtinId="51" customBuiltin="1"/>
    <cellStyle name="60% - 着色 1" xfId="21" builtinId="32" customBuiltin="1"/>
    <cellStyle name="60% - 着色 2" xfId="25" builtinId="36" customBuiltin="1"/>
    <cellStyle name="60% - 着色 3" xfId="29" builtinId="40" customBuiltin="1"/>
    <cellStyle name="60% - 着色 4" xfId="33" builtinId="44" customBuiltin="1"/>
    <cellStyle name="60% - 着色 5" xfId="37" builtinId="48" customBuiltin="1"/>
    <cellStyle name="60% - 着色 6" xfId="41" builtinId="52" customBuiltin="1"/>
    <cellStyle name="标题" xfId="3" builtinId="15" customBuiltin="1"/>
    <cellStyle name="标题 1" xfId="4" builtinId="16" customBuiltin="1"/>
    <cellStyle name="标题 2" xfId="5" builtinId="17" customBuiltin="1"/>
    <cellStyle name="标题 3" xfId="6" builtinId="18" customBuiltin="1"/>
    <cellStyle name="标题 4" xfId="7" builtinId="19" customBuiltin="1"/>
    <cellStyle name="差" xfId="2" builtinId="27" customBuiltin="1"/>
    <cellStyle name="常规" xfId="0" builtinId="0"/>
    <cellStyle name="好" xfId="1" builtinId="26" customBuiltin="1"/>
    <cellStyle name="汇总" xfId="17" builtinId="25" customBuiltin="1"/>
    <cellStyle name="计算" xfId="11" builtinId="22" customBuiltin="1"/>
    <cellStyle name="检查单元格" xfId="13" builtinId="23" customBuiltin="1"/>
    <cellStyle name="解释性文本" xfId="16" builtinId="53" customBuiltin="1"/>
    <cellStyle name="警告文本" xfId="14" builtinId="11" customBuiltin="1"/>
    <cellStyle name="链接单元格" xfId="12" builtinId="24" customBuiltin="1"/>
    <cellStyle name="适中" xfId="8" builtinId="28" customBuiltin="1"/>
    <cellStyle name="输出" xfId="10" builtinId="21" customBuiltin="1"/>
    <cellStyle name="输入" xfId="9" builtinId="20" customBuiltin="1"/>
    <cellStyle name="着色 1" xfId="18" builtinId="29" customBuiltin="1"/>
    <cellStyle name="着色 2" xfId="22" builtinId="33" customBuiltin="1"/>
    <cellStyle name="着色 3" xfId="26" builtinId="37" customBuiltin="1"/>
    <cellStyle name="着色 4" xfId="30" builtinId="41" customBuiltin="1"/>
    <cellStyle name="着色 5" xfId="34" builtinId="45" customBuiltin="1"/>
    <cellStyle name="着色 6" xfId="38" builtinId="49" customBuiltin="1"/>
    <cellStyle name="注释" xfId="15" builtinId="10" customBuiltin="1"/>
  </cellStyles>
  <dxfs count="181">
    <dxf>
      <numFmt numFmtId="30" formatCode="@"/>
    </dxf>
    <dxf>
      <numFmt numFmtId="30" formatCode="@"/>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30" formatCode="@"/>
    </dxf>
    <dxf>
      <numFmt numFmtId="30" formatCode="@"/>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30" formatCode="@"/>
    </dxf>
    <dxf>
      <numFmt numFmtId="30" formatCode="@"/>
      <border diagonalUp="0" diagonalDown="0" outline="0">
        <left/>
        <right/>
        <top/>
        <bottom/>
      </border>
    </dxf>
    <dxf>
      <border outline="0">
        <left style="medium">
          <color indexed="64"/>
        </left>
        <right style="medium">
          <color indexed="64"/>
        </right>
        <top style="medium">
          <color indexed="64"/>
        </top>
        <bottom style="medium">
          <color indexed="64"/>
        </bottom>
      </border>
    </dxf>
    <dxf>
      <numFmt numFmtId="19" formatCode="yyyy/m/d"/>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3.xml"/></Relationships>
</file>

<file path=xl/charts/_rels/chart14.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股权价值增加表!$A$7</c:f>
              <c:strCache>
                <c:ptCount val="1"/>
                <c:pt idx="0">
                  <c:v>   毛利率</c:v>
                </c:pt>
              </c:strCache>
            </c:strRef>
          </c:tx>
          <c:val>
            <c:numRef>
              <c:f>股权价值增加表!$B$7:$Y$7</c:f>
              <c:numCache>
                <c:formatCode>0.00%</c:formatCode>
                <c:ptCount val="6"/>
                <c:pt idx="0">
                  <c:v>0.19904939977366257</c:v>
                </c:pt>
                <c:pt idx="1">
                  <c:v>0.22722228005330128</c:v>
                </c:pt>
                <c:pt idx="2">
                  <c:v>0.2110632463594968</c:v>
                </c:pt>
                <c:pt idx="3">
                  <c:v>0.14044907240630819</c:v>
                </c:pt>
                <c:pt idx="4">
                  <c:v>0.14695288112985022</c:v>
                </c:pt>
                <c:pt idx="5">
                  <c:v>0.14852954636411114</c:v>
                </c:pt>
              </c:numCache>
            </c:numRef>
          </c:val>
          <c:smooth val="0"/>
          <c:extLst>
            <c:ext xmlns:c16="http://schemas.microsoft.com/office/drawing/2014/chart" uri="{C3380CC4-5D6E-409C-BE32-E72D297353CC}">
              <c16:uniqueId val="{00000000-9CEB-49A7-8EFA-0D38373D5F7D}"/>
            </c:ext>
          </c:extLst>
        </c:ser>
        <c:dLbls>
          <c:showLegendKey val="0"/>
          <c:showVal val="0"/>
          <c:showCatName val="0"/>
          <c:showSerName val="0"/>
          <c:showPercent val="0"/>
          <c:showBubbleSize val="0"/>
        </c:dLbls>
        <c:marker val="1"/>
        <c:smooth val="0"/>
        <c:axId val="226596352"/>
        <c:axId val="220257024"/>
      </c:lineChart>
      <c:catAx>
        <c:axId val="226596352"/>
        <c:scaling>
          <c:orientation val="minMax"/>
        </c:scaling>
        <c:delete val="0"/>
        <c:axPos val="b"/>
        <c:majorTickMark val="out"/>
        <c:minorTickMark val="none"/>
        <c:tickLblPos val="nextTo"/>
        <c:crossAx val="220257024"/>
        <c:crosses val="autoZero"/>
        <c:auto val="1"/>
        <c:lblAlgn val="ctr"/>
        <c:lblOffset val="100"/>
        <c:noMultiLvlLbl val="0"/>
      </c:catAx>
      <c:valAx>
        <c:axId val="220257024"/>
        <c:scaling>
          <c:orientation val="minMax"/>
        </c:scaling>
        <c:delete val="0"/>
        <c:axPos val="l"/>
        <c:majorGridlines/>
        <c:numFmt formatCode="0.00%" sourceLinked="1"/>
        <c:majorTickMark val="out"/>
        <c:minorTickMark val="none"/>
        <c:tickLblPos val="nextTo"/>
        <c:crossAx val="22659635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20602420716518716"/>
          <c:y val="3.3912667315843532E-2"/>
        </c:manualLayout>
      </c:layout>
      <c:overlay val="0"/>
    </c:title>
    <c:autoTitleDeleted val="0"/>
    <c:plotArea>
      <c:layout/>
      <c:lineChart>
        <c:grouping val="stacked"/>
        <c:varyColors val="0"/>
        <c:ser>
          <c:idx val="0"/>
          <c:order val="0"/>
          <c:tx>
            <c:strRef>
              <c:f>股权价值增加表!$A$18</c:f>
              <c:strCache>
                <c:ptCount val="1"/>
                <c:pt idx="0">
                  <c:v>    息前税后经营利润率=13/1*100%</c:v>
                </c:pt>
              </c:strCache>
            </c:strRef>
          </c:tx>
          <c:val>
            <c:numRef>
              <c:f>股权价值增加表!$B$18:$Y$18</c:f>
              <c:numCache>
                <c:formatCode>0.00%</c:formatCode>
                <c:ptCount val="6"/>
                <c:pt idx="0">
                  <c:v>2.6570490605491128E-2</c:v>
                </c:pt>
                <c:pt idx="1">
                  <c:v>2.7151344921297598E-2</c:v>
                </c:pt>
                <c:pt idx="2">
                  <c:v>2.6234637722752592E-2</c:v>
                </c:pt>
                <c:pt idx="3">
                  <c:v>2.2069582142976708E-2</c:v>
                </c:pt>
                <c:pt idx="4">
                  <c:v>3.0153069598643247E-2</c:v>
                </c:pt>
                <c:pt idx="5">
                  <c:v>3.1975722134196548E-2</c:v>
                </c:pt>
              </c:numCache>
            </c:numRef>
          </c:val>
          <c:smooth val="0"/>
          <c:extLst>
            <c:ext xmlns:c16="http://schemas.microsoft.com/office/drawing/2014/chart" uri="{C3380CC4-5D6E-409C-BE32-E72D297353CC}">
              <c16:uniqueId val="{00000000-09E8-42E8-95C8-9DB417D006CD}"/>
            </c:ext>
          </c:extLst>
        </c:ser>
        <c:dLbls>
          <c:showLegendKey val="0"/>
          <c:showVal val="0"/>
          <c:showCatName val="0"/>
          <c:showSerName val="0"/>
          <c:showPercent val="0"/>
          <c:showBubbleSize val="0"/>
        </c:dLbls>
        <c:marker val="1"/>
        <c:smooth val="0"/>
        <c:axId val="226597376"/>
        <c:axId val="226886208"/>
      </c:lineChart>
      <c:catAx>
        <c:axId val="226597376"/>
        <c:scaling>
          <c:orientation val="minMax"/>
        </c:scaling>
        <c:delete val="0"/>
        <c:axPos val="b"/>
        <c:majorTickMark val="out"/>
        <c:minorTickMark val="none"/>
        <c:tickLblPos val="nextTo"/>
        <c:crossAx val="226886208"/>
        <c:crosses val="autoZero"/>
        <c:auto val="1"/>
        <c:lblAlgn val="ctr"/>
        <c:lblOffset val="100"/>
        <c:noMultiLvlLbl val="0"/>
      </c:catAx>
      <c:valAx>
        <c:axId val="226886208"/>
        <c:scaling>
          <c:orientation val="minMax"/>
        </c:scaling>
        <c:delete val="0"/>
        <c:axPos val="l"/>
        <c:majorGridlines/>
        <c:numFmt formatCode="0.00%" sourceLinked="1"/>
        <c:majorTickMark val="out"/>
        <c:minorTickMark val="none"/>
        <c:tickLblPos val="nextTo"/>
        <c:crossAx val="22659737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股权价值增加表!$A$32</c:f>
              <c:strCache>
                <c:ptCount val="1"/>
                <c:pt idx="0">
                  <c:v>    息税前利润率=23/1*100%</c:v>
                </c:pt>
              </c:strCache>
            </c:strRef>
          </c:tx>
          <c:val>
            <c:numRef>
              <c:f>股权价值增加表!$B$32:$Y$32</c:f>
              <c:numCache>
                <c:formatCode>0.00%</c:formatCode>
                <c:ptCount val="6"/>
                <c:pt idx="0">
                  <c:v>4.1020374181263988E-2</c:v>
                </c:pt>
                <c:pt idx="1">
                  <c:v>5.5034126378688611E-2</c:v>
                </c:pt>
                <c:pt idx="2">
                  <c:v>3.7064059680526312E-2</c:v>
                </c:pt>
                <c:pt idx="3">
                  <c:v>2.8349411907085637E-2</c:v>
                </c:pt>
                <c:pt idx="4">
                  <c:v>4.2329456784354187E-2</c:v>
                </c:pt>
                <c:pt idx="5">
                  <c:v>4.2217552121376359E-2</c:v>
                </c:pt>
              </c:numCache>
            </c:numRef>
          </c:val>
          <c:smooth val="0"/>
          <c:extLst>
            <c:ext xmlns:c16="http://schemas.microsoft.com/office/drawing/2014/chart" uri="{C3380CC4-5D6E-409C-BE32-E72D297353CC}">
              <c16:uniqueId val="{00000000-D860-4AFC-A1A2-C16E64E01DA7}"/>
            </c:ext>
          </c:extLst>
        </c:ser>
        <c:ser>
          <c:idx val="2"/>
          <c:order val="1"/>
          <c:tx>
            <c:strRef>
              <c:f>股权价值增加表!$A$34</c:f>
              <c:strCache>
                <c:ptCount val="1"/>
                <c:pt idx="0">
                  <c:v>    息前税后利润率=24/1*100%</c:v>
                </c:pt>
              </c:strCache>
            </c:strRef>
          </c:tx>
          <c:val>
            <c:numRef>
              <c:f>股权价值增加表!$B$34:$Y$34</c:f>
              <c:numCache>
                <c:formatCode>0.00%</c:formatCode>
                <c:ptCount val="6"/>
                <c:pt idx="0">
                  <c:v>3.3265509491783619E-2</c:v>
                </c:pt>
                <c:pt idx="1">
                  <c:v>4.3921411791181489E-2</c:v>
                </c:pt>
                <c:pt idx="2">
                  <c:v>2.9637499189711421E-2</c:v>
                </c:pt>
                <c:pt idx="3">
                  <c:v>2.0261895810127845E-2</c:v>
                </c:pt>
                <c:pt idx="4">
                  <c:v>3.2901331143168698E-2</c:v>
                </c:pt>
                <c:pt idx="5">
                  <c:v>3.2821284915137958E-2</c:v>
                </c:pt>
              </c:numCache>
            </c:numRef>
          </c:val>
          <c:smooth val="0"/>
          <c:extLst>
            <c:ext xmlns:c16="http://schemas.microsoft.com/office/drawing/2014/chart" uri="{C3380CC4-5D6E-409C-BE32-E72D297353CC}">
              <c16:uniqueId val="{00000001-D860-4AFC-A1A2-C16E64E01DA7}"/>
            </c:ext>
          </c:extLst>
        </c:ser>
        <c:ser>
          <c:idx val="7"/>
          <c:order val="2"/>
          <c:tx>
            <c:strRef>
              <c:f>股权价值增加表!$A$39</c:f>
              <c:strCache>
                <c:ptCount val="1"/>
                <c:pt idx="0">
                  <c:v>    （息后）税前利润率=28/1*100%</c:v>
                </c:pt>
              </c:strCache>
            </c:strRef>
          </c:tx>
          <c:val>
            <c:numRef>
              <c:f>股权价值增加表!$B$39:$Y$39</c:f>
              <c:numCache>
                <c:formatCode>0.00%</c:formatCode>
                <c:ptCount val="6"/>
                <c:pt idx="0">
                  <c:v>3.8133322147807402E-2</c:v>
                </c:pt>
                <c:pt idx="1">
                  <c:v>4.9943783012267269E-2</c:v>
                </c:pt>
                <c:pt idx="2">
                  <c:v>3.1122655448582212E-2</c:v>
                </c:pt>
                <c:pt idx="3">
                  <c:v>2.4316380470177083E-2</c:v>
                </c:pt>
                <c:pt idx="4">
                  <c:v>3.9606834123120729E-2</c:v>
                </c:pt>
                <c:pt idx="5">
                  <c:v>3.8243100883151561E-2</c:v>
                </c:pt>
              </c:numCache>
            </c:numRef>
          </c:val>
          <c:smooth val="0"/>
          <c:extLst>
            <c:ext xmlns:c16="http://schemas.microsoft.com/office/drawing/2014/chart" uri="{C3380CC4-5D6E-409C-BE32-E72D297353CC}">
              <c16:uniqueId val="{00000002-D860-4AFC-A1A2-C16E64E01DA7}"/>
            </c:ext>
          </c:extLst>
        </c:ser>
        <c:ser>
          <c:idx val="11"/>
          <c:order val="3"/>
          <c:tx>
            <c:strRef>
              <c:f>股权价值增加表!$A$43</c:f>
              <c:strCache>
                <c:ptCount val="1"/>
                <c:pt idx="0">
                  <c:v>    净利润率=30/1*100%</c:v>
                </c:pt>
              </c:strCache>
            </c:strRef>
          </c:tx>
          <c:val>
            <c:numRef>
              <c:f>股权价值增加表!$B$43:$Y$43</c:f>
              <c:numCache>
                <c:formatCode>0.00%</c:formatCode>
                <c:ptCount val="6"/>
                <c:pt idx="0">
                  <c:v>3.1236004852145567E-2</c:v>
                </c:pt>
                <c:pt idx="1">
                  <c:v>3.9219829396590522E-2</c:v>
                </c:pt>
                <c:pt idx="2">
                  <c:v>2.4875141352916439E-2</c:v>
                </c:pt>
                <c:pt idx="3">
                  <c:v>1.8098569170894797E-2</c:v>
                </c:pt>
                <c:pt idx="4">
                  <c:v>3.0717169083477443E-2</c:v>
                </c:pt>
                <c:pt idx="5">
                  <c:v>2.9737854198334916E-2</c:v>
                </c:pt>
              </c:numCache>
            </c:numRef>
          </c:val>
          <c:smooth val="0"/>
          <c:extLst>
            <c:ext xmlns:c16="http://schemas.microsoft.com/office/drawing/2014/chart" uri="{C3380CC4-5D6E-409C-BE32-E72D297353CC}">
              <c16:uniqueId val="{00000003-D860-4AFC-A1A2-C16E64E01DA7}"/>
            </c:ext>
          </c:extLst>
        </c:ser>
        <c:dLbls>
          <c:showLegendKey val="0"/>
          <c:showVal val="0"/>
          <c:showCatName val="0"/>
          <c:showSerName val="0"/>
          <c:showPercent val="0"/>
          <c:showBubbleSize val="0"/>
        </c:dLbls>
        <c:marker val="1"/>
        <c:smooth val="0"/>
        <c:axId val="226598400"/>
        <c:axId val="226887936"/>
      </c:lineChart>
      <c:catAx>
        <c:axId val="226598400"/>
        <c:scaling>
          <c:orientation val="minMax"/>
        </c:scaling>
        <c:delete val="0"/>
        <c:axPos val="b"/>
        <c:majorTickMark val="out"/>
        <c:minorTickMark val="none"/>
        <c:tickLblPos val="nextTo"/>
        <c:crossAx val="226887936"/>
        <c:crosses val="autoZero"/>
        <c:auto val="1"/>
        <c:lblAlgn val="ctr"/>
        <c:lblOffset val="100"/>
        <c:noMultiLvlLbl val="0"/>
      </c:catAx>
      <c:valAx>
        <c:axId val="226887936"/>
        <c:scaling>
          <c:orientation val="minMax"/>
        </c:scaling>
        <c:delete val="0"/>
        <c:axPos val="l"/>
        <c:majorGridlines/>
        <c:numFmt formatCode="0.00%" sourceLinked="1"/>
        <c:majorTickMark val="out"/>
        <c:minorTickMark val="none"/>
        <c:tickLblPos val="nextTo"/>
        <c:crossAx val="226598400"/>
        <c:crosses val="autoZero"/>
        <c:crossBetween val="between"/>
      </c:valAx>
    </c:plotArea>
    <c:legend>
      <c:legendPos val="r"/>
      <c:layout>
        <c:manualLayout>
          <c:xMode val="edge"/>
          <c:yMode val="edge"/>
          <c:x val="0.63659612719299752"/>
          <c:y val="0.11744197114340849"/>
          <c:w val="0.33313142875606738"/>
          <c:h val="0.76511570122130557"/>
        </c:manualLayout>
      </c:layout>
      <c:overlay val="0"/>
    </c:legend>
    <c:plotVisOnly val="1"/>
    <c:dispBlanksAs val="zero"/>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invertIfNegative val="0"/>
          <c:cat>
            <c:strRef>
              <c:f>股权价值增加表!$A$61</c:f>
              <c:strCache>
                <c:ptCount val="1"/>
                <c:pt idx="0">
                  <c:v>利润总额(万元)</c:v>
                </c:pt>
              </c:strCache>
            </c:strRef>
          </c:cat>
          <c:val>
            <c:numRef>
              <c:f>股权价值增加表!$B$61</c:f>
            </c:numRef>
          </c:val>
          <c:extLst>
            <c:ext xmlns:c16="http://schemas.microsoft.com/office/drawing/2014/chart" uri="{C3380CC4-5D6E-409C-BE32-E72D297353CC}">
              <c16:uniqueId val="{00000000-3FEB-45BD-88F0-19A8C9DFB6F2}"/>
            </c:ext>
          </c:extLst>
        </c:ser>
        <c:ser>
          <c:idx val="1"/>
          <c:order val="1"/>
          <c:invertIfNegative val="0"/>
          <c:cat>
            <c:strRef>
              <c:f>股权价值增加表!$A$61</c:f>
              <c:strCache>
                <c:ptCount val="1"/>
                <c:pt idx="0">
                  <c:v>利润总额(万元)</c:v>
                </c:pt>
              </c:strCache>
            </c:strRef>
          </c:cat>
          <c:val>
            <c:numRef>
              <c:f>股权价值增加表!$C$61</c:f>
            </c:numRef>
          </c:val>
          <c:extLst>
            <c:ext xmlns:c16="http://schemas.microsoft.com/office/drawing/2014/chart" uri="{C3380CC4-5D6E-409C-BE32-E72D297353CC}">
              <c16:uniqueId val="{00000001-3FEB-45BD-88F0-19A8C9DFB6F2}"/>
            </c:ext>
          </c:extLst>
        </c:ser>
        <c:ser>
          <c:idx val="2"/>
          <c:order val="2"/>
          <c:invertIfNegative val="0"/>
          <c:cat>
            <c:strRef>
              <c:f>股权价值增加表!$A$61</c:f>
              <c:strCache>
                <c:ptCount val="1"/>
                <c:pt idx="0">
                  <c:v>利润总额(万元)</c:v>
                </c:pt>
              </c:strCache>
            </c:strRef>
          </c:cat>
          <c:val>
            <c:numRef>
              <c:f>股权价值增加表!$D$61</c:f>
            </c:numRef>
          </c:val>
          <c:extLst>
            <c:ext xmlns:c16="http://schemas.microsoft.com/office/drawing/2014/chart" uri="{C3380CC4-5D6E-409C-BE32-E72D297353CC}">
              <c16:uniqueId val="{00000002-3FEB-45BD-88F0-19A8C9DFB6F2}"/>
            </c:ext>
          </c:extLst>
        </c:ser>
        <c:ser>
          <c:idx val="3"/>
          <c:order val="3"/>
          <c:invertIfNegative val="0"/>
          <c:cat>
            <c:strRef>
              <c:f>股权价值增加表!$A$61</c:f>
              <c:strCache>
                <c:ptCount val="1"/>
                <c:pt idx="0">
                  <c:v>利润总额(万元)</c:v>
                </c:pt>
              </c:strCache>
            </c:strRef>
          </c:cat>
          <c:val>
            <c:numRef>
              <c:f>股权价值增加表!$E$61</c:f>
              <c:numCache>
                <c:formatCode>General</c:formatCode>
                <c:ptCount val="1"/>
                <c:pt idx="0">
                  <c:v>86573000000</c:v>
                </c:pt>
              </c:numCache>
            </c:numRef>
          </c:val>
          <c:extLst>
            <c:ext xmlns:c16="http://schemas.microsoft.com/office/drawing/2014/chart" uri="{C3380CC4-5D6E-409C-BE32-E72D297353CC}">
              <c16:uniqueId val="{00000003-3FEB-45BD-88F0-19A8C9DFB6F2}"/>
            </c:ext>
          </c:extLst>
        </c:ser>
        <c:ser>
          <c:idx val="4"/>
          <c:order val="4"/>
          <c:invertIfNegative val="0"/>
          <c:cat>
            <c:strRef>
              <c:f>股权价值增加表!$A$61</c:f>
              <c:strCache>
                <c:ptCount val="1"/>
                <c:pt idx="0">
                  <c:v>利润总额(万元)</c:v>
                </c:pt>
              </c:strCache>
            </c:strRef>
          </c:cat>
          <c:val>
            <c:numRef>
              <c:f>股权价值增加表!$F$61</c:f>
            </c:numRef>
          </c:val>
          <c:extLst>
            <c:ext xmlns:c16="http://schemas.microsoft.com/office/drawing/2014/chart" uri="{C3380CC4-5D6E-409C-BE32-E72D297353CC}">
              <c16:uniqueId val="{00000004-3FEB-45BD-88F0-19A8C9DFB6F2}"/>
            </c:ext>
          </c:extLst>
        </c:ser>
        <c:ser>
          <c:idx val="5"/>
          <c:order val="5"/>
          <c:invertIfNegative val="0"/>
          <c:cat>
            <c:strRef>
              <c:f>股权价值增加表!$A$61</c:f>
              <c:strCache>
                <c:ptCount val="1"/>
                <c:pt idx="0">
                  <c:v>利润总额(万元)</c:v>
                </c:pt>
              </c:strCache>
            </c:strRef>
          </c:cat>
          <c:val>
            <c:numRef>
              <c:f>股权价值增加表!$G$61</c:f>
            </c:numRef>
          </c:val>
          <c:extLst>
            <c:ext xmlns:c16="http://schemas.microsoft.com/office/drawing/2014/chart" uri="{C3380CC4-5D6E-409C-BE32-E72D297353CC}">
              <c16:uniqueId val="{00000005-3FEB-45BD-88F0-19A8C9DFB6F2}"/>
            </c:ext>
          </c:extLst>
        </c:ser>
        <c:ser>
          <c:idx val="6"/>
          <c:order val="6"/>
          <c:invertIfNegative val="0"/>
          <c:cat>
            <c:strRef>
              <c:f>股权价值增加表!$A$61</c:f>
              <c:strCache>
                <c:ptCount val="1"/>
                <c:pt idx="0">
                  <c:v>利润总额(万元)</c:v>
                </c:pt>
              </c:strCache>
            </c:strRef>
          </c:cat>
          <c:val>
            <c:numRef>
              <c:f>股权价值增加表!$H$61</c:f>
            </c:numRef>
          </c:val>
          <c:extLst>
            <c:ext xmlns:c16="http://schemas.microsoft.com/office/drawing/2014/chart" uri="{C3380CC4-5D6E-409C-BE32-E72D297353CC}">
              <c16:uniqueId val="{00000006-3FEB-45BD-88F0-19A8C9DFB6F2}"/>
            </c:ext>
          </c:extLst>
        </c:ser>
        <c:ser>
          <c:idx val="7"/>
          <c:order val="7"/>
          <c:invertIfNegative val="0"/>
          <c:cat>
            <c:strRef>
              <c:f>股权价值增加表!$A$61</c:f>
              <c:strCache>
                <c:ptCount val="1"/>
                <c:pt idx="0">
                  <c:v>利润总额(万元)</c:v>
                </c:pt>
              </c:strCache>
            </c:strRef>
          </c:cat>
          <c:val>
            <c:numRef>
              <c:f>股权价值增加表!$I$61</c:f>
              <c:numCache>
                <c:formatCode>General</c:formatCode>
                <c:ptCount val="1"/>
                <c:pt idx="0">
                  <c:v>79877000000</c:v>
                </c:pt>
              </c:numCache>
            </c:numRef>
          </c:val>
          <c:extLst>
            <c:ext xmlns:c16="http://schemas.microsoft.com/office/drawing/2014/chart" uri="{C3380CC4-5D6E-409C-BE32-E72D297353CC}">
              <c16:uniqueId val="{00000007-3FEB-45BD-88F0-19A8C9DFB6F2}"/>
            </c:ext>
          </c:extLst>
        </c:ser>
        <c:ser>
          <c:idx val="8"/>
          <c:order val="8"/>
          <c:invertIfNegative val="0"/>
          <c:cat>
            <c:strRef>
              <c:f>股权价值增加表!$A$61</c:f>
              <c:strCache>
                <c:ptCount val="1"/>
                <c:pt idx="0">
                  <c:v>利润总额(万元)</c:v>
                </c:pt>
              </c:strCache>
            </c:strRef>
          </c:cat>
          <c:val>
            <c:numRef>
              <c:f>股权价值增加表!$J$61</c:f>
            </c:numRef>
          </c:val>
          <c:extLst>
            <c:ext xmlns:c16="http://schemas.microsoft.com/office/drawing/2014/chart" uri="{C3380CC4-5D6E-409C-BE32-E72D297353CC}">
              <c16:uniqueId val="{00000008-3FEB-45BD-88F0-19A8C9DFB6F2}"/>
            </c:ext>
          </c:extLst>
        </c:ser>
        <c:ser>
          <c:idx val="9"/>
          <c:order val="9"/>
          <c:invertIfNegative val="0"/>
          <c:cat>
            <c:strRef>
              <c:f>股权价值增加表!$A$61</c:f>
              <c:strCache>
                <c:ptCount val="1"/>
                <c:pt idx="0">
                  <c:v>利润总额(万元)</c:v>
                </c:pt>
              </c:strCache>
            </c:strRef>
          </c:cat>
          <c:val>
            <c:numRef>
              <c:f>股权价值增加表!$K$61</c:f>
            </c:numRef>
          </c:val>
          <c:extLst>
            <c:ext xmlns:c16="http://schemas.microsoft.com/office/drawing/2014/chart" uri="{C3380CC4-5D6E-409C-BE32-E72D297353CC}">
              <c16:uniqueId val="{00000009-3FEB-45BD-88F0-19A8C9DFB6F2}"/>
            </c:ext>
          </c:extLst>
        </c:ser>
        <c:ser>
          <c:idx val="10"/>
          <c:order val="10"/>
          <c:invertIfNegative val="0"/>
          <c:cat>
            <c:strRef>
              <c:f>股权价值增加表!$A$61</c:f>
              <c:strCache>
                <c:ptCount val="1"/>
                <c:pt idx="0">
                  <c:v>利润总额(万元)</c:v>
                </c:pt>
              </c:strCache>
            </c:strRef>
          </c:cat>
          <c:val>
            <c:numRef>
              <c:f>股权价值增加表!$L$61</c:f>
            </c:numRef>
          </c:val>
          <c:extLst>
            <c:ext xmlns:c16="http://schemas.microsoft.com/office/drawing/2014/chart" uri="{C3380CC4-5D6E-409C-BE32-E72D297353CC}">
              <c16:uniqueId val="{0000000A-3FEB-45BD-88F0-19A8C9DFB6F2}"/>
            </c:ext>
          </c:extLst>
        </c:ser>
        <c:ser>
          <c:idx val="11"/>
          <c:order val="11"/>
          <c:invertIfNegative val="0"/>
          <c:cat>
            <c:strRef>
              <c:f>股权价值增加表!$A$61</c:f>
              <c:strCache>
                <c:ptCount val="1"/>
                <c:pt idx="0">
                  <c:v>利润总额(万元)</c:v>
                </c:pt>
              </c:strCache>
            </c:strRef>
          </c:cat>
          <c:val>
            <c:numRef>
              <c:f>股权价值增加表!$M$61</c:f>
              <c:numCache>
                <c:formatCode>General</c:formatCode>
                <c:ptCount val="1"/>
                <c:pt idx="0">
                  <c:v>55959000000</c:v>
                </c:pt>
              </c:numCache>
            </c:numRef>
          </c:val>
          <c:extLst>
            <c:ext xmlns:c16="http://schemas.microsoft.com/office/drawing/2014/chart" uri="{C3380CC4-5D6E-409C-BE32-E72D297353CC}">
              <c16:uniqueId val="{0000000B-3FEB-45BD-88F0-19A8C9DFB6F2}"/>
            </c:ext>
          </c:extLst>
        </c:ser>
        <c:ser>
          <c:idx val="12"/>
          <c:order val="12"/>
          <c:invertIfNegative val="0"/>
          <c:cat>
            <c:strRef>
              <c:f>股权价值增加表!$A$61</c:f>
              <c:strCache>
                <c:ptCount val="1"/>
                <c:pt idx="0">
                  <c:v>利润总额(万元)</c:v>
                </c:pt>
              </c:strCache>
            </c:strRef>
          </c:cat>
          <c:val>
            <c:numRef>
              <c:f>股权价值增加表!$N$61</c:f>
            </c:numRef>
          </c:val>
          <c:extLst>
            <c:ext xmlns:c16="http://schemas.microsoft.com/office/drawing/2014/chart" uri="{C3380CC4-5D6E-409C-BE32-E72D297353CC}">
              <c16:uniqueId val="{0000000C-3FEB-45BD-88F0-19A8C9DFB6F2}"/>
            </c:ext>
          </c:extLst>
        </c:ser>
        <c:ser>
          <c:idx val="13"/>
          <c:order val="13"/>
          <c:invertIfNegative val="0"/>
          <c:cat>
            <c:strRef>
              <c:f>股权价值增加表!$A$61</c:f>
              <c:strCache>
                <c:ptCount val="1"/>
                <c:pt idx="0">
                  <c:v>利润总额(万元)</c:v>
                </c:pt>
              </c:strCache>
            </c:strRef>
          </c:cat>
          <c:val>
            <c:numRef>
              <c:f>股权价值增加表!$O$61</c:f>
            </c:numRef>
          </c:val>
          <c:extLst>
            <c:ext xmlns:c16="http://schemas.microsoft.com/office/drawing/2014/chart" uri="{C3380CC4-5D6E-409C-BE32-E72D297353CC}">
              <c16:uniqueId val="{0000000D-3FEB-45BD-88F0-19A8C9DFB6F2}"/>
            </c:ext>
          </c:extLst>
        </c:ser>
        <c:ser>
          <c:idx val="14"/>
          <c:order val="14"/>
          <c:invertIfNegative val="0"/>
          <c:cat>
            <c:strRef>
              <c:f>股权价值增加表!$A$61</c:f>
              <c:strCache>
                <c:ptCount val="1"/>
                <c:pt idx="0">
                  <c:v>利润总额(万元)</c:v>
                </c:pt>
              </c:strCache>
            </c:strRef>
          </c:cat>
          <c:val>
            <c:numRef>
              <c:f>股权价值增加表!$P$61</c:f>
            </c:numRef>
          </c:val>
          <c:extLst>
            <c:ext xmlns:c16="http://schemas.microsoft.com/office/drawing/2014/chart" uri="{C3380CC4-5D6E-409C-BE32-E72D297353CC}">
              <c16:uniqueId val="{0000000E-3FEB-45BD-88F0-19A8C9DFB6F2}"/>
            </c:ext>
          </c:extLst>
        </c:ser>
        <c:ser>
          <c:idx val="15"/>
          <c:order val="15"/>
          <c:invertIfNegative val="0"/>
          <c:cat>
            <c:strRef>
              <c:f>股权价值增加表!$A$61</c:f>
              <c:strCache>
                <c:ptCount val="1"/>
                <c:pt idx="0">
                  <c:v>利润总额(万元)</c:v>
                </c:pt>
              </c:strCache>
            </c:strRef>
          </c:cat>
          <c:val>
            <c:numRef>
              <c:f>股权价值增加表!$Q$61</c:f>
              <c:numCache>
                <c:formatCode>General</c:formatCode>
                <c:ptCount val="1"/>
                <c:pt idx="0">
                  <c:v>66481000000</c:v>
                </c:pt>
              </c:numCache>
            </c:numRef>
          </c:val>
          <c:extLst>
            <c:ext xmlns:c16="http://schemas.microsoft.com/office/drawing/2014/chart" uri="{C3380CC4-5D6E-409C-BE32-E72D297353CC}">
              <c16:uniqueId val="{0000000F-3FEB-45BD-88F0-19A8C9DFB6F2}"/>
            </c:ext>
          </c:extLst>
        </c:ser>
        <c:ser>
          <c:idx val="16"/>
          <c:order val="16"/>
          <c:invertIfNegative val="0"/>
          <c:cat>
            <c:strRef>
              <c:f>股权价值增加表!$A$61</c:f>
              <c:strCache>
                <c:ptCount val="1"/>
                <c:pt idx="0">
                  <c:v>利润总额(万元)</c:v>
                </c:pt>
              </c:strCache>
            </c:strRef>
          </c:cat>
          <c:val>
            <c:numRef>
              <c:f>股权价值增加表!$R$61</c:f>
            </c:numRef>
          </c:val>
          <c:extLst>
            <c:ext xmlns:c16="http://schemas.microsoft.com/office/drawing/2014/chart" uri="{C3380CC4-5D6E-409C-BE32-E72D297353CC}">
              <c16:uniqueId val="{00000010-3FEB-45BD-88F0-19A8C9DFB6F2}"/>
            </c:ext>
          </c:extLst>
        </c:ser>
        <c:ser>
          <c:idx val="17"/>
          <c:order val="17"/>
          <c:invertIfNegative val="0"/>
          <c:cat>
            <c:strRef>
              <c:f>股权价值增加表!$A$61</c:f>
              <c:strCache>
                <c:ptCount val="1"/>
                <c:pt idx="0">
                  <c:v>利润总额(万元)</c:v>
                </c:pt>
              </c:strCache>
            </c:strRef>
          </c:cat>
          <c:val>
            <c:numRef>
              <c:f>股权价值增加表!$S$61</c:f>
            </c:numRef>
          </c:val>
          <c:extLst>
            <c:ext xmlns:c16="http://schemas.microsoft.com/office/drawing/2014/chart" uri="{C3380CC4-5D6E-409C-BE32-E72D297353CC}">
              <c16:uniqueId val="{00000011-3FEB-45BD-88F0-19A8C9DFB6F2}"/>
            </c:ext>
          </c:extLst>
        </c:ser>
        <c:ser>
          <c:idx val="18"/>
          <c:order val="18"/>
          <c:invertIfNegative val="0"/>
          <c:cat>
            <c:strRef>
              <c:f>股权价值增加表!$A$61</c:f>
              <c:strCache>
                <c:ptCount val="1"/>
                <c:pt idx="0">
                  <c:v>利润总额(万元)</c:v>
                </c:pt>
              </c:strCache>
            </c:strRef>
          </c:cat>
          <c:val>
            <c:numRef>
              <c:f>股权价值增加表!$T$61</c:f>
            </c:numRef>
          </c:val>
          <c:extLst>
            <c:ext xmlns:c16="http://schemas.microsoft.com/office/drawing/2014/chart" uri="{C3380CC4-5D6E-409C-BE32-E72D297353CC}">
              <c16:uniqueId val="{00000012-3FEB-45BD-88F0-19A8C9DFB6F2}"/>
            </c:ext>
          </c:extLst>
        </c:ser>
        <c:ser>
          <c:idx val="19"/>
          <c:order val="19"/>
          <c:invertIfNegative val="0"/>
          <c:cat>
            <c:strRef>
              <c:f>股权价值增加表!$A$61</c:f>
              <c:strCache>
                <c:ptCount val="1"/>
                <c:pt idx="0">
                  <c:v>利润总额(万元)</c:v>
                </c:pt>
              </c:strCache>
            </c:strRef>
          </c:cat>
          <c:val>
            <c:numRef>
              <c:f>股权价值增加表!$U$61</c:f>
              <c:numCache>
                <c:formatCode>General</c:formatCode>
                <c:ptCount val="1"/>
                <c:pt idx="0">
                  <c:v>96982000000</c:v>
                </c:pt>
              </c:numCache>
            </c:numRef>
          </c:val>
          <c:extLst>
            <c:ext xmlns:c16="http://schemas.microsoft.com/office/drawing/2014/chart" uri="{C3380CC4-5D6E-409C-BE32-E72D297353CC}">
              <c16:uniqueId val="{00000013-3FEB-45BD-88F0-19A8C9DFB6F2}"/>
            </c:ext>
          </c:extLst>
        </c:ser>
        <c:ser>
          <c:idx val="20"/>
          <c:order val="20"/>
          <c:invertIfNegative val="0"/>
          <c:cat>
            <c:strRef>
              <c:f>股权价值增加表!$A$61</c:f>
              <c:strCache>
                <c:ptCount val="1"/>
                <c:pt idx="0">
                  <c:v>利润总额(万元)</c:v>
                </c:pt>
              </c:strCache>
            </c:strRef>
          </c:cat>
          <c:val>
            <c:numRef>
              <c:f>股权价值增加表!$V$61</c:f>
            </c:numRef>
          </c:val>
          <c:extLst>
            <c:ext xmlns:c16="http://schemas.microsoft.com/office/drawing/2014/chart" uri="{C3380CC4-5D6E-409C-BE32-E72D297353CC}">
              <c16:uniqueId val="{00000014-3FEB-45BD-88F0-19A8C9DFB6F2}"/>
            </c:ext>
          </c:extLst>
        </c:ser>
        <c:ser>
          <c:idx val="21"/>
          <c:order val="21"/>
          <c:invertIfNegative val="0"/>
          <c:cat>
            <c:strRef>
              <c:f>股权价值增加表!$A$61</c:f>
              <c:strCache>
                <c:ptCount val="1"/>
                <c:pt idx="0">
                  <c:v>利润总额(万元)</c:v>
                </c:pt>
              </c:strCache>
            </c:strRef>
          </c:cat>
          <c:val>
            <c:numRef>
              <c:f>股权价值增加表!$W$61</c:f>
            </c:numRef>
          </c:val>
          <c:extLst>
            <c:ext xmlns:c16="http://schemas.microsoft.com/office/drawing/2014/chart" uri="{C3380CC4-5D6E-409C-BE32-E72D297353CC}">
              <c16:uniqueId val="{00000015-3FEB-45BD-88F0-19A8C9DFB6F2}"/>
            </c:ext>
          </c:extLst>
        </c:ser>
        <c:ser>
          <c:idx val="22"/>
          <c:order val="22"/>
          <c:invertIfNegative val="0"/>
          <c:cat>
            <c:strRef>
              <c:f>股权价值增加表!$A$61</c:f>
              <c:strCache>
                <c:ptCount val="1"/>
                <c:pt idx="0">
                  <c:v>利润总额(万元)</c:v>
                </c:pt>
              </c:strCache>
            </c:strRef>
          </c:cat>
          <c:val>
            <c:numRef>
              <c:f>股权价值增加表!$X$61</c:f>
            </c:numRef>
          </c:val>
          <c:extLst>
            <c:ext xmlns:c16="http://schemas.microsoft.com/office/drawing/2014/chart" uri="{C3380CC4-5D6E-409C-BE32-E72D297353CC}">
              <c16:uniqueId val="{00000016-3FEB-45BD-88F0-19A8C9DFB6F2}"/>
            </c:ext>
          </c:extLst>
        </c:ser>
        <c:ser>
          <c:idx val="23"/>
          <c:order val="23"/>
          <c:invertIfNegative val="0"/>
          <c:cat>
            <c:strRef>
              <c:f>股权价值增加表!$A$61</c:f>
              <c:strCache>
                <c:ptCount val="1"/>
                <c:pt idx="0">
                  <c:v>利润总额(万元)</c:v>
                </c:pt>
              </c:strCache>
            </c:strRef>
          </c:cat>
          <c:val>
            <c:numRef>
              <c:f>股权价值增加表!$Y$61</c:f>
              <c:numCache>
                <c:formatCode>General</c:formatCode>
                <c:ptCount val="1"/>
                <c:pt idx="0">
                  <c:v>90107000000</c:v>
                </c:pt>
              </c:numCache>
            </c:numRef>
          </c:val>
          <c:extLst>
            <c:ext xmlns:c16="http://schemas.microsoft.com/office/drawing/2014/chart" uri="{C3380CC4-5D6E-409C-BE32-E72D297353CC}">
              <c16:uniqueId val="{00000017-3FEB-45BD-88F0-19A8C9DFB6F2}"/>
            </c:ext>
          </c:extLst>
        </c:ser>
        <c:dLbls>
          <c:showLegendKey val="0"/>
          <c:showVal val="0"/>
          <c:showCatName val="0"/>
          <c:showSerName val="0"/>
          <c:showPercent val="0"/>
          <c:showBubbleSize val="0"/>
        </c:dLbls>
        <c:gapWidth val="150"/>
        <c:axId val="227361280"/>
        <c:axId val="226890240"/>
      </c:barChart>
      <c:catAx>
        <c:axId val="227361280"/>
        <c:scaling>
          <c:orientation val="minMax"/>
        </c:scaling>
        <c:delete val="0"/>
        <c:axPos val="b"/>
        <c:numFmt formatCode="General" sourceLinked="1"/>
        <c:majorTickMark val="out"/>
        <c:minorTickMark val="none"/>
        <c:tickLblPos val="nextTo"/>
        <c:crossAx val="226890240"/>
        <c:crosses val="autoZero"/>
        <c:auto val="1"/>
        <c:lblAlgn val="ctr"/>
        <c:lblOffset val="100"/>
        <c:noMultiLvlLbl val="0"/>
      </c:catAx>
      <c:valAx>
        <c:axId val="226890240"/>
        <c:scaling>
          <c:orientation val="minMax"/>
        </c:scaling>
        <c:delete val="0"/>
        <c:axPos val="l"/>
        <c:majorGridlines/>
        <c:numFmt formatCode="General" sourceLinked="1"/>
        <c:majorTickMark val="out"/>
        <c:minorTickMark val="none"/>
        <c:tickLblPos val="nextTo"/>
        <c:crossAx val="22736128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strRef>
              <c:f>股权价值增加表!$A$47</c:f>
              <c:strCache>
                <c:ptCount val="1"/>
                <c:pt idx="0">
                  <c:v>(32) 股权价值增加=30-31</c:v>
                </c:pt>
              </c:strCache>
            </c:strRef>
          </c:tx>
          <c:invertIfNegative val="0"/>
          <c:val>
            <c:numRef>
              <c:f>股权价值增加表!$B$47:$Y$47</c:f>
              <c:numCache>
                <c:formatCode>#,##0.00_ </c:formatCode>
                <c:ptCount val="6"/>
                <c:pt idx="0">
                  <c:v>5397400000</c:v>
                </c:pt>
                <c:pt idx="1">
                  <c:v>9128000000</c:v>
                </c:pt>
                <c:pt idx="2">
                  <c:v>-12629840000</c:v>
                </c:pt>
                <c:pt idx="3">
                  <c:v>-622600000</c:v>
                </c:pt>
                <c:pt idx="4">
                  <c:v>38614200000</c:v>
                </c:pt>
                <c:pt idx="5">
                  <c:v>38802920000</c:v>
                </c:pt>
              </c:numCache>
            </c:numRef>
          </c:val>
          <c:extLst>
            <c:ext xmlns:c16="http://schemas.microsoft.com/office/drawing/2014/chart" uri="{C3380CC4-5D6E-409C-BE32-E72D297353CC}">
              <c16:uniqueId val="{00000000-3EC0-4A6F-9F59-16A48E2AB76F}"/>
            </c:ext>
          </c:extLst>
        </c:ser>
        <c:dLbls>
          <c:showLegendKey val="0"/>
          <c:showVal val="0"/>
          <c:showCatName val="0"/>
          <c:showSerName val="0"/>
          <c:showPercent val="0"/>
          <c:showBubbleSize val="0"/>
        </c:dLbls>
        <c:gapWidth val="150"/>
        <c:axId val="227362304"/>
        <c:axId val="227622912"/>
      </c:barChart>
      <c:catAx>
        <c:axId val="227362304"/>
        <c:scaling>
          <c:orientation val="minMax"/>
        </c:scaling>
        <c:delete val="0"/>
        <c:axPos val="b"/>
        <c:majorTickMark val="out"/>
        <c:minorTickMark val="none"/>
        <c:tickLblPos val="nextTo"/>
        <c:crossAx val="227622912"/>
        <c:crosses val="autoZero"/>
        <c:auto val="1"/>
        <c:lblAlgn val="ctr"/>
        <c:lblOffset val="100"/>
        <c:noMultiLvlLbl val="0"/>
      </c:catAx>
      <c:valAx>
        <c:axId val="227622912"/>
        <c:scaling>
          <c:orientation val="minMax"/>
        </c:scaling>
        <c:delete val="0"/>
        <c:axPos val="l"/>
        <c:majorGridlines/>
        <c:numFmt formatCode="#,##0.00_ " sourceLinked="1"/>
        <c:majorTickMark val="out"/>
        <c:minorTickMark val="none"/>
        <c:tickLblPos val="nextTo"/>
        <c:crossAx val="227362304"/>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invertIfNegative val="0"/>
          <c:cat>
            <c:strRef>
              <c:f>股权价值增加表!$A$70</c:f>
              <c:strCache>
                <c:ptCount val="1"/>
                <c:pt idx="0">
                  <c:v>所有者权益</c:v>
                </c:pt>
              </c:strCache>
            </c:strRef>
          </c:cat>
          <c:val>
            <c:numRef>
              <c:f>股权价值增加表!$B$70</c:f>
            </c:numRef>
          </c:val>
          <c:extLst>
            <c:ext xmlns:c16="http://schemas.microsoft.com/office/drawing/2014/chart" uri="{C3380CC4-5D6E-409C-BE32-E72D297353CC}">
              <c16:uniqueId val="{00000000-6556-46EF-9A2F-69B7C2C0F99D}"/>
            </c:ext>
          </c:extLst>
        </c:ser>
        <c:ser>
          <c:idx val="1"/>
          <c:order val="1"/>
          <c:invertIfNegative val="0"/>
          <c:cat>
            <c:strRef>
              <c:f>股权价值增加表!$A$70</c:f>
              <c:strCache>
                <c:ptCount val="1"/>
                <c:pt idx="0">
                  <c:v>所有者权益</c:v>
                </c:pt>
              </c:strCache>
            </c:strRef>
          </c:cat>
          <c:val>
            <c:numRef>
              <c:f>股权价值增加表!$C$70</c:f>
            </c:numRef>
          </c:val>
          <c:extLst>
            <c:ext xmlns:c16="http://schemas.microsoft.com/office/drawing/2014/chart" uri="{C3380CC4-5D6E-409C-BE32-E72D297353CC}">
              <c16:uniqueId val="{00000001-6556-46EF-9A2F-69B7C2C0F99D}"/>
            </c:ext>
          </c:extLst>
        </c:ser>
        <c:ser>
          <c:idx val="2"/>
          <c:order val="2"/>
          <c:invertIfNegative val="0"/>
          <c:cat>
            <c:strRef>
              <c:f>股权价值增加表!$A$70</c:f>
              <c:strCache>
                <c:ptCount val="1"/>
                <c:pt idx="0">
                  <c:v>所有者权益</c:v>
                </c:pt>
              </c:strCache>
            </c:strRef>
          </c:cat>
          <c:val>
            <c:numRef>
              <c:f>股权价值增加表!$D$70</c:f>
            </c:numRef>
          </c:val>
          <c:extLst>
            <c:ext xmlns:c16="http://schemas.microsoft.com/office/drawing/2014/chart" uri="{C3380CC4-5D6E-409C-BE32-E72D297353CC}">
              <c16:uniqueId val="{00000002-6556-46EF-9A2F-69B7C2C0F99D}"/>
            </c:ext>
          </c:extLst>
        </c:ser>
        <c:ser>
          <c:idx val="3"/>
          <c:order val="3"/>
          <c:invertIfNegative val="0"/>
          <c:cat>
            <c:strRef>
              <c:f>股权价值增加表!$A$70</c:f>
              <c:strCache>
                <c:ptCount val="1"/>
                <c:pt idx="0">
                  <c:v>所有者权益</c:v>
                </c:pt>
              </c:strCache>
            </c:strRef>
          </c:cat>
          <c:val>
            <c:numRef>
              <c:f>股权价值增加表!$E$70</c:f>
              <c:numCache>
                <c:formatCode>General</c:formatCode>
                <c:ptCount val="1"/>
                <c:pt idx="0">
                  <c:v>854070000000</c:v>
                </c:pt>
              </c:numCache>
            </c:numRef>
          </c:val>
          <c:extLst>
            <c:ext xmlns:c16="http://schemas.microsoft.com/office/drawing/2014/chart" uri="{C3380CC4-5D6E-409C-BE32-E72D297353CC}">
              <c16:uniqueId val="{00000003-6556-46EF-9A2F-69B7C2C0F99D}"/>
            </c:ext>
          </c:extLst>
        </c:ser>
        <c:ser>
          <c:idx val="4"/>
          <c:order val="4"/>
          <c:invertIfNegative val="0"/>
          <c:cat>
            <c:strRef>
              <c:f>股权价值增加表!$A$70</c:f>
              <c:strCache>
                <c:ptCount val="1"/>
                <c:pt idx="0">
                  <c:v>所有者权益</c:v>
                </c:pt>
              </c:strCache>
            </c:strRef>
          </c:cat>
          <c:val>
            <c:numRef>
              <c:f>股权价值增加表!$F$70</c:f>
            </c:numRef>
          </c:val>
          <c:extLst>
            <c:ext xmlns:c16="http://schemas.microsoft.com/office/drawing/2014/chart" uri="{C3380CC4-5D6E-409C-BE32-E72D297353CC}">
              <c16:uniqueId val="{00000004-6556-46EF-9A2F-69B7C2C0F99D}"/>
            </c:ext>
          </c:extLst>
        </c:ser>
        <c:ser>
          <c:idx val="5"/>
          <c:order val="5"/>
          <c:invertIfNegative val="0"/>
          <c:cat>
            <c:strRef>
              <c:f>股权价值增加表!$A$70</c:f>
              <c:strCache>
                <c:ptCount val="1"/>
                <c:pt idx="0">
                  <c:v>所有者权益</c:v>
                </c:pt>
              </c:strCache>
            </c:strRef>
          </c:cat>
          <c:val>
            <c:numRef>
              <c:f>股权价值增加表!$G$70</c:f>
            </c:numRef>
          </c:val>
          <c:extLst>
            <c:ext xmlns:c16="http://schemas.microsoft.com/office/drawing/2014/chart" uri="{C3380CC4-5D6E-409C-BE32-E72D297353CC}">
              <c16:uniqueId val="{00000005-6556-46EF-9A2F-69B7C2C0F99D}"/>
            </c:ext>
          </c:extLst>
        </c:ser>
        <c:ser>
          <c:idx val="6"/>
          <c:order val="6"/>
          <c:invertIfNegative val="0"/>
          <c:cat>
            <c:strRef>
              <c:f>股权价值增加表!$A$70</c:f>
              <c:strCache>
                <c:ptCount val="1"/>
                <c:pt idx="0">
                  <c:v>所有者权益</c:v>
                </c:pt>
              </c:strCache>
            </c:strRef>
          </c:cat>
          <c:val>
            <c:numRef>
              <c:f>股权价值增加表!$H$70</c:f>
            </c:numRef>
          </c:val>
          <c:extLst>
            <c:ext xmlns:c16="http://schemas.microsoft.com/office/drawing/2014/chart" uri="{C3380CC4-5D6E-409C-BE32-E72D297353CC}">
              <c16:uniqueId val="{00000006-6556-46EF-9A2F-69B7C2C0F99D}"/>
            </c:ext>
          </c:extLst>
        </c:ser>
        <c:ser>
          <c:idx val="7"/>
          <c:order val="7"/>
          <c:invertIfNegative val="0"/>
          <c:cat>
            <c:strRef>
              <c:f>股权价值增加表!$A$70</c:f>
              <c:strCache>
                <c:ptCount val="1"/>
                <c:pt idx="0">
                  <c:v>所有者权益</c:v>
                </c:pt>
              </c:strCache>
            </c:strRef>
          </c:cat>
          <c:val>
            <c:numRef>
              <c:f>股权价值增加表!$I$70</c:f>
              <c:numCache>
                <c:formatCode>General</c:formatCode>
                <c:ptCount val="1"/>
                <c:pt idx="0">
                  <c:v>832525000000</c:v>
                </c:pt>
              </c:numCache>
            </c:numRef>
          </c:val>
          <c:extLst>
            <c:ext xmlns:c16="http://schemas.microsoft.com/office/drawing/2014/chart" uri="{C3380CC4-5D6E-409C-BE32-E72D297353CC}">
              <c16:uniqueId val="{00000007-6556-46EF-9A2F-69B7C2C0F99D}"/>
            </c:ext>
          </c:extLst>
        </c:ser>
        <c:ser>
          <c:idx val="8"/>
          <c:order val="8"/>
          <c:invertIfNegative val="0"/>
          <c:cat>
            <c:strRef>
              <c:f>股权价值增加表!$A$70</c:f>
              <c:strCache>
                <c:ptCount val="1"/>
                <c:pt idx="0">
                  <c:v>所有者权益</c:v>
                </c:pt>
              </c:strCache>
            </c:strRef>
          </c:cat>
          <c:val>
            <c:numRef>
              <c:f>股权价值增加表!$J$70</c:f>
            </c:numRef>
          </c:val>
          <c:extLst>
            <c:ext xmlns:c16="http://schemas.microsoft.com/office/drawing/2014/chart" uri="{C3380CC4-5D6E-409C-BE32-E72D297353CC}">
              <c16:uniqueId val="{00000008-6556-46EF-9A2F-69B7C2C0F99D}"/>
            </c:ext>
          </c:extLst>
        </c:ser>
        <c:ser>
          <c:idx val="9"/>
          <c:order val="9"/>
          <c:invertIfNegative val="0"/>
          <c:cat>
            <c:strRef>
              <c:f>股权价值增加表!$A$70</c:f>
              <c:strCache>
                <c:ptCount val="1"/>
                <c:pt idx="0">
                  <c:v>所有者权益</c:v>
                </c:pt>
              </c:strCache>
            </c:strRef>
          </c:cat>
          <c:val>
            <c:numRef>
              <c:f>股权价值增加表!$K$70</c:f>
            </c:numRef>
          </c:val>
          <c:extLst>
            <c:ext xmlns:c16="http://schemas.microsoft.com/office/drawing/2014/chart" uri="{C3380CC4-5D6E-409C-BE32-E72D297353CC}">
              <c16:uniqueId val="{00000009-6556-46EF-9A2F-69B7C2C0F99D}"/>
            </c:ext>
          </c:extLst>
        </c:ser>
        <c:ser>
          <c:idx val="10"/>
          <c:order val="10"/>
          <c:invertIfNegative val="0"/>
          <c:cat>
            <c:strRef>
              <c:f>股权价值增加表!$A$70</c:f>
              <c:strCache>
                <c:ptCount val="1"/>
                <c:pt idx="0">
                  <c:v>所有者权益</c:v>
                </c:pt>
              </c:strCache>
            </c:strRef>
          </c:cat>
          <c:val>
            <c:numRef>
              <c:f>股权价值增加表!$L$70</c:f>
            </c:numRef>
          </c:val>
          <c:extLst>
            <c:ext xmlns:c16="http://schemas.microsoft.com/office/drawing/2014/chart" uri="{C3380CC4-5D6E-409C-BE32-E72D297353CC}">
              <c16:uniqueId val="{0000000A-6556-46EF-9A2F-69B7C2C0F99D}"/>
            </c:ext>
          </c:extLst>
        </c:ser>
        <c:ser>
          <c:idx val="11"/>
          <c:order val="11"/>
          <c:invertIfNegative val="0"/>
          <c:cat>
            <c:strRef>
              <c:f>股权价值增加表!$A$70</c:f>
              <c:strCache>
                <c:ptCount val="1"/>
                <c:pt idx="0">
                  <c:v>所有者权益</c:v>
                </c:pt>
              </c:strCache>
            </c:strRef>
          </c:cat>
          <c:val>
            <c:numRef>
              <c:f>股权价值增加表!$M$70</c:f>
              <c:numCache>
                <c:formatCode>General</c:formatCode>
                <c:ptCount val="1"/>
                <c:pt idx="0">
                  <c:v>785623000000</c:v>
                </c:pt>
              </c:numCache>
            </c:numRef>
          </c:val>
          <c:extLst>
            <c:ext xmlns:c16="http://schemas.microsoft.com/office/drawing/2014/chart" uri="{C3380CC4-5D6E-409C-BE32-E72D297353CC}">
              <c16:uniqueId val="{0000000B-6556-46EF-9A2F-69B7C2C0F99D}"/>
            </c:ext>
          </c:extLst>
        </c:ser>
        <c:ser>
          <c:idx val="12"/>
          <c:order val="12"/>
          <c:invertIfNegative val="0"/>
          <c:cat>
            <c:strRef>
              <c:f>股权价值增加表!$A$70</c:f>
              <c:strCache>
                <c:ptCount val="1"/>
                <c:pt idx="0">
                  <c:v>所有者权益</c:v>
                </c:pt>
              </c:strCache>
            </c:strRef>
          </c:cat>
          <c:val>
            <c:numRef>
              <c:f>股权价值增加表!$N$70</c:f>
            </c:numRef>
          </c:val>
          <c:extLst>
            <c:ext xmlns:c16="http://schemas.microsoft.com/office/drawing/2014/chart" uri="{C3380CC4-5D6E-409C-BE32-E72D297353CC}">
              <c16:uniqueId val="{0000000C-6556-46EF-9A2F-69B7C2C0F99D}"/>
            </c:ext>
          </c:extLst>
        </c:ser>
        <c:ser>
          <c:idx val="13"/>
          <c:order val="13"/>
          <c:invertIfNegative val="0"/>
          <c:cat>
            <c:strRef>
              <c:f>股权价值增加表!$A$70</c:f>
              <c:strCache>
                <c:ptCount val="1"/>
                <c:pt idx="0">
                  <c:v>所有者权益</c:v>
                </c:pt>
              </c:strCache>
            </c:strRef>
          </c:cat>
          <c:val>
            <c:numRef>
              <c:f>股权价值增加表!$O$70</c:f>
            </c:numRef>
          </c:val>
          <c:extLst>
            <c:ext xmlns:c16="http://schemas.microsoft.com/office/drawing/2014/chart" uri="{C3380CC4-5D6E-409C-BE32-E72D297353CC}">
              <c16:uniqueId val="{0000000D-6556-46EF-9A2F-69B7C2C0F99D}"/>
            </c:ext>
          </c:extLst>
        </c:ser>
        <c:ser>
          <c:idx val="14"/>
          <c:order val="14"/>
          <c:invertIfNegative val="0"/>
          <c:cat>
            <c:strRef>
              <c:f>股权价值增加表!$A$70</c:f>
              <c:strCache>
                <c:ptCount val="1"/>
                <c:pt idx="0">
                  <c:v>所有者权益</c:v>
                </c:pt>
              </c:strCache>
            </c:strRef>
          </c:cat>
          <c:val>
            <c:numRef>
              <c:f>股权价值增加表!$P$70</c:f>
            </c:numRef>
          </c:val>
          <c:extLst>
            <c:ext xmlns:c16="http://schemas.microsoft.com/office/drawing/2014/chart" uri="{C3380CC4-5D6E-409C-BE32-E72D297353CC}">
              <c16:uniqueId val="{0000000E-6556-46EF-9A2F-69B7C2C0F99D}"/>
            </c:ext>
          </c:extLst>
        </c:ser>
        <c:ser>
          <c:idx val="15"/>
          <c:order val="15"/>
          <c:invertIfNegative val="0"/>
          <c:cat>
            <c:strRef>
              <c:f>股权价值增加表!$A$70</c:f>
              <c:strCache>
                <c:ptCount val="1"/>
                <c:pt idx="0">
                  <c:v>所有者权益</c:v>
                </c:pt>
              </c:strCache>
            </c:strRef>
          </c:cat>
          <c:val>
            <c:numRef>
              <c:f>股权价值增加表!$Q$70</c:f>
              <c:numCache>
                <c:formatCode>General</c:formatCode>
                <c:ptCount val="1"/>
                <c:pt idx="0">
                  <c:v>647095000000</c:v>
                </c:pt>
              </c:numCache>
            </c:numRef>
          </c:val>
          <c:extLst>
            <c:ext xmlns:c16="http://schemas.microsoft.com/office/drawing/2014/chart" uri="{C3380CC4-5D6E-409C-BE32-E72D297353CC}">
              <c16:uniqueId val="{0000000F-6556-46EF-9A2F-69B7C2C0F99D}"/>
            </c:ext>
          </c:extLst>
        </c:ser>
        <c:ser>
          <c:idx val="16"/>
          <c:order val="16"/>
          <c:invertIfNegative val="0"/>
          <c:cat>
            <c:strRef>
              <c:f>股权价值增加表!$A$70</c:f>
              <c:strCache>
                <c:ptCount val="1"/>
                <c:pt idx="0">
                  <c:v>所有者权益</c:v>
                </c:pt>
              </c:strCache>
            </c:strRef>
          </c:cat>
          <c:val>
            <c:numRef>
              <c:f>股权价值增加表!$R$70</c:f>
            </c:numRef>
          </c:val>
          <c:extLst>
            <c:ext xmlns:c16="http://schemas.microsoft.com/office/drawing/2014/chart" uri="{C3380CC4-5D6E-409C-BE32-E72D297353CC}">
              <c16:uniqueId val="{00000010-6556-46EF-9A2F-69B7C2C0F99D}"/>
            </c:ext>
          </c:extLst>
        </c:ser>
        <c:ser>
          <c:idx val="17"/>
          <c:order val="17"/>
          <c:invertIfNegative val="0"/>
          <c:cat>
            <c:strRef>
              <c:f>股权价值增加表!$A$70</c:f>
              <c:strCache>
                <c:ptCount val="1"/>
                <c:pt idx="0">
                  <c:v>所有者权益</c:v>
                </c:pt>
              </c:strCache>
            </c:strRef>
          </c:cat>
          <c:val>
            <c:numRef>
              <c:f>股权价值增加表!$S$70</c:f>
            </c:numRef>
          </c:val>
          <c:extLst>
            <c:ext xmlns:c16="http://schemas.microsoft.com/office/drawing/2014/chart" uri="{C3380CC4-5D6E-409C-BE32-E72D297353CC}">
              <c16:uniqueId val="{00000011-6556-46EF-9A2F-69B7C2C0F99D}"/>
            </c:ext>
          </c:extLst>
        </c:ser>
        <c:ser>
          <c:idx val="18"/>
          <c:order val="18"/>
          <c:invertIfNegative val="0"/>
          <c:cat>
            <c:strRef>
              <c:f>股权价值增加表!$A$70</c:f>
              <c:strCache>
                <c:ptCount val="1"/>
                <c:pt idx="0">
                  <c:v>所有者权益</c:v>
                </c:pt>
              </c:strCache>
            </c:strRef>
          </c:cat>
          <c:val>
            <c:numRef>
              <c:f>股权价值增加表!$T$70</c:f>
            </c:numRef>
          </c:val>
          <c:extLst>
            <c:ext xmlns:c16="http://schemas.microsoft.com/office/drawing/2014/chart" uri="{C3380CC4-5D6E-409C-BE32-E72D297353CC}">
              <c16:uniqueId val="{00000012-6556-46EF-9A2F-69B7C2C0F99D}"/>
            </c:ext>
          </c:extLst>
        </c:ser>
        <c:ser>
          <c:idx val="19"/>
          <c:order val="19"/>
          <c:invertIfNegative val="0"/>
          <c:cat>
            <c:strRef>
              <c:f>股权价值增加表!$A$70</c:f>
              <c:strCache>
                <c:ptCount val="1"/>
                <c:pt idx="0">
                  <c:v>所有者权益</c:v>
                </c:pt>
              </c:strCache>
            </c:strRef>
          </c:cat>
          <c:val>
            <c:numRef>
              <c:f>股权价值增加表!$U$70</c:f>
              <c:numCache>
                <c:formatCode>General</c:formatCode>
                <c:ptCount val="1"/>
                <c:pt idx="0">
                  <c:v>623260000000</c:v>
                </c:pt>
              </c:numCache>
            </c:numRef>
          </c:val>
          <c:extLst>
            <c:ext xmlns:c16="http://schemas.microsoft.com/office/drawing/2014/chart" uri="{C3380CC4-5D6E-409C-BE32-E72D297353CC}">
              <c16:uniqueId val="{00000013-6556-46EF-9A2F-69B7C2C0F99D}"/>
            </c:ext>
          </c:extLst>
        </c:ser>
        <c:ser>
          <c:idx val="20"/>
          <c:order val="20"/>
          <c:invertIfNegative val="0"/>
          <c:cat>
            <c:strRef>
              <c:f>股权价值增加表!$A$70</c:f>
              <c:strCache>
                <c:ptCount val="1"/>
                <c:pt idx="0">
                  <c:v>所有者权益</c:v>
                </c:pt>
              </c:strCache>
            </c:strRef>
          </c:cat>
          <c:val>
            <c:numRef>
              <c:f>股权价值增加表!$V$70</c:f>
            </c:numRef>
          </c:val>
          <c:extLst>
            <c:ext xmlns:c16="http://schemas.microsoft.com/office/drawing/2014/chart" uri="{C3380CC4-5D6E-409C-BE32-E72D297353CC}">
              <c16:uniqueId val="{00000014-6556-46EF-9A2F-69B7C2C0F99D}"/>
            </c:ext>
          </c:extLst>
        </c:ser>
        <c:ser>
          <c:idx val="21"/>
          <c:order val="21"/>
          <c:invertIfNegative val="0"/>
          <c:cat>
            <c:strRef>
              <c:f>股权价值增加表!$A$70</c:f>
              <c:strCache>
                <c:ptCount val="1"/>
                <c:pt idx="0">
                  <c:v>所有者权益</c:v>
                </c:pt>
              </c:strCache>
            </c:strRef>
          </c:cat>
          <c:val>
            <c:numRef>
              <c:f>股权价值增加表!$W$70</c:f>
            </c:numRef>
          </c:val>
          <c:extLst>
            <c:ext xmlns:c16="http://schemas.microsoft.com/office/drawing/2014/chart" uri="{C3380CC4-5D6E-409C-BE32-E72D297353CC}">
              <c16:uniqueId val="{00000015-6556-46EF-9A2F-69B7C2C0F99D}"/>
            </c:ext>
          </c:extLst>
        </c:ser>
        <c:ser>
          <c:idx val="22"/>
          <c:order val="22"/>
          <c:invertIfNegative val="0"/>
          <c:cat>
            <c:strRef>
              <c:f>股权价值增加表!$A$70</c:f>
              <c:strCache>
                <c:ptCount val="1"/>
                <c:pt idx="0">
                  <c:v>所有者权益</c:v>
                </c:pt>
              </c:strCache>
            </c:strRef>
          </c:cat>
          <c:val>
            <c:numRef>
              <c:f>股权价值增加表!$X$70</c:f>
            </c:numRef>
          </c:val>
          <c:extLst>
            <c:ext xmlns:c16="http://schemas.microsoft.com/office/drawing/2014/chart" uri="{C3380CC4-5D6E-409C-BE32-E72D297353CC}">
              <c16:uniqueId val="{00000016-6556-46EF-9A2F-69B7C2C0F99D}"/>
            </c:ext>
          </c:extLst>
        </c:ser>
        <c:ser>
          <c:idx val="23"/>
          <c:order val="23"/>
          <c:invertIfNegative val="0"/>
          <c:cat>
            <c:strRef>
              <c:f>股权价值增加表!$A$70</c:f>
              <c:strCache>
                <c:ptCount val="1"/>
                <c:pt idx="0">
                  <c:v>所有者权益</c:v>
                </c:pt>
              </c:strCache>
            </c:strRef>
          </c:cat>
          <c:val>
            <c:numRef>
              <c:f>股权价值增加表!$Y$70</c:f>
              <c:numCache>
                <c:formatCode>General</c:formatCode>
                <c:ptCount val="1"/>
                <c:pt idx="0">
                  <c:v>550601000000</c:v>
                </c:pt>
              </c:numCache>
            </c:numRef>
          </c:val>
          <c:extLst>
            <c:ext xmlns:c16="http://schemas.microsoft.com/office/drawing/2014/chart" uri="{C3380CC4-5D6E-409C-BE32-E72D297353CC}">
              <c16:uniqueId val="{00000017-6556-46EF-9A2F-69B7C2C0F99D}"/>
            </c:ext>
          </c:extLst>
        </c:ser>
        <c:dLbls>
          <c:showLegendKey val="0"/>
          <c:showVal val="0"/>
          <c:showCatName val="0"/>
          <c:showSerName val="0"/>
          <c:showPercent val="0"/>
          <c:showBubbleSize val="0"/>
        </c:dLbls>
        <c:gapWidth val="150"/>
        <c:axId val="227362816"/>
        <c:axId val="227624640"/>
      </c:barChart>
      <c:catAx>
        <c:axId val="227362816"/>
        <c:scaling>
          <c:orientation val="minMax"/>
        </c:scaling>
        <c:delete val="0"/>
        <c:axPos val="b"/>
        <c:numFmt formatCode="General" sourceLinked="0"/>
        <c:majorTickMark val="out"/>
        <c:minorTickMark val="none"/>
        <c:tickLblPos val="nextTo"/>
        <c:crossAx val="227624640"/>
        <c:crosses val="autoZero"/>
        <c:auto val="1"/>
        <c:lblAlgn val="ctr"/>
        <c:lblOffset val="100"/>
        <c:noMultiLvlLbl val="0"/>
      </c:catAx>
      <c:valAx>
        <c:axId val="227624640"/>
        <c:scaling>
          <c:orientation val="minMax"/>
        </c:scaling>
        <c:delete val="0"/>
        <c:axPos val="l"/>
        <c:majorGridlines/>
        <c:numFmt formatCode="General" sourceLinked="1"/>
        <c:majorTickMark val="out"/>
        <c:minorTickMark val="none"/>
        <c:tickLblPos val="nextTo"/>
        <c:crossAx val="22736281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6045815177748258E-2"/>
          <c:y val="0.39811610930890473"/>
          <c:w val="0.48123402361990814"/>
          <c:h val="0.43463425236576925"/>
        </c:manualLayout>
      </c:layout>
      <c:barChart>
        <c:barDir val="col"/>
        <c:grouping val="clustered"/>
        <c:varyColors val="0"/>
        <c:ser>
          <c:idx val="1"/>
          <c:order val="1"/>
          <c:tx>
            <c:strRef>
              <c:f>投资和筹资活动现金流表!$A$12:$U$12</c:f>
              <c:strCache>
                <c:ptCount val="21"/>
                <c:pt idx="0">
                  <c:v>(10)期初长期资产净值</c:v>
                </c:pt>
                <c:pt idx="4">
                  <c:v>1,068,587,000,000.00 </c:v>
                </c:pt>
                <c:pt idx="5">
                  <c:v>1,056,732,000,000.00 </c:v>
                </c:pt>
                <c:pt idx="6">
                  <c:v>1,067,496,000,000.00 </c:v>
                </c:pt>
                <c:pt idx="7">
                  <c:v>1,073,558,000,000.00 </c:v>
                </c:pt>
                <c:pt idx="8">
                  <c:v>1,094,127,000,000.00 </c:v>
                </c:pt>
                <c:pt idx="9">
                  <c:v>1,059,646,000,000.00 </c:v>
                </c:pt>
                <c:pt idx="10">
                  <c:v>1,067,444,000,000.00 </c:v>
                </c:pt>
                <c:pt idx="11">
                  <c:v>1,071,351,000,000.00 </c:v>
                </c:pt>
                <c:pt idx="12">
                  <c:v>1,084,075,000,000.00 </c:v>
                </c:pt>
                <c:pt idx="13">
                  <c:v>1,023,614,000,000.00 </c:v>
                </c:pt>
                <c:pt idx="14">
                  <c:v>1,002,560,000,000.00 </c:v>
                </c:pt>
                <c:pt idx="15">
                  <c:v>996,205,000,000.00 </c:v>
                </c:pt>
                <c:pt idx="16">
                  <c:v>1,003,651,000,000.00 </c:v>
                </c:pt>
                <c:pt idx="17">
                  <c:v>936,549,000,000.00 </c:v>
                </c:pt>
                <c:pt idx="18">
                  <c:v>902,846,000,000.00 </c:v>
                </c:pt>
                <c:pt idx="19">
                  <c:v>898,315,000,000.00 </c:v>
                </c:pt>
                <c:pt idx="20">
                  <c:v>887,514,000,000.00 </c:v>
                </c:pt>
              </c:strCache>
            </c:strRef>
          </c:tx>
          <c:invertIfNegative val="0"/>
          <c:cat>
            <c:numRef>
              <c:f>投资和筹资活动现金流表!$E$12</c:f>
              <c:numCache>
                <c:formatCode>#,##0.00_ </c:formatCode>
                <c:ptCount val="1"/>
                <c:pt idx="0">
                  <c:v>1068587000000</c:v>
                </c:pt>
              </c:numCache>
            </c:numRef>
          </c:cat>
          <c:val>
            <c:numRef>
              <c:f>投资和筹资活动现金流表!$E$12:$U$12</c:f>
              <c:numCache>
                <c:formatCode>#,##0.00_ </c:formatCode>
                <c:ptCount val="5"/>
                <c:pt idx="0">
                  <c:v>1068587000000</c:v>
                </c:pt>
                <c:pt idx="1">
                  <c:v>1094127000000</c:v>
                </c:pt>
                <c:pt idx="2">
                  <c:v>1084075000000</c:v>
                </c:pt>
                <c:pt idx="3">
                  <c:v>1003651000000</c:v>
                </c:pt>
                <c:pt idx="4">
                  <c:v>887514000000</c:v>
                </c:pt>
              </c:numCache>
            </c:numRef>
          </c:val>
          <c:extLst>
            <c:ext xmlns:c16="http://schemas.microsoft.com/office/drawing/2014/chart" uri="{C3380CC4-5D6E-409C-BE32-E72D297353CC}">
              <c16:uniqueId val="{00000000-E857-40F3-BD63-D5137416C05D}"/>
            </c:ext>
          </c:extLst>
        </c:ser>
        <c:dLbls>
          <c:showLegendKey val="0"/>
          <c:showVal val="0"/>
          <c:showCatName val="0"/>
          <c:showSerName val="0"/>
          <c:showPercent val="0"/>
          <c:showBubbleSize val="0"/>
        </c:dLbls>
        <c:gapWidth val="150"/>
        <c:axId val="611100752"/>
        <c:axId val="611105552"/>
      </c:barChart>
      <c:lineChart>
        <c:grouping val="stacked"/>
        <c:varyColors val="0"/>
        <c:ser>
          <c:idx val="0"/>
          <c:order val="0"/>
          <c:tx>
            <c:strRef>
              <c:f>投资和筹资活动现金流表!$A$13</c:f>
              <c:strCache>
                <c:ptCount val="1"/>
                <c:pt idx="0">
                  <c:v>(11)长期资产扩张性资本支出比例%=9/10*100%</c:v>
                </c:pt>
              </c:strCache>
            </c:strRef>
          </c:tx>
          <c:marker>
            <c:symbol val="none"/>
          </c:marker>
          <c:val>
            <c:numRef>
              <c:f>投资和筹资活动现金流表!$B$13:$U$13</c:f>
              <c:numCache>
                <c:formatCode>0.00%</c:formatCode>
                <c:ptCount val="5"/>
                <c:pt idx="0">
                  <c:v>-4.4163928627243269E-2</c:v>
                </c:pt>
                <c:pt idx="1">
                  <c:v>-3.4315943213173605E-2</c:v>
                </c:pt>
                <c:pt idx="2">
                  <c:v>4.71738578972857E-3</c:v>
                </c:pt>
                <c:pt idx="3">
                  <c:v>3.1526895305240568E-2</c:v>
                </c:pt>
                <c:pt idx="4">
                  <c:v>8.0342394598845762E-2</c:v>
                </c:pt>
              </c:numCache>
            </c:numRef>
          </c:val>
          <c:smooth val="0"/>
          <c:extLst>
            <c:ext xmlns:c16="http://schemas.microsoft.com/office/drawing/2014/chart" uri="{C3380CC4-5D6E-409C-BE32-E72D297353CC}">
              <c16:uniqueId val="{00000000-D40F-4C19-8FB0-6E03B1ECE96B}"/>
            </c:ext>
          </c:extLst>
        </c:ser>
        <c:dLbls>
          <c:showLegendKey val="0"/>
          <c:showVal val="0"/>
          <c:showCatName val="0"/>
          <c:showSerName val="0"/>
          <c:showPercent val="0"/>
          <c:showBubbleSize val="0"/>
        </c:dLbls>
        <c:marker val="1"/>
        <c:smooth val="0"/>
        <c:axId val="611121232"/>
        <c:axId val="611116112"/>
      </c:lineChart>
      <c:valAx>
        <c:axId val="611105552"/>
        <c:scaling>
          <c:orientation val="minMax"/>
        </c:scaling>
        <c:delete val="0"/>
        <c:axPos val="r"/>
        <c:numFmt formatCode="#,##0.00_ " sourceLinked="1"/>
        <c:majorTickMark val="out"/>
        <c:minorTickMark val="none"/>
        <c:tickLblPos val="nextTo"/>
        <c:crossAx val="611100752"/>
        <c:crosses val="max"/>
        <c:crossBetween val="between"/>
      </c:valAx>
      <c:catAx>
        <c:axId val="611100752"/>
        <c:scaling>
          <c:orientation val="minMax"/>
        </c:scaling>
        <c:delete val="1"/>
        <c:axPos val="b"/>
        <c:numFmt formatCode="#,##0.00_ " sourceLinked="1"/>
        <c:majorTickMark val="out"/>
        <c:minorTickMark val="none"/>
        <c:tickLblPos val="nextTo"/>
        <c:crossAx val="611105552"/>
        <c:crosses val="autoZero"/>
        <c:auto val="1"/>
        <c:lblAlgn val="ctr"/>
        <c:lblOffset val="100"/>
        <c:noMultiLvlLbl val="0"/>
      </c:catAx>
      <c:valAx>
        <c:axId val="611116112"/>
        <c:scaling>
          <c:orientation val="minMax"/>
        </c:scaling>
        <c:delete val="0"/>
        <c:axPos val="l"/>
        <c:numFmt formatCode="0.00%" sourceLinked="1"/>
        <c:majorTickMark val="out"/>
        <c:minorTickMark val="none"/>
        <c:tickLblPos val="nextTo"/>
        <c:crossAx val="611121232"/>
        <c:crosses val="autoZero"/>
        <c:crossBetween val="between"/>
      </c:valAx>
      <c:catAx>
        <c:axId val="611121232"/>
        <c:scaling>
          <c:orientation val="minMax"/>
        </c:scaling>
        <c:delete val="1"/>
        <c:axPos val="b"/>
        <c:majorTickMark val="out"/>
        <c:minorTickMark val="none"/>
        <c:tickLblPos val="nextTo"/>
        <c:crossAx val="611116112"/>
        <c:crosses val="autoZero"/>
        <c:auto val="1"/>
        <c:lblAlgn val="ctr"/>
        <c:lblOffset val="100"/>
        <c:noMultiLvlLbl val="0"/>
      </c:catAx>
    </c:plotArea>
    <c:legend>
      <c:legendPos val="r"/>
      <c:layout>
        <c:manualLayout>
          <c:xMode val="edge"/>
          <c:yMode val="edge"/>
          <c:x val="0.72713953788563301"/>
          <c:y val="4.4657570714642367E-2"/>
          <c:w val="0.26471049725341711"/>
          <c:h val="0.28565735786464236"/>
        </c:manualLayout>
      </c:layout>
      <c:overlay val="0"/>
    </c:legend>
    <c:plotVisOnly val="1"/>
    <c:dispBlanksAs val="zero"/>
    <c:showDLblsOverMax val="0"/>
  </c:chart>
  <c:printSettings>
    <c:headerFooter/>
    <c:pageMargins b="0.75" l="0.7" r="0.7" t="0.75" header="0.3" footer="0.3"/>
    <c:pageSetup/>
  </c:printSettings>
  <c:userShapes r:id="rId1"/>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11527954931806925"/>
          <c:y val="3.3347220714838373E-2"/>
        </c:manualLayout>
      </c:layout>
      <c:overlay val="0"/>
    </c:title>
    <c:autoTitleDeleted val="0"/>
    <c:plotArea>
      <c:layout/>
      <c:lineChart>
        <c:grouping val="stacked"/>
        <c:varyColors val="0"/>
        <c:ser>
          <c:idx val="0"/>
          <c:order val="0"/>
          <c:tx>
            <c:strRef>
              <c:f>投资和筹资活动现金流表!$A$21</c:f>
              <c:strCache>
                <c:ptCount val="1"/>
                <c:pt idx="0">
                  <c:v>(17)现金自给率=16/15</c:v>
                </c:pt>
              </c:strCache>
            </c:strRef>
          </c:tx>
          <c:val>
            <c:numRef>
              <c:f>投资和筹资活动现金流表!$B$21:$Y$21</c:f>
              <c:numCache>
                <c:formatCode>#,##0.00_ </c:formatCode>
                <c:ptCount val="6"/>
                <c:pt idx="0">
                  <c:v>2.6951851276766936</c:v>
                </c:pt>
                <c:pt idx="1">
                  <c:v>3.0483518044899118</c:v>
                </c:pt>
                <c:pt idx="2">
                  <c:v>1.6210260821960663</c:v>
                </c:pt>
                <c:pt idx="3">
                  <c:v>1.1783578117925539</c:v>
                </c:pt>
                <c:pt idx="4">
                  <c:v>0.99020183055620747</c:v>
                </c:pt>
                <c:pt idx="5">
                  <c:v>0.90900565823739254</c:v>
                </c:pt>
              </c:numCache>
            </c:numRef>
          </c:val>
          <c:smooth val="0"/>
          <c:extLst>
            <c:ext xmlns:c16="http://schemas.microsoft.com/office/drawing/2014/chart" uri="{C3380CC4-5D6E-409C-BE32-E72D297353CC}">
              <c16:uniqueId val="{00000000-8245-45C7-87C5-C9EA4EB313F9}"/>
            </c:ext>
          </c:extLst>
        </c:ser>
        <c:dLbls>
          <c:showLegendKey val="0"/>
          <c:showVal val="0"/>
          <c:showCatName val="0"/>
          <c:showSerName val="0"/>
          <c:showPercent val="0"/>
          <c:showBubbleSize val="0"/>
        </c:dLbls>
        <c:marker val="1"/>
        <c:smooth val="0"/>
        <c:axId val="223023616"/>
        <c:axId val="227629824"/>
      </c:lineChart>
      <c:catAx>
        <c:axId val="223023616"/>
        <c:scaling>
          <c:orientation val="minMax"/>
        </c:scaling>
        <c:delete val="0"/>
        <c:axPos val="b"/>
        <c:majorTickMark val="out"/>
        <c:minorTickMark val="none"/>
        <c:tickLblPos val="nextTo"/>
        <c:crossAx val="227629824"/>
        <c:crosses val="autoZero"/>
        <c:auto val="1"/>
        <c:lblAlgn val="ctr"/>
        <c:lblOffset val="100"/>
        <c:noMultiLvlLbl val="0"/>
      </c:catAx>
      <c:valAx>
        <c:axId val="227629824"/>
        <c:scaling>
          <c:orientation val="minMax"/>
        </c:scaling>
        <c:delete val="0"/>
        <c:axPos val="l"/>
        <c:majorGridlines/>
        <c:numFmt formatCode="#,##0.00_ " sourceLinked="1"/>
        <c:majorTickMark val="out"/>
        <c:minorTickMark val="none"/>
        <c:tickLblPos val="nextTo"/>
        <c:crossAx val="22302361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8"/>
    </mc:Choice>
    <mc:Fallback>
      <c:style val="8"/>
    </mc:Fallback>
  </mc:AlternateContent>
  <c:chart>
    <c:autoTitleDeleted val="1"/>
    <c:plotArea>
      <c:layout/>
      <c:barChart>
        <c:barDir val="col"/>
        <c:grouping val="clustered"/>
        <c:varyColors val="0"/>
        <c:ser>
          <c:idx val="0"/>
          <c:order val="0"/>
          <c:tx>
            <c:strRef>
              <c:f>投资和筹资活动现金流表!$A$5</c:f>
              <c:strCache>
                <c:ptCount val="1"/>
                <c:pt idx="0">
                  <c:v>(3)长期资产净投资额=2-1</c:v>
                </c:pt>
              </c:strCache>
            </c:strRef>
          </c:tx>
          <c:invertIfNegative val="0"/>
          <c:val>
            <c:numRef>
              <c:f>投资和筹资活动现金流表!$B$5:$Y$5</c:f>
              <c:numCache>
                <c:formatCode>#,##0.00_ </c:formatCode>
                <c:ptCount val="6"/>
                <c:pt idx="0">
                  <c:v>69635000000</c:v>
                </c:pt>
                <c:pt idx="1">
                  <c:v>72407000000</c:v>
                </c:pt>
                <c:pt idx="2">
                  <c:v>102203000000</c:v>
                </c:pt>
                <c:pt idx="3">
                  <c:v>123361000000</c:v>
                </c:pt>
                <c:pt idx="4">
                  <c:v>153396000000</c:v>
                </c:pt>
                <c:pt idx="5">
                  <c:v>157823000000</c:v>
                </c:pt>
              </c:numCache>
            </c:numRef>
          </c:val>
          <c:extLst>
            <c:ext xmlns:c16="http://schemas.microsoft.com/office/drawing/2014/chart" uri="{C3380CC4-5D6E-409C-BE32-E72D297353CC}">
              <c16:uniqueId val="{00000000-84F5-4C49-879D-4573E27D5021}"/>
            </c:ext>
          </c:extLst>
        </c:ser>
        <c:ser>
          <c:idx val="12"/>
          <c:order val="1"/>
          <c:tx>
            <c:strRef>
              <c:f>投资和筹资活动现金流表!$A$17</c:f>
              <c:strCache>
                <c:ptCount val="1"/>
                <c:pt idx="0">
                  <c:v>(14)净合并额=13-12</c:v>
                </c:pt>
              </c:strCache>
            </c:strRef>
          </c:tx>
          <c:invertIfNegative val="0"/>
          <c:val>
            <c:numRef>
              <c:f>投资和筹资活动现金流表!$B$17:$Y$17</c:f>
              <c:numCache>
                <c:formatCode>#,##0.00_ </c:formatCode>
                <c:ptCount val="6"/>
                <c:pt idx="0">
                  <c:v>1208000000</c:v>
                </c:pt>
                <c:pt idx="1">
                  <c:v>-2027000000</c:v>
                </c:pt>
                <c:pt idx="2">
                  <c:v>89000000</c:v>
                </c:pt>
                <c:pt idx="3">
                  <c:v>2532000000</c:v>
                </c:pt>
                <c:pt idx="4">
                  <c:v>0</c:v>
                </c:pt>
                <c:pt idx="5">
                  <c:v>0</c:v>
                </c:pt>
              </c:numCache>
            </c:numRef>
          </c:val>
          <c:extLst>
            <c:ext xmlns:c16="http://schemas.microsoft.com/office/drawing/2014/chart" uri="{C3380CC4-5D6E-409C-BE32-E72D297353CC}">
              <c16:uniqueId val="{00000001-84F5-4C49-879D-4573E27D5021}"/>
            </c:ext>
          </c:extLst>
        </c:ser>
        <c:ser>
          <c:idx val="15"/>
          <c:order val="2"/>
          <c:tx>
            <c:strRef>
              <c:f>投资和筹资活动现金流表!$A$20</c:f>
              <c:strCache>
                <c:ptCount val="1"/>
                <c:pt idx="0">
                  <c:v>(16)经营活动产生的现金流量净额</c:v>
                </c:pt>
              </c:strCache>
            </c:strRef>
          </c:tx>
          <c:invertIfNegative val="0"/>
          <c:val>
            <c:numRef>
              <c:f>投资和筹资活动现金流表!$B$20:$Y$20</c:f>
              <c:numCache>
                <c:formatCode>General</c:formatCode>
                <c:ptCount val="6"/>
                <c:pt idx="0">
                  <c:v>190935000000</c:v>
                </c:pt>
                <c:pt idx="1">
                  <c:v>214543000000</c:v>
                </c:pt>
                <c:pt idx="2">
                  <c:v>165818000000</c:v>
                </c:pt>
                <c:pt idx="3">
                  <c:v>148347000000</c:v>
                </c:pt>
                <c:pt idx="4">
                  <c:v>151893000000</c:v>
                </c:pt>
                <c:pt idx="5">
                  <c:v>143462000000</c:v>
                </c:pt>
              </c:numCache>
            </c:numRef>
          </c:val>
          <c:extLst>
            <c:ext xmlns:c16="http://schemas.microsoft.com/office/drawing/2014/chart" uri="{C3380CC4-5D6E-409C-BE32-E72D297353CC}">
              <c16:uniqueId val="{00000002-84F5-4C49-879D-4573E27D5021}"/>
            </c:ext>
          </c:extLst>
        </c:ser>
        <c:ser>
          <c:idx val="19"/>
          <c:order val="3"/>
          <c:tx>
            <c:strRef>
              <c:f>投资和筹资活动现金流表!$A$24</c:f>
              <c:strCache>
                <c:ptCount val="1"/>
                <c:pt idx="0">
                  <c:v>(20)筹资活动产生的现金流量净额</c:v>
                </c:pt>
              </c:strCache>
            </c:strRef>
          </c:tx>
          <c:invertIfNegative val="0"/>
          <c:val>
            <c:numRef>
              <c:f>投资和筹资活动现金流表!$B$24:$Y$24</c:f>
              <c:numCache>
                <c:formatCode>General</c:formatCode>
                <c:ptCount val="6"/>
                <c:pt idx="0">
                  <c:v>-56509000000</c:v>
                </c:pt>
                <c:pt idx="1">
                  <c:v>-93047000000</c:v>
                </c:pt>
                <c:pt idx="2">
                  <c:v>9310000000</c:v>
                </c:pt>
                <c:pt idx="3">
                  <c:v>-21421000000</c:v>
                </c:pt>
                <c:pt idx="4">
                  <c:v>31519000000</c:v>
                </c:pt>
                <c:pt idx="5">
                  <c:v>5628000000</c:v>
                </c:pt>
              </c:numCache>
            </c:numRef>
          </c:val>
          <c:extLst>
            <c:ext xmlns:c16="http://schemas.microsoft.com/office/drawing/2014/chart" uri="{C3380CC4-5D6E-409C-BE32-E72D297353CC}">
              <c16:uniqueId val="{00000003-84F5-4C49-879D-4573E27D5021}"/>
            </c:ext>
          </c:extLst>
        </c:ser>
        <c:dLbls>
          <c:showLegendKey val="0"/>
          <c:showVal val="0"/>
          <c:showCatName val="0"/>
          <c:showSerName val="0"/>
          <c:showPercent val="0"/>
          <c:showBubbleSize val="0"/>
        </c:dLbls>
        <c:gapWidth val="150"/>
        <c:axId val="226113024"/>
        <c:axId val="226034240"/>
      </c:barChart>
      <c:catAx>
        <c:axId val="226113024"/>
        <c:scaling>
          <c:orientation val="minMax"/>
        </c:scaling>
        <c:delete val="0"/>
        <c:axPos val="b"/>
        <c:majorTickMark val="none"/>
        <c:minorTickMark val="none"/>
        <c:tickLblPos val="nextTo"/>
        <c:crossAx val="226034240"/>
        <c:crosses val="autoZero"/>
        <c:auto val="1"/>
        <c:lblAlgn val="ctr"/>
        <c:lblOffset val="100"/>
        <c:noMultiLvlLbl val="0"/>
      </c:catAx>
      <c:valAx>
        <c:axId val="226034240"/>
        <c:scaling>
          <c:orientation val="minMax"/>
        </c:scaling>
        <c:delete val="0"/>
        <c:axPos val="l"/>
        <c:majorGridlines/>
        <c:numFmt formatCode="#,##0.00_ " sourceLinked="1"/>
        <c:majorTickMark val="none"/>
        <c:minorTickMark val="none"/>
        <c:tickLblPos val="nextTo"/>
        <c:crossAx val="226113024"/>
        <c:crosses val="autoZero"/>
        <c:crossBetween val="between"/>
      </c:valAx>
    </c:plotArea>
    <c:legend>
      <c:legendPos val="r"/>
      <c:layout>
        <c:manualLayout>
          <c:xMode val="edge"/>
          <c:yMode val="edge"/>
          <c:x val="0.65710932222373564"/>
          <c:y val="6.0558396483167319E-2"/>
          <c:w val="0.34289067777626431"/>
          <c:h val="0.86455319705907574"/>
        </c:manualLayout>
      </c:layout>
      <c:overlay val="0"/>
    </c:legend>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投资和筹资活动现金流表!$A$42</c:f>
              <c:strCache>
                <c:ptCount val="1"/>
                <c:pt idx="0">
                  <c:v>(3)股东筹资净额=1-2</c:v>
                </c:pt>
              </c:strCache>
            </c:strRef>
          </c:tx>
          <c:invertIfNegative val="0"/>
          <c:val>
            <c:numRef>
              <c:f>投资和筹资活动现金流表!$B$42:$Y$42</c:f>
              <c:numCache>
                <c:formatCode>#,##0.00_ </c:formatCode>
                <c:ptCount val="6"/>
                <c:pt idx="0">
                  <c:v>-29204000000</c:v>
                </c:pt>
                <c:pt idx="1">
                  <c:v>-17817000000</c:v>
                </c:pt>
                <c:pt idx="2">
                  <c:v>81647000000</c:v>
                </c:pt>
                <c:pt idx="3">
                  <c:v>-23882000000</c:v>
                </c:pt>
                <c:pt idx="4">
                  <c:v>5487000000</c:v>
                </c:pt>
                <c:pt idx="5">
                  <c:v>-24560000000</c:v>
                </c:pt>
              </c:numCache>
            </c:numRef>
          </c:val>
          <c:extLst>
            <c:ext xmlns:c16="http://schemas.microsoft.com/office/drawing/2014/chart" uri="{C3380CC4-5D6E-409C-BE32-E72D297353CC}">
              <c16:uniqueId val="{00000000-1E11-43A8-9C70-5F59CB0B72B4}"/>
            </c:ext>
          </c:extLst>
        </c:ser>
        <c:ser>
          <c:idx val="7"/>
          <c:order val="1"/>
          <c:tx>
            <c:strRef>
              <c:f>投资和筹资活动现金流表!$A$49</c:f>
              <c:strCache>
                <c:ptCount val="1"/>
                <c:pt idx="0">
                  <c:v>(9)债务筹资净额=4+8-5-6-7</c:v>
                </c:pt>
              </c:strCache>
            </c:strRef>
          </c:tx>
          <c:invertIfNegative val="0"/>
          <c:val>
            <c:numRef>
              <c:f>投资和筹资活动现金流表!$B$49:$Y$49</c:f>
              <c:numCache>
                <c:formatCode>#,##0.00_ </c:formatCode>
                <c:ptCount val="6"/>
                <c:pt idx="0">
                  <c:v>-17905000000</c:v>
                </c:pt>
                <c:pt idx="1">
                  <c:v>-72015000000</c:v>
                </c:pt>
                <c:pt idx="2">
                  <c:v>-70869000000</c:v>
                </c:pt>
                <c:pt idx="3">
                  <c:v>2037000000</c:v>
                </c:pt>
                <c:pt idx="4">
                  <c:v>25998000000</c:v>
                </c:pt>
                <c:pt idx="5">
                  <c:v>29681000000</c:v>
                </c:pt>
              </c:numCache>
            </c:numRef>
          </c:val>
          <c:extLst>
            <c:ext xmlns:c16="http://schemas.microsoft.com/office/drawing/2014/chart" uri="{C3380CC4-5D6E-409C-BE32-E72D297353CC}">
              <c16:uniqueId val="{00000001-1E11-43A8-9C70-5F59CB0B72B4}"/>
            </c:ext>
          </c:extLst>
        </c:ser>
        <c:dLbls>
          <c:showLegendKey val="0"/>
          <c:showVal val="0"/>
          <c:showCatName val="0"/>
          <c:showSerName val="0"/>
          <c:showPercent val="0"/>
          <c:showBubbleSize val="0"/>
        </c:dLbls>
        <c:gapWidth val="150"/>
        <c:axId val="226114048"/>
        <c:axId val="226036544"/>
      </c:barChart>
      <c:catAx>
        <c:axId val="226114048"/>
        <c:scaling>
          <c:orientation val="minMax"/>
        </c:scaling>
        <c:delete val="0"/>
        <c:axPos val="b"/>
        <c:majorTickMark val="out"/>
        <c:minorTickMark val="none"/>
        <c:tickLblPos val="nextTo"/>
        <c:crossAx val="226036544"/>
        <c:crosses val="autoZero"/>
        <c:auto val="1"/>
        <c:lblAlgn val="ctr"/>
        <c:lblOffset val="100"/>
        <c:noMultiLvlLbl val="0"/>
      </c:catAx>
      <c:valAx>
        <c:axId val="226036544"/>
        <c:scaling>
          <c:orientation val="minMax"/>
        </c:scaling>
        <c:delete val="0"/>
        <c:axPos val="l"/>
        <c:majorGridlines/>
        <c:numFmt formatCode="#,##0.00_ " sourceLinked="1"/>
        <c:majorTickMark val="out"/>
        <c:minorTickMark val="none"/>
        <c:tickLblPos val="nextTo"/>
        <c:crossAx val="22611404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投资和筹资活动现金流表!$A$44</c:f>
              <c:strCache>
                <c:ptCount val="1"/>
                <c:pt idx="0">
                  <c:v>(4)取得借款收到的现金</c:v>
                </c:pt>
              </c:strCache>
            </c:strRef>
          </c:tx>
          <c:invertIfNegative val="0"/>
          <c:val>
            <c:numRef>
              <c:f>投资和筹资活动现金流表!$B$44:$Y$44</c:f>
              <c:numCache>
                <c:formatCode>General</c:formatCode>
                <c:ptCount val="6"/>
                <c:pt idx="0">
                  <c:v>524843000000</c:v>
                </c:pt>
                <c:pt idx="1">
                  <c:v>506097000000</c:v>
                </c:pt>
                <c:pt idx="2">
                  <c:v>1090241000000</c:v>
                </c:pt>
                <c:pt idx="3">
                  <c:v>1128447000000</c:v>
                </c:pt>
                <c:pt idx="4">
                  <c:v>1142890000000</c:v>
                </c:pt>
                <c:pt idx="5">
                  <c:v>850317000000</c:v>
                </c:pt>
              </c:numCache>
            </c:numRef>
          </c:val>
          <c:extLst>
            <c:ext xmlns:c16="http://schemas.microsoft.com/office/drawing/2014/chart" uri="{C3380CC4-5D6E-409C-BE32-E72D297353CC}">
              <c16:uniqueId val="{00000000-849A-4119-836B-2CF44EBD3336}"/>
            </c:ext>
          </c:extLst>
        </c:ser>
        <c:ser>
          <c:idx val="4"/>
          <c:order val="1"/>
          <c:tx>
            <c:strRef>
              <c:f>投资和筹资活动现金流表!$A$48</c:f>
              <c:strCache>
                <c:ptCount val="1"/>
                <c:pt idx="0">
                  <c:v>(8)发行债券收到的现金</c:v>
                </c:pt>
              </c:strCache>
            </c:strRef>
          </c:tx>
          <c:invertIfNegative val="0"/>
          <c:val>
            <c:numRef>
              <c:f>投资和筹资活动现金流表!$B$48:$Y$48</c:f>
              <c:numCache>
                <c:formatCode>General</c:formatCode>
                <c:ptCount val="6"/>
                <c:pt idx="0">
                  <c:v>0</c:v>
                </c:pt>
                <c:pt idx="1">
                  <c:v>0</c:v>
                </c:pt>
                <c:pt idx="2">
                  <c:v>0</c:v>
                </c:pt>
                <c:pt idx="3">
                  <c:v>0</c:v>
                </c:pt>
                <c:pt idx="4">
                  <c:v>0</c:v>
                </c:pt>
                <c:pt idx="5">
                  <c:v>80000000000</c:v>
                </c:pt>
              </c:numCache>
            </c:numRef>
          </c:val>
          <c:extLst>
            <c:ext xmlns:c16="http://schemas.microsoft.com/office/drawing/2014/chart" uri="{C3380CC4-5D6E-409C-BE32-E72D297353CC}">
              <c16:uniqueId val="{00000001-849A-4119-836B-2CF44EBD3336}"/>
            </c:ext>
          </c:extLst>
        </c:ser>
        <c:dLbls>
          <c:showLegendKey val="0"/>
          <c:showVal val="0"/>
          <c:showCatName val="0"/>
          <c:showSerName val="0"/>
          <c:showPercent val="0"/>
          <c:showBubbleSize val="0"/>
        </c:dLbls>
        <c:gapWidth val="150"/>
        <c:axId val="226114560"/>
        <c:axId val="226038272"/>
      </c:barChart>
      <c:catAx>
        <c:axId val="226114560"/>
        <c:scaling>
          <c:orientation val="minMax"/>
        </c:scaling>
        <c:delete val="0"/>
        <c:axPos val="b"/>
        <c:majorTickMark val="out"/>
        <c:minorTickMark val="none"/>
        <c:tickLblPos val="nextTo"/>
        <c:crossAx val="226038272"/>
        <c:crosses val="autoZero"/>
        <c:auto val="1"/>
        <c:lblAlgn val="ctr"/>
        <c:lblOffset val="100"/>
        <c:noMultiLvlLbl val="0"/>
      </c:catAx>
      <c:valAx>
        <c:axId val="226038272"/>
        <c:scaling>
          <c:orientation val="minMax"/>
        </c:scaling>
        <c:delete val="0"/>
        <c:axPos val="l"/>
        <c:majorGridlines/>
        <c:numFmt formatCode="General" sourceLinked="1"/>
        <c:majorTickMark val="out"/>
        <c:minorTickMark val="none"/>
        <c:tickLblPos val="nextTo"/>
        <c:crossAx val="22611456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strRef>
              <c:f>投资和筹资活动现金流表!$A$28</c:f>
              <c:strCache>
                <c:ptCount val="1"/>
                <c:pt idx="0">
                  <c:v>(23)投资现金流出净额</c:v>
                </c:pt>
              </c:strCache>
            </c:strRef>
          </c:tx>
          <c:invertIfNegative val="0"/>
          <c:val>
            <c:numRef>
              <c:f>投资和筹资活动现金流表!$B$28:$Y$28</c:f>
              <c:numCache>
                <c:formatCode>#,##0.00_ </c:formatCode>
                <c:ptCount val="6"/>
                <c:pt idx="0">
                  <c:v>52898000000</c:v>
                </c:pt>
                <c:pt idx="1">
                  <c:v>-15100000000</c:v>
                </c:pt>
                <c:pt idx="2">
                  <c:v>19979000000</c:v>
                </c:pt>
                <c:pt idx="3">
                  <c:v>9981000000</c:v>
                </c:pt>
                <c:pt idx="4">
                  <c:v>29289000000</c:v>
                </c:pt>
                <c:pt idx="5">
                  <c:v>8862000000</c:v>
                </c:pt>
              </c:numCache>
            </c:numRef>
          </c:val>
          <c:extLst>
            <c:ext xmlns:c16="http://schemas.microsoft.com/office/drawing/2014/chart" uri="{C3380CC4-5D6E-409C-BE32-E72D297353CC}">
              <c16:uniqueId val="{00000000-97B1-4AD8-8CB9-C7D9ADBE23AB}"/>
            </c:ext>
          </c:extLst>
        </c:ser>
        <c:dLbls>
          <c:showLegendKey val="0"/>
          <c:showVal val="0"/>
          <c:showCatName val="0"/>
          <c:showSerName val="0"/>
          <c:showPercent val="0"/>
          <c:showBubbleSize val="0"/>
        </c:dLbls>
        <c:gapWidth val="150"/>
        <c:axId val="226115072"/>
        <c:axId val="226040000"/>
      </c:barChart>
      <c:catAx>
        <c:axId val="226115072"/>
        <c:scaling>
          <c:orientation val="minMax"/>
        </c:scaling>
        <c:delete val="0"/>
        <c:axPos val="b"/>
        <c:majorTickMark val="out"/>
        <c:minorTickMark val="none"/>
        <c:tickLblPos val="nextTo"/>
        <c:crossAx val="226040000"/>
        <c:crosses val="autoZero"/>
        <c:auto val="1"/>
        <c:lblAlgn val="ctr"/>
        <c:lblOffset val="100"/>
        <c:noMultiLvlLbl val="0"/>
      </c:catAx>
      <c:valAx>
        <c:axId val="226040000"/>
        <c:scaling>
          <c:orientation val="minMax"/>
        </c:scaling>
        <c:delete val="0"/>
        <c:axPos val="l"/>
        <c:majorGridlines/>
        <c:numFmt formatCode="#,##0.00_ " sourceLinked="1"/>
        <c:majorTickMark val="out"/>
        <c:minorTickMark val="none"/>
        <c:tickLblPos val="nextTo"/>
        <c:crossAx val="2261150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平均资本成本表!$A$3</c:f>
              <c:strCache>
                <c:ptCount val="1"/>
                <c:pt idx="0">
                  <c:v>(1)利息支出</c:v>
                </c:pt>
              </c:strCache>
            </c:strRef>
          </c:tx>
          <c:invertIfNegative val="0"/>
          <c:val>
            <c:numRef>
              <c:f>平均资本成本表!$B$3:$Y$3</c:f>
              <c:numCache>
                <c:formatCode>#,##0.00_ </c:formatCode>
                <c:ptCount val="6"/>
                <c:pt idx="0">
                  <c:v>6368000000</c:v>
                </c:pt>
                <c:pt idx="1">
                  <c:v>9021000000</c:v>
                </c:pt>
                <c:pt idx="2">
                  <c:v>8273000000</c:v>
                </c:pt>
                <c:pt idx="3">
                  <c:v>11929000000</c:v>
                </c:pt>
                <c:pt idx="4">
                  <c:v>11435000000</c:v>
                </c:pt>
                <c:pt idx="5">
                  <c:v>12069000000</c:v>
                </c:pt>
              </c:numCache>
            </c:numRef>
          </c:val>
          <c:extLst>
            <c:ext xmlns:c16="http://schemas.microsoft.com/office/drawing/2014/chart" uri="{C3380CC4-5D6E-409C-BE32-E72D297353CC}">
              <c16:uniqueId val="{00000000-77FF-436A-A114-51FF913C5C88}"/>
            </c:ext>
          </c:extLst>
        </c:ser>
        <c:ser>
          <c:idx val="1"/>
          <c:order val="1"/>
          <c:tx>
            <c:strRef>
              <c:f>平均资本成本表!$A$4</c:f>
              <c:strCache>
                <c:ptCount val="1"/>
                <c:pt idx="0">
                  <c:v>(2)有息债务</c:v>
                </c:pt>
              </c:strCache>
            </c:strRef>
          </c:tx>
          <c:invertIfNegative val="0"/>
          <c:val>
            <c:numRef>
              <c:f>平均资本成本表!$B$4:$Y$4</c:f>
              <c:numCache>
                <c:formatCode>#,##0.00_ </c:formatCode>
                <c:ptCount val="6"/>
                <c:pt idx="0">
                  <c:v>196946000000</c:v>
                </c:pt>
                <c:pt idx="1">
                  <c:v>208928000000</c:v>
                </c:pt>
                <c:pt idx="2">
                  <c:v>269425000000</c:v>
                </c:pt>
                <c:pt idx="3">
                  <c:v>341059000000</c:v>
                </c:pt>
                <c:pt idx="4">
                  <c:v>317647000000</c:v>
                </c:pt>
                <c:pt idx="5">
                  <c:v>281909000000</c:v>
                </c:pt>
              </c:numCache>
            </c:numRef>
          </c:val>
          <c:extLst>
            <c:ext xmlns:c16="http://schemas.microsoft.com/office/drawing/2014/chart" uri="{C3380CC4-5D6E-409C-BE32-E72D297353CC}">
              <c16:uniqueId val="{00000001-77FF-436A-A114-51FF913C5C88}"/>
            </c:ext>
          </c:extLst>
        </c:ser>
        <c:ser>
          <c:idx val="5"/>
          <c:order val="2"/>
          <c:tx>
            <c:strRef>
              <c:f>平均资本成本表!$A$8</c:f>
              <c:strCache>
                <c:ptCount val="1"/>
                <c:pt idx="0">
                  <c:v>(5)股东权益</c:v>
                </c:pt>
              </c:strCache>
            </c:strRef>
          </c:tx>
          <c:invertIfNegative val="0"/>
          <c:val>
            <c:numRef>
              <c:f>平均资本成本表!$B$8:$Y$8</c:f>
              <c:numCache>
                <c:formatCode>#,##0.00_ </c:formatCode>
                <c:ptCount val="6"/>
                <c:pt idx="0">
                  <c:v>854070000000</c:v>
                </c:pt>
                <c:pt idx="1">
                  <c:v>832525000000</c:v>
                </c:pt>
                <c:pt idx="2">
                  <c:v>785623000000</c:v>
                </c:pt>
                <c:pt idx="3">
                  <c:v>647095000000</c:v>
                </c:pt>
                <c:pt idx="4">
                  <c:v>623260000000</c:v>
                </c:pt>
                <c:pt idx="5">
                  <c:v>550601000000</c:v>
                </c:pt>
              </c:numCache>
            </c:numRef>
          </c:val>
          <c:extLst>
            <c:ext xmlns:c16="http://schemas.microsoft.com/office/drawing/2014/chart" uri="{C3380CC4-5D6E-409C-BE32-E72D297353CC}">
              <c16:uniqueId val="{00000002-77FF-436A-A114-51FF913C5C88}"/>
            </c:ext>
          </c:extLst>
        </c:ser>
        <c:ser>
          <c:idx val="7"/>
          <c:order val="3"/>
          <c:tx>
            <c:strRef>
              <c:f>平均资本成本表!$A$10</c:f>
              <c:strCache>
                <c:ptCount val="1"/>
                <c:pt idx="0">
                  <c:v>(7)资本总额</c:v>
                </c:pt>
              </c:strCache>
            </c:strRef>
          </c:tx>
          <c:invertIfNegative val="0"/>
          <c:val>
            <c:numRef>
              <c:f>平均资本成本表!$B$10:$Y$10</c:f>
              <c:numCache>
                <c:formatCode>#,##0.00_ </c:formatCode>
                <c:ptCount val="6"/>
                <c:pt idx="0">
                  <c:v>1097817000000</c:v>
                </c:pt>
                <c:pt idx="1">
                  <c:v>1080751000000</c:v>
                </c:pt>
                <c:pt idx="2">
                  <c:v>1088234000000</c:v>
                </c:pt>
                <c:pt idx="3">
                  <c:v>1017869000000</c:v>
                </c:pt>
                <c:pt idx="4">
                  <c:v>966987000000</c:v>
                </c:pt>
                <c:pt idx="5">
                  <c:v>854101000000</c:v>
                </c:pt>
              </c:numCache>
            </c:numRef>
          </c:val>
          <c:extLst>
            <c:ext xmlns:c16="http://schemas.microsoft.com/office/drawing/2014/chart" uri="{C3380CC4-5D6E-409C-BE32-E72D297353CC}">
              <c16:uniqueId val="{00000003-77FF-436A-A114-51FF913C5C88}"/>
            </c:ext>
          </c:extLst>
        </c:ser>
        <c:dLbls>
          <c:showLegendKey val="0"/>
          <c:showVal val="0"/>
          <c:showCatName val="0"/>
          <c:showSerName val="0"/>
          <c:showPercent val="0"/>
          <c:showBubbleSize val="0"/>
        </c:dLbls>
        <c:gapWidth val="150"/>
        <c:axId val="227971072"/>
        <c:axId val="228002048"/>
      </c:barChart>
      <c:catAx>
        <c:axId val="227971072"/>
        <c:scaling>
          <c:orientation val="minMax"/>
        </c:scaling>
        <c:delete val="0"/>
        <c:axPos val="b"/>
        <c:majorTickMark val="out"/>
        <c:minorTickMark val="none"/>
        <c:tickLblPos val="nextTo"/>
        <c:crossAx val="228002048"/>
        <c:crosses val="autoZero"/>
        <c:auto val="1"/>
        <c:lblAlgn val="ctr"/>
        <c:lblOffset val="100"/>
        <c:noMultiLvlLbl val="0"/>
      </c:catAx>
      <c:valAx>
        <c:axId val="228002048"/>
        <c:scaling>
          <c:orientation val="minMax"/>
        </c:scaling>
        <c:delete val="0"/>
        <c:axPos val="l"/>
        <c:majorGridlines/>
        <c:numFmt formatCode="#,##0.00_ " sourceLinked="1"/>
        <c:majorTickMark val="out"/>
        <c:minorTickMark val="none"/>
        <c:tickLblPos val="nextTo"/>
        <c:crossAx val="227971072"/>
        <c:crosses val="autoZero"/>
        <c:crossBetween val="between"/>
      </c:valAx>
    </c:plotArea>
    <c:legend>
      <c:legendPos val="r"/>
      <c:layout>
        <c:manualLayout>
          <c:xMode val="edge"/>
          <c:yMode val="edge"/>
          <c:x val="0.79093197725284337"/>
          <c:y val="0.23824547973170021"/>
          <c:w val="0.15849790740855424"/>
          <c:h val="0.27753148246281351"/>
        </c:manualLayout>
      </c:layout>
      <c:overlay val="0"/>
    </c:legend>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zh-CN"/>
        </a:p>
      </c:txPr>
    </c:title>
    <c:autoTitleDeleted val="0"/>
    <c:plotArea>
      <c:layout/>
      <c:lineChart>
        <c:grouping val="stacked"/>
        <c:varyColors val="0"/>
        <c:ser>
          <c:idx val="0"/>
          <c:order val="0"/>
          <c:tx>
            <c:strRef>
              <c:f>平均资本成本表!$A$13</c:f>
              <c:strCache>
                <c:ptCount val="1"/>
                <c:pt idx="0">
                  <c:v>(10)加权平均资金成本(WACC)%</c:v>
                </c:pt>
              </c:strCache>
            </c:strRef>
          </c:tx>
          <c:spPr>
            <a:ln w="34925" cap="rnd">
              <a:solidFill>
                <a:schemeClr val="lt1"/>
              </a:solidFill>
              <a:round/>
            </a:ln>
            <a:effectLst>
              <a:outerShdw dist="25400" dir="2700000" algn="tl" rotWithShape="0">
                <a:schemeClr val="accent1"/>
              </a:outerShd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zh-CN"/>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1">
                          <a:lumMod val="60000"/>
                          <a:lumOff val="40000"/>
                        </a:schemeClr>
                      </a:solidFill>
                    </a:ln>
                    <a:effectLst/>
                  </c:spPr>
                </c15:leaderLines>
              </c:ext>
            </c:extLst>
          </c:dLbls>
          <c:val>
            <c:numRef>
              <c:f>平均资本成本表!$B$13:$BV$13</c:f>
              <c:numCache>
                <c:formatCode>0.00%</c:formatCode>
                <c:ptCount val="20"/>
                <c:pt idx="0">
                  <c:v>6.6848851947730811E-2</c:v>
                </c:pt>
                <c:pt idx="1">
                  <c:v>6.735140347291059E-2</c:v>
                </c:pt>
                <c:pt idx="2">
                  <c:v>6.3117166503808497E-2</c:v>
                </c:pt>
                <c:pt idx="3">
                  <c:v>5.9891665574657846E-2</c:v>
                </c:pt>
                <c:pt idx="4">
                  <c:v>6.1280932355500806E-2</c:v>
                </c:pt>
                <c:pt idx="5">
                  <c:v>6.3482346812696322E-2</c:v>
                </c:pt>
                <c:pt idx="6">
                  <c:v>0</c:v>
                </c:pt>
                <c:pt idx="7">
                  <c:v>6.2861735821652762E-2</c:v>
                </c:pt>
                <c:pt idx="8">
                  <c:v>6.2931608320886998E-2</c:v>
                </c:pt>
                <c:pt idx="9">
                  <c:v>7.3953711436936354E-2</c:v>
                </c:pt>
                <c:pt idx="10">
                  <c:v>5.0614384558864869E-2</c:v>
                </c:pt>
                <c:pt idx="11">
                  <c:v>4.9277045441904442E-2</c:v>
                </c:pt>
                <c:pt idx="12">
                  <c:v>4.9450582165428331E-2</c:v>
                </c:pt>
                <c:pt idx="13">
                  <c:v>4.8460401208358282E-2</c:v>
                </c:pt>
                <c:pt idx="14">
                  <c:v>5.0448005177630761E-2</c:v>
                </c:pt>
                <c:pt idx="15">
                  <c:v>4.8647149354130281E-2</c:v>
                </c:pt>
                <c:pt idx="16">
                  <c:v>4.5705342337776955E-2</c:v>
                </c:pt>
                <c:pt idx="17">
                  <c:v>4.5075804085200261E-2</c:v>
                </c:pt>
                <c:pt idx="18">
                  <c:v>4.1335073652806267E-2</c:v>
                </c:pt>
                <c:pt idx="19">
                  <c:v>0</c:v>
                </c:pt>
              </c:numCache>
            </c:numRef>
          </c:val>
          <c:smooth val="0"/>
          <c:extLst>
            <c:ext xmlns:c16="http://schemas.microsoft.com/office/drawing/2014/chart" uri="{C3380CC4-5D6E-409C-BE32-E72D297353CC}">
              <c16:uniqueId val="{00000000-4FB5-4E5E-9044-369B9CCD7DF3}"/>
            </c:ext>
          </c:extLst>
        </c:ser>
        <c:dLbls>
          <c:dLblPos val="ctr"/>
          <c:showLegendKey val="0"/>
          <c:showVal val="1"/>
          <c:showCatName val="0"/>
          <c:showSerName val="0"/>
          <c:showPercent val="0"/>
          <c:showBubbleSize val="0"/>
        </c:dLbls>
        <c:dropLines>
          <c:spPr>
            <a:ln w="9525" cap="flat" cmpd="sng" algn="ctr">
              <a:gradFill>
                <a:gsLst>
                  <a:gs pos="0">
                    <a:schemeClr val="lt1"/>
                  </a:gs>
                  <a:gs pos="100000">
                    <a:schemeClr val="lt1">
                      <a:alpha val="0"/>
                    </a:schemeClr>
                  </a:gs>
                </a:gsLst>
                <a:lin ang="5400000" scaled="0"/>
              </a:gradFill>
              <a:round/>
            </a:ln>
            <a:effectLst/>
          </c:spPr>
        </c:dropLines>
        <c:smooth val="0"/>
        <c:axId val="580875192"/>
        <c:axId val="580874232"/>
      </c:lineChart>
      <c:catAx>
        <c:axId val="580875192"/>
        <c:scaling>
          <c:orientation val="minMax"/>
        </c:scaling>
        <c:delete val="0"/>
        <c:axPos val="b"/>
        <c:majorTickMark val="none"/>
        <c:minorTickMark val="none"/>
        <c:tickLblPos val="nextTo"/>
        <c:spPr>
          <a:noFill/>
          <a:ln w="12700" cap="flat" cmpd="sng" algn="ctr">
            <a:solidFill>
              <a:schemeClr val="lt1"/>
            </a:solidFill>
            <a:round/>
          </a:ln>
          <a:effectLst/>
        </c:spPr>
        <c:txPr>
          <a:bodyPr rot="-60000000" spcFirstLastPara="1" vertOverflow="ellipsis" vert="horz" wrap="square" anchor="ctr" anchorCtr="1"/>
          <a:lstStyle/>
          <a:p>
            <a:pPr>
              <a:defRPr sz="900" b="0" i="0" u="none" strike="noStrike" kern="1200" spc="100" baseline="0">
                <a:solidFill>
                  <a:schemeClr val="lt1"/>
                </a:solidFill>
                <a:latin typeface="+mn-lt"/>
                <a:ea typeface="+mn-ea"/>
                <a:cs typeface="+mn-cs"/>
              </a:defRPr>
            </a:pPr>
            <a:endParaRPr lang="zh-CN"/>
          </a:p>
        </c:txPr>
        <c:crossAx val="580874232"/>
        <c:crosses val="autoZero"/>
        <c:auto val="1"/>
        <c:lblAlgn val="ctr"/>
        <c:lblOffset val="100"/>
        <c:noMultiLvlLbl val="0"/>
      </c:catAx>
      <c:valAx>
        <c:axId val="580874232"/>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zh-CN"/>
          </a:p>
        </c:txPr>
        <c:crossAx val="580875192"/>
        <c:crosses val="autoZero"/>
        <c:crossBetween val="between"/>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accent1"/>
    </a:solidFill>
    <a:ln w="9525" cap="flat" cmpd="sng" algn="ctr">
      <a:solidFill>
        <a:schemeClr val="accent1"/>
      </a:solidFill>
      <a:round/>
    </a:ln>
    <a:effectLst/>
  </c:spPr>
  <c:txPr>
    <a:bodyPr/>
    <a:lstStyle/>
    <a:p>
      <a:pPr>
        <a:defRPr/>
      </a:pPr>
      <a:endParaRPr lang="zh-CN"/>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4688038676558807E-2"/>
          <c:y val="0.10645091477089169"/>
          <c:w val="0.77804489816852762"/>
          <c:h val="0.86341846939106237"/>
        </c:manualLayout>
      </c:layout>
      <c:lineChart>
        <c:grouping val="stacked"/>
        <c:varyColors val="0"/>
        <c:ser>
          <c:idx val="0"/>
          <c:order val="0"/>
          <c:tx>
            <c:strRef>
              <c:f>资产资本结构分析表!$A$25</c:f>
              <c:strCache>
                <c:ptCount val="1"/>
                <c:pt idx="0">
                  <c:v>金融资产变化率</c:v>
                </c:pt>
              </c:strCache>
            </c:strRef>
          </c:tx>
          <c:val>
            <c:numRef>
              <c:f>资产资本结构分析表!$B$25:$Y$25</c:f>
              <c:numCache>
                <c:formatCode>0.00%</c:formatCode>
                <c:ptCount val="6"/>
                <c:pt idx="0">
                  <c:v>0.41565251291381045</c:v>
                </c:pt>
                <c:pt idx="1">
                  <c:v>0.95105409277030539</c:v>
                </c:pt>
                <c:pt idx="2">
                  <c:v>6.1921043034281542</c:v>
                </c:pt>
                <c:pt idx="3">
                  <c:v>-0.2736904840739024</c:v>
                </c:pt>
                <c:pt idx="4">
                  <c:v>0.39000368188512519</c:v>
                </c:pt>
                <c:pt idx="5">
                  <c:v>-0.56883756002698738</c:v>
                </c:pt>
              </c:numCache>
            </c:numRef>
          </c:val>
          <c:smooth val="0"/>
          <c:extLst>
            <c:ext xmlns:c16="http://schemas.microsoft.com/office/drawing/2014/chart" uri="{C3380CC4-5D6E-409C-BE32-E72D297353CC}">
              <c16:uniqueId val="{00000000-66CE-4B25-907E-89F5250D4056}"/>
            </c:ext>
          </c:extLst>
        </c:ser>
        <c:ser>
          <c:idx val="2"/>
          <c:order val="1"/>
          <c:tx>
            <c:strRef>
              <c:f>资产资本结构分析表!$A$27</c:f>
              <c:strCache>
                <c:ptCount val="1"/>
                <c:pt idx="0">
                  <c:v>长期股权投资变化率</c:v>
                </c:pt>
              </c:strCache>
            </c:strRef>
          </c:tx>
          <c:val>
            <c:numRef>
              <c:f>资产资本结构分析表!$B$27:$Y$27</c:f>
              <c:numCache>
                <c:formatCode>0.00%</c:formatCode>
                <c:ptCount val="6"/>
                <c:pt idx="0">
                  <c:v>0.12220491045440537</c:v>
                </c:pt>
                <c:pt idx="1">
                  <c:v>0.40788236712064602</c:v>
                </c:pt>
                <c:pt idx="2">
                  <c:v>2.9493876639410371E-2</c:v>
                </c:pt>
                <c:pt idx="3">
                  <c:v>4.5603155245335897E-2</c:v>
                </c:pt>
                <c:pt idx="4">
                  <c:v>0.48053245231555292</c:v>
                </c:pt>
                <c:pt idx="5">
                  <c:v>9.6991023641957094E-2</c:v>
                </c:pt>
              </c:numCache>
            </c:numRef>
          </c:val>
          <c:smooth val="0"/>
          <c:extLst>
            <c:ext xmlns:c16="http://schemas.microsoft.com/office/drawing/2014/chart" uri="{C3380CC4-5D6E-409C-BE32-E72D297353CC}">
              <c16:uniqueId val="{00000001-66CE-4B25-907E-89F5250D4056}"/>
            </c:ext>
          </c:extLst>
        </c:ser>
        <c:ser>
          <c:idx val="4"/>
          <c:order val="2"/>
          <c:tx>
            <c:strRef>
              <c:f>资产资本结构分析表!$A$29</c:f>
              <c:strCache>
                <c:ptCount val="1"/>
                <c:pt idx="0">
                  <c:v>营运资本变化率</c:v>
                </c:pt>
              </c:strCache>
            </c:strRef>
          </c:tx>
          <c:val>
            <c:numRef>
              <c:f>资产资本结构分析表!$B$29:$Y$29</c:f>
              <c:numCache>
                <c:formatCode>0.00%</c:formatCode>
                <c:ptCount val="6"/>
                <c:pt idx="0">
                  <c:v>0.27015729921029957</c:v>
                </c:pt>
                <c:pt idx="1">
                  <c:v>0.69629656471952461</c:v>
                </c:pt>
                <c:pt idx="2">
                  <c:v>9.4572618496727712E-2</c:v>
                </c:pt>
                <c:pt idx="3">
                  <c:v>0.5114001958315848</c:v>
                </c:pt>
                <c:pt idx="4">
                  <c:v>0.15733117483811285</c:v>
                </c:pt>
                <c:pt idx="5">
                  <c:v>-6.6272214904230284E-2</c:v>
                </c:pt>
              </c:numCache>
            </c:numRef>
          </c:val>
          <c:smooth val="0"/>
          <c:extLst>
            <c:ext xmlns:c16="http://schemas.microsoft.com/office/drawing/2014/chart" uri="{C3380CC4-5D6E-409C-BE32-E72D297353CC}">
              <c16:uniqueId val="{00000002-66CE-4B25-907E-89F5250D4056}"/>
            </c:ext>
          </c:extLst>
        </c:ser>
        <c:ser>
          <c:idx val="5"/>
          <c:order val="3"/>
          <c:tx>
            <c:strRef>
              <c:f>资产资本结构分析表!$A$30</c:f>
              <c:strCache>
                <c:ptCount val="1"/>
                <c:pt idx="0">
                  <c:v>营运资产变化率</c:v>
                </c:pt>
              </c:strCache>
            </c:strRef>
          </c:tx>
          <c:val>
            <c:numRef>
              <c:f>资产资本结构分析表!$B$30:$Y$30</c:f>
              <c:numCache>
                <c:formatCode>0.00%</c:formatCode>
                <c:ptCount val="6"/>
                <c:pt idx="0">
                  <c:v>0.15971367565724115</c:v>
                </c:pt>
                <c:pt idx="1">
                  <c:v>2.2422000545768775E-2</c:v>
                </c:pt>
                <c:pt idx="2">
                  <c:v>-0.24624332941001703</c:v>
                </c:pt>
                <c:pt idx="3">
                  <c:v>-2.1974859531333383E-2</c:v>
                </c:pt>
                <c:pt idx="4">
                  <c:v>7.1946496868701082E-2</c:v>
                </c:pt>
                <c:pt idx="5">
                  <c:v>0.1041565390504347</c:v>
                </c:pt>
              </c:numCache>
            </c:numRef>
          </c:val>
          <c:smooth val="0"/>
          <c:extLst>
            <c:ext xmlns:c16="http://schemas.microsoft.com/office/drawing/2014/chart" uri="{C3380CC4-5D6E-409C-BE32-E72D297353CC}">
              <c16:uniqueId val="{00000003-66CE-4B25-907E-89F5250D4056}"/>
            </c:ext>
          </c:extLst>
        </c:ser>
        <c:ser>
          <c:idx val="6"/>
          <c:order val="4"/>
          <c:tx>
            <c:strRef>
              <c:f>资产资本结构分析表!$A$31</c:f>
              <c:strCache>
                <c:ptCount val="1"/>
                <c:pt idx="0">
                  <c:v>营运负责变化率</c:v>
                </c:pt>
              </c:strCache>
            </c:strRef>
          </c:tx>
          <c:val>
            <c:numRef>
              <c:f>资产资本结构分析表!$B$31:$Y$31</c:f>
              <c:numCache>
                <c:formatCode>0.00%</c:formatCode>
                <c:ptCount val="6"/>
                <c:pt idx="0">
                  <c:v>0.19752460403172134</c:v>
                </c:pt>
                <c:pt idx="1">
                  <c:v>0.18336525923447075</c:v>
                </c:pt>
                <c:pt idx="2">
                  <c:v>-0.18568686733430589</c:v>
                </c:pt>
                <c:pt idx="3">
                  <c:v>4.3453641604894691E-2</c:v>
                </c:pt>
                <c:pt idx="4">
                  <c:v>8.1736391189175001E-2</c:v>
                </c:pt>
                <c:pt idx="5">
                  <c:v>8.1522798967593915E-2</c:v>
                </c:pt>
              </c:numCache>
            </c:numRef>
          </c:val>
          <c:smooth val="0"/>
          <c:extLst>
            <c:ext xmlns:c16="http://schemas.microsoft.com/office/drawing/2014/chart" uri="{C3380CC4-5D6E-409C-BE32-E72D297353CC}">
              <c16:uniqueId val="{00000004-66CE-4B25-907E-89F5250D4056}"/>
            </c:ext>
          </c:extLst>
        </c:ser>
        <c:ser>
          <c:idx val="7"/>
          <c:order val="5"/>
          <c:tx>
            <c:strRef>
              <c:f>资产资本结构分析表!$A$32</c:f>
              <c:strCache>
                <c:ptCount val="1"/>
                <c:pt idx="0">
                  <c:v>长期经营资产变化率</c:v>
                </c:pt>
              </c:strCache>
            </c:strRef>
          </c:tx>
          <c:val>
            <c:numRef>
              <c:f>资产资本结构分析表!$B$32:$Y$32</c:f>
              <c:numCache>
                <c:formatCode>0.00%</c:formatCode>
                <c:ptCount val="6"/>
                <c:pt idx="0">
                  <c:v>-2.4452190344325473E-2</c:v>
                </c:pt>
                <c:pt idx="1">
                  <c:v>-5.8168651633175417E-2</c:v>
                </c:pt>
                <c:pt idx="2">
                  <c:v>7.2119871090471216E-3</c:v>
                </c:pt>
                <c:pt idx="3">
                  <c:v>8.3356129798205336E-2</c:v>
                </c:pt>
                <c:pt idx="4">
                  <c:v>0.10838119115644954</c:v>
                </c:pt>
                <c:pt idx="5">
                  <c:v>0.12785438738297925</c:v>
                </c:pt>
              </c:numCache>
            </c:numRef>
          </c:val>
          <c:smooth val="0"/>
          <c:extLst>
            <c:ext xmlns:c16="http://schemas.microsoft.com/office/drawing/2014/chart" uri="{C3380CC4-5D6E-409C-BE32-E72D297353CC}">
              <c16:uniqueId val="{00000005-66CE-4B25-907E-89F5250D4056}"/>
            </c:ext>
          </c:extLst>
        </c:ser>
        <c:ser>
          <c:idx val="9"/>
          <c:order val="6"/>
          <c:tx>
            <c:strRef>
              <c:f>资产资本结构分析表!$A$34</c:f>
              <c:strCache>
                <c:ptCount val="1"/>
                <c:pt idx="0">
                  <c:v>短期债务变化率</c:v>
                </c:pt>
              </c:strCache>
            </c:strRef>
          </c:tx>
          <c:val>
            <c:numRef>
              <c:f>资产资本结构分析表!$B$34:$Y$34</c:f>
              <c:numCache>
                <c:formatCode>0.00%</c:formatCode>
                <c:ptCount val="6"/>
                <c:pt idx="0">
                  <c:v>8.0110423911023812E-2</c:v>
                </c:pt>
                <c:pt idx="1">
                  <c:v>-0.3504991121148906</c:v>
                </c:pt>
                <c:pt idx="2">
                  <c:v>-0.35039030563675255</c:v>
                </c:pt>
                <c:pt idx="3">
                  <c:v>8.9754073350826871E-2</c:v>
                </c:pt>
                <c:pt idx="4">
                  <c:v>0.4128916556017313</c:v>
                </c:pt>
                <c:pt idx="5">
                  <c:v>0.44304679432147615</c:v>
                </c:pt>
              </c:numCache>
            </c:numRef>
          </c:val>
          <c:smooth val="0"/>
          <c:extLst>
            <c:ext xmlns:c16="http://schemas.microsoft.com/office/drawing/2014/chart" uri="{C3380CC4-5D6E-409C-BE32-E72D297353CC}">
              <c16:uniqueId val="{00000006-66CE-4B25-907E-89F5250D4056}"/>
            </c:ext>
          </c:extLst>
        </c:ser>
        <c:ser>
          <c:idx val="11"/>
          <c:order val="7"/>
          <c:tx>
            <c:strRef>
              <c:f>资产资本结构分析表!$A$36</c:f>
              <c:strCache>
                <c:ptCount val="1"/>
                <c:pt idx="0">
                  <c:v>长期债务变化率</c:v>
                </c:pt>
              </c:strCache>
            </c:strRef>
          </c:tx>
          <c:val>
            <c:numRef>
              <c:f>资产资本结构分析表!$B$36:$Y$36</c:f>
              <c:numCache>
                <c:formatCode>0.00%</c:formatCode>
                <c:ptCount val="6"/>
                <c:pt idx="0">
                  <c:v>-0.13488344237996136</c:v>
                </c:pt>
                <c:pt idx="1">
                  <c:v>-0.12929950006192192</c:v>
                </c:pt>
                <c:pt idx="2">
                  <c:v>-5.5772674958918272E-2</c:v>
                </c:pt>
                <c:pt idx="3">
                  <c:v>5.6601442348335577E-2</c:v>
                </c:pt>
                <c:pt idx="4">
                  <c:v>-7.3224972427633844E-2</c:v>
                </c:pt>
                <c:pt idx="5">
                  <c:v>5.0882559708156791E-2</c:v>
                </c:pt>
              </c:numCache>
            </c:numRef>
          </c:val>
          <c:smooth val="0"/>
          <c:extLst>
            <c:ext xmlns:c16="http://schemas.microsoft.com/office/drawing/2014/chart" uri="{C3380CC4-5D6E-409C-BE32-E72D297353CC}">
              <c16:uniqueId val="{00000007-66CE-4B25-907E-89F5250D4056}"/>
            </c:ext>
          </c:extLst>
        </c:ser>
        <c:dLbls>
          <c:showLegendKey val="0"/>
          <c:showVal val="0"/>
          <c:showCatName val="0"/>
          <c:showSerName val="0"/>
          <c:showPercent val="0"/>
          <c:showBubbleSize val="0"/>
        </c:dLbls>
        <c:marker val="1"/>
        <c:smooth val="0"/>
        <c:axId val="227974144"/>
        <c:axId val="228004352"/>
      </c:lineChart>
      <c:catAx>
        <c:axId val="227974144"/>
        <c:scaling>
          <c:orientation val="minMax"/>
        </c:scaling>
        <c:delete val="0"/>
        <c:axPos val="b"/>
        <c:majorTickMark val="out"/>
        <c:minorTickMark val="none"/>
        <c:tickLblPos val="nextTo"/>
        <c:crossAx val="228004352"/>
        <c:crosses val="autoZero"/>
        <c:auto val="1"/>
        <c:lblAlgn val="ctr"/>
        <c:lblOffset val="100"/>
        <c:noMultiLvlLbl val="0"/>
      </c:catAx>
      <c:valAx>
        <c:axId val="228004352"/>
        <c:scaling>
          <c:orientation val="minMax"/>
        </c:scaling>
        <c:delete val="0"/>
        <c:axPos val="l"/>
        <c:majorGridlines/>
        <c:numFmt formatCode="0.00%" sourceLinked="1"/>
        <c:majorTickMark val="out"/>
        <c:minorTickMark val="none"/>
        <c:tickLblPos val="nextTo"/>
        <c:crossAx val="227974144"/>
        <c:crosses val="autoZero"/>
        <c:crossBetween val="between"/>
      </c:valAx>
    </c:plotArea>
    <c:legend>
      <c:legendPos val="r"/>
      <c:layout>
        <c:manualLayout>
          <c:xMode val="edge"/>
          <c:yMode val="edge"/>
          <c:x val="0.7377306959577955"/>
          <c:y val="0.52592443591609872"/>
          <c:w val="0.23871218092464119"/>
          <c:h val="0.32014001499264483"/>
        </c:manualLayout>
      </c:layout>
      <c:overlay val="0"/>
    </c:legend>
    <c:plotVisOnly val="1"/>
    <c:dispBlanksAs val="zero"/>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538407203348873"/>
          <c:y val="5.826329223413465E-2"/>
          <c:w val="0.6642098845293064"/>
          <c:h val="0.86918437601763898"/>
        </c:manualLayout>
      </c:layout>
      <c:lineChart>
        <c:grouping val="stacked"/>
        <c:varyColors val="0"/>
        <c:ser>
          <c:idx val="1"/>
          <c:order val="0"/>
          <c:tx>
            <c:strRef>
              <c:f>资产资本结构分析表!$A$26</c:f>
              <c:strCache>
                <c:ptCount val="1"/>
                <c:pt idx="0">
                  <c:v>金融资产占比</c:v>
                </c:pt>
              </c:strCache>
            </c:strRef>
          </c:tx>
          <c:val>
            <c:numRef>
              <c:f>资产资本结构分析表!$B$26:$Y$26</c:f>
              <c:numCache>
                <c:formatCode>0.00%</c:formatCode>
                <c:ptCount val="6"/>
                <c:pt idx="0">
                  <c:v>0.19846294965372188</c:v>
                </c:pt>
                <c:pt idx="1">
                  <c:v>0.14240560499134397</c:v>
                </c:pt>
                <c:pt idx="2">
                  <c:v>7.2487167282036774E-2</c:v>
                </c:pt>
                <c:pt idx="3">
                  <c:v>1.0775453422788198E-2</c:v>
                </c:pt>
                <c:pt idx="4">
                  <c:v>1.5616549136648165E-2</c:v>
                </c:pt>
                <c:pt idx="5">
                  <c:v>1.2719807142246643E-2</c:v>
                </c:pt>
              </c:numCache>
            </c:numRef>
          </c:val>
          <c:smooth val="0"/>
          <c:extLst>
            <c:ext xmlns:c16="http://schemas.microsoft.com/office/drawing/2014/chart" uri="{C3380CC4-5D6E-409C-BE32-E72D297353CC}">
              <c16:uniqueId val="{00000000-3C44-408F-97A9-A81F77976C01}"/>
            </c:ext>
          </c:extLst>
        </c:ser>
        <c:ser>
          <c:idx val="3"/>
          <c:order val="1"/>
          <c:tx>
            <c:strRef>
              <c:f>资产资本结构分析表!$A$28</c:f>
              <c:strCache>
                <c:ptCount val="1"/>
                <c:pt idx="0">
                  <c:v>长期股权投资占比</c:v>
                </c:pt>
              </c:strCache>
            </c:strRef>
          </c:tx>
          <c:val>
            <c:numRef>
              <c:f>资产资本结构分析表!$B$28:$Y$28</c:f>
              <c:numCache>
                <c:formatCode>0.00%</c:formatCode>
                <c:ptCount val="6"/>
                <c:pt idx="0">
                  <c:v>0.11940696855669024</c:v>
                </c:pt>
                <c:pt idx="1">
                  <c:v>0.10808410077807007</c:v>
                </c:pt>
                <c:pt idx="2">
                  <c:v>7.6242793369808326E-2</c:v>
                </c:pt>
                <c:pt idx="3">
                  <c:v>7.9178165363126302E-2</c:v>
                </c:pt>
                <c:pt idx="4">
                  <c:v>7.9709448007056968E-2</c:v>
                </c:pt>
                <c:pt idx="5">
                  <c:v>6.095414945070899E-2</c:v>
                </c:pt>
              </c:numCache>
            </c:numRef>
          </c:val>
          <c:smooth val="0"/>
          <c:extLst>
            <c:ext xmlns:c16="http://schemas.microsoft.com/office/drawing/2014/chart" uri="{C3380CC4-5D6E-409C-BE32-E72D297353CC}">
              <c16:uniqueId val="{00000001-3C44-408F-97A9-A81F77976C01}"/>
            </c:ext>
          </c:extLst>
        </c:ser>
        <c:ser>
          <c:idx val="8"/>
          <c:order val="2"/>
          <c:tx>
            <c:strRef>
              <c:f>资产资本结构分析表!$A$33</c:f>
              <c:strCache>
                <c:ptCount val="1"/>
                <c:pt idx="0">
                  <c:v>长期经营资产占比</c:v>
                </c:pt>
              </c:strCache>
            </c:strRef>
          </c:tx>
          <c:val>
            <c:numRef>
              <c:f>资产资本结构分析表!$B$33:$Y$33</c:f>
              <c:numCache>
                <c:formatCode>0.00%</c:formatCode>
                <c:ptCount val="6"/>
                <c:pt idx="0">
                  <c:v>0.84460889201023481</c:v>
                </c:pt>
                <c:pt idx="1">
                  <c:v>0.87945049322184299</c:v>
                </c:pt>
                <c:pt idx="2">
                  <c:v>0.92734558927583588</c:v>
                </c:pt>
                <c:pt idx="3">
                  <c:v>0.9843535857757727</c:v>
                </c:pt>
                <c:pt idx="4">
                  <c:v>0.95642547417907375</c:v>
                </c:pt>
                <c:pt idx="5">
                  <c:v>0.97695237448498484</c:v>
                </c:pt>
              </c:numCache>
            </c:numRef>
          </c:val>
          <c:smooth val="0"/>
          <c:extLst>
            <c:ext xmlns:c16="http://schemas.microsoft.com/office/drawing/2014/chart" uri="{C3380CC4-5D6E-409C-BE32-E72D297353CC}">
              <c16:uniqueId val="{00000002-3C44-408F-97A9-A81F77976C01}"/>
            </c:ext>
          </c:extLst>
        </c:ser>
        <c:ser>
          <c:idx val="10"/>
          <c:order val="3"/>
          <c:tx>
            <c:strRef>
              <c:f>资产资本结构分析表!$A$35</c:f>
              <c:strCache>
                <c:ptCount val="1"/>
                <c:pt idx="0">
                  <c:v>短期债务占比</c:v>
                </c:pt>
              </c:strCache>
            </c:strRef>
          </c:tx>
          <c:val>
            <c:numRef>
              <c:f>资产资本结构分析表!$B$35:$Y$35</c:f>
              <c:numCache>
                <c:formatCode>0.00%</c:formatCode>
                <c:ptCount val="6"/>
                <c:pt idx="0">
                  <c:v>0.41321986737481342</c:v>
                </c:pt>
                <c:pt idx="1">
                  <c:v>0.36063141369275542</c:v>
                </c:pt>
                <c:pt idx="2">
                  <c:v>0.43056880393430452</c:v>
                </c:pt>
                <c:pt idx="3">
                  <c:v>0.52359855626152663</c:v>
                </c:pt>
                <c:pt idx="4">
                  <c:v>0.51588713257169116</c:v>
                </c:pt>
                <c:pt idx="5">
                  <c:v>0.41141644998918092</c:v>
                </c:pt>
              </c:numCache>
            </c:numRef>
          </c:val>
          <c:smooth val="0"/>
          <c:extLst>
            <c:ext xmlns:c16="http://schemas.microsoft.com/office/drawing/2014/chart" uri="{C3380CC4-5D6E-409C-BE32-E72D297353CC}">
              <c16:uniqueId val="{00000003-3C44-408F-97A9-A81F77976C01}"/>
            </c:ext>
          </c:extLst>
        </c:ser>
        <c:ser>
          <c:idx val="12"/>
          <c:order val="4"/>
          <c:tx>
            <c:strRef>
              <c:f>资产资本结构分析表!$A$37</c:f>
              <c:strCache>
                <c:ptCount val="1"/>
                <c:pt idx="0">
                  <c:v>长期债务占比</c:v>
                </c:pt>
              </c:strCache>
            </c:strRef>
          </c:tx>
          <c:val>
            <c:numRef>
              <c:f>资产资本结构分析表!$B$37:$Y$37</c:f>
              <c:numCache>
                <c:formatCode>0.00%</c:formatCode>
                <c:ptCount val="6"/>
                <c:pt idx="0">
                  <c:v>0.58678013262518658</c:v>
                </c:pt>
                <c:pt idx="1">
                  <c:v>0.63936858630724458</c:v>
                </c:pt>
                <c:pt idx="2">
                  <c:v>0.56943119606569548</c:v>
                </c:pt>
                <c:pt idx="3">
                  <c:v>0.47640144373847343</c:v>
                </c:pt>
                <c:pt idx="4">
                  <c:v>0.48411286742830878</c:v>
                </c:pt>
                <c:pt idx="5">
                  <c:v>0.58858355001081908</c:v>
                </c:pt>
              </c:numCache>
            </c:numRef>
          </c:val>
          <c:smooth val="0"/>
          <c:extLst>
            <c:ext xmlns:c16="http://schemas.microsoft.com/office/drawing/2014/chart" uri="{C3380CC4-5D6E-409C-BE32-E72D297353CC}">
              <c16:uniqueId val="{00000004-3C44-408F-97A9-A81F77976C01}"/>
            </c:ext>
          </c:extLst>
        </c:ser>
        <c:dLbls>
          <c:showLegendKey val="0"/>
          <c:showVal val="0"/>
          <c:showCatName val="0"/>
          <c:showSerName val="0"/>
          <c:showPercent val="0"/>
          <c:showBubbleSize val="0"/>
        </c:dLbls>
        <c:marker val="1"/>
        <c:smooth val="0"/>
        <c:axId val="227974656"/>
        <c:axId val="228006656"/>
      </c:lineChart>
      <c:catAx>
        <c:axId val="227974656"/>
        <c:scaling>
          <c:orientation val="minMax"/>
        </c:scaling>
        <c:delete val="0"/>
        <c:axPos val="b"/>
        <c:majorTickMark val="out"/>
        <c:minorTickMark val="none"/>
        <c:tickLblPos val="nextTo"/>
        <c:crossAx val="228006656"/>
        <c:crosses val="autoZero"/>
        <c:auto val="1"/>
        <c:lblAlgn val="ctr"/>
        <c:lblOffset val="100"/>
        <c:noMultiLvlLbl val="0"/>
      </c:catAx>
      <c:valAx>
        <c:axId val="228006656"/>
        <c:scaling>
          <c:orientation val="minMax"/>
        </c:scaling>
        <c:delete val="0"/>
        <c:axPos val="l"/>
        <c:majorGridlines/>
        <c:numFmt formatCode="0.00%" sourceLinked="1"/>
        <c:majorTickMark val="out"/>
        <c:minorTickMark val="none"/>
        <c:tickLblPos val="nextTo"/>
        <c:crossAx val="22797465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资产资本结构分析表!$A$17</c:f>
              <c:strCache>
                <c:ptCount val="1"/>
                <c:pt idx="0">
                  <c:v>运营资本长期化率=（8+10-4-2）/3</c:v>
                </c:pt>
              </c:strCache>
            </c:strRef>
          </c:tx>
          <c:val>
            <c:numRef>
              <c:f>资产资本结构分析表!$B$17:$Y$17</c:f>
              <c:numCache>
                <c:formatCode>0.00%</c:formatCode>
                <c:ptCount val="6"/>
                <c:pt idx="0">
                  <c:v>0.23477900118852735</c:v>
                </c:pt>
                <c:pt idx="1">
                  <c:v>0.44059444717409724</c:v>
                </c:pt>
                <c:pt idx="2">
                  <c:v>1.4484103976421703</c:v>
                </c:pt>
                <c:pt idx="3">
                  <c:v>3.2160375487538837</c:v>
                </c:pt>
                <c:pt idx="4">
                  <c:v>3.9728233719001658</c:v>
                </c:pt>
                <c:pt idx="5">
                  <c:v>3.4310360777058277</c:v>
                </c:pt>
              </c:numCache>
            </c:numRef>
          </c:val>
          <c:smooth val="0"/>
          <c:extLst>
            <c:ext xmlns:c16="http://schemas.microsoft.com/office/drawing/2014/chart" uri="{C3380CC4-5D6E-409C-BE32-E72D297353CC}">
              <c16:uniqueId val="{00000000-8021-4C50-9973-4D132B4E0554}"/>
            </c:ext>
          </c:extLst>
        </c:ser>
        <c:dLbls>
          <c:showLegendKey val="0"/>
          <c:showVal val="0"/>
          <c:showCatName val="0"/>
          <c:showSerName val="0"/>
          <c:showPercent val="0"/>
          <c:showBubbleSize val="0"/>
        </c:dLbls>
        <c:marker val="1"/>
        <c:smooth val="0"/>
        <c:axId val="229237248"/>
        <c:axId val="229270656"/>
      </c:lineChart>
      <c:catAx>
        <c:axId val="229237248"/>
        <c:scaling>
          <c:orientation val="minMax"/>
        </c:scaling>
        <c:delete val="0"/>
        <c:axPos val="b"/>
        <c:majorTickMark val="out"/>
        <c:minorTickMark val="none"/>
        <c:tickLblPos val="nextTo"/>
        <c:crossAx val="229270656"/>
        <c:crosses val="autoZero"/>
        <c:auto val="1"/>
        <c:lblAlgn val="ctr"/>
        <c:lblOffset val="100"/>
        <c:noMultiLvlLbl val="0"/>
      </c:catAx>
      <c:valAx>
        <c:axId val="229270656"/>
        <c:scaling>
          <c:orientation val="minMax"/>
        </c:scaling>
        <c:delete val="0"/>
        <c:axPos val="l"/>
        <c:majorGridlines/>
        <c:numFmt formatCode="0.00%" sourceLinked="1"/>
        <c:majorTickMark val="out"/>
        <c:minorTickMark val="none"/>
        <c:tickLblPos val="nextTo"/>
        <c:crossAx val="22923724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资产资本结构分析表!$A$2</c:f>
              <c:strCache>
                <c:ptCount val="1"/>
                <c:pt idx="0">
                  <c:v>(1)金融资产</c:v>
                </c:pt>
              </c:strCache>
            </c:strRef>
          </c:tx>
          <c:invertIfNegative val="0"/>
          <c:val>
            <c:numRef>
              <c:f>资产资本结构分析表!$B$2:$Y$2</c:f>
              <c:numCache>
                <c:formatCode>#,##0.00_ </c:formatCode>
                <c:ptCount val="6"/>
                <c:pt idx="0">
                  <c:v>217876000000</c:v>
                </c:pt>
                <c:pt idx="1">
                  <c:v>153905000000</c:v>
                </c:pt>
                <c:pt idx="2">
                  <c:v>78883000000</c:v>
                </c:pt>
                <c:pt idx="3">
                  <c:v>10968000000</c:v>
                </c:pt>
                <c:pt idx="4">
                  <c:v>15101000000</c:v>
                </c:pt>
                <c:pt idx="5">
                  <c:v>10864000000</c:v>
                </c:pt>
              </c:numCache>
            </c:numRef>
          </c:val>
          <c:extLst>
            <c:ext xmlns:c16="http://schemas.microsoft.com/office/drawing/2014/chart" uri="{C3380CC4-5D6E-409C-BE32-E72D297353CC}">
              <c16:uniqueId val="{00000000-0646-411F-B3E9-99281EA30DD0}"/>
            </c:ext>
          </c:extLst>
        </c:ser>
        <c:ser>
          <c:idx val="1"/>
          <c:order val="1"/>
          <c:tx>
            <c:strRef>
              <c:f>资产资本结构分析表!$A$3</c:f>
              <c:strCache>
                <c:ptCount val="1"/>
                <c:pt idx="0">
                  <c:v>(2)长期股权投资</c:v>
                </c:pt>
              </c:strCache>
            </c:strRef>
          </c:tx>
          <c:invertIfNegative val="0"/>
          <c:val>
            <c:numRef>
              <c:f>资产资本结构分析表!$B$3:$Y$3</c:f>
              <c:numCache>
                <c:formatCode>#,##0.00_ </c:formatCode>
                <c:ptCount val="6"/>
                <c:pt idx="0">
                  <c:v>131087000000</c:v>
                </c:pt>
                <c:pt idx="1">
                  <c:v>116812000000</c:v>
                </c:pt>
                <c:pt idx="2">
                  <c:v>82970000000</c:v>
                </c:pt>
                <c:pt idx="3">
                  <c:v>80593000000</c:v>
                </c:pt>
                <c:pt idx="4">
                  <c:v>77078000000</c:v>
                </c:pt>
                <c:pt idx="5">
                  <c:v>52061000000</c:v>
                </c:pt>
              </c:numCache>
            </c:numRef>
          </c:val>
          <c:extLst>
            <c:ext xmlns:c16="http://schemas.microsoft.com/office/drawing/2014/chart" uri="{C3380CC4-5D6E-409C-BE32-E72D297353CC}">
              <c16:uniqueId val="{00000001-0646-411F-B3E9-99281EA30DD0}"/>
            </c:ext>
          </c:extLst>
        </c:ser>
        <c:ser>
          <c:idx val="5"/>
          <c:order val="2"/>
          <c:tx>
            <c:strRef>
              <c:f>资产资本结构分析表!$A$7</c:f>
              <c:strCache>
                <c:ptCount val="1"/>
                <c:pt idx="0">
                  <c:v>(4)长期经营资产</c:v>
                </c:pt>
              </c:strCache>
            </c:strRef>
          </c:tx>
          <c:invertIfNegative val="0"/>
          <c:val>
            <c:numRef>
              <c:f>资产资本结构分析表!$B$7:$Y$7</c:f>
              <c:numCache>
                <c:formatCode>#,##0.00_ </c:formatCode>
                <c:ptCount val="6"/>
                <c:pt idx="0">
                  <c:v>927226000000</c:v>
                </c:pt>
                <c:pt idx="1">
                  <c:v>950467000000</c:v>
                </c:pt>
                <c:pt idx="2">
                  <c:v>1009169000000</c:v>
                </c:pt>
                <c:pt idx="3">
                  <c:v>1001943000000</c:v>
                </c:pt>
                <c:pt idx="4">
                  <c:v>924851000000</c:v>
                </c:pt>
                <c:pt idx="5">
                  <c:v>834416000000</c:v>
                </c:pt>
              </c:numCache>
            </c:numRef>
          </c:val>
          <c:extLst>
            <c:ext xmlns:c16="http://schemas.microsoft.com/office/drawing/2014/chart" uri="{C3380CC4-5D6E-409C-BE32-E72D297353CC}">
              <c16:uniqueId val="{00000002-0646-411F-B3E9-99281EA30DD0}"/>
            </c:ext>
          </c:extLst>
        </c:ser>
        <c:ser>
          <c:idx val="7"/>
          <c:order val="3"/>
          <c:tx>
            <c:strRef>
              <c:f>资产资本结构分析表!$A$9</c:f>
              <c:strCache>
                <c:ptCount val="1"/>
                <c:pt idx="0">
                  <c:v>(6)资产总额合计=1+2+5</c:v>
                </c:pt>
              </c:strCache>
            </c:strRef>
          </c:tx>
          <c:invertIfNegative val="0"/>
          <c:val>
            <c:numRef>
              <c:f>资产资本结构分析表!$B$9:$Y$9</c:f>
              <c:numCache>
                <c:formatCode>#,##0.00_ </c:formatCode>
                <c:ptCount val="6"/>
                <c:pt idx="0">
                  <c:v>1097817000000</c:v>
                </c:pt>
                <c:pt idx="1">
                  <c:v>1080751000000</c:v>
                </c:pt>
                <c:pt idx="2">
                  <c:v>1088234000000</c:v>
                </c:pt>
                <c:pt idx="3">
                  <c:v>1017869000000</c:v>
                </c:pt>
                <c:pt idx="4">
                  <c:v>966987000000</c:v>
                </c:pt>
                <c:pt idx="5">
                  <c:v>854101000000</c:v>
                </c:pt>
              </c:numCache>
            </c:numRef>
          </c:val>
          <c:extLst>
            <c:ext xmlns:c16="http://schemas.microsoft.com/office/drawing/2014/chart" uri="{C3380CC4-5D6E-409C-BE32-E72D297353CC}">
              <c16:uniqueId val="{00000003-0646-411F-B3E9-99281EA30DD0}"/>
            </c:ext>
          </c:extLst>
        </c:ser>
        <c:dLbls>
          <c:showLegendKey val="0"/>
          <c:showVal val="0"/>
          <c:showCatName val="0"/>
          <c:showSerName val="0"/>
          <c:showPercent val="0"/>
          <c:showBubbleSize val="0"/>
        </c:dLbls>
        <c:gapWidth val="150"/>
        <c:axId val="229238272"/>
        <c:axId val="229272384"/>
      </c:barChart>
      <c:catAx>
        <c:axId val="229238272"/>
        <c:scaling>
          <c:orientation val="minMax"/>
        </c:scaling>
        <c:delete val="0"/>
        <c:axPos val="b"/>
        <c:majorTickMark val="out"/>
        <c:minorTickMark val="none"/>
        <c:tickLblPos val="nextTo"/>
        <c:crossAx val="229272384"/>
        <c:crosses val="autoZero"/>
        <c:auto val="1"/>
        <c:lblAlgn val="ctr"/>
        <c:lblOffset val="100"/>
        <c:noMultiLvlLbl val="0"/>
      </c:catAx>
      <c:valAx>
        <c:axId val="229272384"/>
        <c:scaling>
          <c:orientation val="minMax"/>
        </c:scaling>
        <c:delete val="0"/>
        <c:axPos val="l"/>
        <c:majorGridlines/>
        <c:numFmt formatCode="#,##0.00_ " sourceLinked="1"/>
        <c:majorTickMark val="out"/>
        <c:minorTickMark val="none"/>
        <c:tickLblPos val="nextTo"/>
        <c:crossAx val="2292382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资产资本结构分析表!$A$10</c:f>
              <c:strCache>
                <c:ptCount val="1"/>
                <c:pt idx="0">
                  <c:v>(7)短期债务</c:v>
                </c:pt>
              </c:strCache>
            </c:strRef>
          </c:tx>
          <c:invertIfNegative val="0"/>
          <c:val>
            <c:numRef>
              <c:f>资产资本结构分析表!$B$10:$Y$10</c:f>
              <c:numCache>
                <c:formatCode>#,##0.00_ </c:formatCode>
                <c:ptCount val="6"/>
                <c:pt idx="0">
                  <c:v>81382000000</c:v>
                </c:pt>
                <c:pt idx="1">
                  <c:v>75346000000</c:v>
                </c:pt>
                <c:pt idx="2">
                  <c:v>116006000000</c:v>
                </c:pt>
                <c:pt idx="3">
                  <c:v>178578000000</c:v>
                </c:pt>
                <c:pt idx="4">
                  <c:v>163870000000</c:v>
                </c:pt>
                <c:pt idx="5">
                  <c:v>115982000000</c:v>
                </c:pt>
              </c:numCache>
            </c:numRef>
          </c:val>
          <c:extLst>
            <c:ext xmlns:c16="http://schemas.microsoft.com/office/drawing/2014/chart" uri="{C3380CC4-5D6E-409C-BE32-E72D297353CC}">
              <c16:uniqueId val="{00000000-28E6-4BA1-AAA1-2ED115E78BF2}"/>
            </c:ext>
          </c:extLst>
        </c:ser>
        <c:ser>
          <c:idx val="1"/>
          <c:order val="1"/>
          <c:tx>
            <c:strRef>
              <c:f>资产资本结构分析表!$A$11</c:f>
              <c:strCache>
                <c:ptCount val="1"/>
                <c:pt idx="0">
                  <c:v>(8)长期债务</c:v>
                </c:pt>
              </c:strCache>
            </c:strRef>
          </c:tx>
          <c:invertIfNegative val="0"/>
          <c:val>
            <c:numRef>
              <c:f>资产资本结构分析表!$B$11:$Y$11</c:f>
              <c:numCache>
                <c:formatCode>#,##0.00_ </c:formatCode>
                <c:ptCount val="6"/>
                <c:pt idx="0">
                  <c:v>115564000000</c:v>
                </c:pt>
                <c:pt idx="1">
                  <c:v>133582000000</c:v>
                </c:pt>
                <c:pt idx="2">
                  <c:v>153419000000</c:v>
                </c:pt>
                <c:pt idx="3">
                  <c:v>162481000000</c:v>
                </c:pt>
                <c:pt idx="4">
                  <c:v>153777000000</c:v>
                </c:pt>
                <c:pt idx="5">
                  <c:v>165927000000</c:v>
                </c:pt>
              </c:numCache>
            </c:numRef>
          </c:val>
          <c:extLst>
            <c:ext xmlns:c16="http://schemas.microsoft.com/office/drawing/2014/chart" uri="{C3380CC4-5D6E-409C-BE32-E72D297353CC}">
              <c16:uniqueId val="{00000001-28E6-4BA1-AAA1-2ED115E78BF2}"/>
            </c:ext>
          </c:extLst>
        </c:ser>
        <c:dLbls>
          <c:showLegendKey val="0"/>
          <c:showVal val="0"/>
          <c:showCatName val="0"/>
          <c:showSerName val="0"/>
          <c:showPercent val="0"/>
          <c:showBubbleSize val="0"/>
        </c:dLbls>
        <c:gapWidth val="150"/>
        <c:axId val="229239296"/>
        <c:axId val="229274688"/>
      </c:barChart>
      <c:catAx>
        <c:axId val="229239296"/>
        <c:scaling>
          <c:orientation val="minMax"/>
        </c:scaling>
        <c:delete val="0"/>
        <c:axPos val="b"/>
        <c:majorTickMark val="out"/>
        <c:minorTickMark val="none"/>
        <c:tickLblPos val="nextTo"/>
        <c:crossAx val="229274688"/>
        <c:crosses val="autoZero"/>
        <c:auto val="1"/>
        <c:lblAlgn val="ctr"/>
        <c:lblOffset val="100"/>
        <c:noMultiLvlLbl val="0"/>
      </c:catAx>
      <c:valAx>
        <c:axId val="229274688"/>
        <c:scaling>
          <c:orientation val="minMax"/>
        </c:scaling>
        <c:delete val="0"/>
        <c:axPos val="l"/>
        <c:majorGridlines/>
        <c:numFmt formatCode="#,##0.00_ " sourceLinked="1"/>
        <c:majorTickMark val="out"/>
        <c:minorTickMark val="none"/>
        <c:tickLblPos val="nextTo"/>
        <c:crossAx val="22923929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资产资本结构分析表!$A$15</c:f>
              <c:strCache>
                <c:ptCount val="1"/>
                <c:pt idx="0">
                  <c:v>长期融资净值=8+10-2-3-4</c:v>
                </c:pt>
              </c:strCache>
            </c:strRef>
          </c:tx>
          <c:invertIfNegative val="0"/>
          <c:val>
            <c:numRef>
              <c:f>资产资本结构分析表!$B$15:$Y$15</c:f>
              <c:numCache>
                <c:formatCode>#,##0.00_ </c:formatCode>
                <c:ptCount val="6"/>
                <c:pt idx="0">
                  <c:v>136494000000</c:v>
                </c:pt>
                <c:pt idx="1">
                  <c:v>78559000000</c:v>
                </c:pt>
                <c:pt idx="2">
                  <c:v>-37123000000</c:v>
                </c:pt>
                <c:pt idx="3">
                  <c:v>-167610000000</c:v>
                </c:pt>
                <c:pt idx="4">
                  <c:v>-148769000000</c:v>
                </c:pt>
                <c:pt idx="5">
                  <c:v>-105118000000</c:v>
                </c:pt>
              </c:numCache>
            </c:numRef>
          </c:val>
          <c:extLst>
            <c:ext xmlns:c16="http://schemas.microsoft.com/office/drawing/2014/chart" uri="{C3380CC4-5D6E-409C-BE32-E72D297353CC}">
              <c16:uniqueId val="{00000000-A43A-4CEE-8666-0EF3D318090A}"/>
            </c:ext>
          </c:extLst>
        </c:ser>
        <c:ser>
          <c:idx val="1"/>
          <c:order val="1"/>
          <c:tx>
            <c:strRef>
              <c:f>资产资本结构分析表!$A$16</c:f>
              <c:strCache>
                <c:ptCount val="1"/>
                <c:pt idx="0">
                  <c:v>短期融资净值=7-1</c:v>
                </c:pt>
              </c:strCache>
            </c:strRef>
          </c:tx>
          <c:invertIfNegative val="0"/>
          <c:val>
            <c:numRef>
              <c:f>资产资本结构分析表!$B$16:$Y$16</c:f>
              <c:numCache>
                <c:formatCode>#,##0.00_ </c:formatCode>
                <c:ptCount val="6"/>
                <c:pt idx="0">
                  <c:v>-136494000000</c:v>
                </c:pt>
                <c:pt idx="1">
                  <c:v>-78559000000</c:v>
                </c:pt>
                <c:pt idx="2">
                  <c:v>37123000000</c:v>
                </c:pt>
                <c:pt idx="3">
                  <c:v>167610000000</c:v>
                </c:pt>
                <c:pt idx="4">
                  <c:v>148769000000</c:v>
                </c:pt>
                <c:pt idx="5">
                  <c:v>105118000000</c:v>
                </c:pt>
              </c:numCache>
            </c:numRef>
          </c:val>
          <c:extLst>
            <c:ext xmlns:c16="http://schemas.microsoft.com/office/drawing/2014/chart" uri="{C3380CC4-5D6E-409C-BE32-E72D297353CC}">
              <c16:uniqueId val="{00000001-A43A-4CEE-8666-0EF3D318090A}"/>
            </c:ext>
          </c:extLst>
        </c:ser>
        <c:dLbls>
          <c:showLegendKey val="0"/>
          <c:showVal val="0"/>
          <c:showCatName val="0"/>
          <c:showSerName val="0"/>
          <c:showPercent val="0"/>
          <c:showBubbleSize val="0"/>
        </c:dLbls>
        <c:gapWidth val="150"/>
        <c:axId val="229239808"/>
        <c:axId val="229276416"/>
      </c:barChart>
      <c:catAx>
        <c:axId val="229239808"/>
        <c:scaling>
          <c:orientation val="minMax"/>
        </c:scaling>
        <c:delete val="0"/>
        <c:axPos val="b"/>
        <c:majorTickMark val="out"/>
        <c:minorTickMark val="none"/>
        <c:tickLblPos val="nextTo"/>
        <c:crossAx val="229276416"/>
        <c:crosses val="autoZero"/>
        <c:auto val="1"/>
        <c:lblAlgn val="ctr"/>
        <c:lblOffset val="100"/>
        <c:noMultiLvlLbl val="0"/>
      </c:catAx>
      <c:valAx>
        <c:axId val="229276416"/>
        <c:scaling>
          <c:orientation val="minMax"/>
        </c:scaling>
        <c:delete val="0"/>
        <c:axPos val="l"/>
        <c:majorGridlines/>
        <c:numFmt formatCode="#,##0.00_ " sourceLinked="1"/>
        <c:majorTickMark val="out"/>
        <c:minorTickMark val="none"/>
        <c:tickLblPos val="nextTo"/>
        <c:crossAx val="22923980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4935008583971405E-2"/>
          <c:y val="4.7870595016058309E-2"/>
          <c:w val="0.68699859750674575"/>
          <c:h val="0.89251828901179875"/>
        </c:manualLayout>
      </c:layout>
      <c:lineChart>
        <c:grouping val="stacked"/>
        <c:varyColors val="0"/>
        <c:ser>
          <c:idx val="3"/>
          <c:order val="0"/>
          <c:tx>
            <c:strRef>
              <c:f>股权价值增加分析表!$A$5</c:f>
              <c:strCache>
                <c:ptCount val="1"/>
                <c:pt idx="0">
                  <c:v>营业成本率</c:v>
                </c:pt>
              </c:strCache>
            </c:strRef>
          </c:tx>
          <c:val>
            <c:numRef>
              <c:f>股权价值增加分析表!$B$5:$Y$5</c:f>
              <c:numCache>
                <c:formatCode>0.00%</c:formatCode>
                <c:ptCount val="6"/>
                <c:pt idx="0">
                  <c:v>0.80095060022633746</c:v>
                </c:pt>
                <c:pt idx="1">
                  <c:v>0.77277771994669875</c:v>
                </c:pt>
                <c:pt idx="2">
                  <c:v>0.7889367536405032</c:v>
                </c:pt>
                <c:pt idx="3">
                  <c:v>0.85955092759369178</c:v>
                </c:pt>
                <c:pt idx="4">
                  <c:v>0.85304711887014983</c:v>
                </c:pt>
                <c:pt idx="5">
                  <c:v>0.85147045363588891</c:v>
                </c:pt>
              </c:numCache>
            </c:numRef>
          </c:val>
          <c:smooth val="0"/>
          <c:extLst>
            <c:ext xmlns:c16="http://schemas.microsoft.com/office/drawing/2014/chart" uri="{C3380CC4-5D6E-409C-BE32-E72D297353CC}">
              <c16:uniqueId val="{00000000-B290-4A85-91F4-5245D26055D6}"/>
            </c:ext>
          </c:extLst>
        </c:ser>
        <c:ser>
          <c:idx val="6"/>
          <c:order val="1"/>
          <c:tx>
            <c:strRef>
              <c:f>股权价值增加分析表!$A$8</c:f>
              <c:strCache>
                <c:ptCount val="1"/>
                <c:pt idx="0">
                  <c:v>毛利率</c:v>
                </c:pt>
              </c:strCache>
            </c:strRef>
          </c:tx>
          <c:val>
            <c:numRef>
              <c:f>股权价值增加分析表!$B$8:$Y$8</c:f>
              <c:numCache>
                <c:formatCode>0.00%</c:formatCode>
                <c:ptCount val="6"/>
                <c:pt idx="0">
                  <c:v>0.19904939977366257</c:v>
                </c:pt>
                <c:pt idx="1">
                  <c:v>0.22722228005330128</c:v>
                </c:pt>
                <c:pt idx="2">
                  <c:v>0.2110632463594968</c:v>
                </c:pt>
                <c:pt idx="3">
                  <c:v>0.14044907240630819</c:v>
                </c:pt>
                <c:pt idx="4">
                  <c:v>0.14695288112985022</c:v>
                </c:pt>
                <c:pt idx="5">
                  <c:v>0.14852954636411114</c:v>
                </c:pt>
              </c:numCache>
            </c:numRef>
          </c:val>
          <c:smooth val="0"/>
          <c:extLst>
            <c:ext xmlns:c16="http://schemas.microsoft.com/office/drawing/2014/chart" uri="{C3380CC4-5D6E-409C-BE32-E72D297353CC}">
              <c16:uniqueId val="{00000001-B290-4A85-91F4-5245D26055D6}"/>
            </c:ext>
          </c:extLst>
        </c:ser>
        <c:ser>
          <c:idx val="9"/>
          <c:order val="2"/>
          <c:tx>
            <c:strRef>
              <c:f>股权价值增加分析表!$A$11</c:f>
              <c:strCache>
                <c:ptCount val="1"/>
                <c:pt idx="0">
                  <c:v>税金及附加率</c:v>
                </c:pt>
              </c:strCache>
            </c:strRef>
          </c:tx>
          <c:val>
            <c:numRef>
              <c:f>股权价值增加分析表!$B$11:$Y$11</c:f>
              <c:numCache>
                <c:formatCode>0.00%</c:formatCode>
                <c:ptCount val="6"/>
                <c:pt idx="0">
                  <c:v>9.9691847234527009E-2</c:v>
                </c:pt>
                <c:pt idx="1">
                  <c:v>0.1201536476823634</c:v>
                </c:pt>
                <c:pt idx="2">
                  <c:v>0.1170662192905681</c:v>
                </c:pt>
                <c:pt idx="3">
                  <c:v>6.7660233113958884E-2</c:v>
                </c:pt>
                <c:pt idx="4">
                  <c:v>6.6198407047016794E-2</c:v>
                </c:pt>
                <c:pt idx="5">
                  <c:v>6.7652532532676252E-2</c:v>
                </c:pt>
              </c:numCache>
            </c:numRef>
          </c:val>
          <c:smooth val="0"/>
          <c:extLst>
            <c:ext xmlns:c16="http://schemas.microsoft.com/office/drawing/2014/chart" uri="{C3380CC4-5D6E-409C-BE32-E72D297353CC}">
              <c16:uniqueId val="{00000002-B290-4A85-91F4-5245D26055D6}"/>
            </c:ext>
          </c:extLst>
        </c:ser>
        <c:ser>
          <c:idx val="11"/>
          <c:order val="3"/>
          <c:tx>
            <c:strRef>
              <c:f>股权价值增加分析表!$A$13</c:f>
              <c:strCache>
                <c:ptCount val="1"/>
                <c:pt idx="0">
                  <c:v>销售费用率</c:v>
                </c:pt>
              </c:strCache>
            </c:strRef>
          </c:tx>
          <c:val>
            <c:numRef>
              <c:f>股权价值增加分析表!$B$13:$Y$13</c:f>
              <c:numCache>
                <c:formatCode>0.00%</c:formatCode>
                <c:ptCount val="6"/>
                <c:pt idx="0">
                  <c:v>2.3750176362695764E-2</c:v>
                </c:pt>
                <c:pt idx="1">
                  <c:v>2.5661462387443025E-2</c:v>
                </c:pt>
                <c:pt idx="2">
                  <c:v>2.3216798596055344E-2</c:v>
                </c:pt>
                <c:pt idx="3">
                  <c:v>1.6374879065675741E-2</c:v>
                </c:pt>
                <c:pt idx="4">
                  <c:v>1.5400767486566555E-2</c:v>
                </c:pt>
                <c:pt idx="5">
                  <c:v>1.4464590485796174E-2</c:v>
                </c:pt>
              </c:numCache>
            </c:numRef>
          </c:val>
          <c:smooth val="0"/>
          <c:extLst>
            <c:ext xmlns:c16="http://schemas.microsoft.com/office/drawing/2014/chart" uri="{C3380CC4-5D6E-409C-BE32-E72D297353CC}">
              <c16:uniqueId val="{00000003-B290-4A85-91F4-5245D26055D6}"/>
            </c:ext>
          </c:extLst>
        </c:ser>
        <c:ser>
          <c:idx val="13"/>
          <c:order val="4"/>
          <c:tx>
            <c:strRef>
              <c:f>股权价值增加分析表!$A$15</c:f>
              <c:strCache>
                <c:ptCount val="1"/>
                <c:pt idx="0">
                  <c:v>管理费用率</c:v>
                </c:pt>
              </c:strCache>
            </c:strRef>
          </c:tx>
          <c:val>
            <c:numRef>
              <c:f>股权价值增加分析表!$B$15:$Y$15</c:f>
              <c:numCache>
                <c:formatCode>0.00%</c:formatCode>
                <c:ptCount val="6"/>
                <c:pt idx="0">
                  <c:v>3.3441332975735462E-2</c:v>
                </c:pt>
                <c:pt idx="1">
                  <c:v>3.8404152236949297E-2</c:v>
                </c:pt>
                <c:pt idx="2">
                  <c:v>3.5604341608701448E-2</c:v>
                </c:pt>
                <c:pt idx="3">
                  <c:v>2.4947680644209273E-2</c:v>
                </c:pt>
                <c:pt idx="4">
                  <c:v>2.5543075035994376E-2</c:v>
                </c:pt>
                <c:pt idx="5">
                  <c:v>2.3542333307609891E-2</c:v>
                </c:pt>
              </c:numCache>
            </c:numRef>
          </c:val>
          <c:smooth val="0"/>
          <c:extLst>
            <c:ext xmlns:c16="http://schemas.microsoft.com/office/drawing/2014/chart" uri="{C3380CC4-5D6E-409C-BE32-E72D297353CC}">
              <c16:uniqueId val="{00000004-B290-4A85-91F4-5245D26055D6}"/>
            </c:ext>
          </c:extLst>
        </c:ser>
        <c:ser>
          <c:idx val="15"/>
          <c:order val="5"/>
          <c:tx>
            <c:strRef>
              <c:f>股权价值增加分析表!$A$17</c:f>
              <c:strCache>
                <c:ptCount val="1"/>
                <c:pt idx="0">
                  <c:v>资产减值损失率（大比例变动可能操纵利润）</c:v>
                </c:pt>
              </c:strCache>
            </c:strRef>
          </c:tx>
          <c:val>
            <c:numRef>
              <c:f>股权价值增加分析表!$B$17:$Y$17</c:f>
              <c:numCache>
                <c:formatCode>0.00%</c:formatCode>
                <c:ptCount val="6"/>
                <c:pt idx="0">
                  <c:v>9.2327195275979553E-3</c:v>
                </c:pt>
                <c:pt idx="1">
                  <c:v>8.8434940812911634E-3</c:v>
                </c:pt>
                <c:pt idx="2">
                  <c:v>4.3425002835726489E-3</c:v>
                </c:pt>
                <c:pt idx="3">
                  <c:v>2.4201019563935776E-3</c:v>
                </c:pt>
                <c:pt idx="4">
                  <c:v>1.4040150525412012E-3</c:v>
                </c:pt>
                <c:pt idx="5">
                  <c:v>2.8377143944193291E-3</c:v>
                </c:pt>
              </c:numCache>
            </c:numRef>
          </c:val>
          <c:smooth val="0"/>
          <c:extLst>
            <c:ext xmlns:c16="http://schemas.microsoft.com/office/drawing/2014/chart" uri="{C3380CC4-5D6E-409C-BE32-E72D297353CC}">
              <c16:uniqueId val="{00000005-B290-4A85-91F4-5245D26055D6}"/>
            </c:ext>
          </c:extLst>
        </c:ser>
        <c:ser>
          <c:idx val="17"/>
          <c:order val="6"/>
          <c:tx>
            <c:strRef>
              <c:f>股权价值增加分析表!$A$19</c:f>
              <c:strCache>
                <c:ptCount val="1"/>
                <c:pt idx="0">
                  <c:v>财务手续费率</c:v>
                </c:pt>
              </c:strCache>
            </c:strRef>
          </c:tx>
          <c:val>
            <c:numRef>
              <c:f>股权价值增加分析表!$B$19:$Y$19</c:f>
              <c:numCache>
                <c:formatCode>0.00%</c:formatCode>
                <c:ptCount val="6"/>
                <c:pt idx="0">
                  <c:v>3.2963405958749985E-4</c:v>
                </c:pt>
                <c:pt idx="1">
                  <c:v>1.0254227149775416E-4</c:v>
                </c:pt>
                <c:pt idx="2">
                  <c:v>-6.9345276571252521E-5</c:v>
                </c:pt>
                <c:pt idx="3">
                  <c:v>-2.5160001330542966E-4</c:v>
                </c:pt>
                <c:pt idx="4">
                  <c:v>-2.8920488100069752E-4</c:v>
                </c:pt>
                <c:pt idx="5">
                  <c:v>-3.0580984872821508E-4</c:v>
                </c:pt>
              </c:numCache>
            </c:numRef>
          </c:val>
          <c:smooth val="0"/>
          <c:extLst>
            <c:ext xmlns:c16="http://schemas.microsoft.com/office/drawing/2014/chart" uri="{C3380CC4-5D6E-409C-BE32-E72D297353CC}">
              <c16:uniqueId val="{00000006-B290-4A85-91F4-5245D26055D6}"/>
            </c:ext>
          </c:extLst>
        </c:ser>
        <c:ser>
          <c:idx val="19"/>
          <c:order val="7"/>
          <c:tx>
            <c:strRef>
              <c:f>股权价值增加分析表!$A$21</c:f>
              <c:strCache>
                <c:ptCount val="1"/>
                <c:pt idx="0">
                  <c:v>营业外收支净额率</c:v>
                </c:pt>
              </c:strCache>
            </c:strRef>
          </c:tx>
          <c:val>
            <c:numRef>
              <c:f>股权价值增加分析表!$B$21:$Y$21</c:f>
              <c:numCache>
                <c:formatCode>0.00%</c:formatCode>
                <c:ptCount val="6"/>
                <c:pt idx="0">
                  <c:v>-1.6608811228573258E-4</c:v>
                </c:pt>
                <c:pt idx="1">
                  <c:v>5.1840815034975721E-4</c:v>
                </c:pt>
                <c:pt idx="2">
                  <c:v>1.9208641610236948E-3</c:v>
                </c:pt>
                <c:pt idx="3">
                  <c:v>3.538678105561599E-4</c:v>
                </c:pt>
                <c:pt idx="4">
                  <c:v>1.8366072274834212E-4</c:v>
                </c:pt>
                <c:pt idx="5">
                  <c:v>7.8283014093455058E-4</c:v>
                </c:pt>
              </c:numCache>
            </c:numRef>
          </c:val>
          <c:smooth val="0"/>
          <c:extLst>
            <c:ext xmlns:c16="http://schemas.microsoft.com/office/drawing/2014/chart" uri="{C3380CC4-5D6E-409C-BE32-E72D297353CC}">
              <c16:uniqueId val="{00000007-B290-4A85-91F4-5245D26055D6}"/>
            </c:ext>
          </c:extLst>
        </c:ser>
        <c:ser>
          <c:idx val="20"/>
          <c:order val="8"/>
          <c:tx>
            <c:strRef>
              <c:f>股权价值增加分析表!$A$22</c:f>
              <c:strCache>
                <c:ptCount val="1"/>
                <c:pt idx="0">
                  <c:v>总费用率</c:v>
                </c:pt>
              </c:strCache>
            </c:strRef>
          </c:tx>
          <c:val>
            <c:numRef>
              <c:f>股权价值增加分析表!$B$22:$Y$22</c:f>
              <c:numCache>
                <c:formatCode>0.00%</c:formatCode>
                <c:ptCount val="6"/>
                <c:pt idx="0">
                  <c:v>0.16627962204785796</c:v>
                </c:pt>
                <c:pt idx="1">
                  <c:v>0.19368370680989441</c:v>
                </c:pt>
                <c:pt idx="2">
                  <c:v>0.18208137866334997</c:v>
                </c:pt>
                <c:pt idx="3">
                  <c:v>0.1115051625774882</c:v>
                </c:pt>
                <c:pt idx="4">
                  <c:v>0.10844072046386656</c:v>
                </c:pt>
                <c:pt idx="5">
                  <c:v>0.108974191012708</c:v>
                </c:pt>
              </c:numCache>
            </c:numRef>
          </c:val>
          <c:smooth val="0"/>
          <c:extLst>
            <c:ext xmlns:c16="http://schemas.microsoft.com/office/drawing/2014/chart" uri="{C3380CC4-5D6E-409C-BE32-E72D297353CC}">
              <c16:uniqueId val="{00000008-B290-4A85-91F4-5245D26055D6}"/>
            </c:ext>
          </c:extLst>
        </c:ser>
        <c:ser>
          <c:idx val="22"/>
          <c:order val="9"/>
          <c:tx>
            <c:strRef>
              <c:f>股权价值增加分析表!$A$24</c:f>
              <c:strCache>
                <c:ptCount val="1"/>
                <c:pt idx="0">
                  <c:v>息前税后经营利润率</c:v>
                </c:pt>
              </c:strCache>
            </c:strRef>
          </c:tx>
          <c:val>
            <c:numRef>
              <c:f>股权价值增加分析表!$B$24:$Y$24</c:f>
              <c:numCache>
                <c:formatCode>0.00%</c:formatCode>
                <c:ptCount val="6"/>
                <c:pt idx="0">
                  <c:v>2.6570490605491128E-2</c:v>
                </c:pt>
                <c:pt idx="1">
                  <c:v>2.7151344921297598E-2</c:v>
                </c:pt>
                <c:pt idx="2">
                  <c:v>2.6234637722752592E-2</c:v>
                </c:pt>
                <c:pt idx="3">
                  <c:v>2.2069582142976708E-2</c:v>
                </c:pt>
                <c:pt idx="4">
                  <c:v>3.0153069598643247E-2</c:v>
                </c:pt>
                <c:pt idx="5">
                  <c:v>3.1975722134196548E-2</c:v>
                </c:pt>
              </c:numCache>
            </c:numRef>
          </c:val>
          <c:smooth val="0"/>
          <c:extLst>
            <c:ext xmlns:c16="http://schemas.microsoft.com/office/drawing/2014/chart" uri="{C3380CC4-5D6E-409C-BE32-E72D297353CC}">
              <c16:uniqueId val="{00000009-B290-4A85-91F4-5245D26055D6}"/>
            </c:ext>
          </c:extLst>
        </c:ser>
        <c:dLbls>
          <c:showLegendKey val="0"/>
          <c:showVal val="0"/>
          <c:showCatName val="0"/>
          <c:showSerName val="0"/>
          <c:showPercent val="0"/>
          <c:showBubbleSize val="0"/>
        </c:dLbls>
        <c:marker val="1"/>
        <c:smooth val="0"/>
        <c:axId val="229524480"/>
        <c:axId val="228868672"/>
      </c:lineChart>
      <c:catAx>
        <c:axId val="229524480"/>
        <c:scaling>
          <c:orientation val="minMax"/>
        </c:scaling>
        <c:delete val="0"/>
        <c:axPos val="b"/>
        <c:majorTickMark val="out"/>
        <c:minorTickMark val="none"/>
        <c:tickLblPos val="nextTo"/>
        <c:crossAx val="228868672"/>
        <c:crosses val="autoZero"/>
        <c:auto val="1"/>
        <c:lblAlgn val="ctr"/>
        <c:lblOffset val="100"/>
        <c:noMultiLvlLbl val="0"/>
      </c:catAx>
      <c:valAx>
        <c:axId val="228868672"/>
        <c:scaling>
          <c:orientation val="minMax"/>
        </c:scaling>
        <c:delete val="0"/>
        <c:axPos val="l"/>
        <c:majorGridlines/>
        <c:numFmt formatCode="0.00%" sourceLinked="1"/>
        <c:majorTickMark val="out"/>
        <c:minorTickMark val="none"/>
        <c:tickLblPos val="nextTo"/>
        <c:crossAx val="229524480"/>
        <c:crosses val="autoZero"/>
        <c:crossBetween val="between"/>
      </c:valAx>
    </c:plotArea>
    <c:legend>
      <c:legendPos val="r"/>
      <c:layout>
        <c:manualLayout>
          <c:xMode val="edge"/>
          <c:yMode val="edge"/>
          <c:x val="0.79215388376967444"/>
          <c:y val="7.0258151426999163E-2"/>
          <c:w val="0.20784611623032548"/>
          <c:h val="0.90045588014849187"/>
        </c:manualLayout>
      </c:layout>
      <c:overlay val="0"/>
    </c:legend>
    <c:plotVisOnly val="1"/>
    <c:dispBlanksAs val="zero"/>
    <c:showDLblsOverMax val="0"/>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6709445064421219E-2"/>
          <c:y val="4.6309449148692401E-2"/>
          <c:w val="0.55930247247173037"/>
          <c:h val="0.80809401502946276"/>
        </c:manualLayout>
      </c:layout>
      <c:lineChart>
        <c:grouping val="stacked"/>
        <c:varyColors val="0"/>
        <c:ser>
          <c:idx val="1"/>
          <c:order val="0"/>
          <c:tx>
            <c:strRef>
              <c:f>股权价值增加分析表!$A$29</c:f>
              <c:strCache>
                <c:ptCount val="1"/>
                <c:pt idx="0">
                  <c:v>息税前经营利润占比</c:v>
                </c:pt>
              </c:strCache>
            </c:strRef>
          </c:tx>
          <c:val>
            <c:numRef>
              <c:f>股权价值增加分析表!$B$29:$Y$29</c:f>
              <c:numCache>
                <c:formatCode>0.00%</c:formatCode>
                <c:ptCount val="6"/>
                <c:pt idx="0">
                  <c:v>0.79076805486696411</c:v>
                </c:pt>
                <c:pt idx="1">
                  <c:v>0.62825362768900683</c:v>
                </c:pt>
                <c:pt idx="2">
                  <c:v>0.88559095525739029</c:v>
                </c:pt>
                <c:pt idx="3">
                  <c:v>1.0459351166477351</c:v>
                </c:pt>
                <c:pt idx="4">
                  <c:v>0.91849707189842689</c:v>
                </c:pt>
                <c:pt idx="5">
                  <c:v>0.97402652610100326</c:v>
                </c:pt>
              </c:numCache>
            </c:numRef>
          </c:val>
          <c:smooth val="0"/>
          <c:extLst>
            <c:ext xmlns:c16="http://schemas.microsoft.com/office/drawing/2014/chart" uri="{C3380CC4-5D6E-409C-BE32-E72D297353CC}">
              <c16:uniqueId val="{00000000-A253-42D4-8495-3D4866AEF9C5}"/>
            </c:ext>
          </c:extLst>
        </c:ser>
        <c:ser>
          <c:idx val="3"/>
          <c:order val="1"/>
          <c:tx>
            <c:strRef>
              <c:f>股权价值增加分析表!$A$31</c:f>
              <c:strCache>
                <c:ptCount val="1"/>
                <c:pt idx="0">
                  <c:v>对联营企业和合营企业的股权投资收益占比</c:v>
                </c:pt>
              </c:strCache>
            </c:strRef>
          </c:tx>
          <c:val>
            <c:numRef>
              <c:f>股权价值增加分析表!$B$31:$Y$31</c:f>
              <c:numCache>
                <c:formatCode>0.00%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1-A253-42D4-8495-3D4866AEF9C5}"/>
            </c:ext>
          </c:extLst>
        </c:ser>
        <c:ser>
          <c:idx val="5"/>
          <c:order val="2"/>
          <c:tx>
            <c:strRef>
              <c:f>股权价值增加分析表!$A$33</c:f>
              <c:strCache>
                <c:ptCount val="1"/>
                <c:pt idx="0">
                  <c:v>息税前金融资产收益占比</c:v>
                </c:pt>
              </c:strCache>
            </c:strRef>
          </c:tx>
          <c:val>
            <c:numRef>
              <c:f>股权价值增加分析表!$B$33:$Y$33</c:f>
              <c:numCache>
                <c:formatCode>0.00%</c:formatCode>
                <c:ptCount val="6"/>
                <c:pt idx="0">
                  <c:v>0.20923194513303586</c:v>
                </c:pt>
                <c:pt idx="1">
                  <c:v>0.37174637231099317</c:v>
                </c:pt>
                <c:pt idx="2">
                  <c:v>0.11440904474260973</c:v>
                </c:pt>
                <c:pt idx="3">
                  <c:v>-4.5935116647735072E-2</c:v>
                </c:pt>
                <c:pt idx="4">
                  <c:v>8.1502928101573141E-2</c:v>
                </c:pt>
                <c:pt idx="5">
                  <c:v>2.597347389899677E-2</c:v>
                </c:pt>
              </c:numCache>
            </c:numRef>
          </c:val>
          <c:smooth val="0"/>
          <c:extLst>
            <c:ext xmlns:c16="http://schemas.microsoft.com/office/drawing/2014/chart" uri="{C3380CC4-5D6E-409C-BE32-E72D297353CC}">
              <c16:uniqueId val="{00000002-A253-42D4-8495-3D4866AEF9C5}"/>
            </c:ext>
          </c:extLst>
        </c:ser>
        <c:dLbls>
          <c:showLegendKey val="0"/>
          <c:showVal val="0"/>
          <c:showCatName val="0"/>
          <c:showSerName val="0"/>
          <c:showPercent val="0"/>
          <c:showBubbleSize val="0"/>
        </c:dLbls>
        <c:marker val="1"/>
        <c:smooth val="0"/>
        <c:axId val="229524992"/>
        <c:axId val="228870976"/>
      </c:lineChart>
      <c:catAx>
        <c:axId val="229524992"/>
        <c:scaling>
          <c:orientation val="minMax"/>
        </c:scaling>
        <c:delete val="0"/>
        <c:axPos val="b"/>
        <c:majorTickMark val="out"/>
        <c:minorTickMark val="none"/>
        <c:tickLblPos val="nextTo"/>
        <c:crossAx val="228870976"/>
        <c:crosses val="autoZero"/>
        <c:auto val="1"/>
        <c:lblAlgn val="ctr"/>
        <c:lblOffset val="100"/>
        <c:noMultiLvlLbl val="0"/>
      </c:catAx>
      <c:valAx>
        <c:axId val="228870976"/>
        <c:scaling>
          <c:orientation val="minMax"/>
        </c:scaling>
        <c:delete val="0"/>
        <c:axPos val="l"/>
        <c:majorGridlines/>
        <c:numFmt formatCode="0.00%" sourceLinked="1"/>
        <c:majorTickMark val="out"/>
        <c:minorTickMark val="none"/>
        <c:tickLblPos val="nextTo"/>
        <c:crossAx val="22952499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股权价值增加分析表!$A$48</c:f>
              <c:strCache>
                <c:ptCount val="1"/>
                <c:pt idx="0">
                  <c:v>净利润率%</c:v>
                </c:pt>
              </c:strCache>
            </c:strRef>
          </c:tx>
          <c:val>
            <c:numRef>
              <c:f>股权价值增加分析表!$B$48:$AC$48</c:f>
              <c:numCache>
                <c:formatCode>0.00%</c:formatCode>
                <c:ptCount val="7"/>
                <c:pt idx="0">
                  <c:v>3.1236004852145567E-2</c:v>
                </c:pt>
                <c:pt idx="1">
                  <c:v>3.9219829396590522E-2</c:v>
                </c:pt>
                <c:pt idx="2">
                  <c:v>2.4875141352916439E-2</c:v>
                </c:pt>
                <c:pt idx="3">
                  <c:v>1.8098569170894797E-2</c:v>
                </c:pt>
                <c:pt idx="4">
                  <c:v>3.0717169083477443E-2</c:v>
                </c:pt>
                <c:pt idx="5">
                  <c:v>2.9737854198334916E-2</c:v>
                </c:pt>
                <c:pt idx="6">
                  <c:v>3.6153815147406912E-2</c:v>
                </c:pt>
              </c:numCache>
            </c:numRef>
          </c:val>
          <c:smooth val="0"/>
          <c:extLst>
            <c:ext xmlns:c16="http://schemas.microsoft.com/office/drawing/2014/chart" uri="{C3380CC4-5D6E-409C-BE32-E72D297353CC}">
              <c16:uniqueId val="{00000000-A3A6-4A66-B00C-111931E3F90C}"/>
            </c:ext>
          </c:extLst>
        </c:ser>
        <c:dLbls>
          <c:showLegendKey val="0"/>
          <c:showVal val="0"/>
          <c:showCatName val="0"/>
          <c:showSerName val="0"/>
          <c:showPercent val="0"/>
          <c:showBubbleSize val="0"/>
        </c:dLbls>
        <c:marker val="1"/>
        <c:smooth val="0"/>
        <c:axId val="229525504"/>
        <c:axId val="228873280"/>
      </c:lineChart>
      <c:catAx>
        <c:axId val="229525504"/>
        <c:scaling>
          <c:orientation val="minMax"/>
        </c:scaling>
        <c:delete val="0"/>
        <c:axPos val="b"/>
        <c:majorTickMark val="out"/>
        <c:minorTickMark val="none"/>
        <c:tickLblPos val="nextTo"/>
        <c:crossAx val="228873280"/>
        <c:crosses val="autoZero"/>
        <c:auto val="1"/>
        <c:lblAlgn val="ctr"/>
        <c:lblOffset val="100"/>
        <c:noMultiLvlLbl val="0"/>
      </c:catAx>
      <c:valAx>
        <c:axId val="228873280"/>
        <c:scaling>
          <c:orientation val="minMax"/>
        </c:scaling>
        <c:delete val="0"/>
        <c:axPos val="l"/>
        <c:majorGridlines/>
        <c:numFmt formatCode="0.00%" sourceLinked="1"/>
        <c:majorTickMark val="out"/>
        <c:minorTickMark val="none"/>
        <c:tickLblPos val="nextTo"/>
        <c:crossAx val="22952550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股权价值增加分析表!$A$29</c:f>
              <c:strCache>
                <c:ptCount val="1"/>
                <c:pt idx="0">
                  <c:v>息税前经营利润占比</c:v>
                </c:pt>
              </c:strCache>
            </c:strRef>
          </c:tx>
          <c:val>
            <c:numRef>
              <c:f>股权价值增加分析表!$B$29:$Y$29</c:f>
              <c:numCache>
                <c:formatCode>0.00%</c:formatCode>
                <c:ptCount val="6"/>
                <c:pt idx="0">
                  <c:v>0.79076805486696411</c:v>
                </c:pt>
                <c:pt idx="1">
                  <c:v>0.62825362768900683</c:v>
                </c:pt>
                <c:pt idx="2">
                  <c:v>0.88559095525739029</c:v>
                </c:pt>
                <c:pt idx="3">
                  <c:v>1.0459351166477351</c:v>
                </c:pt>
                <c:pt idx="4">
                  <c:v>0.91849707189842689</c:v>
                </c:pt>
                <c:pt idx="5">
                  <c:v>0.97402652610100326</c:v>
                </c:pt>
              </c:numCache>
            </c:numRef>
          </c:val>
          <c:smooth val="0"/>
          <c:extLst>
            <c:ext xmlns:c16="http://schemas.microsoft.com/office/drawing/2014/chart" uri="{C3380CC4-5D6E-409C-BE32-E72D297353CC}">
              <c16:uniqueId val="{00000000-6E34-409E-8362-C08B62357644}"/>
            </c:ext>
          </c:extLst>
        </c:ser>
        <c:ser>
          <c:idx val="2"/>
          <c:order val="1"/>
          <c:tx>
            <c:strRef>
              <c:f>股权价值增加分析表!$A$31</c:f>
              <c:strCache>
                <c:ptCount val="1"/>
                <c:pt idx="0">
                  <c:v>对联营企业和合营企业的股权投资收益占比</c:v>
                </c:pt>
              </c:strCache>
            </c:strRef>
          </c:tx>
          <c:val>
            <c:numRef>
              <c:f>股权价值增加分析表!$B$31:$Y$31</c:f>
              <c:numCache>
                <c:formatCode>0.00%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1-6E34-409E-8362-C08B62357644}"/>
            </c:ext>
          </c:extLst>
        </c:ser>
        <c:ser>
          <c:idx val="4"/>
          <c:order val="2"/>
          <c:tx>
            <c:strRef>
              <c:f>股权价值增加分析表!$A$33</c:f>
              <c:strCache>
                <c:ptCount val="1"/>
                <c:pt idx="0">
                  <c:v>息税前金融资产收益占比</c:v>
                </c:pt>
              </c:strCache>
            </c:strRef>
          </c:tx>
          <c:val>
            <c:numRef>
              <c:f>股权价值增加分析表!$B$33:$Y$33</c:f>
              <c:numCache>
                <c:formatCode>0.00%</c:formatCode>
                <c:ptCount val="6"/>
                <c:pt idx="0">
                  <c:v>0.20923194513303586</c:v>
                </c:pt>
                <c:pt idx="1">
                  <c:v>0.37174637231099317</c:v>
                </c:pt>
                <c:pt idx="2">
                  <c:v>0.11440904474260973</c:v>
                </c:pt>
                <c:pt idx="3">
                  <c:v>-4.5935116647735072E-2</c:v>
                </c:pt>
                <c:pt idx="4">
                  <c:v>8.1502928101573141E-2</c:v>
                </c:pt>
                <c:pt idx="5">
                  <c:v>2.597347389899677E-2</c:v>
                </c:pt>
              </c:numCache>
            </c:numRef>
          </c:val>
          <c:smooth val="0"/>
          <c:extLst>
            <c:ext xmlns:c16="http://schemas.microsoft.com/office/drawing/2014/chart" uri="{C3380CC4-5D6E-409C-BE32-E72D297353CC}">
              <c16:uniqueId val="{00000002-6E34-409E-8362-C08B62357644}"/>
            </c:ext>
          </c:extLst>
        </c:ser>
        <c:dLbls>
          <c:showLegendKey val="0"/>
          <c:showVal val="0"/>
          <c:showCatName val="0"/>
          <c:showSerName val="0"/>
          <c:showPercent val="0"/>
          <c:showBubbleSize val="0"/>
        </c:dLbls>
        <c:marker val="1"/>
        <c:smooth val="0"/>
        <c:axId val="230150144"/>
        <c:axId val="230056512"/>
      </c:lineChart>
      <c:catAx>
        <c:axId val="230150144"/>
        <c:scaling>
          <c:orientation val="minMax"/>
        </c:scaling>
        <c:delete val="0"/>
        <c:axPos val="b"/>
        <c:majorTickMark val="out"/>
        <c:minorTickMark val="none"/>
        <c:tickLblPos val="nextTo"/>
        <c:crossAx val="230056512"/>
        <c:crosses val="autoZero"/>
        <c:auto val="1"/>
        <c:lblAlgn val="ctr"/>
        <c:lblOffset val="100"/>
        <c:noMultiLvlLbl val="0"/>
      </c:catAx>
      <c:valAx>
        <c:axId val="230056512"/>
        <c:scaling>
          <c:orientation val="minMax"/>
        </c:scaling>
        <c:delete val="0"/>
        <c:axPos val="l"/>
        <c:majorGridlines/>
        <c:numFmt formatCode="0.00%" sourceLinked="1"/>
        <c:majorTickMark val="out"/>
        <c:minorTickMark val="none"/>
        <c:tickLblPos val="nextTo"/>
        <c:crossAx val="230150144"/>
        <c:crosses val="autoZero"/>
        <c:crossBetween val="between"/>
      </c:valAx>
    </c:plotArea>
    <c:legend>
      <c:legendPos val="r"/>
      <c:layout>
        <c:manualLayout>
          <c:xMode val="edge"/>
          <c:yMode val="edge"/>
          <c:x val="0.68025564039343567"/>
          <c:y val="7.0117440689319516E-3"/>
          <c:w val="0.31974420463629094"/>
          <c:h val="0.76295675205281288"/>
        </c:manualLayout>
      </c:layout>
      <c:overlay val="0"/>
    </c:legend>
    <c:plotVisOnly val="1"/>
    <c:dispBlanksAs val="zero"/>
    <c:showDLblsOverMax val="0"/>
  </c:chart>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9.2576500942475576E-2"/>
          <c:y val="5.2820206907861121E-2"/>
        </c:manualLayout>
      </c:layout>
      <c:overlay val="0"/>
    </c:title>
    <c:autoTitleDeleted val="0"/>
    <c:plotArea>
      <c:layout/>
      <c:lineChart>
        <c:grouping val="stacked"/>
        <c:varyColors val="0"/>
        <c:ser>
          <c:idx val="0"/>
          <c:order val="0"/>
          <c:tx>
            <c:strRef>
              <c:f>股权价值增加分析表!$A$41</c:f>
              <c:strCache>
                <c:ptCount val="1"/>
                <c:pt idx="0">
                  <c:v>财务成本负担率=1-税前利润/息税前利润</c:v>
                </c:pt>
              </c:strCache>
            </c:strRef>
          </c:tx>
          <c:val>
            <c:numRef>
              <c:f>股权价值增加分析表!$B$41:$Y$41</c:f>
              <c:numCache>
                <c:formatCode>0.00%</c:formatCode>
                <c:ptCount val="6"/>
                <c:pt idx="0">
                  <c:v>7.0380928772103779E-2</c:v>
                </c:pt>
                <c:pt idx="1">
                  <c:v>9.2494306739690946E-2</c:v>
                </c:pt>
                <c:pt idx="2">
                  <c:v>0.16030095686106804</c:v>
                </c:pt>
                <c:pt idx="3">
                  <c:v>0.14226155555278175</c:v>
                </c:pt>
                <c:pt idx="4">
                  <c:v>6.4319811026722018E-2</c:v>
                </c:pt>
                <c:pt idx="5">
                  <c:v>9.414215269511983E-2</c:v>
                </c:pt>
              </c:numCache>
            </c:numRef>
          </c:val>
          <c:smooth val="0"/>
          <c:extLst>
            <c:ext xmlns:c16="http://schemas.microsoft.com/office/drawing/2014/chart" uri="{C3380CC4-5D6E-409C-BE32-E72D297353CC}">
              <c16:uniqueId val="{00000000-6916-475F-A94C-4DF209EFC443}"/>
            </c:ext>
          </c:extLst>
        </c:ser>
        <c:dLbls>
          <c:showLegendKey val="0"/>
          <c:showVal val="0"/>
          <c:showCatName val="0"/>
          <c:showSerName val="0"/>
          <c:showPercent val="0"/>
          <c:showBubbleSize val="0"/>
        </c:dLbls>
        <c:marker val="1"/>
        <c:smooth val="0"/>
        <c:axId val="230150656"/>
        <c:axId val="230058816"/>
      </c:lineChart>
      <c:catAx>
        <c:axId val="230150656"/>
        <c:scaling>
          <c:orientation val="minMax"/>
        </c:scaling>
        <c:delete val="0"/>
        <c:axPos val="b"/>
        <c:majorTickMark val="out"/>
        <c:minorTickMark val="none"/>
        <c:tickLblPos val="nextTo"/>
        <c:crossAx val="230058816"/>
        <c:crosses val="autoZero"/>
        <c:auto val="1"/>
        <c:lblAlgn val="ctr"/>
        <c:lblOffset val="100"/>
        <c:noMultiLvlLbl val="0"/>
      </c:catAx>
      <c:valAx>
        <c:axId val="230058816"/>
        <c:scaling>
          <c:orientation val="minMax"/>
        </c:scaling>
        <c:delete val="0"/>
        <c:axPos val="l"/>
        <c:majorGridlines/>
        <c:numFmt formatCode="0.00%" sourceLinked="1"/>
        <c:majorTickMark val="out"/>
        <c:minorTickMark val="none"/>
        <c:tickLblPos val="nextTo"/>
        <c:crossAx val="23015065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股权价值增加分析表!$A$2</c:f>
              <c:strCache>
                <c:ptCount val="1"/>
                <c:pt idx="0">
                  <c:v>营业收入</c:v>
                </c:pt>
              </c:strCache>
            </c:strRef>
          </c:tx>
          <c:invertIfNegative val="0"/>
          <c:val>
            <c:numRef>
              <c:f>股权价值增加分析表!$B$2:$Y$2</c:f>
              <c:numCache>
                <c:formatCode>#,##0.00_ </c:formatCode>
                <c:ptCount val="6"/>
                <c:pt idx="0">
                  <c:v>2360193000000</c:v>
                </c:pt>
                <c:pt idx="1">
                  <c:v>1930911000000</c:v>
                </c:pt>
                <c:pt idx="2">
                  <c:v>2018883000000</c:v>
                </c:pt>
                <c:pt idx="3">
                  <c:v>2825914000000</c:v>
                </c:pt>
                <c:pt idx="4">
                  <c:v>2880311000000</c:v>
                </c:pt>
                <c:pt idx="5">
                  <c:v>2786045000000</c:v>
                </c:pt>
              </c:numCache>
            </c:numRef>
          </c:val>
          <c:extLst>
            <c:ext xmlns:c16="http://schemas.microsoft.com/office/drawing/2014/chart" uri="{C3380CC4-5D6E-409C-BE32-E72D297353CC}">
              <c16:uniqueId val="{00000000-A93B-4798-8212-4DDF301A19D2}"/>
            </c:ext>
          </c:extLst>
        </c:ser>
        <c:ser>
          <c:idx val="2"/>
          <c:order val="1"/>
          <c:tx>
            <c:strRef>
              <c:f>股权价值增加分析表!$A$4</c:f>
              <c:strCache>
                <c:ptCount val="1"/>
                <c:pt idx="0">
                  <c:v>营业成本</c:v>
                </c:pt>
              </c:strCache>
            </c:strRef>
          </c:tx>
          <c:invertIfNegative val="0"/>
          <c:val>
            <c:numRef>
              <c:f>股权价值增加分析表!$B$4:$Y$4</c:f>
              <c:numCache>
                <c:formatCode>#,##0.00_ </c:formatCode>
                <c:ptCount val="6"/>
                <c:pt idx="0">
                  <c:v>1890398000000</c:v>
                </c:pt>
                <c:pt idx="1">
                  <c:v>1492165000000</c:v>
                </c:pt>
                <c:pt idx="2">
                  <c:v>1592771000000</c:v>
                </c:pt>
                <c:pt idx="3">
                  <c:v>2429017000000</c:v>
                </c:pt>
                <c:pt idx="4">
                  <c:v>2457041000000</c:v>
                </c:pt>
                <c:pt idx="5">
                  <c:v>2372235000000</c:v>
                </c:pt>
              </c:numCache>
            </c:numRef>
          </c:val>
          <c:extLst>
            <c:ext xmlns:c16="http://schemas.microsoft.com/office/drawing/2014/chart" uri="{C3380CC4-5D6E-409C-BE32-E72D297353CC}">
              <c16:uniqueId val="{00000001-A93B-4798-8212-4DDF301A19D2}"/>
            </c:ext>
          </c:extLst>
        </c:ser>
        <c:ser>
          <c:idx val="5"/>
          <c:order val="2"/>
          <c:tx>
            <c:strRef>
              <c:f>股权价值增加分析表!$A$7</c:f>
              <c:strCache>
                <c:ptCount val="1"/>
                <c:pt idx="0">
                  <c:v>毛利</c:v>
                </c:pt>
              </c:strCache>
            </c:strRef>
          </c:tx>
          <c:invertIfNegative val="0"/>
          <c:val>
            <c:numRef>
              <c:f>股权价值增加分析表!$B$7:$Y$7</c:f>
              <c:numCache>
                <c:formatCode>#,##0.00_ </c:formatCode>
                <c:ptCount val="6"/>
                <c:pt idx="0">
                  <c:v>469795000000</c:v>
                </c:pt>
                <c:pt idx="1">
                  <c:v>438746000000</c:v>
                </c:pt>
                <c:pt idx="2">
                  <c:v>426112000000</c:v>
                </c:pt>
                <c:pt idx="3">
                  <c:v>396897000000</c:v>
                </c:pt>
                <c:pt idx="4">
                  <c:v>423270000000</c:v>
                </c:pt>
                <c:pt idx="5">
                  <c:v>413810000000</c:v>
                </c:pt>
              </c:numCache>
            </c:numRef>
          </c:val>
          <c:extLst>
            <c:ext xmlns:c16="http://schemas.microsoft.com/office/drawing/2014/chart" uri="{C3380CC4-5D6E-409C-BE32-E72D297353CC}">
              <c16:uniqueId val="{00000002-A93B-4798-8212-4DDF301A19D2}"/>
            </c:ext>
          </c:extLst>
        </c:ser>
        <c:dLbls>
          <c:showLegendKey val="0"/>
          <c:showVal val="0"/>
          <c:showCatName val="0"/>
          <c:showSerName val="0"/>
          <c:showPercent val="0"/>
          <c:showBubbleSize val="0"/>
        </c:dLbls>
        <c:gapWidth val="150"/>
        <c:axId val="230151168"/>
        <c:axId val="230060544"/>
      </c:barChart>
      <c:catAx>
        <c:axId val="230151168"/>
        <c:scaling>
          <c:orientation val="minMax"/>
        </c:scaling>
        <c:delete val="0"/>
        <c:axPos val="b"/>
        <c:majorTickMark val="out"/>
        <c:minorTickMark val="none"/>
        <c:tickLblPos val="nextTo"/>
        <c:crossAx val="230060544"/>
        <c:crosses val="autoZero"/>
        <c:auto val="1"/>
        <c:lblAlgn val="ctr"/>
        <c:lblOffset val="100"/>
        <c:noMultiLvlLbl val="0"/>
      </c:catAx>
      <c:valAx>
        <c:axId val="230060544"/>
        <c:scaling>
          <c:orientation val="minMax"/>
        </c:scaling>
        <c:delete val="0"/>
        <c:axPos val="l"/>
        <c:majorGridlines/>
        <c:numFmt formatCode="#,##0.00_ " sourceLinked="1"/>
        <c:majorTickMark val="out"/>
        <c:minorTickMark val="none"/>
        <c:tickLblPos val="nextTo"/>
        <c:crossAx val="23015116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股东权益回报率分析表!$A$28</c:f>
              <c:strCache>
                <c:ptCount val="1"/>
                <c:pt idx="0">
                  <c:v>长期股权投资收益率</c:v>
                </c:pt>
              </c:strCache>
            </c:strRef>
          </c:tx>
          <c:val>
            <c:numRef>
              <c:f>股东权益回报率分析表!$B$28:$Y$28</c:f>
              <c:numCache>
                <c:formatCode>0.00%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0-BD4E-4A09-A91C-6471F6D59232}"/>
            </c:ext>
          </c:extLst>
        </c:ser>
        <c:dLbls>
          <c:showLegendKey val="0"/>
          <c:showVal val="0"/>
          <c:showCatName val="0"/>
          <c:showSerName val="0"/>
          <c:showPercent val="0"/>
          <c:showBubbleSize val="0"/>
        </c:dLbls>
        <c:marker val="1"/>
        <c:smooth val="0"/>
        <c:axId val="229526528"/>
        <c:axId val="230286464"/>
      </c:lineChart>
      <c:catAx>
        <c:axId val="229526528"/>
        <c:scaling>
          <c:orientation val="minMax"/>
        </c:scaling>
        <c:delete val="0"/>
        <c:axPos val="b"/>
        <c:majorTickMark val="out"/>
        <c:minorTickMark val="none"/>
        <c:tickLblPos val="nextTo"/>
        <c:crossAx val="230286464"/>
        <c:crosses val="autoZero"/>
        <c:auto val="1"/>
        <c:lblAlgn val="ctr"/>
        <c:lblOffset val="100"/>
        <c:noMultiLvlLbl val="0"/>
      </c:catAx>
      <c:valAx>
        <c:axId val="230286464"/>
        <c:scaling>
          <c:orientation val="minMax"/>
        </c:scaling>
        <c:delete val="0"/>
        <c:axPos val="l"/>
        <c:majorGridlines/>
        <c:numFmt formatCode="0.00%" sourceLinked="1"/>
        <c:majorTickMark val="out"/>
        <c:minorTickMark val="none"/>
        <c:tickLblPos val="nextTo"/>
        <c:crossAx val="22952652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股东权益回报率分析表!$A$44</c:f>
              <c:strCache>
                <c:ptCount val="1"/>
                <c:pt idx="0">
                  <c:v>税后金融资产收益率</c:v>
                </c:pt>
              </c:strCache>
            </c:strRef>
          </c:tx>
          <c:val>
            <c:numRef>
              <c:f>股东权益回报率分析表!$B$44:$Y$44</c:f>
              <c:numCache>
                <c:formatCode>0.00%</c:formatCode>
                <c:ptCount val="6"/>
                <c:pt idx="0">
                  <c:v>9.4809030643710671E-2</c:v>
                </c:pt>
                <c:pt idx="1">
                  <c:v>0.21069501779434033</c:v>
                </c:pt>
                <c:pt idx="2">
                  <c:v>8.6286758861039384E-2</c:v>
                </c:pt>
                <c:pt idx="3">
                  <c:v>-0.74935691882151445</c:v>
                </c:pt>
                <c:pt idx="4">
                  <c:v>0.45841139434639988</c:v>
                </c:pt>
                <c:pt idx="5">
                  <c:v>0.21280722294741758</c:v>
                </c:pt>
              </c:numCache>
            </c:numRef>
          </c:val>
          <c:smooth val="0"/>
          <c:extLst>
            <c:ext xmlns:c16="http://schemas.microsoft.com/office/drawing/2014/chart" uri="{C3380CC4-5D6E-409C-BE32-E72D297353CC}">
              <c16:uniqueId val="{00000000-AAAE-4A4E-8657-F1871AEF5DD2}"/>
            </c:ext>
          </c:extLst>
        </c:ser>
        <c:dLbls>
          <c:showLegendKey val="0"/>
          <c:showVal val="0"/>
          <c:showCatName val="0"/>
          <c:showSerName val="0"/>
          <c:showPercent val="0"/>
          <c:showBubbleSize val="0"/>
        </c:dLbls>
        <c:marker val="1"/>
        <c:smooth val="0"/>
        <c:axId val="229642240"/>
        <c:axId val="230288192"/>
      </c:lineChart>
      <c:catAx>
        <c:axId val="229642240"/>
        <c:scaling>
          <c:orientation val="minMax"/>
        </c:scaling>
        <c:delete val="0"/>
        <c:axPos val="b"/>
        <c:majorTickMark val="out"/>
        <c:minorTickMark val="none"/>
        <c:tickLblPos val="nextTo"/>
        <c:crossAx val="230288192"/>
        <c:crosses val="autoZero"/>
        <c:auto val="1"/>
        <c:lblAlgn val="ctr"/>
        <c:lblOffset val="100"/>
        <c:noMultiLvlLbl val="0"/>
      </c:catAx>
      <c:valAx>
        <c:axId val="230288192"/>
        <c:scaling>
          <c:orientation val="minMax"/>
        </c:scaling>
        <c:delete val="0"/>
        <c:axPos val="l"/>
        <c:majorGridlines/>
        <c:numFmt formatCode="0.00%" sourceLinked="1"/>
        <c:majorTickMark val="out"/>
        <c:minorTickMark val="none"/>
        <c:tickLblPos val="nextTo"/>
        <c:crossAx val="229642240"/>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股东权益回报率分析表!$A$51</c:f>
              <c:strCache>
                <c:ptCount val="1"/>
                <c:pt idx="0">
                  <c:v>营运资产周转率</c:v>
                </c:pt>
              </c:strCache>
            </c:strRef>
          </c:tx>
          <c:val>
            <c:numRef>
              <c:f>股东权益回报率分析表!$B$51:$Y$51</c:f>
              <c:numCache>
                <c:formatCode>#,##0.00_ </c:formatCode>
                <c:ptCount val="6"/>
                <c:pt idx="0">
                  <c:v>-13.231858139169825</c:v>
                </c:pt>
                <c:pt idx="1">
                  <c:v>-13.749695584371194</c:v>
                </c:pt>
                <c:pt idx="2">
                  <c:v>-24.386179156399479</c:v>
                </c:pt>
                <c:pt idx="3">
                  <c:v>-37.36251735307728</c:v>
                </c:pt>
                <c:pt idx="4">
                  <c:v>-57.556721219751012</c:v>
                </c:pt>
                <c:pt idx="5">
                  <c:v>-64.432123034227573</c:v>
                </c:pt>
              </c:numCache>
            </c:numRef>
          </c:val>
          <c:smooth val="0"/>
          <c:extLst>
            <c:ext xmlns:c16="http://schemas.microsoft.com/office/drawing/2014/chart" uri="{C3380CC4-5D6E-409C-BE32-E72D297353CC}">
              <c16:uniqueId val="{00000000-8D13-4A33-B71F-8CEA27669388}"/>
            </c:ext>
          </c:extLst>
        </c:ser>
        <c:ser>
          <c:idx val="2"/>
          <c:order val="1"/>
          <c:tx>
            <c:strRef>
              <c:f>股东权益回报率分析表!$A$53</c:f>
              <c:strCache>
                <c:ptCount val="1"/>
                <c:pt idx="0">
                  <c:v>长期经营资产周转率</c:v>
                </c:pt>
              </c:strCache>
            </c:strRef>
          </c:tx>
          <c:val>
            <c:numRef>
              <c:f>股东权益回报率分析表!$B$53:$Y$53</c:f>
              <c:numCache>
                <c:formatCode>#,##0.00_ </c:formatCode>
                <c:ptCount val="6"/>
                <c:pt idx="0">
                  <c:v>2.5454344464024952</c:v>
                </c:pt>
                <c:pt idx="1">
                  <c:v>2.031539232819235</c:v>
                </c:pt>
                <c:pt idx="2">
                  <c:v>2.0005400482971631</c:v>
                </c:pt>
                <c:pt idx="3">
                  <c:v>2.820433896938249</c:v>
                </c:pt>
                <c:pt idx="4">
                  <c:v>3.1143513928189512</c:v>
                </c:pt>
                <c:pt idx="5">
                  <c:v>3.3389160802285671</c:v>
                </c:pt>
              </c:numCache>
            </c:numRef>
          </c:val>
          <c:smooth val="0"/>
          <c:extLst>
            <c:ext xmlns:c16="http://schemas.microsoft.com/office/drawing/2014/chart" uri="{C3380CC4-5D6E-409C-BE32-E72D297353CC}">
              <c16:uniqueId val="{00000001-8D13-4A33-B71F-8CEA27669388}"/>
            </c:ext>
          </c:extLst>
        </c:ser>
        <c:ser>
          <c:idx val="4"/>
          <c:order val="2"/>
          <c:tx>
            <c:strRef>
              <c:f>股东权益回报率分析表!$A$55</c:f>
              <c:strCache>
                <c:ptCount val="1"/>
                <c:pt idx="0">
                  <c:v>金融资产周转率</c:v>
                </c:pt>
              </c:strCache>
            </c:strRef>
          </c:tx>
          <c:val>
            <c:numRef>
              <c:f>股东权益回报率分析表!$B$55:$Y$55</c:f>
              <c:numCache>
                <c:formatCode>#,##0.00_ </c:formatCode>
                <c:ptCount val="6"/>
                <c:pt idx="0">
                  <c:v>10.8327351337458</c:v>
                </c:pt>
                <c:pt idx="1">
                  <c:v>12.546122608102401</c:v>
                </c:pt>
                <c:pt idx="2">
                  <c:v>25.593385140017496</c:v>
                </c:pt>
                <c:pt idx="3">
                  <c:v>257.65080233406275</c:v>
                </c:pt>
                <c:pt idx="4">
                  <c:v>190.73644129527847</c:v>
                </c:pt>
                <c:pt idx="5">
                  <c:v>256.44744108983798</c:v>
                </c:pt>
              </c:numCache>
            </c:numRef>
          </c:val>
          <c:smooth val="0"/>
          <c:extLst>
            <c:ext xmlns:c16="http://schemas.microsoft.com/office/drawing/2014/chart" uri="{C3380CC4-5D6E-409C-BE32-E72D297353CC}">
              <c16:uniqueId val="{00000002-8D13-4A33-B71F-8CEA27669388}"/>
            </c:ext>
          </c:extLst>
        </c:ser>
        <c:ser>
          <c:idx val="6"/>
          <c:order val="3"/>
          <c:tx>
            <c:strRef>
              <c:f>股东权益回报率分析表!$A$57</c:f>
              <c:strCache>
                <c:ptCount val="1"/>
                <c:pt idx="0">
                  <c:v>长期股权投资周转率</c:v>
                </c:pt>
              </c:strCache>
            </c:strRef>
          </c:tx>
          <c:val>
            <c:numRef>
              <c:f>股东权益回报率分析表!$B$57:$Y$57</c:f>
              <c:numCache>
                <c:formatCode>#,##0.00_ </c:formatCode>
                <c:ptCount val="6"/>
                <c:pt idx="0">
                  <c:v>18.004783082990684</c:v>
                </c:pt>
                <c:pt idx="1">
                  <c:v>16.530073965003595</c:v>
                </c:pt>
                <c:pt idx="2">
                  <c:v>24.33268651319754</c:v>
                </c:pt>
                <c:pt idx="3">
                  <c:v>35.064013003610732</c:v>
                </c:pt>
                <c:pt idx="4">
                  <c:v>37.368782272503175</c:v>
                </c:pt>
                <c:pt idx="5">
                  <c:v>53.515011236818346</c:v>
                </c:pt>
              </c:numCache>
            </c:numRef>
          </c:val>
          <c:smooth val="0"/>
          <c:extLst>
            <c:ext xmlns:c16="http://schemas.microsoft.com/office/drawing/2014/chart" uri="{C3380CC4-5D6E-409C-BE32-E72D297353CC}">
              <c16:uniqueId val="{00000003-8D13-4A33-B71F-8CEA27669388}"/>
            </c:ext>
          </c:extLst>
        </c:ser>
        <c:dLbls>
          <c:showLegendKey val="0"/>
          <c:showVal val="0"/>
          <c:showCatName val="0"/>
          <c:showSerName val="0"/>
          <c:showPercent val="0"/>
          <c:showBubbleSize val="0"/>
        </c:dLbls>
        <c:marker val="1"/>
        <c:smooth val="0"/>
        <c:axId val="229642752"/>
        <c:axId val="230289920"/>
      </c:lineChart>
      <c:catAx>
        <c:axId val="229642752"/>
        <c:scaling>
          <c:orientation val="minMax"/>
        </c:scaling>
        <c:delete val="0"/>
        <c:axPos val="b"/>
        <c:majorTickMark val="out"/>
        <c:minorTickMark val="none"/>
        <c:tickLblPos val="nextTo"/>
        <c:crossAx val="230289920"/>
        <c:crosses val="autoZero"/>
        <c:auto val="1"/>
        <c:lblAlgn val="ctr"/>
        <c:lblOffset val="100"/>
        <c:noMultiLvlLbl val="0"/>
      </c:catAx>
      <c:valAx>
        <c:axId val="230289920"/>
        <c:scaling>
          <c:orientation val="minMax"/>
        </c:scaling>
        <c:delete val="0"/>
        <c:axPos val="l"/>
        <c:majorGridlines/>
        <c:numFmt formatCode="#,##0.00_ " sourceLinked="1"/>
        <c:majorTickMark val="out"/>
        <c:minorTickMark val="none"/>
        <c:tickLblPos val="nextTo"/>
        <c:crossAx val="22964275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股东权益回报率分析表!$A$83</c:f>
              <c:strCache>
                <c:ptCount val="1"/>
                <c:pt idx="0">
                  <c:v>长期经营资产周转率</c:v>
                </c:pt>
              </c:strCache>
            </c:strRef>
          </c:tx>
          <c:val>
            <c:numRef>
              <c:f>股东权益回报率分析表!$B$83:$Y$83</c:f>
              <c:numCache>
                <c:formatCode>#,##0.00_ </c:formatCode>
                <c:ptCount val="6"/>
                <c:pt idx="0">
                  <c:v>2.2347243986384444</c:v>
                </c:pt>
                <c:pt idx="1">
                  <c:v>1.8069759411259916</c:v>
                </c:pt>
                <c:pt idx="2">
                  <c:v>1.8451998716785163</c:v>
                </c:pt>
                <c:pt idx="3">
                  <c:v>2.6067513779028202</c:v>
                </c:pt>
                <c:pt idx="4">
                  <c:v>2.869833238844977</c:v>
                </c:pt>
                <c:pt idx="5">
                  <c:v>7.2198841623799836</c:v>
                </c:pt>
              </c:numCache>
            </c:numRef>
          </c:val>
          <c:smooth val="0"/>
          <c:extLst>
            <c:ext xmlns:c16="http://schemas.microsoft.com/office/drawing/2014/chart" uri="{C3380CC4-5D6E-409C-BE32-E72D297353CC}">
              <c16:uniqueId val="{00000000-0099-4DAD-A4F5-0113A8B0EAAB}"/>
            </c:ext>
          </c:extLst>
        </c:ser>
        <c:ser>
          <c:idx val="2"/>
          <c:order val="1"/>
          <c:tx>
            <c:strRef>
              <c:f>股东权益回报率分析表!$A$85</c:f>
              <c:strCache>
                <c:ptCount val="1"/>
                <c:pt idx="0">
                  <c:v>固定资产周转率</c:v>
                </c:pt>
              </c:strCache>
            </c:strRef>
          </c:tx>
          <c:val>
            <c:numRef>
              <c:f>股东权益回报率分析表!$B$85:$Y$85</c:f>
              <c:numCache>
                <c:formatCode>#,##0.00_ </c:formatCode>
                <c:ptCount val="6"/>
                <c:pt idx="0">
                  <c:v>3.6267475344743336</c:v>
                </c:pt>
                <c:pt idx="1">
                  <c:v>2.7960147351410525</c:v>
                </c:pt>
                <c:pt idx="2">
                  <c:v>2.7558645712327849</c:v>
                </c:pt>
                <c:pt idx="3">
                  <c:v>4.0170209741501237</c:v>
                </c:pt>
                <c:pt idx="4">
                  <c:v>4.3015718456679037</c:v>
                </c:pt>
                <c:pt idx="5">
                  <c:v>4.7303763016389659</c:v>
                </c:pt>
              </c:numCache>
            </c:numRef>
          </c:val>
          <c:smooth val="0"/>
          <c:extLst>
            <c:ext xmlns:c16="http://schemas.microsoft.com/office/drawing/2014/chart" uri="{C3380CC4-5D6E-409C-BE32-E72D297353CC}">
              <c16:uniqueId val="{00000001-0099-4DAD-A4F5-0113A8B0EAAB}"/>
            </c:ext>
          </c:extLst>
        </c:ser>
        <c:ser>
          <c:idx val="4"/>
          <c:order val="2"/>
          <c:tx>
            <c:strRef>
              <c:f>股东权益回报率分析表!$A$87</c:f>
              <c:strCache>
                <c:ptCount val="1"/>
                <c:pt idx="0">
                  <c:v>在建工程周转率</c:v>
                </c:pt>
              </c:strCache>
            </c:strRef>
          </c:tx>
          <c:val>
            <c:numRef>
              <c:f>股东权益回报率分析表!$B$87:$Y$87</c:f>
              <c:numCache>
                <c:formatCode>#,##0.00_ </c:formatCode>
                <c:ptCount val="6"/>
                <c:pt idx="0">
                  <c:v>19.892898984365122</c:v>
                </c:pt>
                <c:pt idx="1">
                  <c:v>14.901189217555043</c:v>
                </c:pt>
                <c:pt idx="2">
                  <c:v>13.258051170243505</c:v>
                </c:pt>
                <c:pt idx="3">
                  <c:v>15.905677475276782</c:v>
                </c:pt>
                <c:pt idx="4">
                  <c:v>17.931339102284753</c:v>
                </c:pt>
                <c:pt idx="5">
                  <c:v>16.487717263296187</c:v>
                </c:pt>
              </c:numCache>
            </c:numRef>
          </c:val>
          <c:smooth val="0"/>
          <c:extLst>
            <c:ext xmlns:c16="http://schemas.microsoft.com/office/drawing/2014/chart" uri="{C3380CC4-5D6E-409C-BE32-E72D297353CC}">
              <c16:uniqueId val="{00000002-0099-4DAD-A4F5-0113A8B0EAAB}"/>
            </c:ext>
          </c:extLst>
        </c:ser>
        <c:ser>
          <c:idx val="10"/>
          <c:order val="3"/>
          <c:tx>
            <c:strRef>
              <c:f>股东权益回报率分析表!$A$93</c:f>
              <c:strCache>
                <c:ptCount val="1"/>
                <c:pt idx="0">
                  <c:v>无形资产周转率（土地使用权）</c:v>
                </c:pt>
              </c:strCache>
            </c:strRef>
          </c:tx>
          <c:val>
            <c:numRef>
              <c:f>股东权益回报率分析表!$B$93:$Y$93</c:f>
              <c:numCache>
                <c:formatCode>#,##0.00_ </c:formatCode>
                <c:ptCount val="6"/>
                <c:pt idx="0">
                  <c:v>24.300321232213825</c:v>
                </c:pt>
                <c:pt idx="1">
                  <c:v>22.71045481810804</c:v>
                </c:pt>
                <c:pt idx="2">
                  <c:v>24.8995818995819</c:v>
                </c:pt>
                <c:pt idx="3">
                  <c:v>35.916091559588722</c:v>
                </c:pt>
                <c:pt idx="4">
                  <c:v>47.795678940643512</c:v>
                </c:pt>
                <c:pt idx="5">
                  <c:v>55.906509611911545</c:v>
                </c:pt>
              </c:numCache>
            </c:numRef>
          </c:val>
          <c:smooth val="0"/>
          <c:extLst>
            <c:ext xmlns:c16="http://schemas.microsoft.com/office/drawing/2014/chart" uri="{C3380CC4-5D6E-409C-BE32-E72D297353CC}">
              <c16:uniqueId val="{00000003-0099-4DAD-A4F5-0113A8B0EAAB}"/>
            </c:ext>
          </c:extLst>
        </c:ser>
        <c:dLbls>
          <c:showLegendKey val="0"/>
          <c:showVal val="0"/>
          <c:showCatName val="0"/>
          <c:showSerName val="0"/>
          <c:showPercent val="0"/>
          <c:showBubbleSize val="0"/>
        </c:dLbls>
        <c:marker val="1"/>
        <c:smooth val="0"/>
        <c:axId val="229643776"/>
        <c:axId val="230292224"/>
      </c:lineChart>
      <c:catAx>
        <c:axId val="229643776"/>
        <c:scaling>
          <c:orientation val="minMax"/>
        </c:scaling>
        <c:delete val="0"/>
        <c:axPos val="b"/>
        <c:majorTickMark val="out"/>
        <c:minorTickMark val="none"/>
        <c:tickLblPos val="nextTo"/>
        <c:crossAx val="230292224"/>
        <c:crosses val="autoZero"/>
        <c:auto val="1"/>
        <c:lblAlgn val="ctr"/>
        <c:lblOffset val="100"/>
        <c:noMultiLvlLbl val="0"/>
      </c:catAx>
      <c:valAx>
        <c:axId val="230292224"/>
        <c:scaling>
          <c:orientation val="minMax"/>
        </c:scaling>
        <c:delete val="0"/>
        <c:axPos val="l"/>
        <c:majorGridlines/>
        <c:numFmt formatCode="#,##0.00_ " sourceLinked="1"/>
        <c:majorTickMark val="out"/>
        <c:minorTickMark val="none"/>
        <c:tickLblPos val="nextTo"/>
        <c:crossAx val="229643776"/>
        <c:crosses val="autoZero"/>
        <c:crossBetween val="between"/>
      </c:valAx>
    </c:plotArea>
    <c:legend>
      <c:legendPos val="r"/>
      <c:layout>
        <c:manualLayout>
          <c:xMode val="edge"/>
          <c:yMode val="edge"/>
          <c:x val="0.64983155699556117"/>
          <c:y val="0.20568305568006853"/>
          <c:w val="0.30073106715319126"/>
          <c:h val="0.60225579776341187"/>
        </c:manualLayout>
      </c:layout>
      <c:overlay val="0"/>
    </c:legend>
    <c:plotVisOnly val="1"/>
    <c:dispBlanksAs val="zero"/>
    <c:showDLblsOverMax val="0"/>
  </c:chart>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股东权益回报率分析表!$A$65</c:f>
              <c:strCache>
                <c:ptCount val="1"/>
                <c:pt idx="0">
                  <c:v>(1)应收平均周转率=营业收入/平均应收额</c:v>
                </c:pt>
              </c:strCache>
            </c:strRef>
          </c:tx>
          <c:val>
            <c:numRef>
              <c:f>股东权益回报率分析表!$B$65:$Y$65</c:f>
              <c:numCache>
                <c:formatCode>#,##0.00_ </c:formatCode>
                <c:ptCount val="6"/>
                <c:pt idx="0">
                  <c:v>-68.935903614457828</c:v>
                </c:pt>
                <c:pt idx="1">
                  <c:v>-66.564775234418093</c:v>
                </c:pt>
                <c:pt idx="2">
                  <c:v>-377.4318564217611</c:v>
                </c:pt>
                <c:pt idx="3">
                  <c:v>182.11729071341111</c:v>
                </c:pt>
                <c:pt idx="4">
                  <c:v>119.27000559017785</c:v>
                </c:pt>
                <c:pt idx="5">
                  <c:v>106.874005025222</c:v>
                </c:pt>
              </c:numCache>
            </c:numRef>
          </c:val>
          <c:smooth val="0"/>
          <c:extLst>
            <c:ext xmlns:c16="http://schemas.microsoft.com/office/drawing/2014/chart" uri="{C3380CC4-5D6E-409C-BE32-E72D297353CC}">
              <c16:uniqueId val="{00000000-4A07-4E81-9AE6-5A4A8E2A4B5B}"/>
            </c:ext>
          </c:extLst>
        </c:ser>
        <c:ser>
          <c:idx val="4"/>
          <c:order val="1"/>
          <c:tx>
            <c:strRef>
              <c:f>股东权益回报率分析表!$A$69</c:f>
              <c:strCache>
                <c:ptCount val="1"/>
                <c:pt idx="0">
                  <c:v>(3)存货平均周转率=营业成本/平均存货额</c:v>
                </c:pt>
              </c:strCache>
            </c:strRef>
          </c:tx>
          <c:val>
            <c:numRef>
              <c:f>股东权益回报率分析表!$B$69:$Y$69</c:f>
              <c:numCache>
                <c:formatCode>#,##0.00_ </c:formatCode>
                <c:ptCount val="6"/>
                <c:pt idx="0">
                  <c:v>11.01617696763441</c:v>
                </c:pt>
                <c:pt idx="1">
                  <c:v>9.8815929326609471</c:v>
                </c:pt>
                <c:pt idx="2">
                  <c:v>9.5455245549426024</c:v>
                </c:pt>
                <c:pt idx="3">
                  <c:v>11.845136530213665</c:v>
                </c:pt>
                <c:pt idx="4">
                  <c:v>11.164105523345631</c:v>
                </c:pt>
                <c:pt idx="5">
                  <c:v>11.251378418180654</c:v>
                </c:pt>
              </c:numCache>
            </c:numRef>
          </c:val>
          <c:smooth val="0"/>
          <c:extLst>
            <c:ext xmlns:c16="http://schemas.microsoft.com/office/drawing/2014/chart" uri="{C3380CC4-5D6E-409C-BE32-E72D297353CC}">
              <c16:uniqueId val="{00000001-4A07-4E81-9AE6-5A4A8E2A4B5B}"/>
            </c:ext>
          </c:extLst>
        </c:ser>
        <c:ser>
          <c:idx val="7"/>
          <c:order val="2"/>
          <c:tx>
            <c:strRef>
              <c:f>股东权益回报率分析表!$A$72</c:f>
              <c:strCache>
                <c:ptCount val="1"/>
                <c:pt idx="0">
                  <c:v>(5)应付平均周转率=营业成本/平均应付成本</c:v>
                </c:pt>
              </c:strCache>
            </c:strRef>
          </c:tx>
          <c:val>
            <c:numRef>
              <c:f>股东权益回报率分析表!$B$72:$Y$72</c:f>
              <c:numCache>
                <c:formatCode>#,##0.00_ </c:formatCode>
                <c:ptCount val="6"/>
                <c:pt idx="0">
                  <c:v>10.001735385461915</c:v>
                </c:pt>
                <c:pt idx="1">
                  <c:v>9.7059904446894532</c:v>
                </c:pt>
                <c:pt idx="2">
                  <c:v>9.6456748704035657</c:v>
                </c:pt>
                <c:pt idx="3">
                  <c:v>12.078742506781502</c:v>
                </c:pt>
                <c:pt idx="4">
                  <c:v>11.673845700656614</c:v>
                </c:pt>
                <c:pt idx="5">
                  <c:v>11.958246062411627</c:v>
                </c:pt>
              </c:numCache>
            </c:numRef>
          </c:val>
          <c:smooth val="0"/>
          <c:extLst>
            <c:ext xmlns:c16="http://schemas.microsoft.com/office/drawing/2014/chart" uri="{C3380CC4-5D6E-409C-BE32-E72D297353CC}">
              <c16:uniqueId val="{00000002-4A07-4E81-9AE6-5A4A8E2A4B5B}"/>
            </c:ext>
          </c:extLst>
        </c:ser>
        <c:dLbls>
          <c:showLegendKey val="0"/>
          <c:showVal val="0"/>
          <c:showCatName val="0"/>
          <c:showSerName val="0"/>
          <c:showPercent val="0"/>
          <c:showBubbleSize val="0"/>
        </c:dLbls>
        <c:marker val="1"/>
        <c:smooth val="0"/>
        <c:axId val="229645824"/>
        <c:axId val="233771520"/>
      </c:lineChart>
      <c:catAx>
        <c:axId val="229645824"/>
        <c:scaling>
          <c:orientation val="minMax"/>
        </c:scaling>
        <c:delete val="0"/>
        <c:axPos val="b"/>
        <c:majorTickMark val="out"/>
        <c:minorTickMark val="none"/>
        <c:tickLblPos val="nextTo"/>
        <c:crossAx val="233771520"/>
        <c:crosses val="autoZero"/>
        <c:auto val="1"/>
        <c:lblAlgn val="ctr"/>
        <c:lblOffset val="100"/>
        <c:noMultiLvlLbl val="0"/>
      </c:catAx>
      <c:valAx>
        <c:axId val="233771520"/>
        <c:scaling>
          <c:orientation val="minMax"/>
        </c:scaling>
        <c:delete val="0"/>
        <c:axPos val="l"/>
        <c:majorGridlines/>
        <c:numFmt formatCode="#,##0.00_ " sourceLinked="1"/>
        <c:majorTickMark val="out"/>
        <c:minorTickMark val="none"/>
        <c:tickLblPos val="nextTo"/>
        <c:crossAx val="22964582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16775699912510936"/>
          <c:y val="2.3148148148148147E-2"/>
        </c:manualLayout>
      </c:layout>
      <c:overlay val="0"/>
    </c:title>
    <c:autoTitleDeleted val="0"/>
    <c:plotArea>
      <c:layout/>
      <c:lineChart>
        <c:grouping val="stacked"/>
        <c:varyColors val="0"/>
        <c:ser>
          <c:idx val="0"/>
          <c:order val="0"/>
          <c:tx>
            <c:strRef>
              <c:f>股东权益回报率分析表!$A$24</c:f>
              <c:strCache>
                <c:ptCount val="1"/>
                <c:pt idx="0">
                  <c:v>(6)息税前经营资产回报率=3*5</c:v>
                </c:pt>
              </c:strCache>
            </c:strRef>
          </c:tx>
          <c:val>
            <c:numRef>
              <c:f>股东权益回报率分析表!$B$24:$Y$24</c:f>
              <c:numCache>
                <c:formatCode>0.00%</c:formatCode>
                <c:ptCount val="6"/>
                <c:pt idx="0">
                  <c:v>0.10223488156569906</c:v>
                </c:pt>
                <c:pt idx="1">
                  <c:v>8.2418762669221296E-2</c:v>
                </c:pt>
                <c:pt idx="2">
                  <c:v>7.1533202861457645E-2</c:v>
                </c:pt>
                <c:pt idx="3">
                  <c:v>9.0459112951631629E-2</c:v>
                </c:pt>
                <c:pt idx="4">
                  <c:v>0.12801094640195335</c:v>
                </c:pt>
                <c:pt idx="5">
                  <c:v>0.14480343185334238</c:v>
                </c:pt>
              </c:numCache>
            </c:numRef>
          </c:val>
          <c:smooth val="0"/>
          <c:extLst>
            <c:ext xmlns:c16="http://schemas.microsoft.com/office/drawing/2014/chart" uri="{C3380CC4-5D6E-409C-BE32-E72D297353CC}">
              <c16:uniqueId val="{00000000-16CA-4673-A52E-8D6FAC68D0E3}"/>
            </c:ext>
          </c:extLst>
        </c:ser>
        <c:dLbls>
          <c:showLegendKey val="0"/>
          <c:showVal val="0"/>
          <c:showCatName val="0"/>
          <c:showSerName val="0"/>
          <c:showPercent val="0"/>
          <c:showBubbleSize val="0"/>
        </c:dLbls>
        <c:marker val="1"/>
        <c:smooth val="0"/>
        <c:axId val="233915904"/>
        <c:axId val="233773824"/>
      </c:lineChart>
      <c:catAx>
        <c:axId val="233915904"/>
        <c:scaling>
          <c:orientation val="minMax"/>
        </c:scaling>
        <c:delete val="0"/>
        <c:axPos val="b"/>
        <c:majorTickMark val="out"/>
        <c:minorTickMark val="none"/>
        <c:tickLblPos val="nextTo"/>
        <c:crossAx val="233773824"/>
        <c:crosses val="autoZero"/>
        <c:auto val="1"/>
        <c:lblAlgn val="ctr"/>
        <c:lblOffset val="100"/>
        <c:noMultiLvlLbl val="0"/>
      </c:catAx>
      <c:valAx>
        <c:axId val="233773824"/>
        <c:scaling>
          <c:orientation val="minMax"/>
        </c:scaling>
        <c:delete val="0"/>
        <c:axPos val="l"/>
        <c:majorGridlines/>
        <c:numFmt formatCode="0.00%" sourceLinked="1"/>
        <c:majorTickMark val="out"/>
        <c:minorTickMark val="none"/>
        <c:tickLblPos val="nextTo"/>
        <c:crossAx val="23391590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股东权益回报率分析表!$A$21</c:f>
              <c:strCache>
                <c:ptCount val="1"/>
                <c:pt idx="0">
                  <c:v>(3)息税前经营利润率=2/1</c:v>
                </c:pt>
              </c:strCache>
            </c:strRef>
          </c:tx>
          <c:val>
            <c:numRef>
              <c:f>股东权益回报率分析表!$B$21:$Y$21</c:f>
              <c:numCache>
                <c:formatCode>0.00%</c:formatCode>
                <c:ptCount val="6"/>
                <c:pt idx="0">
                  <c:v>3.2437601501233163E-2</c:v>
                </c:pt>
                <c:pt idx="1">
                  <c:v>3.4575389544106383E-2</c:v>
                </c:pt>
                <c:pt idx="2">
                  <c:v>3.282359601819422E-2</c:v>
                </c:pt>
                <c:pt idx="3">
                  <c:v>2.9651645449932304E-2</c:v>
                </c:pt>
                <c:pt idx="4">
                  <c:v>3.8879482111480325E-2</c:v>
                </c:pt>
                <c:pt idx="5">
                  <c:v>4.1121015633272258E-2</c:v>
                </c:pt>
              </c:numCache>
            </c:numRef>
          </c:val>
          <c:smooth val="0"/>
          <c:extLst>
            <c:ext xmlns:c16="http://schemas.microsoft.com/office/drawing/2014/chart" uri="{C3380CC4-5D6E-409C-BE32-E72D297353CC}">
              <c16:uniqueId val="{00000000-2EE4-4ABF-AB4C-487436BAFE64}"/>
            </c:ext>
          </c:extLst>
        </c:ser>
        <c:dLbls>
          <c:showLegendKey val="0"/>
          <c:showVal val="0"/>
          <c:showCatName val="0"/>
          <c:showSerName val="0"/>
          <c:showPercent val="0"/>
          <c:showBubbleSize val="0"/>
        </c:dLbls>
        <c:marker val="1"/>
        <c:smooth val="0"/>
        <c:axId val="233917440"/>
        <c:axId val="233996864"/>
      </c:lineChart>
      <c:catAx>
        <c:axId val="233917440"/>
        <c:scaling>
          <c:orientation val="minMax"/>
        </c:scaling>
        <c:delete val="0"/>
        <c:axPos val="b"/>
        <c:majorTickMark val="out"/>
        <c:minorTickMark val="none"/>
        <c:tickLblPos val="nextTo"/>
        <c:crossAx val="233996864"/>
        <c:crosses val="autoZero"/>
        <c:auto val="1"/>
        <c:lblAlgn val="ctr"/>
        <c:lblOffset val="100"/>
        <c:noMultiLvlLbl val="0"/>
      </c:catAx>
      <c:valAx>
        <c:axId val="233996864"/>
        <c:scaling>
          <c:orientation val="minMax"/>
        </c:scaling>
        <c:delete val="0"/>
        <c:axPos val="l"/>
        <c:majorGridlines/>
        <c:numFmt formatCode="0.00%" sourceLinked="1"/>
        <c:majorTickMark val="out"/>
        <c:minorTickMark val="none"/>
        <c:tickLblPos val="nextTo"/>
        <c:crossAx val="233917440"/>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股东权益回报率分析表!$A$2</c:f>
              <c:strCache>
                <c:ptCount val="1"/>
                <c:pt idx="0">
                  <c:v>净利润</c:v>
                </c:pt>
              </c:strCache>
            </c:strRef>
          </c:tx>
          <c:invertIfNegative val="0"/>
          <c:val>
            <c:numRef>
              <c:f>股东权益回报率分析表!$B$2:$Y$2</c:f>
              <c:numCache>
                <c:formatCode>#,##0.00_ </c:formatCode>
                <c:ptCount val="6"/>
                <c:pt idx="0">
                  <c:v>73723000000</c:v>
                </c:pt>
                <c:pt idx="1">
                  <c:v>75730000000</c:v>
                </c:pt>
                <c:pt idx="2">
                  <c:v>50220000000</c:v>
                </c:pt>
                <c:pt idx="3">
                  <c:v>51145000000</c:v>
                </c:pt>
                <c:pt idx="4">
                  <c:v>88475000000</c:v>
                </c:pt>
                <c:pt idx="5">
                  <c:v>82851000000</c:v>
                </c:pt>
              </c:numCache>
            </c:numRef>
          </c:val>
          <c:extLst>
            <c:ext xmlns:c16="http://schemas.microsoft.com/office/drawing/2014/chart" uri="{C3380CC4-5D6E-409C-BE32-E72D297353CC}">
              <c16:uniqueId val="{00000000-5B87-4ECE-9A45-66AEF86BEF5F}"/>
            </c:ext>
          </c:extLst>
        </c:ser>
        <c:ser>
          <c:idx val="1"/>
          <c:order val="1"/>
          <c:tx>
            <c:strRef>
              <c:f>股东权益回报率分析表!$A$3</c:f>
              <c:strCache>
                <c:ptCount val="1"/>
                <c:pt idx="0">
                  <c:v>股东权益</c:v>
                </c:pt>
              </c:strCache>
            </c:strRef>
          </c:tx>
          <c:invertIfNegative val="0"/>
          <c:val>
            <c:numRef>
              <c:f>股东权益回报率分析表!$B$3:$Y$3</c:f>
              <c:numCache>
                <c:formatCode>#,##0.00_ </c:formatCode>
                <c:ptCount val="6"/>
                <c:pt idx="0">
                  <c:v>854070000000</c:v>
                </c:pt>
                <c:pt idx="1">
                  <c:v>832525000000</c:v>
                </c:pt>
                <c:pt idx="2">
                  <c:v>785623000000</c:v>
                </c:pt>
                <c:pt idx="3">
                  <c:v>647095000000</c:v>
                </c:pt>
                <c:pt idx="4">
                  <c:v>623260000000</c:v>
                </c:pt>
                <c:pt idx="5">
                  <c:v>550601000000</c:v>
                </c:pt>
              </c:numCache>
            </c:numRef>
          </c:val>
          <c:extLst>
            <c:ext xmlns:c16="http://schemas.microsoft.com/office/drawing/2014/chart" uri="{C3380CC4-5D6E-409C-BE32-E72D297353CC}">
              <c16:uniqueId val="{00000001-5B87-4ECE-9A45-66AEF86BEF5F}"/>
            </c:ext>
          </c:extLst>
        </c:ser>
        <c:dLbls>
          <c:showLegendKey val="0"/>
          <c:showVal val="0"/>
          <c:showCatName val="0"/>
          <c:showSerName val="0"/>
          <c:showPercent val="0"/>
          <c:showBubbleSize val="0"/>
        </c:dLbls>
        <c:gapWidth val="150"/>
        <c:axId val="233917952"/>
        <c:axId val="233998592"/>
      </c:barChart>
      <c:catAx>
        <c:axId val="233917952"/>
        <c:scaling>
          <c:orientation val="minMax"/>
        </c:scaling>
        <c:delete val="0"/>
        <c:axPos val="b"/>
        <c:majorTickMark val="out"/>
        <c:minorTickMark val="none"/>
        <c:tickLblPos val="nextTo"/>
        <c:crossAx val="233998592"/>
        <c:crosses val="autoZero"/>
        <c:auto val="1"/>
        <c:lblAlgn val="ctr"/>
        <c:lblOffset val="100"/>
        <c:noMultiLvlLbl val="0"/>
      </c:catAx>
      <c:valAx>
        <c:axId val="233998592"/>
        <c:scaling>
          <c:orientation val="minMax"/>
        </c:scaling>
        <c:delete val="0"/>
        <c:axPos val="l"/>
        <c:majorGridlines/>
        <c:numFmt formatCode="#,##0.00_ " sourceLinked="1"/>
        <c:majorTickMark val="out"/>
        <c:minorTickMark val="none"/>
        <c:tickLblPos val="nextTo"/>
        <c:crossAx val="23391795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股东权益回报率分析表!$A$19</c:f>
              <c:strCache>
                <c:ptCount val="1"/>
                <c:pt idx="0">
                  <c:v>(1)营业收入</c:v>
                </c:pt>
              </c:strCache>
            </c:strRef>
          </c:tx>
          <c:invertIfNegative val="0"/>
          <c:val>
            <c:numRef>
              <c:f>股东权益回报率分析表!$B$19:$Y$19</c:f>
              <c:numCache>
                <c:formatCode>#,##0.00_ </c:formatCode>
                <c:ptCount val="6"/>
                <c:pt idx="0">
                  <c:v>2360193000000</c:v>
                </c:pt>
                <c:pt idx="1">
                  <c:v>1930911000000</c:v>
                </c:pt>
                <c:pt idx="2">
                  <c:v>2018883000000</c:v>
                </c:pt>
                <c:pt idx="3">
                  <c:v>2825914000000</c:v>
                </c:pt>
                <c:pt idx="4">
                  <c:v>2880311000000</c:v>
                </c:pt>
                <c:pt idx="5">
                  <c:v>2786045000000</c:v>
                </c:pt>
              </c:numCache>
            </c:numRef>
          </c:val>
          <c:extLst>
            <c:ext xmlns:c16="http://schemas.microsoft.com/office/drawing/2014/chart" uri="{C3380CC4-5D6E-409C-BE32-E72D297353CC}">
              <c16:uniqueId val="{00000000-3C24-4402-B9BD-B6F8A313C4C2}"/>
            </c:ext>
          </c:extLst>
        </c:ser>
        <c:ser>
          <c:idx val="1"/>
          <c:order val="1"/>
          <c:tx>
            <c:strRef>
              <c:f>股东权益回报率分析表!$A$20</c:f>
              <c:strCache>
                <c:ptCount val="1"/>
                <c:pt idx="0">
                  <c:v>(2)息税前经营利润</c:v>
                </c:pt>
              </c:strCache>
            </c:strRef>
          </c:tx>
          <c:invertIfNegative val="0"/>
          <c:val>
            <c:numRef>
              <c:f>股东权益回报率分析表!$B$20:$Y$20</c:f>
              <c:numCache>
                <c:formatCode>#,##0.00_ </c:formatCode>
                <c:ptCount val="6"/>
                <c:pt idx="0">
                  <c:v>76559000000</c:v>
                </c:pt>
                <c:pt idx="1">
                  <c:v>66762000000</c:v>
                </c:pt>
                <c:pt idx="2">
                  <c:v>66267000000</c:v>
                </c:pt>
                <c:pt idx="3">
                  <c:v>83793000000</c:v>
                </c:pt>
                <c:pt idx="4">
                  <c:v>111985000000</c:v>
                </c:pt>
                <c:pt idx="5">
                  <c:v>114565000000</c:v>
                </c:pt>
              </c:numCache>
            </c:numRef>
          </c:val>
          <c:extLst>
            <c:ext xmlns:c16="http://schemas.microsoft.com/office/drawing/2014/chart" uri="{C3380CC4-5D6E-409C-BE32-E72D297353CC}">
              <c16:uniqueId val="{00000001-3C24-4402-B9BD-B6F8A313C4C2}"/>
            </c:ext>
          </c:extLst>
        </c:ser>
        <c:dLbls>
          <c:showLegendKey val="0"/>
          <c:showVal val="0"/>
          <c:showCatName val="0"/>
          <c:showSerName val="0"/>
          <c:showPercent val="0"/>
          <c:showBubbleSize val="0"/>
        </c:dLbls>
        <c:gapWidth val="150"/>
        <c:axId val="234115072"/>
        <c:axId val="234000320"/>
      </c:barChart>
      <c:catAx>
        <c:axId val="234115072"/>
        <c:scaling>
          <c:orientation val="minMax"/>
        </c:scaling>
        <c:delete val="0"/>
        <c:axPos val="b"/>
        <c:majorTickMark val="out"/>
        <c:minorTickMark val="none"/>
        <c:tickLblPos val="nextTo"/>
        <c:crossAx val="234000320"/>
        <c:crosses val="autoZero"/>
        <c:auto val="1"/>
        <c:lblAlgn val="ctr"/>
        <c:lblOffset val="100"/>
        <c:noMultiLvlLbl val="0"/>
      </c:catAx>
      <c:valAx>
        <c:axId val="234000320"/>
        <c:scaling>
          <c:orientation val="minMax"/>
        </c:scaling>
        <c:delete val="0"/>
        <c:axPos val="l"/>
        <c:majorGridlines/>
        <c:numFmt formatCode="#,##0.00_ " sourceLinked="1"/>
        <c:majorTickMark val="out"/>
        <c:minorTickMark val="none"/>
        <c:tickLblPos val="nextTo"/>
        <c:crossAx val="2341150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股东权益回报率分析表!$A$26</c:f>
              <c:strCache>
                <c:ptCount val="1"/>
                <c:pt idx="0">
                  <c:v>长期股权投资收益</c:v>
                </c:pt>
              </c:strCache>
            </c:strRef>
          </c:tx>
          <c:invertIfNegative val="0"/>
          <c:val>
            <c:numRef>
              <c:f>股东权益回报率分析表!$B$26:$Y$26</c:f>
              <c:numCache>
                <c:formatCode>#,##0.00_ </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0-C423-41B7-9567-510B805D7BC6}"/>
            </c:ext>
          </c:extLst>
        </c:ser>
        <c:ser>
          <c:idx val="1"/>
          <c:order val="1"/>
          <c:tx>
            <c:strRef>
              <c:f>股东权益回报率分析表!$A$27</c:f>
              <c:strCache>
                <c:ptCount val="1"/>
                <c:pt idx="0">
                  <c:v>长期股权投资</c:v>
                </c:pt>
              </c:strCache>
            </c:strRef>
          </c:tx>
          <c:invertIfNegative val="0"/>
          <c:val>
            <c:numRef>
              <c:f>股东权益回报率分析表!$B$27:$Y$27</c:f>
              <c:numCache>
                <c:formatCode>#,##0.00_ </c:formatCode>
                <c:ptCount val="6"/>
                <c:pt idx="0">
                  <c:v>131087000000</c:v>
                </c:pt>
                <c:pt idx="1">
                  <c:v>116812000000</c:v>
                </c:pt>
                <c:pt idx="2">
                  <c:v>82970000000</c:v>
                </c:pt>
                <c:pt idx="3">
                  <c:v>80593000000</c:v>
                </c:pt>
                <c:pt idx="4">
                  <c:v>77078000000</c:v>
                </c:pt>
                <c:pt idx="5">
                  <c:v>52061000000</c:v>
                </c:pt>
              </c:numCache>
            </c:numRef>
          </c:val>
          <c:extLst>
            <c:ext xmlns:c16="http://schemas.microsoft.com/office/drawing/2014/chart" uri="{C3380CC4-5D6E-409C-BE32-E72D297353CC}">
              <c16:uniqueId val="{00000001-C423-41B7-9567-510B805D7BC6}"/>
            </c:ext>
          </c:extLst>
        </c:ser>
        <c:dLbls>
          <c:showLegendKey val="0"/>
          <c:showVal val="0"/>
          <c:showCatName val="0"/>
          <c:showSerName val="0"/>
          <c:showPercent val="0"/>
          <c:showBubbleSize val="0"/>
        </c:dLbls>
        <c:gapWidth val="150"/>
        <c:axId val="234115584"/>
        <c:axId val="234002048"/>
      </c:barChart>
      <c:catAx>
        <c:axId val="234115584"/>
        <c:scaling>
          <c:orientation val="minMax"/>
        </c:scaling>
        <c:delete val="0"/>
        <c:axPos val="b"/>
        <c:majorTickMark val="out"/>
        <c:minorTickMark val="none"/>
        <c:tickLblPos val="nextTo"/>
        <c:crossAx val="234002048"/>
        <c:crosses val="autoZero"/>
        <c:auto val="1"/>
        <c:lblAlgn val="ctr"/>
        <c:lblOffset val="100"/>
        <c:noMultiLvlLbl val="0"/>
      </c:catAx>
      <c:valAx>
        <c:axId val="234002048"/>
        <c:scaling>
          <c:orientation val="minMax"/>
        </c:scaling>
        <c:delete val="0"/>
        <c:axPos val="l"/>
        <c:majorGridlines/>
        <c:numFmt formatCode="#,##0.00_ " sourceLinked="1"/>
        <c:majorTickMark val="out"/>
        <c:minorTickMark val="none"/>
        <c:tickLblPos val="nextTo"/>
        <c:crossAx val="234115584"/>
        <c:crosses val="autoZero"/>
        <c:crossBetween val="between"/>
      </c:valAx>
    </c:plotArea>
    <c:legend>
      <c:legendPos val="r"/>
      <c:layout>
        <c:manualLayout>
          <c:xMode val="edge"/>
          <c:yMode val="edge"/>
          <c:x val="0.66056222138899301"/>
          <c:y val="0.17961086067348608"/>
          <c:w val="0.33943777861100694"/>
          <c:h val="0.6202172102318857"/>
        </c:manualLayout>
      </c:layout>
      <c:overlay val="0"/>
    </c:legend>
    <c:plotVisOnly val="1"/>
    <c:dispBlanksAs val="gap"/>
    <c:showDLblsOverMax val="0"/>
  </c:chart>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自由现金流分析表!$A$5</c:f>
              <c:strCache>
                <c:ptCount val="1"/>
                <c:pt idx="0">
                  <c:v>营业收入现金含量= ((1)/(1+(3))/(2)</c:v>
                </c:pt>
              </c:strCache>
            </c:strRef>
          </c:tx>
          <c:val>
            <c:numRef>
              <c:f>自由现金流分析表!$B$5:$Y$5</c:f>
              <c:numCache>
                <c:formatCode>#,##0.00_ </c:formatCode>
                <c:ptCount val="6"/>
                <c:pt idx="0">
                  <c:v>0.9575220128763845</c:v>
                </c:pt>
                <c:pt idx="1">
                  <c:v>0.95774065496129335</c:v>
                </c:pt>
                <c:pt idx="2">
                  <c:v>0.97590691503265936</c:v>
                </c:pt>
                <c:pt idx="3">
                  <c:v>0.94640675638540395</c:v>
                </c:pt>
                <c:pt idx="4">
                  <c:v>0.95400488670520978</c:v>
                </c:pt>
                <c:pt idx="5">
                  <c:v>0.98788386005570228</c:v>
                </c:pt>
              </c:numCache>
            </c:numRef>
          </c:val>
          <c:smooth val="0"/>
          <c:extLst>
            <c:ext xmlns:c16="http://schemas.microsoft.com/office/drawing/2014/chart" uri="{C3380CC4-5D6E-409C-BE32-E72D297353CC}">
              <c16:uniqueId val="{00000000-6F20-4359-8763-C43AAF890BCE}"/>
            </c:ext>
          </c:extLst>
        </c:ser>
        <c:ser>
          <c:idx val="8"/>
          <c:order val="1"/>
          <c:tx>
            <c:strRef>
              <c:f>自由现金流分析表!$A$13</c:f>
              <c:strCache>
                <c:ptCount val="1"/>
                <c:pt idx="0">
                  <c:v>成本费用付现率=((4)/(1+(3))+(5))/(10)</c:v>
                </c:pt>
              </c:strCache>
            </c:strRef>
          </c:tx>
          <c:val>
            <c:numRef>
              <c:f>自由现金流分析表!$B$13:$Y$13</c:f>
              <c:numCache>
                <c:formatCode>#,##0.00_ </c:formatCode>
                <c:ptCount val="6"/>
                <c:pt idx="0">
                  <c:v>0.80221221166417578</c:v>
                </c:pt>
                <c:pt idx="1">
                  <c:v>0.74981551931195733</c:v>
                </c:pt>
                <c:pt idx="2">
                  <c:v>0.78777789892717154</c:v>
                </c:pt>
                <c:pt idx="3">
                  <c:v>0.82929375912733938</c:v>
                </c:pt>
                <c:pt idx="4">
                  <c:v>0.85193686422514148</c:v>
                </c:pt>
                <c:pt idx="5">
                  <c:v>0.89282481028846361</c:v>
                </c:pt>
              </c:numCache>
            </c:numRef>
          </c:val>
          <c:smooth val="0"/>
          <c:extLst>
            <c:ext xmlns:c16="http://schemas.microsoft.com/office/drawing/2014/chart" uri="{C3380CC4-5D6E-409C-BE32-E72D297353CC}">
              <c16:uniqueId val="{00000001-6F20-4359-8763-C43AAF890BCE}"/>
            </c:ext>
          </c:extLst>
        </c:ser>
        <c:ser>
          <c:idx val="11"/>
          <c:order val="2"/>
          <c:tx>
            <c:strRef>
              <c:f>自由现金流分析表!$A$16</c:f>
              <c:strCache>
                <c:ptCount val="1"/>
                <c:pt idx="0">
                  <c:v>经营利润现金含量=11/12</c:v>
                </c:pt>
              </c:strCache>
            </c:strRef>
          </c:tx>
          <c:val>
            <c:numRef>
              <c:f>自由现金流分析表!$B$16:$Y$16</c:f>
              <c:numCache>
                <c:formatCode>#,##0.00_ </c:formatCode>
                <c:ptCount val="6"/>
                <c:pt idx="0">
                  <c:v>3.0446575640389937</c:v>
                </c:pt>
                <c:pt idx="1">
                  <c:v>4.0922366973896285</c:v>
                </c:pt>
                <c:pt idx="2">
                  <c:v>3.130728813021399</c:v>
                </c:pt>
                <c:pt idx="3">
                  <c:v>2.3786235621719922</c:v>
                </c:pt>
                <c:pt idx="4">
                  <c:v>1.7489075262282268</c:v>
                </c:pt>
                <c:pt idx="5">
                  <c:v>1.6103800914913957</c:v>
                </c:pt>
              </c:numCache>
            </c:numRef>
          </c:val>
          <c:smooth val="0"/>
          <c:extLst>
            <c:ext xmlns:c16="http://schemas.microsoft.com/office/drawing/2014/chart" uri="{C3380CC4-5D6E-409C-BE32-E72D297353CC}">
              <c16:uniqueId val="{00000002-6F20-4359-8763-C43AAF890BCE}"/>
            </c:ext>
          </c:extLst>
        </c:ser>
        <c:ser>
          <c:idx val="13"/>
          <c:order val="3"/>
          <c:tx>
            <c:strRef>
              <c:f>自由现金流分析表!$A$18</c:f>
              <c:strCache>
                <c:ptCount val="1"/>
                <c:pt idx="0">
                  <c:v>净利润现金含量=11/13</c:v>
                </c:pt>
              </c:strCache>
            </c:strRef>
          </c:tx>
          <c:val>
            <c:numRef>
              <c:f>自由现金流分析表!$B$18:$Y$18</c:f>
              <c:numCache>
                <c:formatCode>#,##0.00_ </c:formatCode>
                <c:ptCount val="6"/>
                <c:pt idx="0">
                  <c:v>2.5898973183402738</c:v>
                </c:pt>
                <c:pt idx="1">
                  <c:v>2.8329988115674105</c:v>
                </c:pt>
                <c:pt idx="2">
                  <c:v>3.3018319394663482</c:v>
                </c:pt>
                <c:pt idx="3">
                  <c:v>2.9005181347150257</c:v>
                </c:pt>
                <c:pt idx="4">
                  <c:v>1.7167900536874823</c:v>
                </c:pt>
                <c:pt idx="5">
                  <c:v>1.7315663057778421</c:v>
                </c:pt>
              </c:numCache>
            </c:numRef>
          </c:val>
          <c:smooth val="0"/>
          <c:extLst>
            <c:ext xmlns:c16="http://schemas.microsoft.com/office/drawing/2014/chart" uri="{C3380CC4-5D6E-409C-BE32-E72D297353CC}">
              <c16:uniqueId val="{00000003-6F20-4359-8763-C43AAF890BCE}"/>
            </c:ext>
          </c:extLst>
        </c:ser>
        <c:dLbls>
          <c:showLegendKey val="0"/>
          <c:showVal val="0"/>
          <c:showCatName val="0"/>
          <c:showSerName val="0"/>
          <c:showPercent val="0"/>
          <c:showBubbleSize val="0"/>
        </c:dLbls>
        <c:marker val="1"/>
        <c:smooth val="0"/>
        <c:axId val="230152192"/>
        <c:axId val="234003200"/>
      </c:lineChart>
      <c:catAx>
        <c:axId val="230152192"/>
        <c:scaling>
          <c:orientation val="minMax"/>
        </c:scaling>
        <c:delete val="0"/>
        <c:axPos val="b"/>
        <c:majorTickMark val="out"/>
        <c:minorTickMark val="none"/>
        <c:tickLblPos val="nextTo"/>
        <c:crossAx val="234003200"/>
        <c:crosses val="autoZero"/>
        <c:auto val="1"/>
        <c:lblAlgn val="ctr"/>
        <c:lblOffset val="100"/>
        <c:noMultiLvlLbl val="0"/>
      </c:catAx>
      <c:valAx>
        <c:axId val="234003200"/>
        <c:scaling>
          <c:orientation val="minMax"/>
        </c:scaling>
        <c:delete val="0"/>
        <c:axPos val="l"/>
        <c:majorGridlines/>
        <c:numFmt formatCode="#,##0.00_ " sourceLinked="1"/>
        <c:majorTickMark val="out"/>
        <c:minorTickMark val="none"/>
        <c:tickLblPos val="nextTo"/>
        <c:crossAx val="23015219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自由现金流分析表!$A$28</c:f>
              <c:strCache>
                <c:ptCount val="1"/>
                <c:pt idx="0">
                  <c:v>自由现金流增长率</c:v>
                </c:pt>
              </c:strCache>
            </c:strRef>
          </c:tx>
          <c:val>
            <c:numRef>
              <c:f>自由现金流分析表!$B$28:$Y$28</c:f>
              <c:numCache>
                <c:formatCode>0.00%</c:formatCode>
                <c:ptCount val="6"/>
                <c:pt idx="0">
                  <c:v>-0.40219850538199603</c:v>
                </c:pt>
                <c:pt idx="1">
                  <c:v>0.45949101097361661</c:v>
                </c:pt>
                <c:pt idx="2">
                  <c:v>0.20432223985217618</c:v>
                </c:pt>
                <c:pt idx="3">
                  <c:v>-0.24284497703701452</c:v>
                </c:pt>
                <c:pt idx="4">
                  <c:v>9.859327968548437E-3</c:v>
                </c:pt>
                <c:pt idx="5">
                  <c:v>2.3740608321674697</c:v>
                </c:pt>
              </c:numCache>
            </c:numRef>
          </c:val>
          <c:smooth val="0"/>
          <c:extLst>
            <c:ext xmlns:c16="http://schemas.microsoft.com/office/drawing/2014/chart" uri="{C3380CC4-5D6E-409C-BE32-E72D297353CC}">
              <c16:uniqueId val="{00000000-4B43-45FA-BD48-A987D369EAB0}"/>
            </c:ext>
          </c:extLst>
        </c:ser>
        <c:dLbls>
          <c:showLegendKey val="0"/>
          <c:showVal val="0"/>
          <c:showCatName val="0"/>
          <c:showSerName val="0"/>
          <c:showPercent val="0"/>
          <c:showBubbleSize val="0"/>
        </c:dLbls>
        <c:marker val="1"/>
        <c:smooth val="0"/>
        <c:axId val="192372736"/>
        <c:axId val="230753984"/>
      </c:lineChart>
      <c:catAx>
        <c:axId val="192372736"/>
        <c:scaling>
          <c:orientation val="minMax"/>
        </c:scaling>
        <c:delete val="0"/>
        <c:axPos val="b"/>
        <c:majorTickMark val="out"/>
        <c:minorTickMark val="none"/>
        <c:tickLblPos val="nextTo"/>
        <c:crossAx val="230753984"/>
        <c:crosses val="autoZero"/>
        <c:auto val="1"/>
        <c:lblAlgn val="ctr"/>
        <c:lblOffset val="100"/>
        <c:noMultiLvlLbl val="0"/>
      </c:catAx>
      <c:valAx>
        <c:axId val="230753984"/>
        <c:scaling>
          <c:orientation val="minMax"/>
        </c:scaling>
        <c:delete val="0"/>
        <c:axPos val="l"/>
        <c:majorGridlines/>
        <c:numFmt formatCode="0.00%" sourceLinked="1"/>
        <c:majorTickMark val="out"/>
        <c:minorTickMark val="none"/>
        <c:tickLblPos val="nextTo"/>
        <c:crossAx val="19237273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自由现金流分析表!$A$14</c:f>
              <c:strCache>
                <c:ptCount val="1"/>
                <c:pt idx="0">
                  <c:v>(11)经营活动产生的现金流量净额</c:v>
                </c:pt>
              </c:strCache>
            </c:strRef>
          </c:tx>
          <c:val>
            <c:numRef>
              <c:f>自由现金流分析表!$B$14:$Y$14</c:f>
              <c:numCache>
                <c:formatCode>#,##0.00_ </c:formatCode>
                <c:ptCount val="6"/>
                <c:pt idx="0">
                  <c:v>190935000000</c:v>
                </c:pt>
                <c:pt idx="1">
                  <c:v>214543000000</c:v>
                </c:pt>
                <c:pt idx="2">
                  <c:v>165818000000</c:v>
                </c:pt>
                <c:pt idx="3">
                  <c:v>148347000000</c:v>
                </c:pt>
                <c:pt idx="4">
                  <c:v>151893000000</c:v>
                </c:pt>
                <c:pt idx="5">
                  <c:v>143462000000</c:v>
                </c:pt>
              </c:numCache>
            </c:numRef>
          </c:val>
          <c:smooth val="0"/>
          <c:extLst>
            <c:ext xmlns:c16="http://schemas.microsoft.com/office/drawing/2014/chart" uri="{C3380CC4-5D6E-409C-BE32-E72D297353CC}">
              <c16:uniqueId val="{00000000-2680-42A4-A570-10B65A76252D}"/>
            </c:ext>
          </c:extLst>
        </c:ser>
        <c:ser>
          <c:idx val="1"/>
          <c:order val="1"/>
          <c:tx>
            <c:strRef>
              <c:f>自由现金流分析表!$A$15</c:f>
              <c:strCache>
                <c:ptCount val="1"/>
                <c:pt idx="0">
                  <c:v>(12)息前税后经营利润</c:v>
                </c:pt>
              </c:strCache>
            </c:strRef>
          </c:tx>
          <c:val>
            <c:numRef>
              <c:f>自由现金流分析表!$B$15:$Y$15</c:f>
              <c:numCache>
                <c:formatCode>#,##0.00_ </c:formatCode>
                <c:ptCount val="6"/>
                <c:pt idx="0">
                  <c:v>62711485933.64592</c:v>
                </c:pt>
                <c:pt idx="1">
                  <c:v>52426830573.327667</c:v>
                </c:pt>
                <c:pt idx="2">
                  <c:v>52964664109.623924</c:v>
                </c:pt>
                <c:pt idx="3">
                  <c:v>62366741151.987885</c:v>
                </c:pt>
                <c:pt idx="4">
                  <c:v>86850218048.737732</c:v>
                </c:pt>
                <c:pt idx="5">
                  <c:v>89085800773.367615</c:v>
                </c:pt>
              </c:numCache>
            </c:numRef>
          </c:val>
          <c:smooth val="0"/>
          <c:extLst>
            <c:ext xmlns:c16="http://schemas.microsoft.com/office/drawing/2014/chart" uri="{C3380CC4-5D6E-409C-BE32-E72D297353CC}">
              <c16:uniqueId val="{00000001-2680-42A4-A570-10B65A76252D}"/>
            </c:ext>
          </c:extLst>
        </c:ser>
        <c:ser>
          <c:idx val="3"/>
          <c:order val="2"/>
          <c:tx>
            <c:strRef>
              <c:f>自由现金流分析表!$A$17</c:f>
              <c:strCache>
                <c:ptCount val="1"/>
                <c:pt idx="0">
                  <c:v>(13)净利润</c:v>
                </c:pt>
              </c:strCache>
            </c:strRef>
          </c:tx>
          <c:val>
            <c:numRef>
              <c:f>自由现金流分析表!$B$17:$Y$17</c:f>
              <c:numCache>
                <c:formatCode>#,##0.00_ </c:formatCode>
                <c:ptCount val="6"/>
                <c:pt idx="0">
                  <c:v>73723000000</c:v>
                </c:pt>
                <c:pt idx="1">
                  <c:v>75730000000</c:v>
                </c:pt>
                <c:pt idx="2">
                  <c:v>50220000000</c:v>
                </c:pt>
                <c:pt idx="3">
                  <c:v>51145000000</c:v>
                </c:pt>
                <c:pt idx="4">
                  <c:v>88475000000</c:v>
                </c:pt>
                <c:pt idx="5">
                  <c:v>82851000000</c:v>
                </c:pt>
              </c:numCache>
            </c:numRef>
          </c:val>
          <c:smooth val="0"/>
          <c:extLst>
            <c:ext xmlns:c16="http://schemas.microsoft.com/office/drawing/2014/chart" uri="{C3380CC4-5D6E-409C-BE32-E72D297353CC}">
              <c16:uniqueId val="{00000002-2680-42A4-A570-10B65A76252D}"/>
            </c:ext>
          </c:extLst>
        </c:ser>
        <c:dLbls>
          <c:showLegendKey val="0"/>
          <c:showVal val="0"/>
          <c:showCatName val="0"/>
          <c:showSerName val="0"/>
          <c:showPercent val="0"/>
          <c:showBubbleSize val="0"/>
        </c:dLbls>
        <c:marker val="1"/>
        <c:smooth val="0"/>
        <c:axId val="192373248"/>
        <c:axId val="230755712"/>
      </c:lineChart>
      <c:catAx>
        <c:axId val="192373248"/>
        <c:scaling>
          <c:orientation val="minMax"/>
        </c:scaling>
        <c:delete val="0"/>
        <c:axPos val="b"/>
        <c:majorTickMark val="out"/>
        <c:minorTickMark val="none"/>
        <c:tickLblPos val="nextTo"/>
        <c:crossAx val="230755712"/>
        <c:crosses val="autoZero"/>
        <c:auto val="1"/>
        <c:lblAlgn val="ctr"/>
        <c:lblOffset val="100"/>
        <c:noMultiLvlLbl val="0"/>
      </c:catAx>
      <c:valAx>
        <c:axId val="230755712"/>
        <c:scaling>
          <c:orientation val="minMax"/>
        </c:scaling>
        <c:delete val="0"/>
        <c:axPos val="l"/>
        <c:majorGridlines/>
        <c:numFmt formatCode="#,##0.00_ " sourceLinked="1"/>
        <c:majorTickMark val="out"/>
        <c:minorTickMark val="none"/>
        <c:tickLblPos val="nextTo"/>
        <c:crossAx val="19237324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9">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12700" cap="flat" cmpd="sng" algn="ctr">
        <a:solidFill>
          <a:schemeClr val="lt1"/>
        </a:solidFill>
        <a:round/>
      </a:ln>
    </cs:spPr>
    <cs:defRPr sz="900" kern="1200" spc="10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chart" Target="../charts/chart12.xml"/><Relationship Id="rId5" Type="http://schemas.openxmlformats.org/officeDocument/2006/relationships/chart" Target="../charts/chart11.xml"/><Relationship Id="rId4" Type="http://schemas.openxmlformats.org/officeDocument/2006/relationships/chart" Target="../charts/chart10.xml"/></Relationships>
</file>

<file path=xl/drawings/_rels/drawing4.xml.rels><?xml version="1.0" encoding="UTF-8" standalone="yes"?>
<Relationships xmlns="http://schemas.openxmlformats.org/package/2006/relationships"><Relationship Id="rId2" Type="http://schemas.openxmlformats.org/officeDocument/2006/relationships/chart" Target="../charts/chart14.xml"/><Relationship Id="rId1" Type="http://schemas.openxmlformats.org/officeDocument/2006/relationships/chart" Target="../charts/chart13.xml"/></Relationships>
</file>

<file path=xl/drawings/_rels/drawing5.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chart" Target="../charts/chart20.xml"/><Relationship Id="rId5" Type="http://schemas.openxmlformats.org/officeDocument/2006/relationships/chart" Target="../charts/chart19.xml"/><Relationship Id="rId4" Type="http://schemas.openxmlformats.org/officeDocument/2006/relationships/chart" Target="../charts/chart18.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3.xml"/><Relationship Id="rId2" Type="http://schemas.openxmlformats.org/officeDocument/2006/relationships/chart" Target="../charts/chart22.xml"/><Relationship Id="rId1" Type="http://schemas.openxmlformats.org/officeDocument/2006/relationships/chart" Target="../charts/chart21.xml"/><Relationship Id="rId6" Type="http://schemas.openxmlformats.org/officeDocument/2006/relationships/chart" Target="../charts/chart26.xml"/><Relationship Id="rId5" Type="http://schemas.openxmlformats.org/officeDocument/2006/relationships/chart" Target="../charts/chart25.xml"/><Relationship Id="rId4" Type="http://schemas.openxmlformats.org/officeDocument/2006/relationships/chart" Target="../charts/chart24.xml"/></Relationships>
</file>

<file path=xl/drawings/_rels/drawing7.xml.rels><?xml version="1.0" encoding="UTF-8" standalone="yes"?>
<Relationships xmlns="http://schemas.openxmlformats.org/package/2006/relationships"><Relationship Id="rId8" Type="http://schemas.openxmlformats.org/officeDocument/2006/relationships/chart" Target="../charts/chart34.xml"/><Relationship Id="rId3" Type="http://schemas.openxmlformats.org/officeDocument/2006/relationships/chart" Target="../charts/chart29.xml"/><Relationship Id="rId7" Type="http://schemas.openxmlformats.org/officeDocument/2006/relationships/chart" Target="../charts/chart33.xml"/><Relationship Id="rId2" Type="http://schemas.openxmlformats.org/officeDocument/2006/relationships/chart" Target="../charts/chart28.xml"/><Relationship Id="rId1" Type="http://schemas.openxmlformats.org/officeDocument/2006/relationships/chart" Target="../charts/chart27.xml"/><Relationship Id="rId6" Type="http://schemas.openxmlformats.org/officeDocument/2006/relationships/chart" Target="../charts/chart32.xml"/><Relationship Id="rId5" Type="http://schemas.openxmlformats.org/officeDocument/2006/relationships/chart" Target="../charts/chart31.xml"/><Relationship Id="rId10" Type="http://schemas.openxmlformats.org/officeDocument/2006/relationships/chart" Target="../charts/chart36.xml"/><Relationship Id="rId4" Type="http://schemas.openxmlformats.org/officeDocument/2006/relationships/chart" Target="../charts/chart30.xml"/><Relationship Id="rId9" Type="http://schemas.openxmlformats.org/officeDocument/2006/relationships/chart" Target="../charts/chart35.xml"/></Relationships>
</file>

<file path=xl/drawings/_rels/drawing8.xml.rels><?xml version="1.0" encoding="UTF-8" standalone="yes"?>
<Relationships xmlns="http://schemas.openxmlformats.org/package/2006/relationships"><Relationship Id="rId3" Type="http://schemas.openxmlformats.org/officeDocument/2006/relationships/chart" Target="../charts/chart38.xml"/><Relationship Id="rId2" Type="http://schemas.openxmlformats.org/officeDocument/2006/relationships/chart" Target="../charts/chart37.xml"/><Relationship Id="rId1" Type="http://schemas.openxmlformats.org/officeDocument/2006/relationships/image" Target="../media/image1.png"/><Relationship Id="rId4" Type="http://schemas.openxmlformats.org/officeDocument/2006/relationships/chart" Target="../charts/chart39.xml"/></Relationships>
</file>

<file path=xl/drawings/_rels/drawing9.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37</xdr:col>
      <xdr:colOff>184785</xdr:colOff>
      <xdr:row>0</xdr:row>
      <xdr:rowOff>44767</xdr:rowOff>
    </xdr:from>
    <xdr:to>
      <xdr:col>38</xdr:col>
      <xdr:colOff>1257300</xdr:colOff>
      <xdr:row>9</xdr:row>
      <xdr:rowOff>1905</xdr:rowOff>
    </xdr:to>
    <xdr:graphicFrame macro="">
      <xdr:nvGraphicFramePr>
        <xdr:cNvPr id="2" name="图表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37</xdr:col>
      <xdr:colOff>160020</xdr:colOff>
      <xdr:row>9</xdr:row>
      <xdr:rowOff>52387</xdr:rowOff>
    </xdr:from>
    <xdr:to>
      <xdr:col>38</xdr:col>
      <xdr:colOff>1165860</xdr:colOff>
      <xdr:row>21</xdr:row>
      <xdr:rowOff>104775</xdr:rowOff>
    </xdr:to>
    <xdr:graphicFrame macro="">
      <xdr:nvGraphicFramePr>
        <xdr:cNvPr id="3" name="图表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35</xdr:col>
      <xdr:colOff>1207769</xdr:colOff>
      <xdr:row>21</xdr:row>
      <xdr:rowOff>180021</xdr:rowOff>
    </xdr:from>
    <xdr:to>
      <xdr:col>39</xdr:col>
      <xdr:colOff>906780</xdr:colOff>
      <xdr:row>37</xdr:row>
      <xdr:rowOff>59054</xdr:rowOff>
    </xdr:to>
    <xdr:graphicFrame macro="">
      <xdr:nvGraphicFramePr>
        <xdr:cNvPr id="4" name="图表 3">
          <a:extLst>
            <a:ext uri="{FF2B5EF4-FFF2-40B4-BE49-F238E27FC236}">
              <a16:creationId xmlns:a16="http://schemas.microsoft.com/office/drawing/2014/main" id="{00000000-0008-0000-04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24</xdr:col>
      <xdr:colOff>274320</xdr:colOff>
      <xdr:row>56</xdr:row>
      <xdr:rowOff>8572</xdr:rowOff>
    </xdr:from>
    <xdr:to>
      <xdr:col>32</xdr:col>
      <xdr:colOff>274320</xdr:colOff>
      <xdr:row>62</xdr:row>
      <xdr:rowOff>13335</xdr:rowOff>
    </xdr:to>
    <xdr:graphicFrame macro="">
      <xdr:nvGraphicFramePr>
        <xdr:cNvPr id="15" name="图表 14">
          <a:extLst>
            <a:ext uri="{FF2B5EF4-FFF2-40B4-BE49-F238E27FC236}">
              <a16:creationId xmlns:a16="http://schemas.microsoft.com/office/drawing/2014/main" id="{00000000-0008-0000-04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24</xdr:col>
      <xdr:colOff>190500</xdr:colOff>
      <xdr:row>38</xdr:row>
      <xdr:rowOff>147637</xdr:rowOff>
    </xdr:from>
    <xdr:to>
      <xdr:col>33</xdr:col>
      <xdr:colOff>342899</xdr:colOff>
      <xdr:row>49</xdr:row>
      <xdr:rowOff>152400</xdr:rowOff>
    </xdr:to>
    <xdr:graphicFrame macro="">
      <xdr:nvGraphicFramePr>
        <xdr:cNvPr id="16" name="图表 15">
          <a:extLst>
            <a:ext uri="{FF2B5EF4-FFF2-40B4-BE49-F238E27FC236}">
              <a16:creationId xmlns:a16="http://schemas.microsoft.com/office/drawing/2014/main" id="{00000000-0008-0000-04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280035</xdr:colOff>
      <xdr:row>62</xdr:row>
      <xdr:rowOff>96202</xdr:rowOff>
    </xdr:from>
    <xdr:to>
      <xdr:col>32</xdr:col>
      <xdr:colOff>281940</xdr:colOff>
      <xdr:row>69</xdr:row>
      <xdr:rowOff>177165</xdr:rowOff>
    </xdr:to>
    <xdr:graphicFrame macro="">
      <xdr:nvGraphicFramePr>
        <xdr:cNvPr id="17" name="图表 16">
          <a:extLst>
            <a:ext uri="{FF2B5EF4-FFF2-40B4-BE49-F238E27FC236}">
              <a16:creationId xmlns:a16="http://schemas.microsoft.com/office/drawing/2014/main" id="{00000000-0008-0000-04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34</xdr:col>
      <xdr:colOff>721895</xdr:colOff>
      <xdr:row>0</xdr:row>
      <xdr:rowOff>14837</xdr:rowOff>
    </xdr:from>
    <xdr:to>
      <xdr:col>44</xdr:col>
      <xdr:colOff>1013861</xdr:colOff>
      <xdr:row>10</xdr:row>
      <xdr:rowOff>60558</xdr:rowOff>
    </xdr:to>
    <xdr:graphicFrame macro="">
      <xdr:nvGraphicFramePr>
        <xdr:cNvPr id="3" name="图表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34</xdr:col>
      <xdr:colOff>730416</xdr:colOff>
      <xdr:row>10</xdr:row>
      <xdr:rowOff>107431</xdr:rowOff>
    </xdr:from>
    <xdr:to>
      <xdr:col>40</xdr:col>
      <xdr:colOff>1472967</xdr:colOff>
      <xdr:row>23</xdr:row>
      <xdr:rowOff>13435</xdr:rowOff>
    </xdr:to>
    <xdr:graphicFrame macro="">
      <xdr:nvGraphicFramePr>
        <xdr:cNvPr id="2" name="图表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34</xdr:col>
      <xdr:colOff>865572</xdr:colOff>
      <xdr:row>23</xdr:row>
      <xdr:rowOff>43062</xdr:rowOff>
    </xdr:from>
    <xdr:to>
      <xdr:col>44</xdr:col>
      <xdr:colOff>584835</xdr:colOff>
      <xdr:row>24</xdr:row>
      <xdr:rowOff>1631082</xdr:rowOff>
    </xdr:to>
    <xdr:graphicFrame macro="">
      <xdr:nvGraphicFramePr>
        <xdr:cNvPr id="5" name="图表 4">
          <a:extLst>
            <a:ext uri="{FF2B5EF4-FFF2-40B4-BE49-F238E27FC236}">
              <a16:creationId xmlns:a16="http://schemas.microsoft.com/office/drawing/2014/main" id="{00000000-0008-0000-05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76200</xdr:colOff>
      <xdr:row>51</xdr:row>
      <xdr:rowOff>61911</xdr:rowOff>
    </xdr:from>
    <xdr:to>
      <xdr:col>8</xdr:col>
      <xdr:colOff>523875</xdr:colOff>
      <xdr:row>65</xdr:row>
      <xdr:rowOff>152400</xdr:rowOff>
    </xdr:to>
    <xdr:graphicFrame macro="">
      <xdr:nvGraphicFramePr>
        <xdr:cNvPr id="6" name="图表 5">
          <a:extLst>
            <a:ext uri="{FF2B5EF4-FFF2-40B4-BE49-F238E27FC236}">
              <a16:creationId xmlns:a16="http://schemas.microsoft.com/office/drawing/2014/main" id="{00000000-0008-0000-05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571500</xdr:colOff>
      <xdr:row>51</xdr:row>
      <xdr:rowOff>119062</xdr:rowOff>
    </xdr:from>
    <xdr:to>
      <xdr:col>20</xdr:col>
      <xdr:colOff>1171575</xdr:colOff>
      <xdr:row>65</xdr:row>
      <xdr:rowOff>19050</xdr:rowOff>
    </xdr:to>
    <xdr:graphicFrame macro="">
      <xdr:nvGraphicFramePr>
        <xdr:cNvPr id="7" name="图表 6">
          <a:extLst>
            <a:ext uri="{FF2B5EF4-FFF2-40B4-BE49-F238E27FC236}">
              <a16:creationId xmlns:a16="http://schemas.microsoft.com/office/drawing/2014/main" id="{00000000-0008-0000-05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136359</xdr:colOff>
      <xdr:row>28</xdr:row>
      <xdr:rowOff>42861</xdr:rowOff>
    </xdr:from>
    <xdr:to>
      <xdr:col>32</xdr:col>
      <xdr:colOff>742951</xdr:colOff>
      <xdr:row>37</xdr:row>
      <xdr:rowOff>24063</xdr:rowOff>
    </xdr:to>
    <xdr:graphicFrame macro="">
      <xdr:nvGraphicFramePr>
        <xdr:cNvPr id="4" name="图表 3">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3.xml><?xml version="1.0" encoding="utf-8"?>
<c:userShapes xmlns:c="http://schemas.openxmlformats.org/drawingml/2006/chart">
  <cdr:relSizeAnchor xmlns:cdr="http://schemas.openxmlformats.org/drawingml/2006/chartDrawing">
    <cdr:from>
      <cdr:x>0.10474</cdr:x>
      <cdr:y>0.10976</cdr:y>
    </cdr:from>
    <cdr:to>
      <cdr:x>0.37747</cdr:x>
      <cdr:y>0.26423</cdr:y>
    </cdr:to>
    <cdr:sp macro="" textlink="">
      <cdr:nvSpPr>
        <cdr:cNvPr id="2" name="文本框 1">
          <a:extLst xmlns:a="http://schemas.openxmlformats.org/drawingml/2006/main">
            <a:ext uri="{FF2B5EF4-FFF2-40B4-BE49-F238E27FC236}">
              <a16:creationId xmlns:a16="http://schemas.microsoft.com/office/drawing/2014/main" id="{4FABAE61-282B-4A9D-AF3B-399C988D86DC}"/>
            </a:ext>
          </a:extLst>
        </cdr:cNvPr>
        <cdr:cNvSpPr txBox="1"/>
      </cdr:nvSpPr>
      <cdr:spPr>
        <a:xfrm xmlns:a="http://schemas.openxmlformats.org/drawingml/2006/main">
          <a:off x="807720" y="205741"/>
          <a:ext cx="2103120" cy="28956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zh-CN" altLang="en-US" sz="1100"/>
        </a:p>
      </cdr:txBody>
    </cdr:sp>
  </cdr:relSizeAnchor>
</c:userShapes>
</file>

<file path=xl/drawings/drawing4.xml><?xml version="1.0" encoding="utf-8"?>
<xdr:wsDr xmlns:xdr="http://schemas.openxmlformats.org/drawingml/2006/spreadsheetDrawing" xmlns:a="http://schemas.openxmlformats.org/drawingml/2006/main">
  <xdr:twoCellAnchor>
    <xdr:from>
      <xdr:col>12</xdr:col>
      <xdr:colOff>142874</xdr:colOff>
      <xdr:row>16</xdr:row>
      <xdr:rowOff>42862</xdr:rowOff>
    </xdr:from>
    <xdr:to>
      <xdr:col>24</xdr:col>
      <xdr:colOff>1171575</xdr:colOff>
      <xdr:row>35</xdr:row>
      <xdr:rowOff>95250</xdr:rowOff>
    </xdr:to>
    <xdr:graphicFrame macro="">
      <xdr:nvGraphicFramePr>
        <xdr:cNvPr id="3" name="图表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685800</xdr:colOff>
      <xdr:row>16</xdr:row>
      <xdr:rowOff>167640</xdr:rowOff>
    </xdr:from>
    <xdr:to>
      <xdr:col>8</xdr:col>
      <xdr:colOff>853440</xdr:colOff>
      <xdr:row>31</xdr:row>
      <xdr:rowOff>167640</xdr:rowOff>
    </xdr:to>
    <xdr:graphicFrame macro="">
      <xdr:nvGraphicFramePr>
        <xdr:cNvPr id="4" name="图表 3">
          <a:extLst>
            <a:ext uri="{FF2B5EF4-FFF2-40B4-BE49-F238E27FC236}">
              <a16:creationId xmlns:a16="http://schemas.microsoft.com/office/drawing/2014/main" id="{25D3B83F-E24F-4E26-8179-B8DB84403AE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16</xdr:col>
      <xdr:colOff>281940</xdr:colOff>
      <xdr:row>18</xdr:row>
      <xdr:rowOff>110491</xdr:rowOff>
    </xdr:from>
    <xdr:to>
      <xdr:col>44</xdr:col>
      <xdr:colOff>1127760</xdr:colOff>
      <xdr:row>36</xdr:row>
      <xdr:rowOff>15240</xdr:rowOff>
    </xdr:to>
    <xdr:graphicFrame macro="">
      <xdr:nvGraphicFramePr>
        <xdr:cNvPr id="3" name="图表 2" title="变化率">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24</xdr:col>
      <xdr:colOff>38100</xdr:colOff>
      <xdr:row>38</xdr:row>
      <xdr:rowOff>42861</xdr:rowOff>
    </xdr:from>
    <xdr:to>
      <xdr:col>36</xdr:col>
      <xdr:colOff>38100</xdr:colOff>
      <xdr:row>52</xdr:row>
      <xdr:rowOff>68580</xdr:rowOff>
    </xdr:to>
    <xdr:graphicFrame macro="">
      <xdr:nvGraphicFramePr>
        <xdr:cNvPr id="4" name="图表 3">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28</xdr:col>
      <xdr:colOff>1676399</xdr:colOff>
      <xdr:row>0</xdr:row>
      <xdr:rowOff>23812</xdr:rowOff>
    </xdr:from>
    <xdr:to>
      <xdr:col>39</xdr:col>
      <xdr:colOff>1457325</xdr:colOff>
      <xdr:row>9</xdr:row>
      <xdr:rowOff>104775</xdr:rowOff>
    </xdr:to>
    <xdr:graphicFrame macro="">
      <xdr:nvGraphicFramePr>
        <xdr:cNvPr id="5" name="图表 4">
          <a:extLst>
            <a:ext uri="{FF2B5EF4-FFF2-40B4-BE49-F238E27FC236}">
              <a16:creationId xmlns:a16="http://schemas.microsoft.com/office/drawing/2014/main" id="{00000000-0008-0000-07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20</xdr:col>
      <xdr:colOff>1142999</xdr:colOff>
      <xdr:row>0</xdr:row>
      <xdr:rowOff>42861</xdr:rowOff>
    </xdr:from>
    <xdr:to>
      <xdr:col>29</xdr:col>
      <xdr:colOff>0</xdr:colOff>
      <xdr:row>9</xdr:row>
      <xdr:rowOff>104775</xdr:rowOff>
    </xdr:to>
    <xdr:graphicFrame macro="">
      <xdr:nvGraphicFramePr>
        <xdr:cNvPr id="2" name="图表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28</xdr:col>
      <xdr:colOff>1485899</xdr:colOff>
      <xdr:row>9</xdr:row>
      <xdr:rowOff>133350</xdr:rowOff>
    </xdr:from>
    <xdr:to>
      <xdr:col>40</xdr:col>
      <xdr:colOff>123824</xdr:colOff>
      <xdr:row>15</xdr:row>
      <xdr:rowOff>161925</xdr:rowOff>
    </xdr:to>
    <xdr:graphicFrame macro="">
      <xdr:nvGraphicFramePr>
        <xdr:cNvPr id="6" name="图表 5">
          <a:extLst>
            <a:ext uri="{FF2B5EF4-FFF2-40B4-BE49-F238E27FC236}">
              <a16:creationId xmlns:a16="http://schemas.microsoft.com/office/drawing/2014/main" id="{00000000-0008-0000-07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20</xdr:col>
      <xdr:colOff>1152524</xdr:colOff>
      <xdr:row>9</xdr:row>
      <xdr:rowOff>119063</xdr:rowOff>
    </xdr:from>
    <xdr:to>
      <xdr:col>28</xdr:col>
      <xdr:colOff>1402080</xdr:colOff>
      <xdr:row>16</xdr:row>
      <xdr:rowOff>9525</xdr:rowOff>
    </xdr:to>
    <xdr:graphicFrame macro="">
      <xdr:nvGraphicFramePr>
        <xdr:cNvPr id="7" name="图表 6">
          <a:extLst>
            <a:ext uri="{FF2B5EF4-FFF2-40B4-BE49-F238E27FC236}">
              <a16:creationId xmlns:a16="http://schemas.microsoft.com/office/drawing/2014/main" id="{00000000-0008-0000-07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28</xdr:col>
      <xdr:colOff>533399</xdr:colOff>
      <xdr:row>0</xdr:row>
      <xdr:rowOff>0</xdr:rowOff>
    </xdr:from>
    <xdr:to>
      <xdr:col>34</xdr:col>
      <xdr:colOff>542922</xdr:colOff>
      <xdr:row>15</xdr:row>
      <xdr:rowOff>28575</xdr:rowOff>
    </xdr:to>
    <xdr:graphicFrame macro="">
      <xdr:nvGraphicFramePr>
        <xdr:cNvPr id="3" name="图表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28</xdr:col>
      <xdr:colOff>533400</xdr:colOff>
      <xdr:row>15</xdr:row>
      <xdr:rowOff>80961</xdr:rowOff>
    </xdr:from>
    <xdr:to>
      <xdr:col>34</xdr:col>
      <xdr:colOff>495300</xdr:colOff>
      <xdr:row>24</xdr:row>
      <xdr:rowOff>171451</xdr:rowOff>
    </xdr:to>
    <xdr:graphicFrame macro="">
      <xdr:nvGraphicFramePr>
        <xdr:cNvPr id="4" name="图表 3">
          <a:extLst>
            <a:ext uri="{FF2B5EF4-FFF2-40B4-BE49-F238E27FC236}">
              <a16:creationId xmlns:a16="http://schemas.microsoft.com/office/drawing/2014/main" id="{00000000-0008-0000-08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1293495</xdr:colOff>
      <xdr:row>43</xdr:row>
      <xdr:rowOff>42862</xdr:rowOff>
    </xdr:from>
    <xdr:to>
      <xdr:col>40</xdr:col>
      <xdr:colOff>1236345</xdr:colOff>
      <xdr:row>50</xdr:row>
      <xdr:rowOff>432435</xdr:rowOff>
    </xdr:to>
    <xdr:graphicFrame macro="">
      <xdr:nvGraphicFramePr>
        <xdr:cNvPr id="6" name="图表 5">
          <a:extLst>
            <a:ext uri="{FF2B5EF4-FFF2-40B4-BE49-F238E27FC236}">
              <a16:creationId xmlns:a16="http://schemas.microsoft.com/office/drawing/2014/main" id="{00000000-0008-0000-08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28</xdr:col>
      <xdr:colOff>312420</xdr:colOff>
      <xdr:row>25</xdr:row>
      <xdr:rowOff>109537</xdr:rowOff>
    </xdr:from>
    <xdr:to>
      <xdr:col>34</xdr:col>
      <xdr:colOff>518160</xdr:colOff>
      <xdr:row>33</xdr:row>
      <xdr:rowOff>91440</xdr:rowOff>
    </xdr:to>
    <xdr:graphicFrame macro="">
      <xdr:nvGraphicFramePr>
        <xdr:cNvPr id="8" name="图表 7">
          <a:extLst>
            <a:ext uri="{FF2B5EF4-FFF2-40B4-BE49-F238E27FC236}">
              <a16:creationId xmlns:a16="http://schemas.microsoft.com/office/drawing/2014/main" id="{00000000-0008-0000-08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28</xdr:col>
      <xdr:colOff>146685</xdr:colOff>
      <xdr:row>34</xdr:row>
      <xdr:rowOff>96202</xdr:rowOff>
    </xdr:from>
    <xdr:to>
      <xdr:col>34</xdr:col>
      <xdr:colOff>708660</xdr:colOff>
      <xdr:row>42</xdr:row>
      <xdr:rowOff>26670</xdr:rowOff>
    </xdr:to>
    <xdr:graphicFrame macro="">
      <xdr:nvGraphicFramePr>
        <xdr:cNvPr id="5" name="图表 4">
          <a:extLst>
            <a:ext uri="{FF2B5EF4-FFF2-40B4-BE49-F238E27FC236}">
              <a16:creationId xmlns:a16="http://schemas.microsoft.com/office/drawing/2014/main" id="{00000000-0008-0000-08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22</xdr:col>
      <xdr:colOff>885825</xdr:colOff>
      <xdr:row>0</xdr:row>
      <xdr:rowOff>52387</xdr:rowOff>
    </xdr:from>
    <xdr:to>
      <xdr:col>26</xdr:col>
      <xdr:colOff>1257300</xdr:colOff>
      <xdr:row>13</xdr:row>
      <xdr:rowOff>161925</xdr:rowOff>
    </xdr:to>
    <xdr:graphicFrame macro="">
      <xdr:nvGraphicFramePr>
        <xdr:cNvPr id="9" name="图表 8">
          <a:extLst>
            <a:ext uri="{FF2B5EF4-FFF2-40B4-BE49-F238E27FC236}">
              <a16:creationId xmlns:a16="http://schemas.microsoft.com/office/drawing/2014/main" id="{00000000-0008-0000-08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24</xdr:col>
      <xdr:colOff>1036320</xdr:colOff>
      <xdr:row>24</xdr:row>
      <xdr:rowOff>17145</xdr:rowOff>
    </xdr:from>
    <xdr:to>
      <xdr:col>36</xdr:col>
      <xdr:colOff>1255395</xdr:colOff>
      <xdr:row>31</xdr:row>
      <xdr:rowOff>140970</xdr:rowOff>
    </xdr:to>
    <xdr:graphicFrame macro="">
      <xdr:nvGraphicFramePr>
        <xdr:cNvPr id="2" name="图表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24</xdr:col>
      <xdr:colOff>285749</xdr:colOff>
      <xdr:row>31</xdr:row>
      <xdr:rowOff>119062</xdr:rowOff>
    </xdr:from>
    <xdr:to>
      <xdr:col>33</xdr:col>
      <xdr:colOff>1028699</xdr:colOff>
      <xdr:row>42</xdr:row>
      <xdr:rowOff>152400</xdr:rowOff>
    </xdr:to>
    <xdr:graphicFrame macro="">
      <xdr:nvGraphicFramePr>
        <xdr:cNvPr id="3" name="图表 2">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285750</xdr:colOff>
      <xdr:row>44</xdr:row>
      <xdr:rowOff>90486</xdr:rowOff>
    </xdr:from>
    <xdr:to>
      <xdr:col>33</xdr:col>
      <xdr:colOff>1133475</xdr:colOff>
      <xdr:row>58</xdr:row>
      <xdr:rowOff>171449</xdr:rowOff>
    </xdr:to>
    <xdr:graphicFrame macro="">
      <xdr:nvGraphicFramePr>
        <xdr:cNvPr id="4" name="图表 3">
          <a:extLst>
            <a:ext uri="{FF2B5EF4-FFF2-40B4-BE49-F238E27FC236}">
              <a16:creationId xmlns:a16="http://schemas.microsoft.com/office/drawing/2014/main" id="{00000000-0008-0000-09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21</xdr:col>
      <xdr:colOff>0</xdr:colOff>
      <xdr:row>77</xdr:row>
      <xdr:rowOff>166688</xdr:rowOff>
    </xdr:from>
    <xdr:to>
      <xdr:col>40</xdr:col>
      <xdr:colOff>388620</xdr:colOff>
      <xdr:row>94</xdr:row>
      <xdr:rowOff>95251</xdr:rowOff>
    </xdr:to>
    <xdr:graphicFrame macro="">
      <xdr:nvGraphicFramePr>
        <xdr:cNvPr id="5" name="图表 4">
          <a:extLst>
            <a:ext uri="{FF2B5EF4-FFF2-40B4-BE49-F238E27FC236}">
              <a16:creationId xmlns:a16="http://schemas.microsoft.com/office/drawing/2014/main" id="{00000000-0008-0000-09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24</xdr:col>
      <xdr:colOff>380999</xdr:colOff>
      <xdr:row>59</xdr:row>
      <xdr:rowOff>71437</xdr:rowOff>
    </xdr:from>
    <xdr:to>
      <xdr:col>33</xdr:col>
      <xdr:colOff>1000125</xdr:colOff>
      <xdr:row>74</xdr:row>
      <xdr:rowOff>142875</xdr:rowOff>
    </xdr:to>
    <xdr:graphicFrame macro="">
      <xdr:nvGraphicFramePr>
        <xdr:cNvPr id="7" name="图表 6">
          <a:extLst>
            <a:ext uri="{FF2B5EF4-FFF2-40B4-BE49-F238E27FC236}">
              <a16:creationId xmlns:a16="http://schemas.microsoft.com/office/drawing/2014/main" id="{00000000-0008-0000-09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32</xdr:col>
      <xdr:colOff>647700</xdr:colOff>
      <xdr:row>14</xdr:row>
      <xdr:rowOff>90488</xdr:rowOff>
    </xdr:from>
    <xdr:to>
      <xdr:col>42</xdr:col>
      <xdr:colOff>600075</xdr:colOff>
      <xdr:row>23</xdr:row>
      <xdr:rowOff>38100</xdr:rowOff>
    </xdr:to>
    <xdr:graphicFrame macro="">
      <xdr:nvGraphicFramePr>
        <xdr:cNvPr id="8" name="图表 7">
          <a:extLst>
            <a:ext uri="{FF2B5EF4-FFF2-40B4-BE49-F238E27FC236}">
              <a16:creationId xmlns:a16="http://schemas.microsoft.com/office/drawing/2014/main" id="{00000000-0008-0000-09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24</xdr:col>
      <xdr:colOff>769620</xdr:colOff>
      <xdr:row>14</xdr:row>
      <xdr:rowOff>25716</xdr:rowOff>
    </xdr:from>
    <xdr:to>
      <xdr:col>32</xdr:col>
      <xdr:colOff>525780</xdr:colOff>
      <xdr:row>23</xdr:row>
      <xdr:rowOff>78105</xdr:rowOff>
    </xdr:to>
    <xdr:graphicFrame macro="">
      <xdr:nvGraphicFramePr>
        <xdr:cNvPr id="9" name="图表 8">
          <a:extLst>
            <a:ext uri="{FF2B5EF4-FFF2-40B4-BE49-F238E27FC236}">
              <a16:creationId xmlns:a16="http://schemas.microsoft.com/office/drawing/2014/main" id="{00000000-0008-0000-09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24</xdr:col>
      <xdr:colOff>741046</xdr:colOff>
      <xdr:row>0</xdr:row>
      <xdr:rowOff>0</xdr:rowOff>
    </xdr:from>
    <xdr:to>
      <xdr:col>32</xdr:col>
      <xdr:colOff>798196</xdr:colOff>
      <xdr:row>13</xdr:row>
      <xdr:rowOff>142874</xdr:rowOff>
    </xdr:to>
    <xdr:graphicFrame macro="">
      <xdr:nvGraphicFramePr>
        <xdr:cNvPr id="10" name="图表 9">
          <a:extLst>
            <a:ext uri="{FF2B5EF4-FFF2-40B4-BE49-F238E27FC236}">
              <a16:creationId xmlns:a16="http://schemas.microsoft.com/office/drawing/2014/main" id="{00000000-0008-0000-09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44</xdr:col>
      <xdr:colOff>110490</xdr:colOff>
      <xdr:row>15</xdr:row>
      <xdr:rowOff>92392</xdr:rowOff>
    </xdr:from>
    <xdr:to>
      <xdr:col>52</xdr:col>
      <xdr:colOff>377189</xdr:colOff>
      <xdr:row>23</xdr:row>
      <xdr:rowOff>125730</xdr:rowOff>
    </xdr:to>
    <xdr:graphicFrame macro="">
      <xdr:nvGraphicFramePr>
        <xdr:cNvPr id="11" name="图表 10">
          <a:extLst>
            <a:ext uri="{FF2B5EF4-FFF2-40B4-BE49-F238E27FC236}">
              <a16:creationId xmlns:a16="http://schemas.microsoft.com/office/drawing/2014/main" id="{00000000-0008-0000-09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40</xdr:col>
      <xdr:colOff>76200</xdr:colOff>
      <xdr:row>24</xdr:row>
      <xdr:rowOff>164782</xdr:rowOff>
    </xdr:from>
    <xdr:to>
      <xdr:col>48</xdr:col>
      <xdr:colOff>152400</xdr:colOff>
      <xdr:row>31</xdr:row>
      <xdr:rowOff>120015</xdr:rowOff>
    </xdr:to>
    <xdr:graphicFrame macro="">
      <xdr:nvGraphicFramePr>
        <xdr:cNvPr id="12" name="图表 11">
          <a:extLst>
            <a:ext uri="{FF2B5EF4-FFF2-40B4-BE49-F238E27FC236}">
              <a16:creationId xmlns:a16="http://schemas.microsoft.com/office/drawing/2014/main" id="{00000000-0008-0000-09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114300</xdr:colOff>
      <xdr:row>33</xdr:row>
      <xdr:rowOff>9525</xdr:rowOff>
    </xdr:from>
    <xdr:to>
      <xdr:col>4</xdr:col>
      <xdr:colOff>412748</xdr:colOff>
      <xdr:row>37</xdr:row>
      <xdr:rowOff>9439</xdr:rowOff>
    </xdr:to>
    <xdr:pic>
      <xdr:nvPicPr>
        <xdr:cNvPr id="2" name="图片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a:stretch>
          <a:fillRect/>
        </a:stretch>
      </xdr:blipFill>
      <xdr:spPr>
        <a:xfrm>
          <a:off x="114300" y="5667375"/>
          <a:ext cx="5095238" cy="685714"/>
        </a:xfrm>
        <a:prstGeom prst="rect">
          <a:avLst/>
        </a:prstGeom>
      </xdr:spPr>
    </xdr:pic>
    <xdr:clientData/>
  </xdr:twoCellAnchor>
  <xdr:twoCellAnchor>
    <xdr:from>
      <xdr:col>24</xdr:col>
      <xdr:colOff>676275</xdr:colOff>
      <xdr:row>1</xdr:row>
      <xdr:rowOff>52387</xdr:rowOff>
    </xdr:from>
    <xdr:to>
      <xdr:col>33</xdr:col>
      <xdr:colOff>790575</xdr:colOff>
      <xdr:row>17</xdr:row>
      <xdr:rowOff>52387</xdr:rowOff>
    </xdr:to>
    <xdr:graphicFrame macro="">
      <xdr:nvGraphicFramePr>
        <xdr:cNvPr id="4" name="图表 3">
          <a:extLst>
            <a:ext uri="{FF2B5EF4-FFF2-40B4-BE49-F238E27FC236}">
              <a16:creationId xmlns:a16="http://schemas.microsoft.com/office/drawing/2014/main" id="{00000000-0008-0000-0A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600075</xdr:colOff>
      <xdr:row>17</xdr:row>
      <xdr:rowOff>138112</xdr:rowOff>
    </xdr:from>
    <xdr:to>
      <xdr:col>35</xdr:col>
      <xdr:colOff>9524</xdr:colOff>
      <xdr:row>28</xdr:row>
      <xdr:rowOff>638175</xdr:rowOff>
    </xdr:to>
    <xdr:graphicFrame macro="">
      <xdr:nvGraphicFramePr>
        <xdr:cNvPr id="3" name="图表 2">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16</xdr:col>
      <xdr:colOff>198120</xdr:colOff>
      <xdr:row>32</xdr:row>
      <xdr:rowOff>67627</xdr:rowOff>
    </xdr:from>
    <xdr:to>
      <xdr:col>28</xdr:col>
      <xdr:colOff>312420</xdr:colOff>
      <xdr:row>46</xdr:row>
      <xdr:rowOff>67627</xdr:rowOff>
    </xdr:to>
    <xdr:graphicFrame macro="">
      <xdr:nvGraphicFramePr>
        <xdr:cNvPr id="5" name="图表 4">
          <a:extLst>
            <a:ext uri="{FF2B5EF4-FFF2-40B4-BE49-F238E27FC236}">
              <a16:creationId xmlns:a16="http://schemas.microsoft.com/office/drawing/2014/main" id="{00000000-0008-0000-0A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oneCell">
    <xdr:from>
      <xdr:col>2</xdr:col>
      <xdr:colOff>914400</xdr:colOff>
      <xdr:row>22</xdr:row>
      <xdr:rowOff>114300</xdr:rowOff>
    </xdr:from>
    <xdr:to>
      <xdr:col>4</xdr:col>
      <xdr:colOff>167151</xdr:colOff>
      <xdr:row>27</xdr:row>
      <xdr:rowOff>38002</xdr:rowOff>
    </xdr:to>
    <xdr:pic>
      <xdr:nvPicPr>
        <xdr:cNvPr id="2" name="图片 1">
          <a:extLst>
            <a:ext uri="{FF2B5EF4-FFF2-40B4-BE49-F238E27FC236}">
              <a16:creationId xmlns:a16="http://schemas.microsoft.com/office/drawing/2014/main" id="{00000000-0008-0000-0B00-000002000000}"/>
            </a:ext>
          </a:extLst>
        </xdr:cNvPr>
        <xdr:cNvPicPr>
          <a:picLocks noChangeAspect="1"/>
        </xdr:cNvPicPr>
      </xdr:nvPicPr>
      <xdr:blipFill>
        <a:blip xmlns:r="http://schemas.openxmlformats.org/officeDocument/2006/relationships" r:embed="rId1"/>
        <a:stretch>
          <a:fillRect/>
        </a:stretch>
      </xdr:blipFill>
      <xdr:spPr>
        <a:xfrm>
          <a:off x="5924550" y="3895725"/>
          <a:ext cx="3914286" cy="780952"/>
        </a:xfrm>
        <a:prstGeom prst="rect">
          <a:avLst/>
        </a:prstGeom>
      </xdr:spPr>
    </xdr:pic>
    <xdr:clientData/>
  </xdr:twoCellAnchor>
  <xdr:twoCellAnchor editAs="oneCell">
    <xdr:from>
      <xdr:col>2</xdr:col>
      <xdr:colOff>541020</xdr:colOff>
      <xdr:row>2</xdr:row>
      <xdr:rowOff>30480</xdr:rowOff>
    </xdr:from>
    <xdr:to>
      <xdr:col>2</xdr:col>
      <xdr:colOff>2064830</xdr:colOff>
      <xdr:row>5</xdr:row>
      <xdr:rowOff>127560</xdr:rowOff>
    </xdr:to>
    <xdr:pic>
      <xdr:nvPicPr>
        <xdr:cNvPr id="3" name="图片 2">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2"/>
        <a:stretch>
          <a:fillRect/>
        </a:stretch>
      </xdr:blipFill>
      <xdr:spPr>
        <a:xfrm>
          <a:off x="5166360" y="419100"/>
          <a:ext cx="1523810" cy="645720"/>
        </a:xfrm>
        <a:prstGeom prst="rect">
          <a:avLst/>
        </a:prstGeom>
      </xdr:spPr>
    </xdr:pic>
    <xdr:clientData/>
  </xdr:twoCellAnchor>
  <xdr:twoCellAnchor editAs="oneCell">
    <xdr:from>
      <xdr:col>2</xdr:col>
      <xdr:colOff>847725</xdr:colOff>
      <xdr:row>43</xdr:row>
      <xdr:rowOff>47625</xdr:rowOff>
    </xdr:from>
    <xdr:to>
      <xdr:col>4</xdr:col>
      <xdr:colOff>814745</xdr:colOff>
      <xdr:row>47</xdr:row>
      <xdr:rowOff>38016</xdr:rowOff>
    </xdr:to>
    <xdr:pic>
      <xdr:nvPicPr>
        <xdr:cNvPr id="4" name="图片 3">
          <a:extLst>
            <a:ext uri="{FF2B5EF4-FFF2-40B4-BE49-F238E27FC236}">
              <a16:creationId xmlns:a16="http://schemas.microsoft.com/office/drawing/2014/main" id="{00000000-0008-0000-0B00-000004000000}"/>
            </a:ext>
          </a:extLst>
        </xdr:cNvPr>
        <xdr:cNvPicPr>
          <a:picLocks noChangeAspect="1"/>
        </xdr:cNvPicPr>
      </xdr:nvPicPr>
      <xdr:blipFill>
        <a:blip xmlns:r="http://schemas.openxmlformats.org/officeDocument/2006/relationships" r:embed="rId3"/>
        <a:stretch>
          <a:fillRect/>
        </a:stretch>
      </xdr:blipFill>
      <xdr:spPr>
        <a:xfrm>
          <a:off x="5857875" y="7439025"/>
          <a:ext cx="4761905" cy="676191"/>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表1" displayName="表1" ref="A51:CK56" headerRowCount="0" totalsRowShown="0" headerRowDxfId="180" tableBorderDxfId="179" headerRowCellStyle="好" dataCellStyle="好">
  <tableColumns count="89">
    <tableColumn id="1" xr3:uid="{00000000-0010-0000-0000-000001000000}" name="列1" headerRowDxfId="178" dataDxfId="177" headerRowCellStyle="好" dataCellStyle="好"/>
    <tableColumn id="2" xr3:uid="{00000000-0010-0000-0000-000002000000}" name="列2" headerRowDxfId="176" headerRowCellStyle="好" dataCellStyle="好"/>
    <tableColumn id="3" xr3:uid="{00000000-0010-0000-0000-000003000000}" name="列3" headerRowDxfId="175" headerRowCellStyle="好" dataCellStyle="好"/>
    <tableColumn id="4" xr3:uid="{00000000-0010-0000-0000-000004000000}" name="列4" headerRowDxfId="174" headerRowCellStyle="好" dataCellStyle="好"/>
    <tableColumn id="5" xr3:uid="{00000000-0010-0000-0000-000005000000}" name="列5" headerRowDxfId="173" headerRowCellStyle="好" dataCellStyle="好"/>
    <tableColumn id="6" xr3:uid="{00000000-0010-0000-0000-000006000000}" name="列6" headerRowDxfId="172" headerRowCellStyle="好" dataCellStyle="好"/>
    <tableColumn id="7" xr3:uid="{00000000-0010-0000-0000-000007000000}" name="列7" headerRowDxfId="171" headerRowCellStyle="好" dataCellStyle="好"/>
    <tableColumn id="8" xr3:uid="{00000000-0010-0000-0000-000008000000}" name="列8" headerRowDxfId="170" headerRowCellStyle="好" dataCellStyle="好"/>
    <tableColumn id="9" xr3:uid="{00000000-0010-0000-0000-000009000000}" name="列9" headerRowDxfId="169" headerRowCellStyle="好" dataCellStyle="好"/>
    <tableColumn id="10" xr3:uid="{00000000-0010-0000-0000-00000A000000}" name="列10" headerRowDxfId="168" headerRowCellStyle="好" dataCellStyle="好"/>
    <tableColumn id="11" xr3:uid="{00000000-0010-0000-0000-00000B000000}" name="列11" headerRowDxfId="167" headerRowCellStyle="好" dataCellStyle="好"/>
    <tableColumn id="12" xr3:uid="{00000000-0010-0000-0000-00000C000000}" name="列12" headerRowDxfId="166" headerRowCellStyle="好" dataCellStyle="好"/>
    <tableColumn id="13" xr3:uid="{00000000-0010-0000-0000-00000D000000}" name="列13" headerRowDxfId="165" headerRowCellStyle="好" dataCellStyle="好"/>
    <tableColumn id="14" xr3:uid="{00000000-0010-0000-0000-00000E000000}" name="列14" headerRowDxfId="164" headerRowCellStyle="好" dataCellStyle="好"/>
    <tableColumn id="15" xr3:uid="{00000000-0010-0000-0000-00000F000000}" name="列15" headerRowDxfId="163" headerRowCellStyle="好" dataCellStyle="好"/>
    <tableColumn id="16" xr3:uid="{00000000-0010-0000-0000-000010000000}" name="列16" headerRowDxfId="162" headerRowCellStyle="好" dataCellStyle="好"/>
    <tableColumn id="17" xr3:uid="{00000000-0010-0000-0000-000011000000}" name="列17" headerRowDxfId="161" headerRowCellStyle="好" dataCellStyle="好"/>
    <tableColumn id="18" xr3:uid="{00000000-0010-0000-0000-000012000000}" name="列18" headerRowDxfId="160" headerRowCellStyle="好" dataCellStyle="好"/>
    <tableColumn id="19" xr3:uid="{00000000-0010-0000-0000-000013000000}" name="列19" headerRowDxfId="159" headerRowCellStyle="好" dataCellStyle="好"/>
    <tableColumn id="20" xr3:uid="{00000000-0010-0000-0000-000014000000}" name="列20" headerRowDxfId="158" headerRowCellStyle="好" dataCellStyle="好"/>
    <tableColumn id="21" xr3:uid="{00000000-0010-0000-0000-000015000000}" name="列21" headerRowDxfId="157" headerRowCellStyle="好" dataCellStyle="好"/>
    <tableColumn id="22" xr3:uid="{00000000-0010-0000-0000-000016000000}" name="列22" headerRowDxfId="156" headerRowCellStyle="好" dataCellStyle="好"/>
    <tableColumn id="23" xr3:uid="{00000000-0010-0000-0000-000017000000}" name="列23" headerRowDxfId="155" headerRowCellStyle="好" dataCellStyle="好"/>
    <tableColumn id="24" xr3:uid="{00000000-0010-0000-0000-000018000000}" name="列24" headerRowDxfId="154" headerRowCellStyle="好" dataCellStyle="好"/>
    <tableColumn id="25" xr3:uid="{00000000-0010-0000-0000-000019000000}" name="列25" headerRowDxfId="153" headerRowCellStyle="好" dataCellStyle="好"/>
    <tableColumn id="26" xr3:uid="{00000000-0010-0000-0000-00001A000000}" name="列26" headerRowDxfId="152" headerRowCellStyle="好" dataCellStyle="好"/>
    <tableColumn id="27" xr3:uid="{00000000-0010-0000-0000-00001B000000}" name="列27" headerRowDxfId="151" headerRowCellStyle="好" dataCellStyle="好"/>
    <tableColumn id="28" xr3:uid="{00000000-0010-0000-0000-00001C000000}" name="列28" headerRowDxfId="150" headerRowCellStyle="好" dataCellStyle="好"/>
    <tableColumn id="29" xr3:uid="{00000000-0010-0000-0000-00001D000000}" name="列29" headerRowDxfId="149" headerRowCellStyle="好" dataCellStyle="好"/>
    <tableColumn id="30" xr3:uid="{00000000-0010-0000-0000-00001E000000}" name="列30" headerRowDxfId="148" headerRowCellStyle="好" dataCellStyle="好"/>
    <tableColumn id="31" xr3:uid="{00000000-0010-0000-0000-00001F000000}" name="列31" headerRowDxfId="147" headerRowCellStyle="好" dataCellStyle="好"/>
    <tableColumn id="32" xr3:uid="{00000000-0010-0000-0000-000020000000}" name="列32" headerRowDxfId="146" headerRowCellStyle="好" dataCellStyle="好"/>
    <tableColumn id="33" xr3:uid="{00000000-0010-0000-0000-000021000000}" name="列33" headerRowDxfId="145" headerRowCellStyle="好" dataCellStyle="好"/>
    <tableColumn id="34" xr3:uid="{00000000-0010-0000-0000-000022000000}" name="列34" headerRowDxfId="144" headerRowCellStyle="好" dataCellStyle="好"/>
    <tableColumn id="35" xr3:uid="{00000000-0010-0000-0000-000023000000}" name="列35" headerRowDxfId="143" headerRowCellStyle="好" dataCellStyle="好"/>
    <tableColumn id="36" xr3:uid="{00000000-0010-0000-0000-000024000000}" name="列36" headerRowDxfId="142" headerRowCellStyle="好" dataCellStyle="好"/>
    <tableColumn id="37" xr3:uid="{00000000-0010-0000-0000-000025000000}" name="列37" headerRowDxfId="141" headerRowCellStyle="好" dataCellStyle="好"/>
    <tableColumn id="38" xr3:uid="{00000000-0010-0000-0000-000026000000}" name="列38" headerRowDxfId="140" headerRowCellStyle="好" dataCellStyle="好"/>
    <tableColumn id="39" xr3:uid="{00000000-0010-0000-0000-000027000000}" name="列39" headerRowDxfId="139" headerRowCellStyle="好" dataCellStyle="好"/>
    <tableColumn id="40" xr3:uid="{00000000-0010-0000-0000-000028000000}" name="列40" headerRowDxfId="138" headerRowCellStyle="好" dataCellStyle="好"/>
    <tableColumn id="41" xr3:uid="{00000000-0010-0000-0000-000029000000}" name="列41" headerRowDxfId="137" headerRowCellStyle="好" dataCellStyle="好"/>
    <tableColumn id="42" xr3:uid="{00000000-0010-0000-0000-00002A000000}" name="列42" headerRowDxfId="136" headerRowCellStyle="好" dataCellStyle="好"/>
    <tableColumn id="43" xr3:uid="{00000000-0010-0000-0000-00002B000000}" name="列43" headerRowDxfId="135" headerRowCellStyle="好" dataCellStyle="好"/>
    <tableColumn id="44" xr3:uid="{00000000-0010-0000-0000-00002C000000}" name="列44" headerRowDxfId="134" headerRowCellStyle="好" dataCellStyle="好"/>
    <tableColumn id="45" xr3:uid="{00000000-0010-0000-0000-00002D000000}" name="列45" headerRowDxfId="133" headerRowCellStyle="好" dataCellStyle="好"/>
    <tableColumn id="46" xr3:uid="{00000000-0010-0000-0000-00002E000000}" name="列46" headerRowDxfId="132" headerRowCellStyle="好" dataCellStyle="好"/>
    <tableColumn id="47" xr3:uid="{00000000-0010-0000-0000-00002F000000}" name="列47" headerRowDxfId="131" headerRowCellStyle="好" dataCellStyle="好"/>
    <tableColumn id="48" xr3:uid="{00000000-0010-0000-0000-000030000000}" name="列48" headerRowDxfId="130" headerRowCellStyle="好" dataCellStyle="好"/>
    <tableColumn id="49" xr3:uid="{00000000-0010-0000-0000-000031000000}" name="列49" headerRowDxfId="129" headerRowCellStyle="好" dataCellStyle="好"/>
    <tableColumn id="50" xr3:uid="{00000000-0010-0000-0000-000032000000}" name="列50" headerRowDxfId="128" headerRowCellStyle="好" dataCellStyle="好"/>
    <tableColumn id="51" xr3:uid="{00000000-0010-0000-0000-000033000000}" name="列51" headerRowDxfId="127" headerRowCellStyle="好" dataCellStyle="好"/>
    <tableColumn id="52" xr3:uid="{00000000-0010-0000-0000-000034000000}" name="列52" headerRowDxfId="126" headerRowCellStyle="好" dataCellStyle="好"/>
    <tableColumn id="53" xr3:uid="{00000000-0010-0000-0000-000035000000}" name="列53" headerRowDxfId="125" headerRowCellStyle="好" dataCellStyle="好"/>
    <tableColumn id="54" xr3:uid="{00000000-0010-0000-0000-000036000000}" name="列54" headerRowDxfId="124" headerRowCellStyle="好" dataCellStyle="好"/>
    <tableColumn id="55" xr3:uid="{00000000-0010-0000-0000-000037000000}" name="列55" headerRowDxfId="123" headerRowCellStyle="好" dataCellStyle="好"/>
    <tableColumn id="56" xr3:uid="{00000000-0010-0000-0000-000038000000}" name="列56" headerRowDxfId="122" headerRowCellStyle="好" dataCellStyle="好"/>
    <tableColumn id="57" xr3:uid="{00000000-0010-0000-0000-000039000000}" name="列57" headerRowDxfId="121" headerRowCellStyle="好" dataCellStyle="好"/>
    <tableColumn id="58" xr3:uid="{00000000-0010-0000-0000-00003A000000}" name="列58" headerRowDxfId="120" headerRowCellStyle="好" dataCellStyle="好"/>
    <tableColumn id="59" xr3:uid="{00000000-0010-0000-0000-00003B000000}" name="列59" headerRowDxfId="119" headerRowCellStyle="好" dataCellStyle="好"/>
    <tableColumn id="60" xr3:uid="{00000000-0010-0000-0000-00003C000000}" name="列60" headerRowDxfId="118" headerRowCellStyle="好" dataCellStyle="好"/>
    <tableColumn id="61" xr3:uid="{00000000-0010-0000-0000-00003D000000}" name="列61" headerRowDxfId="117" headerRowCellStyle="好" dataCellStyle="好"/>
    <tableColumn id="62" xr3:uid="{00000000-0010-0000-0000-00003E000000}" name="列62" headerRowDxfId="116" headerRowCellStyle="好" dataCellStyle="好"/>
    <tableColumn id="63" xr3:uid="{00000000-0010-0000-0000-00003F000000}" name="列63" headerRowDxfId="115" headerRowCellStyle="好" dataCellStyle="好"/>
    <tableColumn id="64" xr3:uid="{00000000-0010-0000-0000-000040000000}" name="列64" headerRowDxfId="114" headerRowCellStyle="好" dataCellStyle="好"/>
    <tableColumn id="65" xr3:uid="{00000000-0010-0000-0000-000041000000}" name="列65" headerRowDxfId="113" headerRowCellStyle="好" dataCellStyle="好"/>
    <tableColumn id="66" xr3:uid="{00000000-0010-0000-0000-000042000000}" name="列66" headerRowDxfId="112" headerRowCellStyle="好" dataCellStyle="好"/>
    <tableColumn id="67" xr3:uid="{00000000-0010-0000-0000-000043000000}" name="列67" headerRowDxfId="111" headerRowCellStyle="好" dataCellStyle="好"/>
    <tableColumn id="68" xr3:uid="{00000000-0010-0000-0000-000044000000}" name="列68" headerRowDxfId="110" headerRowCellStyle="好" dataCellStyle="好"/>
    <tableColumn id="69" xr3:uid="{00000000-0010-0000-0000-000045000000}" name="列69" headerRowDxfId="109" headerRowCellStyle="好" dataCellStyle="好"/>
    <tableColumn id="70" xr3:uid="{00000000-0010-0000-0000-000046000000}" name="列70" headerRowDxfId="108" headerRowCellStyle="好" dataCellStyle="好"/>
    <tableColumn id="71" xr3:uid="{00000000-0010-0000-0000-000047000000}" name="列71" headerRowDxfId="107" headerRowCellStyle="好" dataCellStyle="好"/>
    <tableColumn id="72" xr3:uid="{00000000-0010-0000-0000-000048000000}" name="列72" headerRowDxfId="106" headerRowCellStyle="好" dataCellStyle="好"/>
    <tableColumn id="73" xr3:uid="{00000000-0010-0000-0000-000049000000}" name="列73" headerRowDxfId="105" headerRowCellStyle="好" dataCellStyle="好"/>
    <tableColumn id="74" xr3:uid="{00000000-0010-0000-0000-00004A000000}" name="列74" headerRowDxfId="104" headerRowCellStyle="好" dataCellStyle="好"/>
    <tableColumn id="75" xr3:uid="{00000000-0010-0000-0000-00004B000000}" name="列75" headerRowDxfId="103" headerRowCellStyle="好" dataCellStyle="好"/>
    <tableColumn id="76" xr3:uid="{00000000-0010-0000-0000-00004C000000}" name="列76" headerRowDxfId="102" headerRowCellStyle="好" dataCellStyle="好"/>
    <tableColumn id="77" xr3:uid="{00000000-0010-0000-0000-00004D000000}" name="列77" headerRowDxfId="101" headerRowCellStyle="好" dataCellStyle="好"/>
    <tableColumn id="78" xr3:uid="{00000000-0010-0000-0000-00004E000000}" name="列78" headerRowDxfId="100" headerRowCellStyle="好" dataCellStyle="好"/>
    <tableColumn id="79" xr3:uid="{00000000-0010-0000-0000-00004F000000}" name="列79" headerRowDxfId="99" headerRowCellStyle="好" dataCellStyle="好"/>
    <tableColumn id="80" xr3:uid="{00000000-0010-0000-0000-000050000000}" name="列80" headerRowDxfId="98" headerRowCellStyle="好" dataCellStyle="好"/>
    <tableColumn id="81" xr3:uid="{00000000-0010-0000-0000-000051000000}" name="列81" headerRowDxfId="97" headerRowCellStyle="好" dataCellStyle="好"/>
    <tableColumn id="82" xr3:uid="{00000000-0010-0000-0000-000052000000}" name="列82" headerRowDxfId="96" headerRowCellStyle="好" dataCellStyle="好"/>
    <tableColumn id="83" xr3:uid="{00000000-0010-0000-0000-000053000000}" name="列83" headerRowDxfId="95" headerRowCellStyle="好" dataCellStyle="好"/>
    <tableColumn id="84" xr3:uid="{00000000-0010-0000-0000-000054000000}" name="列84" headerRowDxfId="94" headerRowCellStyle="好" dataCellStyle="好"/>
    <tableColumn id="85" xr3:uid="{00000000-0010-0000-0000-000055000000}" name="列85" headerRowDxfId="93" headerRowCellStyle="好" dataCellStyle="好"/>
    <tableColumn id="86" xr3:uid="{00000000-0010-0000-0000-000056000000}" name="列86" headerRowDxfId="92" headerRowCellStyle="好" dataCellStyle="好"/>
    <tableColumn id="87" xr3:uid="{00000000-0010-0000-0000-000057000000}" name="列87" headerRowDxfId="91" headerRowCellStyle="好" dataCellStyle="好"/>
    <tableColumn id="88" xr3:uid="{00000000-0010-0000-0000-000058000000}" name="列88" headerRowDxfId="90" headerRowCellStyle="好" dataCellStyle="好"/>
    <tableColumn id="89" xr3:uid="{00000000-0010-0000-0000-000059000000}" name="列89" headerRowDxfId="89" headerRowCellStyle="好" dataCellStyle="好"/>
  </tableColumns>
  <tableStyleInfo name="TableStyleLight1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表2" displayName="表2" ref="A59:CK62" headerRowCount="0" totalsRowShown="0">
  <tableColumns count="89">
    <tableColumn id="1" xr3:uid="{00000000-0010-0000-0100-000001000000}" name="列1" headerRowDxfId="88" dataDxfId="87" dataCellStyle="好"/>
    <tableColumn id="2" xr3:uid="{00000000-0010-0000-0100-000002000000}" name="列2" dataCellStyle="好"/>
    <tableColumn id="3" xr3:uid="{00000000-0010-0000-0100-000003000000}" name="列3" dataCellStyle="好"/>
    <tableColumn id="4" xr3:uid="{00000000-0010-0000-0100-000004000000}" name="列4" dataCellStyle="好"/>
    <tableColumn id="5" xr3:uid="{00000000-0010-0000-0100-000005000000}" name="列5" dataDxfId="86" dataCellStyle="好"/>
    <tableColumn id="6" xr3:uid="{00000000-0010-0000-0100-000006000000}" name="列6" dataDxfId="85" dataCellStyle="好"/>
    <tableColumn id="7" xr3:uid="{00000000-0010-0000-0100-000007000000}" name="列7" dataDxfId="84" dataCellStyle="好"/>
    <tableColumn id="8" xr3:uid="{00000000-0010-0000-0100-000008000000}" name="列8" dataDxfId="83" dataCellStyle="好"/>
    <tableColumn id="9" xr3:uid="{00000000-0010-0000-0100-000009000000}" name="列9" dataDxfId="82" dataCellStyle="好"/>
    <tableColumn id="10" xr3:uid="{00000000-0010-0000-0100-00000A000000}" name="列10" dataDxfId="81" dataCellStyle="好"/>
    <tableColumn id="11" xr3:uid="{00000000-0010-0000-0100-00000B000000}" name="列11" dataDxfId="80" dataCellStyle="好"/>
    <tableColumn id="12" xr3:uid="{00000000-0010-0000-0100-00000C000000}" name="列12" dataDxfId="79" dataCellStyle="好"/>
    <tableColumn id="13" xr3:uid="{00000000-0010-0000-0100-00000D000000}" name="列13" dataDxfId="78" dataCellStyle="好"/>
    <tableColumn id="14" xr3:uid="{00000000-0010-0000-0100-00000E000000}" name="列14" dataDxfId="77" dataCellStyle="好"/>
    <tableColumn id="15" xr3:uid="{00000000-0010-0000-0100-00000F000000}" name="列15" dataDxfId="76" dataCellStyle="好"/>
    <tableColumn id="16" xr3:uid="{00000000-0010-0000-0100-000010000000}" name="列16" dataDxfId="75" dataCellStyle="好"/>
    <tableColumn id="17" xr3:uid="{00000000-0010-0000-0100-000011000000}" name="列17" dataDxfId="74" dataCellStyle="好"/>
    <tableColumn id="18" xr3:uid="{00000000-0010-0000-0100-000012000000}" name="列18" dataDxfId="73" dataCellStyle="好"/>
    <tableColumn id="19" xr3:uid="{00000000-0010-0000-0100-000013000000}" name="列19" dataDxfId="72" dataCellStyle="好"/>
    <tableColumn id="20" xr3:uid="{00000000-0010-0000-0100-000014000000}" name="列20" dataDxfId="71" dataCellStyle="好"/>
    <tableColumn id="21" xr3:uid="{00000000-0010-0000-0100-000015000000}" name="列21" dataDxfId="70" dataCellStyle="好"/>
    <tableColumn id="22" xr3:uid="{00000000-0010-0000-0100-000016000000}" name="列22" dataDxfId="69" dataCellStyle="好"/>
    <tableColumn id="23" xr3:uid="{00000000-0010-0000-0100-000017000000}" name="列23" dataDxfId="68" dataCellStyle="好"/>
    <tableColumn id="24" xr3:uid="{00000000-0010-0000-0100-000018000000}" name="列24" dataDxfId="67" dataCellStyle="好"/>
    <tableColumn id="25" xr3:uid="{00000000-0010-0000-0100-000019000000}" name="列25" dataDxfId="66" dataCellStyle="好"/>
    <tableColumn id="26" xr3:uid="{00000000-0010-0000-0100-00001A000000}" name="列26" dataDxfId="65" dataCellStyle="好"/>
    <tableColumn id="27" xr3:uid="{00000000-0010-0000-0100-00001B000000}" name="列27" dataDxfId="64" dataCellStyle="好"/>
    <tableColumn id="28" xr3:uid="{00000000-0010-0000-0100-00001C000000}" name="列28" dataDxfId="63" dataCellStyle="好"/>
    <tableColumn id="29" xr3:uid="{00000000-0010-0000-0100-00001D000000}" name="列29" dataDxfId="62" dataCellStyle="好"/>
    <tableColumn id="30" xr3:uid="{00000000-0010-0000-0100-00001E000000}" name="列30" dataDxfId="61" dataCellStyle="好"/>
    <tableColumn id="31" xr3:uid="{00000000-0010-0000-0100-00001F000000}" name="列31" dataDxfId="60" dataCellStyle="好"/>
    <tableColumn id="32" xr3:uid="{00000000-0010-0000-0100-000020000000}" name="列32" dataDxfId="59" dataCellStyle="好"/>
    <tableColumn id="33" xr3:uid="{00000000-0010-0000-0100-000021000000}" name="列33" dataDxfId="58" dataCellStyle="好"/>
    <tableColumn id="34" xr3:uid="{00000000-0010-0000-0100-000022000000}" name="列34" dataDxfId="57" dataCellStyle="好"/>
    <tableColumn id="35" xr3:uid="{00000000-0010-0000-0100-000023000000}" name="列35" dataDxfId="56" dataCellStyle="好"/>
    <tableColumn id="36" xr3:uid="{00000000-0010-0000-0100-000024000000}" name="列36" dataDxfId="55" dataCellStyle="好"/>
    <tableColumn id="37" xr3:uid="{00000000-0010-0000-0100-000025000000}" name="列37" dataDxfId="54" dataCellStyle="好"/>
    <tableColumn id="38" xr3:uid="{00000000-0010-0000-0100-000026000000}" name="列38" dataDxfId="53" dataCellStyle="好"/>
    <tableColumn id="39" xr3:uid="{00000000-0010-0000-0100-000027000000}" name="列39" dataDxfId="52" dataCellStyle="好"/>
    <tableColumn id="40" xr3:uid="{00000000-0010-0000-0100-000028000000}" name="列40" dataDxfId="51" dataCellStyle="好"/>
    <tableColumn id="41" xr3:uid="{00000000-0010-0000-0100-000029000000}" name="列41" dataDxfId="50" dataCellStyle="好"/>
    <tableColumn id="42" xr3:uid="{00000000-0010-0000-0100-00002A000000}" name="列42" dataDxfId="49" dataCellStyle="好"/>
    <tableColumn id="43" xr3:uid="{00000000-0010-0000-0100-00002B000000}" name="列43" dataDxfId="48" dataCellStyle="好"/>
    <tableColumn id="44" xr3:uid="{00000000-0010-0000-0100-00002C000000}" name="列44" dataDxfId="47" dataCellStyle="好"/>
    <tableColumn id="45" xr3:uid="{00000000-0010-0000-0100-00002D000000}" name="列45" dataDxfId="46" dataCellStyle="好"/>
    <tableColumn id="46" xr3:uid="{00000000-0010-0000-0100-00002E000000}" name="列46" dataDxfId="45" dataCellStyle="好"/>
    <tableColumn id="47" xr3:uid="{00000000-0010-0000-0100-00002F000000}" name="列47" dataDxfId="44" dataCellStyle="好"/>
    <tableColumn id="48" xr3:uid="{00000000-0010-0000-0100-000030000000}" name="列48" dataDxfId="43" dataCellStyle="好"/>
    <tableColumn id="49" xr3:uid="{00000000-0010-0000-0100-000031000000}" name="列49" dataDxfId="42" dataCellStyle="好"/>
    <tableColumn id="50" xr3:uid="{00000000-0010-0000-0100-000032000000}" name="列50" dataDxfId="41" dataCellStyle="好"/>
    <tableColumn id="51" xr3:uid="{00000000-0010-0000-0100-000033000000}" name="列51" dataDxfId="40" dataCellStyle="好"/>
    <tableColumn id="52" xr3:uid="{00000000-0010-0000-0100-000034000000}" name="列52" dataDxfId="39" dataCellStyle="好"/>
    <tableColumn id="53" xr3:uid="{00000000-0010-0000-0100-000035000000}" name="列53" dataDxfId="38" dataCellStyle="好"/>
    <tableColumn id="54" xr3:uid="{00000000-0010-0000-0100-000036000000}" name="列54" dataDxfId="37" dataCellStyle="好"/>
    <tableColumn id="55" xr3:uid="{00000000-0010-0000-0100-000037000000}" name="列55" dataDxfId="36" dataCellStyle="好"/>
    <tableColumn id="56" xr3:uid="{00000000-0010-0000-0100-000038000000}" name="列56" dataDxfId="35" dataCellStyle="好"/>
    <tableColumn id="57" xr3:uid="{00000000-0010-0000-0100-000039000000}" name="列57" dataDxfId="34" dataCellStyle="好"/>
    <tableColumn id="58" xr3:uid="{00000000-0010-0000-0100-00003A000000}" name="列58" dataDxfId="33" dataCellStyle="好"/>
    <tableColumn id="59" xr3:uid="{00000000-0010-0000-0100-00003B000000}" name="列59" dataDxfId="32" dataCellStyle="好"/>
    <tableColumn id="60" xr3:uid="{00000000-0010-0000-0100-00003C000000}" name="列60" dataDxfId="31" dataCellStyle="好"/>
    <tableColumn id="61" xr3:uid="{00000000-0010-0000-0100-00003D000000}" name="列61" dataDxfId="30" dataCellStyle="好"/>
    <tableColumn id="62" xr3:uid="{00000000-0010-0000-0100-00003E000000}" name="列62" dataDxfId="29" dataCellStyle="好"/>
    <tableColumn id="63" xr3:uid="{00000000-0010-0000-0100-00003F000000}" name="列63" dataDxfId="28" dataCellStyle="好"/>
    <tableColumn id="64" xr3:uid="{00000000-0010-0000-0100-000040000000}" name="列64" dataDxfId="27" dataCellStyle="好"/>
    <tableColumn id="65" xr3:uid="{00000000-0010-0000-0100-000041000000}" name="列65" dataDxfId="26" dataCellStyle="好"/>
    <tableColumn id="66" xr3:uid="{00000000-0010-0000-0100-000042000000}" name="列66" dataDxfId="25" dataCellStyle="好"/>
    <tableColumn id="67" xr3:uid="{00000000-0010-0000-0100-000043000000}" name="列67" dataDxfId="24" dataCellStyle="好"/>
    <tableColumn id="68" xr3:uid="{00000000-0010-0000-0100-000044000000}" name="列68" dataDxfId="23" dataCellStyle="好"/>
    <tableColumn id="69" xr3:uid="{00000000-0010-0000-0100-000045000000}" name="列69" dataDxfId="22" dataCellStyle="好"/>
    <tableColumn id="70" xr3:uid="{00000000-0010-0000-0100-000046000000}" name="列70" dataDxfId="21" dataCellStyle="好"/>
    <tableColumn id="71" xr3:uid="{00000000-0010-0000-0100-000047000000}" name="列71" dataDxfId="20" dataCellStyle="好"/>
    <tableColumn id="72" xr3:uid="{00000000-0010-0000-0100-000048000000}" name="列72" dataDxfId="19" dataCellStyle="好"/>
    <tableColumn id="73" xr3:uid="{00000000-0010-0000-0100-000049000000}" name="列73" dataDxfId="18" dataCellStyle="好"/>
    <tableColumn id="74" xr3:uid="{00000000-0010-0000-0100-00004A000000}" name="列74" dataDxfId="17" dataCellStyle="好"/>
    <tableColumn id="75" xr3:uid="{00000000-0010-0000-0100-00004B000000}" name="列75" dataDxfId="16" dataCellStyle="好"/>
    <tableColumn id="76" xr3:uid="{00000000-0010-0000-0100-00004C000000}" name="列76" dataDxfId="15" dataCellStyle="好"/>
    <tableColumn id="77" xr3:uid="{00000000-0010-0000-0100-00004D000000}" name="列77" dataDxfId="14" dataCellStyle="好"/>
    <tableColumn id="78" xr3:uid="{00000000-0010-0000-0100-00004E000000}" name="列78" dataDxfId="13" dataCellStyle="好"/>
    <tableColumn id="79" xr3:uid="{00000000-0010-0000-0100-00004F000000}" name="列79" dataDxfId="12" dataCellStyle="好"/>
    <tableColumn id="80" xr3:uid="{00000000-0010-0000-0100-000050000000}" name="列80" dataDxfId="11" dataCellStyle="好"/>
    <tableColumn id="81" xr3:uid="{00000000-0010-0000-0100-000051000000}" name="列81" dataDxfId="10" dataCellStyle="好"/>
    <tableColumn id="82" xr3:uid="{00000000-0010-0000-0100-000052000000}" name="列82" dataDxfId="9" dataCellStyle="好"/>
    <tableColumn id="83" xr3:uid="{00000000-0010-0000-0100-000053000000}" name="列83" dataDxfId="8" dataCellStyle="好"/>
    <tableColumn id="84" xr3:uid="{00000000-0010-0000-0100-000054000000}" name="列84" dataDxfId="7" dataCellStyle="好"/>
    <tableColumn id="85" xr3:uid="{00000000-0010-0000-0100-000055000000}" name="列85" dataDxfId="6" dataCellStyle="好"/>
    <tableColumn id="86" xr3:uid="{00000000-0010-0000-0100-000056000000}" name="列86" dataDxfId="5" dataCellStyle="好"/>
    <tableColumn id="87" xr3:uid="{00000000-0010-0000-0100-000057000000}" name="列87" dataDxfId="4" dataCellStyle="好"/>
    <tableColumn id="88" xr3:uid="{00000000-0010-0000-0100-000058000000}" name="列88" dataDxfId="3" dataCellStyle="好"/>
    <tableColumn id="89" xr3:uid="{00000000-0010-0000-0100-000059000000}" name="列89" dataDxfId="2" dataCellStyle="好"/>
  </tableColumns>
  <tableStyleInfo name="TableStyleLight20"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表3" displayName="表3" ref="A65:CK70" headerRowCount="0" totalsRowShown="0" headerRowCellStyle="好" dataCellStyle="好">
  <tableColumns count="89">
    <tableColumn id="1" xr3:uid="{00000000-0010-0000-0200-000001000000}" name="列1" headerRowDxfId="1" dataDxfId="0" headerRowCellStyle="好" dataCellStyle="好"/>
    <tableColumn id="2" xr3:uid="{00000000-0010-0000-0200-000002000000}" name="列2" headerRowCellStyle="好" dataCellStyle="好"/>
    <tableColumn id="3" xr3:uid="{00000000-0010-0000-0200-000003000000}" name="列3" headerRowCellStyle="好" dataCellStyle="好"/>
    <tableColumn id="4" xr3:uid="{00000000-0010-0000-0200-000004000000}" name="列4" headerRowCellStyle="好" dataCellStyle="好"/>
    <tableColumn id="5" xr3:uid="{00000000-0010-0000-0200-000005000000}" name="列5" headerRowCellStyle="好" dataCellStyle="好"/>
    <tableColumn id="6" xr3:uid="{00000000-0010-0000-0200-000006000000}" name="列6" headerRowCellStyle="好" dataCellStyle="好"/>
    <tableColumn id="7" xr3:uid="{00000000-0010-0000-0200-000007000000}" name="列7" headerRowCellStyle="好" dataCellStyle="好"/>
    <tableColumn id="8" xr3:uid="{00000000-0010-0000-0200-000008000000}" name="列8" headerRowCellStyle="好" dataCellStyle="好"/>
    <tableColumn id="9" xr3:uid="{00000000-0010-0000-0200-000009000000}" name="列9" headerRowCellStyle="好" dataCellStyle="好"/>
    <tableColumn id="10" xr3:uid="{00000000-0010-0000-0200-00000A000000}" name="列10" headerRowCellStyle="好" dataCellStyle="好"/>
    <tableColumn id="11" xr3:uid="{00000000-0010-0000-0200-00000B000000}" name="列11" headerRowCellStyle="好" dataCellStyle="好"/>
    <tableColumn id="12" xr3:uid="{00000000-0010-0000-0200-00000C000000}" name="列12" headerRowCellStyle="好" dataCellStyle="好"/>
    <tableColumn id="13" xr3:uid="{00000000-0010-0000-0200-00000D000000}" name="列13" headerRowCellStyle="好" dataCellStyle="好"/>
    <tableColumn id="14" xr3:uid="{00000000-0010-0000-0200-00000E000000}" name="列14" headerRowCellStyle="好" dataCellStyle="好"/>
    <tableColumn id="15" xr3:uid="{00000000-0010-0000-0200-00000F000000}" name="列15" headerRowCellStyle="好" dataCellStyle="好"/>
    <tableColumn id="16" xr3:uid="{00000000-0010-0000-0200-000010000000}" name="列16" headerRowCellStyle="好" dataCellStyle="好"/>
    <tableColumn id="17" xr3:uid="{00000000-0010-0000-0200-000011000000}" name="列17" headerRowCellStyle="好" dataCellStyle="好"/>
    <tableColumn id="18" xr3:uid="{00000000-0010-0000-0200-000012000000}" name="列18" headerRowCellStyle="好" dataCellStyle="好"/>
    <tableColumn id="19" xr3:uid="{00000000-0010-0000-0200-000013000000}" name="列19" headerRowCellStyle="好" dataCellStyle="好"/>
    <tableColumn id="20" xr3:uid="{00000000-0010-0000-0200-000014000000}" name="列20" headerRowCellStyle="好" dataCellStyle="好"/>
    <tableColumn id="21" xr3:uid="{00000000-0010-0000-0200-000015000000}" name="列21" headerRowCellStyle="好" dataCellStyle="好"/>
    <tableColumn id="22" xr3:uid="{00000000-0010-0000-0200-000016000000}" name="列22" headerRowCellStyle="好" dataCellStyle="好"/>
    <tableColumn id="23" xr3:uid="{00000000-0010-0000-0200-000017000000}" name="列23" headerRowCellStyle="好" dataCellStyle="好"/>
    <tableColumn id="24" xr3:uid="{00000000-0010-0000-0200-000018000000}" name="列24" headerRowCellStyle="好" dataCellStyle="好"/>
    <tableColumn id="25" xr3:uid="{00000000-0010-0000-0200-000019000000}" name="列25" headerRowCellStyle="好" dataCellStyle="好"/>
    <tableColumn id="26" xr3:uid="{00000000-0010-0000-0200-00001A000000}" name="列26" headerRowCellStyle="好" dataCellStyle="好"/>
    <tableColumn id="27" xr3:uid="{00000000-0010-0000-0200-00001B000000}" name="列27" headerRowCellStyle="好" dataCellStyle="好"/>
    <tableColumn id="28" xr3:uid="{00000000-0010-0000-0200-00001C000000}" name="列28" headerRowCellStyle="好" dataCellStyle="好"/>
    <tableColumn id="29" xr3:uid="{00000000-0010-0000-0200-00001D000000}" name="列29" headerRowCellStyle="好" dataCellStyle="好"/>
    <tableColumn id="30" xr3:uid="{00000000-0010-0000-0200-00001E000000}" name="列30" headerRowCellStyle="好" dataCellStyle="好"/>
    <tableColumn id="31" xr3:uid="{00000000-0010-0000-0200-00001F000000}" name="列31" headerRowCellStyle="好" dataCellStyle="好"/>
    <tableColumn id="32" xr3:uid="{00000000-0010-0000-0200-000020000000}" name="列32" headerRowCellStyle="好" dataCellStyle="好"/>
    <tableColumn id="33" xr3:uid="{00000000-0010-0000-0200-000021000000}" name="列33" headerRowCellStyle="好" dataCellStyle="好"/>
    <tableColumn id="34" xr3:uid="{00000000-0010-0000-0200-000022000000}" name="列34" headerRowCellStyle="好" dataCellStyle="好"/>
    <tableColumn id="35" xr3:uid="{00000000-0010-0000-0200-000023000000}" name="列35" headerRowCellStyle="好" dataCellStyle="好"/>
    <tableColumn id="36" xr3:uid="{00000000-0010-0000-0200-000024000000}" name="列36" headerRowCellStyle="好" dataCellStyle="好"/>
    <tableColumn id="37" xr3:uid="{00000000-0010-0000-0200-000025000000}" name="列37" headerRowCellStyle="好" dataCellStyle="好"/>
    <tableColumn id="38" xr3:uid="{00000000-0010-0000-0200-000026000000}" name="列38" headerRowCellStyle="好" dataCellStyle="好"/>
    <tableColumn id="39" xr3:uid="{00000000-0010-0000-0200-000027000000}" name="列39" headerRowCellStyle="好" dataCellStyle="好"/>
    <tableColumn id="40" xr3:uid="{00000000-0010-0000-0200-000028000000}" name="列40" headerRowCellStyle="好" dataCellStyle="好"/>
    <tableColumn id="41" xr3:uid="{00000000-0010-0000-0200-000029000000}" name="列41" headerRowCellStyle="好" dataCellStyle="好"/>
    <tableColumn id="42" xr3:uid="{00000000-0010-0000-0200-00002A000000}" name="列42" headerRowCellStyle="好" dataCellStyle="好"/>
    <tableColumn id="43" xr3:uid="{00000000-0010-0000-0200-00002B000000}" name="列43" headerRowCellStyle="好" dataCellStyle="好"/>
    <tableColumn id="44" xr3:uid="{00000000-0010-0000-0200-00002C000000}" name="列44" headerRowCellStyle="好" dataCellStyle="好"/>
    <tableColumn id="45" xr3:uid="{00000000-0010-0000-0200-00002D000000}" name="列45" headerRowCellStyle="好" dataCellStyle="好"/>
    <tableColumn id="46" xr3:uid="{00000000-0010-0000-0200-00002E000000}" name="列46" headerRowCellStyle="好" dataCellStyle="好"/>
    <tableColumn id="47" xr3:uid="{00000000-0010-0000-0200-00002F000000}" name="列47" headerRowCellStyle="好" dataCellStyle="好"/>
    <tableColumn id="48" xr3:uid="{00000000-0010-0000-0200-000030000000}" name="列48" headerRowCellStyle="好" dataCellStyle="好"/>
    <tableColumn id="49" xr3:uid="{00000000-0010-0000-0200-000031000000}" name="列49" headerRowCellStyle="好" dataCellStyle="好"/>
    <tableColumn id="50" xr3:uid="{00000000-0010-0000-0200-000032000000}" name="列50" headerRowCellStyle="好" dataCellStyle="好"/>
    <tableColumn id="51" xr3:uid="{00000000-0010-0000-0200-000033000000}" name="列51" headerRowCellStyle="好" dataCellStyle="好"/>
    <tableColumn id="52" xr3:uid="{00000000-0010-0000-0200-000034000000}" name="列52" headerRowCellStyle="好" dataCellStyle="好"/>
    <tableColumn id="53" xr3:uid="{00000000-0010-0000-0200-000035000000}" name="列53" headerRowCellStyle="好" dataCellStyle="好"/>
    <tableColumn id="54" xr3:uid="{00000000-0010-0000-0200-000036000000}" name="列54" headerRowCellStyle="好" dataCellStyle="好"/>
    <tableColumn id="55" xr3:uid="{00000000-0010-0000-0200-000037000000}" name="列55" headerRowCellStyle="好" dataCellStyle="好"/>
    <tableColumn id="56" xr3:uid="{00000000-0010-0000-0200-000038000000}" name="列56" headerRowCellStyle="好" dataCellStyle="好"/>
    <tableColumn id="57" xr3:uid="{00000000-0010-0000-0200-000039000000}" name="列57" headerRowCellStyle="好" dataCellStyle="好"/>
    <tableColumn id="58" xr3:uid="{00000000-0010-0000-0200-00003A000000}" name="列58" headerRowCellStyle="好" dataCellStyle="好"/>
    <tableColumn id="59" xr3:uid="{00000000-0010-0000-0200-00003B000000}" name="列59" headerRowCellStyle="好" dataCellStyle="好"/>
    <tableColumn id="60" xr3:uid="{00000000-0010-0000-0200-00003C000000}" name="列60" headerRowCellStyle="好" dataCellStyle="好"/>
    <tableColumn id="61" xr3:uid="{00000000-0010-0000-0200-00003D000000}" name="列61" headerRowCellStyle="好" dataCellStyle="好"/>
    <tableColumn id="62" xr3:uid="{00000000-0010-0000-0200-00003E000000}" name="列62" headerRowCellStyle="好" dataCellStyle="好"/>
    <tableColumn id="63" xr3:uid="{00000000-0010-0000-0200-00003F000000}" name="列63" headerRowCellStyle="好" dataCellStyle="好"/>
    <tableColumn id="64" xr3:uid="{00000000-0010-0000-0200-000040000000}" name="列64" headerRowCellStyle="好" dataCellStyle="好"/>
    <tableColumn id="65" xr3:uid="{00000000-0010-0000-0200-000041000000}" name="列65" headerRowCellStyle="好" dataCellStyle="好"/>
    <tableColumn id="66" xr3:uid="{00000000-0010-0000-0200-000042000000}" name="列66" headerRowCellStyle="好" dataCellStyle="好"/>
    <tableColumn id="67" xr3:uid="{00000000-0010-0000-0200-000043000000}" name="列67" headerRowCellStyle="好" dataCellStyle="好"/>
    <tableColumn id="68" xr3:uid="{00000000-0010-0000-0200-000044000000}" name="列68" headerRowCellStyle="好" dataCellStyle="好"/>
    <tableColumn id="69" xr3:uid="{00000000-0010-0000-0200-000045000000}" name="列69" headerRowCellStyle="好" dataCellStyle="好"/>
    <tableColumn id="70" xr3:uid="{00000000-0010-0000-0200-000046000000}" name="列70" headerRowCellStyle="好" dataCellStyle="好"/>
    <tableColumn id="71" xr3:uid="{00000000-0010-0000-0200-000047000000}" name="列71" headerRowCellStyle="好" dataCellStyle="好"/>
    <tableColumn id="72" xr3:uid="{00000000-0010-0000-0200-000048000000}" name="列72" headerRowCellStyle="好" dataCellStyle="好"/>
    <tableColumn id="73" xr3:uid="{00000000-0010-0000-0200-000049000000}" name="列73" headerRowCellStyle="好" dataCellStyle="好"/>
    <tableColumn id="74" xr3:uid="{00000000-0010-0000-0200-00004A000000}" name="列74" headerRowCellStyle="好" dataCellStyle="好"/>
    <tableColumn id="75" xr3:uid="{00000000-0010-0000-0200-00004B000000}" name="列75" headerRowCellStyle="好" dataCellStyle="好"/>
    <tableColumn id="76" xr3:uid="{00000000-0010-0000-0200-00004C000000}" name="列76" headerRowCellStyle="好" dataCellStyle="好"/>
    <tableColumn id="77" xr3:uid="{00000000-0010-0000-0200-00004D000000}" name="列77" headerRowCellStyle="好" dataCellStyle="好"/>
    <tableColumn id="78" xr3:uid="{00000000-0010-0000-0200-00004E000000}" name="列78" headerRowCellStyle="好" dataCellStyle="好"/>
    <tableColumn id="79" xr3:uid="{00000000-0010-0000-0200-00004F000000}" name="列79" headerRowCellStyle="好" dataCellStyle="好"/>
    <tableColumn id="80" xr3:uid="{00000000-0010-0000-0200-000050000000}" name="列80" headerRowCellStyle="好" dataCellStyle="好"/>
    <tableColumn id="81" xr3:uid="{00000000-0010-0000-0200-000051000000}" name="列81" headerRowCellStyle="好" dataCellStyle="好"/>
    <tableColumn id="82" xr3:uid="{00000000-0010-0000-0200-000052000000}" name="列82" headerRowCellStyle="好" dataCellStyle="好"/>
    <tableColumn id="83" xr3:uid="{00000000-0010-0000-0200-000053000000}" name="列83" headerRowCellStyle="好" dataCellStyle="好"/>
    <tableColumn id="84" xr3:uid="{00000000-0010-0000-0200-000054000000}" name="列84" headerRowCellStyle="好" dataCellStyle="好"/>
    <tableColumn id="85" xr3:uid="{00000000-0010-0000-0200-000055000000}" name="列85" headerRowCellStyle="好" dataCellStyle="好"/>
    <tableColumn id="86" xr3:uid="{00000000-0010-0000-0200-000056000000}" name="列86" headerRowCellStyle="好" dataCellStyle="好"/>
    <tableColumn id="87" xr3:uid="{00000000-0010-0000-0200-000057000000}" name="列87" headerRowCellStyle="好" dataCellStyle="好"/>
    <tableColumn id="88" xr3:uid="{00000000-0010-0000-0200-000058000000}" name="列88" headerRowCellStyle="好" dataCellStyle="好"/>
    <tableColumn id="89" xr3:uid="{00000000-0010-0000-0200-000059000000}" name="列89" headerRowCellStyle="好" dataCellStyle="好"/>
  </tableColumns>
  <tableStyleInfo name="TableStyleLight18"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4.bin"/><Relationship Id="rId5" Type="http://schemas.openxmlformats.org/officeDocument/2006/relationships/table" Target="../tables/table3.xml"/><Relationship Id="rId4" Type="http://schemas.openxmlformats.org/officeDocument/2006/relationships/table" Target="../tables/table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资产负债表"/>
  <dimension ref="A1:BT85"/>
  <sheetViews>
    <sheetView workbookViewId="0">
      <selection activeCell="Y25" sqref="Y25"/>
    </sheetView>
  </sheetViews>
  <sheetFormatPr defaultRowHeight="14.4" x14ac:dyDescent="0.25"/>
  <cols>
    <col min="1" max="1" width="35.88671875" style="190" bestFit="1" customWidth="1"/>
    <col min="2" max="4" width="12.77734375" style="190" hidden="1" customWidth="1"/>
    <col min="5" max="5" width="12.77734375" style="190" bestFit="1" customWidth="1"/>
    <col min="6" max="8" width="12.77734375" style="190" hidden="1" customWidth="1"/>
    <col min="9" max="9" width="12.77734375" style="190" bestFit="1" customWidth="1"/>
    <col min="10" max="12" width="12.77734375" style="190" hidden="1" customWidth="1"/>
    <col min="13" max="13" width="12.77734375" style="190" bestFit="1" customWidth="1"/>
    <col min="14" max="16" width="12.77734375" style="190" hidden="1" customWidth="1"/>
    <col min="17" max="17" width="12.77734375" style="190" bestFit="1" customWidth="1"/>
    <col min="18" max="20" width="12.77734375" style="190" hidden="1" customWidth="1"/>
    <col min="21" max="21" width="12.77734375" style="190" bestFit="1" customWidth="1"/>
    <col min="22" max="24" width="12.77734375" style="190" hidden="1" customWidth="1"/>
    <col min="25" max="25" width="12.77734375" style="190" bestFit="1" customWidth="1"/>
    <col min="26" max="28" width="12.77734375" style="190" hidden="1" customWidth="1"/>
    <col min="29" max="29" width="12.77734375" style="190" bestFit="1" customWidth="1"/>
    <col min="30" max="32" width="12.77734375" style="190" hidden="1" customWidth="1"/>
    <col min="33" max="33" width="12.77734375" style="190" bestFit="1" customWidth="1"/>
    <col min="34" max="36" width="12.77734375" style="190" hidden="1" customWidth="1"/>
    <col min="37" max="37" width="12.77734375" style="190" bestFit="1" customWidth="1"/>
    <col min="38" max="40" width="12.77734375" style="190" hidden="1" customWidth="1"/>
    <col min="41" max="41" width="12.77734375" style="190" bestFit="1" customWidth="1"/>
    <col min="42" max="44" width="12.77734375" style="190" hidden="1" customWidth="1"/>
    <col min="45" max="45" width="12.77734375" style="190" bestFit="1" customWidth="1"/>
    <col min="46" max="48" width="12.77734375" style="190" hidden="1" customWidth="1"/>
    <col min="49" max="49" width="12.77734375" style="190" bestFit="1" customWidth="1"/>
    <col min="50" max="52" width="12.77734375" style="190" hidden="1" customWidth="1"/>
    <col min="53" max="53" width="12.77734375" style="190" bestFit="1" customWidth="1"/>
    <col min="54" max="56" width="12.77734375" style="190" hidden="1" customWidth="1"/>
    <col min="57" max="57" width="12.77734375" style="190" bestFit="1" customWidth="1"/>
    <col min="58" max="60" width="12.77734375" style="190" hidden="1" customWidth="1"/>
    <col min="61" max="61" width="12.77734375" style="190" bestFit="1" customWidth="1"/>
    <col min="62" max="64" width="12.77734375" style="190" hidden="1" customWidth="1"/>
    <col min="65" max="65" width="12.77734375" style="190" bestFit="1" customWidth="1"/>
    <col min="66" max="68" width="12.77734375" style="190" hidden="1" customWidth="1"/>
    <col min="69" max="69" width="12.77734375" style="190" bestFit="1" customWidth="1"/>
    <col min="70" max="70" width="12.77734375" style="190" hidden="1" customWidth="1"/>
    <col min="71" max="71" width="12.77734375" style="190" bestFit="1" customWidth="1"/>
    <col min="72" max="72" width="9.5546875" style="190" hidden="1" customWidth="1"/>
    <col min="73" max="16384" width="8.88671875" style="190"/>
  </cols>
  <sheetData>
    <row r="1" spans="1:72" x14ac:dyDescent="0.25">
      <c r="A1" s="190">
        <v>600028</v>
      </c>
      <c r="B1" s="190">
        <v>20180930</v>
      </c>
      <c r="C1" s="190">
        <v>20180630</v>
      </c>
      <c r="D1" s="190">
        <v>20180331</v>
      </c>
      <c r="E1" s="190">
        <v>20171231</v>
      </c>
      <c r="F1" s="190">
        <v>20170930</v>
      </c>
      <c r="G1" s="190">
        <v>20170630</v>
      </c>
      <c r="H1" s="190">
        <v>20170331</v>
      </c>
      <c r="I1" s="190">
        <v>20161231</v>
      </c>
      <c r="J1" s="190">
        <v>20160930</v>
      </c>
      <c r="K1" s="190">
        <v>20160630</v>
      </c>
      <c r="L1" s="190">
        <v>20160331</v>
      </c>
      <c r="M1" s="190">
        <v>20151231</v>
      </c>
      <c r="N1" s="190">
        <v>20150930</v>
      </c>
      <c r="O1" s="190">
        <v>20150630</v>
      </c>
      <c r="P1" s="190">
        <v>20150331</v>
      </c>
      <c r="Q1" s="190">
        <v>20141231</v>
      </c>
      <c r="R1" s="190">
        <v>20140930</v>
      </c>
      <c r="S1" s="190">
        <v>20140630</v>
      </c>
      <c r="T1" s="190">
        <v>20140331</v>
      </c>
      <c r="U1" s="190">
        <v>20131231</v>
      </c>
      <c r="V1" s="190">
        <v>20130930</v>
      </c>
      <c r="W1" s="190">
        <v>20130630</v>
      </c>
      <c r="X1" s="190">
        <v>20130331</v>
      </c>
      <c r="Y1" s="190">
        <v>20121231</v>
      </c>
      <c r="Z1" s="190">
        <v>20120930</v>
      </c>
      <c r="AA1" s="190">
        <v>20120630</v>
      </c>
      <c r="AB1" s="190">
        <v>20120331</v>
      </c>
      <c r="AC1" s="190">
        <v>20111231</v>
      </c>
      <c r="AD1" s="190">
        <v>20110930</v>
      </c>
      <c r="AE1" s="190">
        <v>20110630</v>
      </c>
      <c r="AF1" s="190">
        <v>20110331</v>
      </c>
      <c r="AG1" s="190">
        <v>20101231</v>
      </c>
      <c r="AH1" s="190">
        <v>20100930</v>
      </c>
      <c r="AI1" s="190">
        <v>20100630</v>
      </c>
      <c r="AJ1" s="190">
        <v>20100331</v>
      </c>
      <c r="AK1" s="190">
        <v>20091231</v>
      </c>
      <c r="AL1" s="190">
        <v>20090930</v>
      </c>
      <c r="AM1" s="190">
        <v>20090630</v>
      </c>
      <c r="AN1" s="190">
        <v>20090331</v>
      </c>
      <c r="AO1" s="190">
        <v>20081231</v>
      </c>
      <c r="AP1" s="190">
        <v>20080930</v>
      </c>
      <c r="AQ1" s="190">
        <v>20080630</v>
      </c>
      <c r="AR1" s="190">
        <v>20080331</v>
      </c>
      <c r="AS1" s="190">
        <v>20071231</v>
      </c>
      <c r="AT1" s="190">
        <v>20070930</v>
      </c>
      <c r="AU1" s="190">
        <v>20070630</v>
      </c>
      <c r="AV1" s="190">
        <v>20070331</v>
      </c>
      <c r="AW1" s="190">
        <v>20061231</v>
      </c>
      <c r="AX1" s="190">
        <v>20060930</v>
      </c>
      <c r="AY1" s="190">
        <v>20060630</v>
      </c>
      <c r="AZ1" s="190">
        <v>20060331</v>
      </c>
      <c r="BA1" s="190">
        <v>20051231</v>
      </c>
      <c r="BB1" s="190">
        <v>20050930</v>
      </c>
      <c r="BC1" s="190">
        <v>20050630</v>
      </c>
      <c r="BD1" s="190">
        <v>20050331</v>
      </c>
      <c r="BE1" s="190">
        <v>20041231</v>
      </c>
      <c r="BF1" s="190">
        <v>20040930</v>
      </c>
      <c r="BG1" s="190">
        <v>20040630</v>
      </c>
      <c r="BH1" s="190">
        <v>20040331</v>
      </c>
      <c r="BI1" s="190">
        <v>20031231</v>
      </c>
      <c r="BJ1" s="190">
        <v>20030930</v>
      </c>
      <c r="BK1" s="190">
        <v>20030630</v>
      </c>
      <c r="BL1" s="190">
        <v>20030331</v>
      </c>
      <c r="BM1" s="190">
        <v>20021231</v>
      </c>
      <c r="BN1" s="190">
        <v>20020930</v>
      </c>
      <c r="BO1" s="190">
        <v>20020630</v>
      </c>
      <c r="BP1" s="190">
        <v>20020331</v>
      </c>
      <c r="BQ1" s="190">
        <v>20011231</v>
      </c>
      <c r="BR1" s="190">
        <v>20010630</v>
      </c>
      <c r="BS1" s="190">
        <v>20001231</v>
      </c>
      <c r="BT1" s="190">
        <v>19700101</v>
      </c>
    </row>
    <row r="2" spans="1:72" x14ac:dyDescent="0.25">
      <c r="A2" s="190" t="s">
        <v>105</v>
      </c>
      <c r="B2" s="190" t="s">
        <v>106</v>
      </c>
      <c r="C2" s="190" t="s">
        <v>106</v>
      </c>
      <c r="D2" s="190" t="s">
        <v>106</v>
      </c>
      <c r="E2" s="190" t="s">
        <v>106</v>
      </c>
      <c r="F2" s="190" t="s">
        <v>106</v>
      </c>
      <c r="G2" s="190" t="s">
        <v>106</v>
      </c>
      <c r="H2" s="190" t="s">
        <v>106</v>
      </c>
      <c r="I2" s="190" t="s">
        <v>106</v>
      </c>
      <c r="J2" s="190" t="s">
        <v>106</v>
      </c>
      <c r="K2" s="190" t="s">
        <v>106</v>
      </c>
      <c r="L2" s="190" t="s">
        <v>106</v>
      </c>
      <c r="M2" s="190" t="s">
        <v>106</v>
      </c>
      <c r="N2" s="190" t="s">
        <v>106</v>
      </c>
      <c r="O2" s="190" t="s">
        <v>106</v>
      </c>
      <c r="P2" s="190" t="s">
        <v>106</v>
      </c>
      <c r="Q2" s="190" t="s">
        <v>106</v>
      </c>
      <c r="R2" s="190" t="s">
        <v>106</v>
      </c>
      <c r="S2" s="190" t="s">
        <v>106</v>
      </c>
      <c r="T2" s="190" t="s">
        <v>106</v>
      </c>
      <c r="U2" s="190" t="s">
        <v>106</v>
      </c>
      <c r="V2" s="190" t="s">
        <v>106</v>
      </c>
      <c r="W2" s="190" t="s">
        <v>106</v>
      </c>
      <c r="X2" s="190" t="s">
        <v>106</v>
      </c>
      <c r="Y2" s="190" t="s">
        <v>106</v>
      </c>
      <c r="Z2" s="190" t="s">
        <v>106</v>
      </c>
      <c r="AA2" s="190" t="s">
        <v>106</v>
      </c>
      <c r="AB2" s="190" t="s">
        <v>106</v>
      </c>
      <c r="AC2" s="190" t="s">
        <v>106</v>
      </c>
      <c r="AD2" s="190" t="s">
        <v>106</v>
      </c>
      <c r="AE2" s="190" t="s">
        <v>106</v>
      </c>
      <c r="AF2" s="190" t="s">
        <v>106</v>
      </c>
      <c r="AG2" s="190" t="s">
        <v>106</v>
      </c>
      <c r="AH2" s="190" t="s">
        <v>106</v>
      </c>
      <c r="AI2" s="190" t="s">
        <v>106</v>
      </c>
      <c r="AJ2" s="190" t="s">
        <v>106</v>
      </c>
      <c r="AK2" s="190" t="s">
        <v>106</v>
      </c>
      <c r="AL2" s="190" t="s">
        <v>106</v>
      </c>
      <c r="AM2" s="190" t="s">
        <v>106</v>
      </c>
      <c r="AN2" s="190" t="s">
        <v>106</v>
      </c>
      <c r="AO2" s="190" t="s">
        <v>106</v>
      </c>
      <c r="AP2" s="190" t="s">
        <v>106</v>
      </c>
      <c r="AQ2" s="190" t="s">
        <v>106</v>
      </c>
      <c r="AR2" s="190" t="s">
        <v>106</v>
      </c>
      <c r="AS2" s="190" t="s">
        <v>106</v>
      </c>
      <c r="AT2" s="190" t="s">
        <v>106</v>
      </c>
      <c r="AU2" s="190" t="s">
        <v>106</v>
      </c>
      <c r="AV2" s="190" t="s">
        <v>106</v>
      </c>
      <c r="AW2" s="190" t="s">
        <v>106</v>
      </c>
      <c r="AX2" s="190" t="s">
        <v>106</v>
      </c>
      <c r="AY2" s="190" t="s">
        <v>106</v>
      </c>
      <c r="AZ2" s="190" t="s">
        <v>106</v>
      </c>
      <c r="BA2" s="190" t="s">
        <v>106</v>
      </c>
      <c r="BB2" s="190" t="s">
        <v>106</v>
      </c>
      <c r="BC2" s="190" t="s">
        <v>106</v>
      </c>
      <c r="BD2" s="190" t="s">
        <v>106</v>
      </c>
      <c r="BE2" s="190" t="s">
        <v>106</v>
      </c>
      <c r="BF2" s="190" t="s">
        <v>106</v>
      </c>
      <c r="BG2" s="190" t="s">
        <v>106</v>
      </c>
      <c r="BH2" s="190" t="s">
        <v>106</v>
      </c>
      <c r="BI2" s="190" t="s">
        <v>106</v>
      </c>
      <c r="BJ2" s="190" t="s">
        <v>106</v>
      </c>
      <c r="BK2" s="190" t="s">
        <v>106</v>
      </c>
      <c r="BL2" s="190" t="s">
        <v>106</v>
      </c>
      <c r="BM2" s="190" t="s">
        <v>106</v>
      </c>
      <c r="BN2" s="190" t="s">
        <v>106</v>
      </c>
      <c r="BO2" s="190" t="s">
        <v>106</v>
      </c>
      <c r="BP2" s="190" t="s">
        <v>106</v>
      </c>
      <c r="BQ2" s="190" t="s">
        <v>106</v>
      </c>
      <c r="BR2" s="190" t="s">
        <v>106</v>
      </c>
      <c r="BS2" s="190" t="s">
        <v>106</v>
      </c>
    </row>
    <row r="3" spans="1:72" x14ac:dyDescent="0.25">
      <c r="A3" s="190" t="s">
        <v>107</v>
      </c>
    </row>
    <row r="4" spans="1:72" x14ac:dyDescent="0.25">
      <c r="A4" s="190" t="s">
        <v>108</v>
      </c>
      <c r="B4" s="190">
        <v>228938000000</v>
      </c>
      <c r="C4" s="190">
        <v>205153000000</v>
      </c>
      <c r="D4" s="190">
        <v>173640000000</v>
      </c>
      <c r="E4" s="190">
        <v>165004000000</v>
      </c>
      <c r="F4" s="190">
        <v>161903000000</v>
      </c>
      <c r="G4" s="190">
        <v>160822000000</v>
      </c>
      <c r="H4" s="190">
        <v>135050000000</v>
      </c>
      <c r="I4" s="190">
        <v>142497000000</v>
      </c>
      <c r="J4" s="190">
        <v>86383000000</v>
      </c>
      <c r="K4" s="190">
        <v>76986000000</v>
      </c>
      <c r="L4" s="190">
        <v>63889000000</v>
      </c>
      <c r="M4" s="190">
        <v>68557000000</v>
      </c>
      <c r="N4" s="190">
        <v>57173000000</v>
      </c>
      <c r="O4" s="190">
        <v>74203000000</v>
      </c>
      <c r="P4" s="190">
        <v>73946000000</v>
      </c>
      <c r="Q4" s="190">
        <v>10100000000</v>
      </c>
      <c r="R4" s="190">
        <v>20919000000</v>
      </c>
      <c r="S4" s="190">
        <v>14346000000</v>
      </c>
      <c r="T4" s="190">
        <v>20771000000</v>
      </c>
      <c r="U4" s="190">
        <v>15101000000</v>
      </c>
      <c r="V4" s="190">
        <v>12096000000</v>
      </c>
      <c r="W4" s="190">
        <v>11385000000</v>
      </c>
      <c r="X4" s="190">
        <v>14788000000</v>
      </c>
      <c r="Y4" s="190">
        <v>10864000000</v>
      </c>
      <c r="Z4" s="190">
        <v>14855000000</v>
      </c>
      <c r="AA4" s="190">
        <v>13960000000</v>
      </c>
      <c r="AB4" s="190">
        <v>24609000000</v>
      </c>
      <c r="AC4" s="190">
        <v>25197000000</v>
      </c>
      <c r="AD4" s="190">
        <v>27189000000</v>
      </c>
      <c r="AE4" s="190">
        <v>14186000000</v>
      </c>
      <c r="AF4" s="190">
        <v>27007000000</v>
      </c>
      <c r="AG4" s="190">
        <v>18140000000</v>
      </c>
      <c r="AH4" s="190">
        <v>11562000000</v>
      </c>
      <c r="AI4" s="190">
        <v>16695000000</v>
      </c>
      <c r="AJ4" s="190">
        <v>11361000000</v>
      </c>
      <c r="AK4" s="190">
        <v>9986000000</v>
      </c>
      <c r="AL4" s="190">
        <v>8601000000</v>
      </c>
      <c r="AM4" s="190">
        <v>9082000000</v>
      </c>
      <c r="AN4" s="190">
        <v>12227000000</v>
      </c>
      <c r="AO4" s="190">
        <v>7700000000</v>
      </c>
      <c r="AP4" s="190">
        <v>11605000000</v>
      </c>
      <c r="AQ4" s="190">
        <v>9774000000</v>
      </c>
      <c r="AR4" s="190">
        <v>28397000000</v>
      </c>
      <c r="AS4" s="190">
        <v>8364000000</v>
      </c>
      <c r="AT4" s="190">
        <v>8908000000</v>
      </c>
      <c r="AU4" s="190">
        <v>12989000000</v>
      </c>
      <c r="AV4" s="190">
        <v>15943000000</v>
      </c>
      <c r="AW4" s="190">
        <v>8723000000</v>
      </c>
      <c r="AX4" s="190">
        <v>10590000000</v>
      </c>
      <c r="AY4" s="190">
        <v>10777000000</v>
      </c>
      <c r="AZ4" s="190">
        <v>13089000000</v>
      </c>
      <c r="BA4" s="190">
        <v>14747000000</v>
      </c>
      <c r="BB4" s="190">
        <v>16567000000</v>
      </c>
      <c r="BC4" s="190">
        <v>15322000000</v>
      </c>
      <c r="BD4" s="190">
        <v>19884000000</v>
      </c>
      <c r="BE4" s="190">
        <v>18280000000</v>
      </c>
      <c r="BF4" s="190">
        <v>17324000000</v>
      </c>
      <c r="BG4" s="190">
        <v>17028000000</v>
      </c>
      <c r="BH4" s="190">
        <v>20367000000</v>
      </c>
      <c r="BI4" s="190">
        <v>17405000000</v>
      </c>
      <c r="BJ4" s="190">
        <v>18630000000</v>
      </c>
      <c r="BK4" s="190">
        <v>21844000000</v>
      </c>
      <c r="BL4" s="190">
        <v>22282000000</v>
      </c>
      <c r="BM4" s="190">
        <v>18712000000</v>
      </c>
      <c r="BN4" s="190">
        <v>19232000000</v>
      </c>
      <c r="BO4" s="190">
        <v>21210000000</v>
      </c>
      <c r="BP4" s="190">
        <v>20983000000</v>
      </c>
      <c r="BQ4" s="190">
        <v>22854000000</v>
      </c>
      <c r="BR4" s="190">
        <v>39959000000</v>
      </c>
      <c r="BS4" s="190">
        <v>41134000000</v>
      </c>
      <c r="BT4" s="190">
        <v>0</v>
      </c>
    </row>
    <row r="5" spans="1:72" x14ac:dyDescent="0.25">
      <c r="A5" s="190" t="s">
        <v>109</v>
      </c>
      <c r="B5" s="190">
        <v>7418000000</v>
      </c>
      <c r="C5" s="190">
        <v>7269000000</v>
      </c>
      <c r="D5" s="190">
        <v>39167000000</v>
      </c>
      <c r="E5" s="190">
        <v>51196000000</v>
      </c>
      <c r="F5" s="190">
        <v>0</v>
      </c>
      <c r="G5" s="190">
        <v>0</v>
      </c>
      <c r="H5" s="190">
        <v>0</v>
      </c>
      <c r="I5" s="190">
        <v>0</v>
      </c>
      <c r="J5" s="190">
        <v>0</v>
      </c>
      <c r="K5" s="190">
        <v>0</v>
      </c>
      <c r="L5" s="190">
        <v>0</v>
      </c>
      <c r="M5" s="190">
        <v>0</v>
      </c>
      <c r="N5" s="190">
        <v>0</v>
      </c>
      <c r="O5" s="190">
        <v>0</v>
      </c>
      <c r="P5" s="190">
        <v>0</v>
      </c>
      <c r="Q5" s="190">
        <v>0</v>
      </c>
      <c r="R5" s="190">
        <v>0</v>
      </c>
      <c r="S5" s="190">
        <v>0</v>
      </c>
      <c r="T5" s="190">
        <v>0</v>
      </c>
      <c r="U5" s="190">
        <v>0</v>
      </c>
      <c r="V5" s="190">
        <v>0</v>
      </c>
      <c r="W5" s="190">
        <v>0</v>
      </c>
      <c r="X5" s="190">
        <v>0</v>
      </c>
      <c r="Y5" s="190">
        <v>0</v>
      </c>
      <c r="Z5" s="190">
        <v>0</v>
      </c>
      <c r="AA5" s="190">
        <v>0</v>
      </c>
      <c r="AB5" s="190">
        <v>0</v>
      </c>
      <c r="AC5" s="190">
        <v>0</v>
      </c>
      <c r="AD5" s="190">
        <v>0</v>
      </c>
      <c r="AE5" s="190">
        <v>0</v>
      </c>
      <c r="AF5" s="190">
        <v>0</v>
      </c>
      <c r="AG5" s="190">
        <v>0</v>
      </c>
      <c r="AH5" s="190">
        <v>0</v>
      </c>
      <c r="AI5" s="190">
        <v>0</v>
      </c>
      <c r="AJ5" s="190">
        <v>0</v>
      </c>
      <c r="AK5" s="190">
        <v>0</v>
      </c>
      <c r="AL5" s="190">
        <v>0</v>
      </c>
      <c r="AM5" s="190">
        <v>0</v>
      </c>
      <c r="AN5" s="190">
        <v>0</v>
      </c>
      <c r="AO5" s="190">
        <v>0</v>
      </c>
      <c r="AP5" s="190">
        <v>0</v>
      </c>
      <c r="AQ5" s="190">
        <v>0</v>
      </c>
      <c r="AR5" s="190">
        <v>0</v>
      </c>
      <c r="AS5" s="190">
        <v>0</v>
      </c>
      <c r="AT5" s="190">
        <v>0</v>
      </c>
      <c r="AU5" s="190">
        <v>0</v>
      </c>
      <c r="AV5" s="190">
        <v>0</v>
      </c>
      <c r="AW5" s="190">
        <v>0</v>
      </c>
      <c r="AX5" s="190">
        <v>0</v>
      </c>
      <c r="AY5" s="190">
        <v>0</v>
      </c>
      <c r="AZ5" s="190">
        <v>0</v>
      </c>
      <c r="BA5" s="190">
        <v>0</v>
      </c>
      <c r="BB5" s="190">
        <v>0</v>
      </c>
      <c r="BC5" s="190">
        <v>0</v>
      </c>
      <c r="BD5" s="190">
        <v>0</v>
      </c>
      <c r="BE5" s="190">
        <v>0</v>
      </c>
      <c r="BF5" s="190">
        <v>0</v>
      </c>
      <c r="BG5" s="190">
        <v>0</v>
      </c>
      <c r="BH5" s="190">
        <v>0</v>
      </c>
      <c r="BI5" s="190">
        <v>0</v>
      </c>
      <c r="BJ5" s="190">
        <v>0</v>
      </c>
      <c r="BK5" s="190">
        <v>0</v>
      </c>
      <c r="BL5" s="190">
        <v>0</v>
      </c>
      <c r="BM5" s="190">
        <v>0</v>
      </c>
      <c r="BN5" s="190">
        <v>0</v>
      </c>
      <c r="BO5" s="190">
        <v>0</v>
      </c>
      <c r="BP5" s="190">
        <v>0</v>
      </c>
      <c r="BQ5" s="190">
        <v>0</v>
      </c>
      <c r="BR5" s="190">
        <v>0</v>
      </c>
      <c r="BS5" s="190">
        <v>0</v>
      </c>
      <c r="BT5" s="190">
        <v>0</v>
      </c>
    </row>
    <row r="6" spans="1:72" x14ac:dyDescent="0.25">
      <c r="A6" s="190" t="s">
        <v>110</v>
      </c>
      <c r="B6" s="190">
        <v>0</v>
      </c>
      <c r="C6" s="190">
        <v>0</v>
      </c>
      <c r="D6" s="190">
        <v>0</v>
      </c>
      <c r="E6" s="190">
        <v>0</v>
      </c>
      <c r="F6" s="190">
        <v>0</v>
      </c>
      <c r="G6" s="190">
        <v>0</v>
      </c>
      <c r="H6" s="190">
        <v>0</v>
      </c>
      <c r="I6" s="190">
        <v>0</v>
      </c>
      <c r="J6" s="190">
        <v>0</v>
      </c>
      <c r="K6" s="190">
        <v>0</v>
      </c>
      <c r="L6" s="190">
        <v>0</v>
      </c>
      <c r="M6" s="190">
        <v>0</v>
      </c>
      <c r="N6" s="190">
        <v>0</v>
      </c>
      <c r="O6" s="190">
        <v>0</v>
      </c>
      <c r="P6" s="190">
        <v>0</v>
      </c>
      <c r="Q6" s="190">
        <v>0</v>
      </c>
      <c r="R6" s="190">
        <v>0</v>
      </c>
      <c r="S6" s="190">
        <v>0</v>
      </c>
      <c r="T6" s="190">
        <v>0</v>
      </c>
      <c r="U6" s="190">
        <v>0</v>
      </c>
      <c r="V6" s="190">
        <v>0</v>
      </c>
      <c r="W6" s="190">
        <v>0</v>
      </c>
      <c r="X6" s="190">
        <v>0</v>
      </c>
      <c r="Y6" s="190">
        <v>0</v>
      </c>
      <c r="Z6" s="190">
        <v>0</v>
      </c>
      <c r="AA6" s="190">
        <v>0</v>
      </c>
      <c r="AB6" s="190">
        <v>0</v>
      </c>
      <c r="AC6" s="190">
        <v>0</v>
      </c>
      <c r="AD6" s="190">
        <v>0</v>
      </c>
      <c r="AE6" s="190">
        <v>0</v>
      </c>
      <c r="AF6" s="190">
        <v>0</v>
      </c>
      <c r="AG6" s="190">
        <v>0</v>
      </c>
      <c r="AH6" s="190">
        <v>0</v>
      </c>
      <c r="AI6" s="190">
        <v>0</v>
      </c>
      <c r="AJ6" s="190">
        <v>0</v>
      </c>
      <c r="AK6" s="190">
        <v>0</v>
      </c>
      <c r="AL6" s="190">
        <v>0</v>
      </c>
      <c r="AM6" s="190">
        <v>0</v>
      </c>
      <c r="AN6" s="190">
        <v>0</v>
      </c>
      <c r="AO6" s="190">
        <v>0</v>
      </c>
      <c r="AP6" s="190">
        <v>0</v>
      </c>
      <c r="AQ6" s="190">
        <v>0</v>
      </c>
      <c r="AR6" s="190">
        <v>0</v>
      </c>
      <c r="AS6" s="190">
        <v>0</v>
      </c>
      <c r="AT6" s="190">
        <v>0</v>
      </c>
      <c r="AU6" s="190">
        <v>0</v>
      </c>
      <c r="AV6" s="190">
        <v>0</v>
      </c>
      <c r="AW6" s="190">
        <v>0</v>
      </c>
      <c r="AX6" s="190">
        <v>0</v>
      </c>
      <c r="AY6" s="190">
        <v>0</v>
      </c>
      <c r="AZ6" s="190">
        <v>0</v>
      </c>
      <c r="BA6" s="190">
        <v>0</v>
      </c>
      <c r="BB6" s="190">
        <v>0</v>
      </c>
      <c r="BC6" s="190">
        <v>0</v>
      </c>
      <c r="BD6" s="190">
        <v>0</v>
      </c>
      <c r="BE6" s="190">
        <v>0</v>
      </c>
      <c r="BF6" s="190">
        <v>0</v>
      </c>
      <c r="BG6" s="190">
        <v>0</v>
      </c>
      <c r="BH6" s="190">
        <v>0</v>
      </c>
      <c r="BI6" s="190">
        <v>0</v>
      </c>
      <c r="BJ6" s="190">
        <v>0</v>
      </c>
      <c r="BK6" s="190">
        <v>0</v>
      </c>
      <c r="BL6" s="190">
        <v>0</v>
      </c>
      <c r="BM6" s="190">
        <v>0</v>
      </c>
      <c r="BN6" s="190">
        <v>0</v>
      </c>
      <c r="BO6" s="190">
        <v>0</v>
      </c>
      <c r="BP6" s="190">
        <v>0</v>
      </c>
      <c r="BQ6" s="190">
        <v>0</v>
      </c>
      <c r="BR6" s="190">
        <v>0</v>
      </c>
      <c r="BS6" s="190">
        <v>0</v>
      </c>
      <c r="BT6" s="190">
        <v>0</v>
      </c>
    </row>
    <row r="7" spans="1:72" x14ac:dyDescent="0.25">
      <c r="A7" s="190" t="s">
        <v>111</v>
      </c>
      <c r="B7" s="190">
        <v>15570000000</v>
      </c>
      <c r="C7" s="190">
        <v>0</v>
      </c>
      <c r="D7" s="190">
        <v>14466000000</v>
      </c>
      <c r="E7" s="190">
        <v>16207000000</v>
      </c>
      <c r="F7" s="190">
        <v>12663000000</v>
      </c>
      <c r="G7" s="190">
        <v>9819000000</v>
      </c>
      <c r="H7" s="190">
        <v>13425000000</v>
      </c>
      <c r="I7" s="190">
        <v>13197000000</v>
      </c>
      <c r="J7" s="190">
        <v>12419000000</v>
      </c>
      <c r="K7" s="190">
        <v>11962000000</v>
      </c>
      <c r="L7" s="190">
        <v>12085000000</v>
      </c>
      <c r="M7" s="190">
        <v>10949000000</v>
      </c>
      <c r="N7" s="190">
        <v>13688000000</v>
      </c>
      <c r="O7" s="190">
        <v>11529000000</v>
      </c>
      <c r="P7" s="190">
        <v>15060000000</v>
      </c>
      <c r="Q7" s="190">
        <v>13963000000</v>
      </c>
      <c r="R7" s="190">
        <v>24455000000</v>
      </c>
      <c r="S7" s="190">
        <v>20456000000</v>
      </c>
      <c r="T7" s="190">
        <v>25510000000</v>
      </c>
      <c r="U7" s="190">
        <v>28771000000</v>
      </c>
      <c r="V7" s="190">
        <v>27989000000</v>
      </c>
      <c r="W7" s="190">
        <v>19008000000</v>
      </c>
      <c r="X7" s="190">
        <v>19027000000</v>
      </c>
      <c r="Y7" s="190">
        <v>20045000000</v>
      </c>
      <c r="Z7" s="190">
        <v>24558000000</v>
      </c>
      <c r="AA7" s="190">
        <v>15658000000</v>
      </c>
      <c r="AB7" s="190">
        <v>19436000000</v>
      </c>
      <c r="AC7" s="190">
        <v>27961000000</v>
      </c>
      <c r="AD7" s="190">
        <v>27691000000</v>
      </c>
      <c r="AE7" s="190">
        <v>25113000000</v>
      </c>
      <c r="AF7" s="190">
        <v>20801000000</v>
      </c>
      <c r="AG7" s="190">
        <v>15950000000</v>
      </c>
      <c r="AH7" s="190">
        <v>11822000000</v>
      </c>
      <c r="AI7" s="190">
        <v>9717000000</v>
      </c>
      <c r="AJ7" s="190">
        <v>6596000000</v>
      </c>
      <c r="AK7" s="190">
        <v>2110000000</v>
      </c>
      <c r="AL7" s="190">
        <v>5166000000</v>
      </c>
      <c r="AM7" s="190">
        <v>3383000000</v>
      </c>
      <c r="AN7" s="190">
        <v>2520000000</v>
      </c>
      <c r="AO7" s="190">
        <v>3659000000</v>
      </c>
      <c r="AP7" s="190">
        <v>7933000000</v>
      </c>
      <c r="AQ7" s="190">
        <v>8938000000</v>
      </c>
      <c r="AR7" s="190">
        <v>9384000000</v>
      </c>
      <c r="AS7" s="190">
        <v>12851000000</v>
      </c>
      <c r="AT7" s="190">
        <v>8431000000</v>
      </c>
      <c r="AU7" s="190">
        <v>9067000000</v>
      </c>
      <c r="AV7" s="190">
        <v>7729000000</v>
      </c>
      <c r="AW7" s="190">
        <v>8757000000</v>
      </c>
      <c r="AX7" s="190">
        <v>8175000000</v>
      </c>
      <c r="AY7" s="190">
        <v>7825000000</v>
      </c>
      <c r="AZ7" s="190">
        <v>7441000000</v>
      </c>
      <c r="BA7" s="190">
        <v>7143000000</v>
      </c>
      <c r="BB7" s="190">
        <v>7704000000</v>
      </c>
      <c r="BC7" s="190">
        <v>8356000000</v>
      </c>
      <c r="BD7" s="190">
        <v>9480000000</v>
      </c>
      <c r="BE7" s="190">
        <v>7812000000</v>
      </c>
      <c r="BF7" s="190">
        <v>7224000000</v>
      </c>
      <c r="BG7" s="190">
        <v>8009000000</v>
      </c>
      <c r="BH7" s="190">
        <v>7739000000</v>
      </c>
      <c r="BI7" s="190">
        <v>5953000000</v>
      </c>
      <c r="BJ7" s="190">
        <v>6220000000</v>
      </c>
      <c r="BK7" s="190">
        <v>5159000000</v>
      </c>
      <c r="BL7" s="190">
        <v>5444000000</v>
      </c>
      <c r="BM7" s="190">
        <v>4684000000</v>
      </c>
      <c r="BN7" s="190">
        <v>4337000000</v>
      </c>
      <c r="BO7" s="190">
        <v>4316000000</v>
      </c>
      <c r="BP7" s="190">
        <v>3539000000</v>
      </c>
      <c r="BQ7" s="190">
        <v>3542000000</v>
      </c>
      <c r="BR7" s="190">
        <v>4012000000</v>
      </c>
      <c r="BS7" s="190">
        <v>2603000000</v>
      </c>
      <c r="BT7" s="190">
        <v>0</v>
      </c>
    </row>
    <row r="8" spans="1:72" x14ac:dyDescent="0.25">
      <c r="A8" s="190" t="s">
        <v>112</v>
      </c>
      <c r="B8" s="190">
        <v>89624000000</v>
      </c>
      <c r="C8" s="190">
        <v>0</v>
      </c>
      <c r="D8" s="190">
        <v>58973000000</v>
      </c>
      <c r="E8" s="190">
        <v>68494000000</v>
      </c>
      <c r="F8" s="190">
        <v>54284000000</v>
      </c>
      <c r="G8" s="190">
        <v>50560000000</v>
      </c>
      <c r="H8" s="190">
        <v>56265000000</v>
      </c>
      <c r="I8" s="190">
        <v>50289000000</v>
      </c>
      <c r="J8" s="190">
        <v>58293000000</v>
      </c>
      <c r="K8" s="190">
        <v>63253000000</v>
      </c>
      <c r="L8" s="190">
        <v>39959000000</v>
      </c>
      <c r="M8" s="190">
        <v>56126000000</v>
      </c>
      <c r="N8" s="190">
        <v>62163000000</v>
      </c>
      <c r="O8" s="190">
        <v>93611000000</v>
      </c>
      <c r="P8" s="190">
        <v>63491000000</v>
      </c>
      <c r="Q8" s="190">
        <v>90831000000</v>
      </c>
      <c r="R8" s="190">
        <v>93511000000</v>
      </c>
      <c r="S8" s="190">
        <v>96703000000</v>
      </c>
      <c r="T8" s="190">
        <v>81144000000</v>
      </c>
      <c r="U8" s="190">
        <v>68466000000</v>
      </c>
      <c r="V8" s="190">
        <v>80068000000</v>
      </c>
      <c r="W8" s="190">
        <v>87386000000</v>
      </c>
      <c r="X8" s="190">
        <v>102121000000</v>
      </c>
      <c r="Y8" s="190">
        <v>81395000000</v>
      </c>
      <c r="Z8" s="190">
        <v>84382000000</v>
      </c>
      <c r="AA8" s="190">
        <v>84047000000</v>
      </c>
      <c r="AB8" s="190">
        <v>90015000000</v>
      </c>
      <c r="AC8" s="190">
        <v>58721000000</v>
      </c>
      <c r="AD8" s="190">
        <v>68510000000</v>
      </c>
      <c r="AE8" s="190">
        <v>65414000000</v>
      </c>
      <c r="AF8" s="190">
        <v>61133000000</v>
      </c>
      <c r="AG8" s="190">
        <v>43093000000</v>
      </c>
      <c r="AH8" s="190">
        <v>48183000000</v>
      </c>
      <c r="AI8" s="190">
        <v>45726000000</v>
      </c>
      <c r="AJ8" s="190">
        <v>45336000000</v>
      </c>
      <c r="AK8" s="190">
        <v>26592000000</v>
      </c>
      <c r="AL8" s="190">
        <v>29074000000</v>
      </c>
      <c r="AM8" s="190">
        <v>29967000000</v>
      </c>
      <c r="AN8" s="190">
        <v>21717000000</v>
      </c>
      <c r="AO8" s="190">
        <v>12989000000</v>
      </c>
      <c r="AP8" s="190">
        <v>36207000000</v>
      </c>
      <c r="AQ8" s="190">
        <v>43084000000</v>
      </c>
      <c r="AR8" s="190">
        <v>29469000000</v>
      </c>
      <c r="AS8" s="190">
        <v>22947000000</v>
      </c>
      <c r="AT8" s="190">
        <v>23438000000</v>
      </c>
      <c r="AU8" s="190">
        <v>26711000000</v>
      </c>
      <c r="AV8" s="190">
        <v>23745000000</v>
      </c>
      <c r="AW8" s="190">
        <v>15590000000</v>
      </c>
      <c r="AX8" s="190">
        <v>18805000000</v>
      </c>
      <c r="AY8" s="190">
        <v>17449000000</v>
      </c>
      <c r="AZ8" s="190">
        <v>16632000000</v>
      </c>
      <c r="BA8" s="190">
        <v>14532000000</v>
      </c>
      <c r="BB8" s="190">
        <v>15551000000</v>
      </c>
      <c r="BC8" s="190">
        <v>15247000000</v>
      </c>
      <c r="BD8" s="190">
        <v>15090000000</v>
      </c>
      <c r="BE8" s="190">
        <v>9756000000</v>
      </c>
      <c r="BF8" s="190">
        <v>11816000000</v>
      </c>
      <c r="BG8" s="190">
        <v>13621000000</v>
      </c>
      <c r="BH8" s="190">
        <v>11714000000</v>
      </c>
      <c r="BI8" s="190">
        <v>9284000000</v>
      </c>
      <c r="BJ8" s="190">
        <v>10495000000</v>
      </c>
      <c r="BK8" s="190">
        <v>11728000000</v>
      </c>
      <c r="BL8" s="190">
        <v>13656000000</v>
      </c>
      <c r="BM8" s="190">
        <v>10670000000</v>
      </c>
      <c r="BN8" s="190">
        <v>13200000000</v>
      </c>
      <c r="BO8" s="190">
        <v>13265000000</v>
      </c>
      <c r="BP8" s="190">
        <v>11069000000</v>
      </c>
      <c r="BQ8" s="190">
        <v>11082000000</v>
      </c>
      <c r="BR8" s="190">
        <v>16316000000</v>
      </c>
      <c r="BS8" s="190">
        <v>12687000000</v>
      </c>
      <c r="BT8" s="190">
        <v>0</v>
      </c>
    </row>
    <row r="9" spans="1:72" x14ac:dyDescent="0.25">
      <c r="A9" s="190" t="s">
        <v>113</v>
      </c>
      <c r="B9" s="190">
        <v>10463000000</v>
      </c>
      <c r="C9" s="190">
        <v>5537000000</v>
      </c>
      <c r="D9" s="190">
        <v>5743000000</v>
      </c>
      <c r="E9" s="190">
        <v>4901000000</v>
      </c>
      <c r="F9" s="190">
        <v>5696000000</v>
      </c>
      <c r="G9" s="190">
        <v>4154000000</v>
      </c>
      <c r="H9" s="190">
        <v>4915000000</v>
      </c>
      <c r="I9" s="190">
        <v>3749000000</v>
      </c>
      <c r="J9" s="190">
        <v>5040000000</v>
      </c>
      <c r="K9" s="190">
        <v>3797000000</v>
      </c>
      <c r="L9" s="190">
        <v>3880000000</v>
      </c>
      <c r="M9" s="190">
        <v>2919000000</v>
      </c>
      <c r="N9" s="190">
        <v>5321000000</v>
      </c>
      <c r="O9" s="190">
        <v>4803000000</v>
      </c>
      <c r="P9" s="190">
        <v>3967000000</v>
      </c>
      <c r="Q9" s="190">
        <v>3780000000</v>
      </c>
      <c r="R9" s="190">
        <v>6035000000</v>
      </c>
      <c r="S9" s="190">
        <v>5691000000</v>
      </c>
      <c r="T9" s="190">
        <v>4683000000</v>
      </c>
      <c r="U9" s="190">
        <v>4216000000</v>
      </c>
      <c r="V9" s="190">
        <v>6914000000</v>
      </c>
      <c r="W9" s="190">
        <v>4667000000</v>
      </c>
      <c r="X9" s="190">
        <v>6339000000</v>
      </c>
      <c r="Y9" s="190">
        <v>4370000000</v>
      </c>
      <c r="Z9" s="190">
        <v>9071000000</v>
      </c>
      <c r="AA9" s="190">
        <v>6754000000</v>
      </c>
      <c r="AB9" s="190">
        <v>8914000000</v>
      </c>
      <c r="AC9" s="190">
        <v>4096000000</v>
      </c>
      <c r="AD9" s="190">
        <v>12268000000</v>
      </c>
      <c r="AE9" s="190">
        <v>8896000000</v>
      </c>
      <c r="AF9" s="190">
        <v>9934000000</v>
      </c>
      <c r="AG9" s="190">
        <v>5247000000</v>
      </c>
      <c r="AH9" s="190">
        <v>9141000000</v>
      </c>
      <c r="AI9" s="190">
        <v>5382000000</v>
      </c>
      <c r="AJ9" s="190">
        <v>6375000000</v>
      </c>
      <c r="AK9" s="190">
        <v>3614000000</v>
      </c>
      <c r="AL9" s="190">
        <v>7525000000</v>
      </c>
      <c r="AM9" s="190">
        <v>6661000000</v>
      </c>
      <c r="AN9" s="190">
        <v>8722000000</v>
      </c>
      <c r="AO9" s="190">
        <v>7597000000</v>
      </c>
      <c r="AP9" s="190">
        <v>13356000000</v>
      </c>
      <c r="AQ9" s="190">
        <v>14406000000</v>
      </c>
      <c r="AR9" s="190">
        <v>14462000000</v>
      </c>
      <c r="AS9" s="190">
        <v>9402000000</v>
      </c>
      <c r="AT9" s="190">
        <v>12527000000</v>
      </c>
      <c r="AU9" s="190">
        <v>10681000000</v>
      </c>
      <c r="AV9" s="190">
        <v>7721000000</v>
      </c>
      <c r="AW9" s="190">
        <v>5392000000</v>
      </c>
      <c r="AX9" s="190">
        <v>9123000000</v>
      </c>
      <c r="AY9" s="190">
        <v>7313000000</v>
      </c>
      <c r="AZ9" s="190">
        <v>8326000000</v>
      </c>
      <c r="BA9" s="190">
        <v>5051000000</v>
      </c>
      <c r="BB9" s="190">
        <v>7488000000</v>
      </c>
      <c r="BC9" s="190">
        <v>6241000000</v>
      </c>
      <c r="BD9" s="190">
        <v>7470000000</v>
      </c>
      <c r="BE9" s="190">
        <v>4828000000</v>
      </c>
      <c r="BF9" s="190">
        <v>8028000000</v>
      </c>
      <c r="BG9" s="190">
        <v>7248000000</v>
      </c>
      <c r="BH9" s="190">
        <v>5703000000</v>
      </c>
      <c r="BI9" s="190">
        <v>3904000000</v>
      </c>
      <c r="BJ9" s="190">
        <v>4231000000</v>
      </c>
      <c r="BK9" s="190">
        <v>5897000000</v>
      </c>
      <c r="BL9" s="190">
        <v>4042000000</v>
      </c>
      <c r="BM9" s="190">
        <v>3193000000</v>
      </c>
      <c r="BN9" s="190">
        <v>4566000000</v>
      </c>
      <c r="BO9" s="190">
        <v>3598000000</v>
      </c>
      <c r="BP9" s="190">
        <v>6186000000</v>
      </c>
      <c r="BQ9" s="190">
        <v>4021000000</v>
      </c>
      <c r="BR9" s="190">
        <v>5787000000</v>
      </c>
      <c r="BS9" s="190">
        <v>5265000000</v>
      </c>
      <c r="BT9" s="190">
        <v>0</v>
      </c>
    </row>
    <row r="10" spans="1:72" x14ac:dyDescent="0.25">
      <c r="A10" s="190" t="s">
        <v>114</v>
      </c>
      <c r="B10" s="190">
        <v>1340000000</v>
      </c>
      <c r="C10" s="190">
        <v>0</v>
      </c>
      <c r="D10" s="190">
        <v>0</v>
      </c>
      <c r="E10" s="190">
        <v>0</v>
      </c>
      <c r="F10" s="190">
        <v>0</v>
      </c>
      <c r="G10" s="190">
        <v>0</v>
      </c>
      <c r="H10" s="190">
        <v>0</v>
      </c>
      <c r="I10" s="190">
        <v>0</v>
      </c>
      <c r="J10" s="190">
        <v>0</v>
      </c>
      <c r="K10" s="190">
        <v>0</v>
      </c>
      <c r="L10" s="190">
        <v>0</v>
      </c>
      <c r="M10" s="190">
        <v>0</v>
      </c>
      <c r="N10" s="190">
        <v>0</v>
      </c>
      <c r="O10" s="190">
        <v>0</v>
      </c>
      <c r="P10" s="190">
        <v>0</v>
      </c>
      <c r="Q10" s="190">
        <v>0</v>
      </c>
      <c r="R10" s="190">
        <v>0</v>
      </c>
      <c r="S10" s="190">
        <v>0</v>
      </c>
      <c r="T10" s="190">
        <v>0</v>
      </c>
      <c r="U10" s="190">
        <v>0</v>
      </c>
      <c r="V10" s="190">
        <v>0</v>
      </c>
      <c r="W10" s="190">
        <v>0</v>
      </c>
      <c r="X10" s="190">
        <v>0</v>
      </c>
      <c r="Y10" s="190">
        <v>0</v>
      </c>
      <c r="Z10" s="190">
        <v>0</v>
      </c>
      <c r="AA10" s="190">
        <v>0</v>
      </c>
      <c r="AB10" s="190">
        <v>0</v>
      </c>
      <c r="AC10" s="190">
        <v>0</v>
      </c>
      <c r="AD10" s="190">
        <v>0</v>
      </c>
      <c r="AE10" s="190">
        <v>0</v>
      </c>
      <c r="AF10" s="190">
        <v>0</v>
      </c>
      <c r="AG10" s="190">
        <v>0</v>
      </c>
      <c r="AH10" s="190">
        <v>0</v>
      </c>
      <c r="AI10" s="190">
        <v>0</v>
      </c>
      <c r="AJ10" s="190">
        <v>0</v>
      </c>
      <c r="AK10" s="190">
        <v>0</v>
      </c>
      <c r="AL10" s="190">
        <v>0</v>
      </c>
      <c r="AM10" s="190">
        <v>0</v>
      </c>
      <c r="AN10" s="190">
        <v>0</v>
      </c>
      <c r="AO10" s="190">
        <v>0</v>
      </c>
      <c r="AP10" s="190">
        <v>0</v>
      </c>
      <c r="AQ10" s="190">
        <v>0</v>
      </c>
      <c r="AR10" s="190">
        <v>0</v>
      </c>
      <c r="AS10" s="190">
        <v>0</v>
      </c>
      <c r="AT10" s="190">
        <v>0</v>
      </c>
      <c r="AU10" s="190">
        <v>0</v>
      </c>
      <c r="AV10" s="190">
        <v>0</v>
      </c>
      <c r="AW10" s="190">
        <v>0</v>
      </c>
      <c r="AX10" s="190">
        <v>0</v>
      </c>
      <c r="AY10" s="190">
        <v>0</v>
      </c>
      <c r="AZ10" s="190">
        <v>0</v>
      </c>
      <c r="BA10" s="190">
        <v>0</v>
      </c>
      <c r="BB10" s="190">
        <v>0</v>
      </c>
      <c r="BC10" s="190">
        <v>0</v>
      </c>
      <c r="BD10" s="190">
        <v>0</v>
      </c>
      <c r="BE10" s="190">
        <v>0</v>
      </c>
      <c r="BF10" s="190">
        <v>0</v>
      </c>
      <c r="BG10" s="190">
        <v>0</v>
      </c>
      <c r="BH10" s="190">
        <v>0</v>
      </c>
      <c r="BI10" s="190">
        <v>0</v>
      </c>
      <c r="BJ10" s="190">
        <v>0</v>
      </c>
      <c r="BK10" s="190">
        <v>0</v>
      </c>
      <c r="BL10" s="190">
        <v>0</v>
      </c>
      <c r="BM10" s="190">
        <v>0</v>
      </c>
      <c r="BN10" s="190">
        <v>1000000</v>
      </c>
      <c r="BO10" s="190">
        <v>2000000</v>
      </c>
      <c r="BP10" s="190">
        <v>3000000</v>
      </c>
      <c r="BQ10" s="190">
        <v>16000000</v>
      </c>
      <c r="BR10" s="190">
        <v>32000000</v>
      </c>
      <c r="BS10" s="190">
        <v>70000000</v>
      </c>
      <c r="BT10" s="190">
        <v>0</v>
      </c>
    </row>
    <row r="11" spans="1:72" x14ac:dyDescent="0.25">
      <c r="A11" s="190" t="s">
        <v>115</v>
      </c>
      <c r="B11" s="190">
        <v>271000000</v>
      </c>
      <c r="C11" s="190">
        <v>0</v>
      </c>
      <c r="D11" s="190">
        <v>0</v>
      </c>
      <c r="E11" s="190">
        <v>0</v>
      </c>
      <c r="F11" s="190">
        <v>0</v>
      </c>
      <c r="G11" s="190">
        <v>0</v>
      </c>
      <c r="H11" s="190">
        <v>0</v>
      </c>
      <c r="I11" s="190">
        <v>0</v>
      </c>
      <c r="J11" s="190">
        <v>0</v>
      </c>
      <c r="K11" s="190">
        <v>0</v>
      </c>
      <c r="L11" s="190">
        <v>0</v>
      </c>
      <c r="M11" s="190">
        <v>0</v>
      </c>
      <c r="N11" s="190">
        <v>0</v>
      </c>
      <c r="O11" s="190">
        <v>0</v>
      </c>
      <c r="P11" s="190">
        <v>0</v>
      </c>
      <c r="Q11" s="190">
        <v>0</v>
      </c>
      <c r="R11" s="190">
        <v>0</v>
      </c>
      <c r="S11" s="190">
        <v>0</v>
      </c>
      <c r="T11" s="190">
        <v>0</v>
      </c>
      <c r="U11" s="190">
        <v>0</v>
      </c>
      <c r="V11" s="190">
        <v>0</v>
      </c>
      <c r="W11" s="190">
        <v>0</v>
      </c>
      <c r="X11" s="190">
        <v>0</v>
      </c>
      <c r="Y11" s="190">
        <v>0</v>
      </c>
      <c r="Z11" s="190">
        <v>0</v>
      </c>
      <c r="AA11" s="190">
        <v>0</v>
      </c>
      <c r="AB11" s="190">
        <v>0</v>
      </c>
      <c r="AC11" s="190">
        <v>0</v>
      </c>
      <c r="AD11" s="190">
        <v>0</v>
      </c>
      <c r="AE11" s="190">
        <v>0</v>
      </c>
      <c r="AF11" s="190">
        <v>0</v>
      </c>
      <c r="AG11" s="190">
        <v>0</v>
      </c>
      <c r="AH11" s="190">
        <v>0</v>
      </c>
      <c r="AI11" s="190">
        <v>0</v>
      </c>
      <c r="AJ11" s="190">
        <v>0</v>
      </c>
      <c r="AK11" s="190">
        <v>0</v>
      </c>
      <c r="AL11" s="190">
        <v>0</v>
      </c>
      <c r="AM11" s="190">
        <v>0</v>
      </c>
      <c r="AN11" s="190">
        <v>0</v>
      </c>
      <c r="AO11" s="190">
        <v>0</v>
      </c>
      <c r="AP11" s="190">
        <v>0</v>
      </c>
      <c r="AQ11" s="190">
        <v>0</v>
      </c>
      <c r="AR11" s="190">
        <v>0</v>
      </c>
      <c r="AS11" s="190">
        <v>0</v>
      </c>
      <c r="AT11" s="190">
        <v>0</v>
      </c>
      <c r="AU11" s="190">
        <v>0</v>
      </c>
      <c r="AV11" s="190">
        <v>0</v>
      </c>
      <c r="AW11" s="190">
        <v>0</v>
      </c>
      <c r="AX11" s="190">
        <v>0</v>
      </c>
      <c r="AY11" s="190">
        <v>0</v>
      </c>
      <c r="AZ11" s="190">
        <v>0</v>
      </c>
      <c r="BA11" s="190">
        <v>0</v>
      </c>
      <c r="BB11" s="190">
        <v>0</v>
      </c>
      <c r="BC11" s="190">
        <v>0</v>
      </c>
      <c r="BD11" s="190">
        <v>0</v>
      </c>
      <c r="BE11" s="190">
        <v>0</v>
      </c>
      <c r="BF11" s="190">
        <v>0</v>
      </c>
      <c r="BG11" s="190">
        <v>0</v>
      </c>
      <c r="BH11" s="190">
        <v>0</v>
      </c>
      <c r="BI11" s="190">
        <v>0</v>
      </c>
      <c r="BJ11" s="190">
        <v>0</v>
      </c>
      <c r="BK11" s="190">
        <v>0</v>
      </c>
      <c r="BL11" s="190">
        <v>0</v>
      </c>
      <c r="BM11" s="190">
        <v>0</v>
      </c>
      <c r="BN11" s="190">
        <v>0</v>
      </c>
      <c r="BO11" s="190">
        <v>0</v>
      </c>
      <c r="BP11" s="190">
        <v>0</v>
      </c>
      <c r="BQ11" s="190">
        <v>0</v>
      </c>
      <c r="BR11" s="190">
        <v>0</v>
      </c>
      <c r="BS11" s="190">
        <v>0</v>
      </c>
      <c r="BT11" s="190">
        <v>0</v>
      </c>
    </row>
    <row r="12" spans="1:72" x14ac:dyDescent="0.25">
      <c r="A12" s="190" t="s">
        <v>116</v>
      </c>
      <c r="B12" s="190">
        <v>25653000000</v>
      </c>
      <c r="C12" s="190">
        <v>24430000000</v>
      </c>
      <c r="D12" s="190">
        <v>17669000000</v>
      </c>
      <c r="E12" s="190">
        <v>16467000000</v>
      </c>
      <c r="F12" s="190">
        <v>22585000000</v>
      </c>
      <c r="G12" s="190">
        <v>23151000000</v>
      </c>
      <c r="H12" s="190">
        <v>23408000000</v>
      </c>
      <c r="I12" s="190">
        <v>25596000000</v>
      </c>
      <c r="J12" s="190">
        <v>10700000000</v>
      </c>
      <c r="K12" s="190">
        <v>19125000000</v>
      </c>
      <c r="L12" s="190">
        <v>16899000000</v>
      </c>
      <c r="M12" s="190">
        <v>21452000000</v>
      </c>
      <c r="N12" s="190">
        <v>23580000000</v>
      </c>
      <c r="O12" s="190">
        <v>20047000000</v>
      </c>
      <c r="P12" s="190">
        <v>22431000000</v>
      </c>
      <c r="Q12" s="190">
        <v>29251000000</v>
      </c>
      <c r="R12" s="190">
        <v>11536000000</v>
      </c>
      <c r="S12" s="190">
        <v>21954000000</v>
      </c>
      <c r="T12" s="190">
        <v>11666000000</v>
      </c>
      <c r="U12" s="190">
        <v>13165000000</v>
      </c>
      <c r="V12" s="190">
        <v>10689000000</v>
      </c>
      <c r="W12" s="190">
        <v>11479000000</v>
      </c>
      <c r="X12" s="190">
        <v>10294000000</v>
      </c>
      <c r="Y12" s="190">
        <v>8807000000</v>
      </c>
      <c r="Z12" s="190">
        <v>8952000000</v>
      </c>
      <c r="AA12" s="190">
        <v>15126000000</v>
      </c>
      <c r="AB12" s="190">
        <v>8354000000</v>
      </c>
      <c r="AC12" s="190">
        <v>7360000000</v>
      </c>
      <c r="AD12" s="190">
        <v>8001000000</v>
      </c>
      <c r="AE12" s="190">
        <v>8177000000</v>
      </c>
      <c r="AF12" s="190">
        <v>8549000000</v>
      </c>
      <c r="AG12" s="190">
        <v>9880000000</v>
      </c>
      <c r="AH12" s="190">
        <v>8322000000</v>
      </c>
      <c r="AI12" s="190">
        <v>9405000000</v>
      </c>
      <c r="AJ12" s="190">
        <v>21269000000</v>
      </c>
      <c r="AK12" s="190">
        <v>4454000000</v>
      </c>
      <c r="AL12" s="190">
        <v>15834000000</v>
      </c>
      <c r="AM12" s="190">
        <v>16893000000</v>
      </c>
      <c r="AN12" s="190">
        <v>19147000000</v>
      </c>
      <c r="AO12" s="190">
        <v>20520000000</v>
      </c>
      <c r="AP12" s="190">
        <v>10101000000</v>
      </c>
      <c r="AQ12" s="190">
        <v>20224000000</v>
      </c>
      <c r="AR12" s="190">
        <v>7356000000</v>
      </c>
      <c r="AS12" s="190">
        <v>11822000000</v>
      </c>
      <c r="AT12" s="190">
        <v>7105000000</v>
      </c>
      <c r="AU12" s="190">
        <v>11300000000</v>
      </c>
      <c r="AV12" s="190">
        <v>8426000000</v>
      </c>
      <c r="AW12" s="190">
        <v>10597000000</v>
      </c>
      <c r="AX12" s="190">
        <v>13740000000</v>
      </c>
      <c r="AY12" s="190">
        <v>12491000000</v>
      </c>
      <c r="AZ12" s="190">
        <v>11608000000</v>
      </c>
      <c r="BA12" s="190">
        <v>11487000000</v>
      </c>
      <c r="BB12" s="190">
        <v>12854000000</v>
      </c>
      <c r="BC12" s="190">
        <v>11682000000</v>
      </c>
      <c r="BD12" s="190">
        <v>12689000000</v>
      </c>
      <c r="BE12" s="190">
        <v>12462000000</v>
      </c>
      <c r="BF12" s="190">
        <v>13147000000</v>
      </c>
      <c r="BG12" s="190">
        <v>12166000000</v>
      </c>
      <c r="BH12" s="190">
        <v>14879000000</v>
      </c>
      <c r="BI12" s="190">
        <v>15457000000</v>
      </c>
      <c r="BJ12" s="190">
        <v>17073000000</v>
      </c>
      <c r="BK12" s="190">
        <v>15254000000</v>
      </c>
      <c r="BL12" s="190">
        <v>16613000000</v>
      </c>
      <c r="BM12" s="190">
        <v>16817000000</v>
      </c>
      <c r="BN12" s="190">
        <v>19887000000</v>
      </c>
      <c r="BO12" s="190">
        <v>21072000000</v>
      </c>
      <c r="BP12" s="190">
        <v>21025000000</v>
      </c>
      <c r="BQ12" s="190">
        <v>19802000000</v>
      </c>
      <c r="BR12" s="190">
        <v>26161000000</v>
      </c>
      <c r="BS12" s="190">
        <v>20105000000</v>
      </c>
      <c r="BT12" s="190">
        <v>0</v>
      </c>
    </row>
    <row r="13" spans="1:72" x14ac:dyDescent="0.25">
      <c r="A13" s="190" t="s">
        <v>117</v>
      </c>
      <c r="B13" s="190">
        <v>0</v>
      </c>
      <c r="C13" s="190">
        <v>0</v>
      </c>
      <c r="D13" s="190">
        <v>0</v>
      </c>
      <c r="E13" s="190">
        <v>0</v>
      </c>
      <c r="F13" s="190">
        <v>0</v>
      </c>
      <c r="G13" s="190">
        <v>0</v>
      </c>
      <c r="H13" s="190">
        <v>0</v>
      </c>
      <c r="I13" s="190">
        <v>0</v>
      </c>
      <c r="J13" s="190">
        <v>0</v>
      </c>
      <c r="K13" s="190">
        <v>0</v>
      </c>
      <c r="L13" s="190">
        <v>0</v>
      </c>
      <c r="M13" s="190">
        <v>0</v>
      </c>
      <c r="N13" s="190">
        <v>0</v>
      </c>
      <c r="O13" s="190">
        <v>0</v>
      </c>
      <c r="P13" s="190">
        <v>0</v>
      </c>
      <c r="Q13" s="190">
        <v>0</v>
      </c>
      <c r="R13" s="190">
        <v>0</v>
      </c>
      <c r="S13" s="190">
        <v>0</v>
      </c>
      <c r="T13" s="190">
        <v>0</v>
      </c>
      <c r="U13" s="190">
        <v>0</v>
      </c>
      <c r="V13" s="190">
        <v>0</v>
      </c>
      <c r="W13" s="190">
        <v>0</v>
      </c>
      <c r="X13" s="190">
        <v>0</v>
      </c>
      <c r="Y13" s="190">
        <v>0</v>
      </c>
      <c r="Z13" s="190">
        <v>0</v>
      </c>
      <c r="AA13" s="190">
        <v>0</v>
      </c>
      <c r="AB13" s="190">
        <v>0</v>
      </c>
      <c r="AC13" s="190">
        <v>0</v>
      </c>
      <c r="AD13" s="190">
        <v>0</v>
      </c>
      <c r="AE13" s="190">
        <v>0</v>
      </c>
      <c r="AF13" s="190">
        <v>0</v>
      </c>
      <c r="AG13" s="190">
        <v>0</v>
      </c>
      <c r="AH13" s="190">
        <v>0</v>
      </c>
      <c r="AI13" s="190">
        <v>0</v>
      </c>
      <c r="AJ13" s="190">
        <v>0</v>
      </c>
      <c r="AK13" s="190">
        <v>0</v>
      </c>
      <c r="AL13" s="190">
        <v>0</v>
      </c>
      <c r="AM13" s="190">
        <v>0</v>
      </c>
      <c r="AN13" s="190">
        <v>0</v>
      </c>
      <c r="AO13" s="190">
        <v>0</v>
      </c>
      <c r="AP13" s="190">
        <v>0</v>
      </c>
      <c r="AQ13" s="190">
        <v>0</v>
      </c>
      <c r="AR13" s="190">
        <v>0</v>
      </c>
      <c r="AS13" s="190">
        <v>0</v>
      </c>
      <c r="AT13" s="190">
        <v>0</v>
      </c>
      <c r="AU13" s="190">
        <v>0</v>
      </c>
      <c r="AV13" s="190">
        <v>0</v>
      </c>
      <c r="AW13" s="190">
        <v>0</v>
      </c>
      <c r="AX13" s="190">
        <v>0</v>
      </c>
      <c r="AY13" s="190">
        <v>0</v>
      </c>
      <c r="AZ13" s="190">
        <v>0</v>
      </c>
      <c r="BA13" s="190">
        <v>0</v>
      </c>
      <c r="BB13" s="190">
        <v>0</v>
      </c>
      <c r="BC13" s="190">
        <v>0</v>
      </c>
      <c r="BD13" s="190">
        <v>0</v>
      </c>
      <c r="BE13" s="190">
        <v>0</v>
      </c>
      <c r="BF13" s="190">
        <v>0</v>
      </c>
      <c r="BG13" s="190">
        <v>0</v>
      </c>
      <c r="BH13" s="190">
        <v>0</v>
      </c>
      <c r="BI13" s="190">
        <v>0</v>
      </c>
      <c r="BJ13" s="190">
        <v>0</v>
      </c>
      <c r="BK13" s="190">
        <v>0</v>
      </c>
      <c r="BL13" s="190">
        <v>0</v>
      </c>
      <c r="BM13" s="190">
        <v>0</v>
      </c>
      <c r="BN13" s="190">
        <v>0</v>
      </c>
      <c r="BO13" s="190">
        <v>0</v>
      </c>
      <c r="BP13" s="190">
        <v>0</v>
      </c>
      <c r="BQ13" s="190">
        <v>0</v>
      </c>
      <c r="BR13" s="190">
        <v>0</v>
      </c>
      <c r="BS13" s="190">
        <v>0</v>
      </c>
      <c r="BT13" s="190">
        <v>0</v>
      </c>
    </row>
    <row r="14" spans="1:72" x14ac:dyDescent="0.25">
      <c r="A14" s="190" t="s">
        <v>118</v>
      </c>
      <c r="B14" s="190">
        <v>213398000000</v>
      </c>
      <c r="C14" s="190">
        <v>225573000000</v>
      </c>
      <c r="D14" s="190">
        <v>191323000000</v>
      </c>
      <c r="E14" s="190">
        <v>186693000000</v>
      </c>
      <c r="F14" s="190">
        <v>160871000000</v>
      </c>
      <c r="G14" s="190">
        <v>167058000000</v>
      </c>
      <c r="H14" s="190">
        <v>159934000000</v>
      </c>
      <c r="I14" s="190">
        <v>156511000000</v>
      </c>
      <c r="J14" s="190">
        <v>141790000000</v>
      </c>
      <c r="K14" s="190">
        <v>149443000000</v>
      </c>
      <c r="L14" s="190">
        <v>138540000000</v>
      </c>
      <c r="M14" s="190">
        <v>145498000000</v>
      </c>
      <c r="N14" s="190">
        <v>155084000000</v>
      </c>
      <c r="O14" s="190">
        <v>174829000000</v>
      </c>
      <c r="P14" s="190">
        <v>160332000000</v>
      </c>
      <c r="Q14" s="190">
        <v>188223000000</v>
      </c>
      <c r="R14" s="190">
        <v>232087000000</v>
      </c>
      <c r="S14" s="190">
        <v>244275000000</v>
      </c>
      <c r="T14" s="190">
        <v>244094000000</v>
      </c>
      <c r="U14" s="190">
        <v>221906000000</v>
      </c>
      <c r="V14" s="190">
        <v>225104000000</v>
      </c>
      <c r="W14" s="190">
        <v>216028000000</v>
      </c>
      <c r="X14" s="190">
        <v>231400000000</v>
      </c>
      <c r="Y14" s="190">
        <v>218262000000</v>
      </c>
      <c r="Z14" s="190">
        <v>197799000000</v>
      </c>
      <c r="AA14" s="190">
        <v>207230000000</v>
      </c>
      <c r="AB14" s="190">
        <v>238502000000</v>
      </c>
      <c r="AC14" s="190">
        <v>203417000000</v>
      </c>
      <c r="AD14" s="190">
        <v>188807000000</v>
      </c>
      <c r="AE14" s="190">
        <v>207962000000</v>
      </c>
      <c r="AF14" s="190">
        <v>189463000000</v>
      </c>
      <c r="AG14" s="190">
        <v>156546000000</v>
      </c>
      <c r="AH14" s="190">
        <v>155148000000</v>
      </c>
      <c r="AI14" s="190">
        <v>162542000000</v>
      </c>
      <c r="AJ14" s="190">
        <v>156485000000</v>
      </c>
      <c r="AK14" s="190">
        <v>141611000000</v>
      </c>
      <c r="AL14" s="190">
        <v>135940000000</v>
      </c>
      <c r="AM14" s="190">
        <v>120305000000</v>
      </c>
      <c r="AN14" s="190">
        <v>100164000000</v>
      </c>
      <c r="AO14" s="190">
        <v>95255000000</v>
      </c>
      <c r="AP14" s="190">
        <v>164975000000</v>
      </c>
      <c r="AQ14" s="190">
        <v>163488000000</v>
      </c>
      <c r="AR14" s="190">
        <v>140686000000</v>
      </c>
      <c r="AS14" s="190">
        <v>116049000000</v>
      </c>
      <c r="AT14" s="190">
        <v>108992000000</v>
      </c>
      <c r="AU14" s="190">
        <v>104198000000</v>
      </c>
      <c r="AV14" s="190">
        <v>93460000000</v>
      </c>
      <c r="AW14" s="190">
        <v>93041000000</v>
      </c>
      <c r="AX14" s="190">
        <v>109414000000</v>
      </c>
      <c r="AY14" s="190">
        <v>105496000000</v>
      </c>
      <c r="AZ14" s="190">
        <v>96946000000</v>
      </c>
      <c r="BA14" s="190">
        <v>88936000000</v>
      </c>
      <c r="BB14" s="190">
        <v>75283000000</v>
      </c>
      <c r="BC14" s="190">
        <v>78467000000</v>
      </c>
      <c r="BD14" s="190">
        <v>64416000000</v>
      </c>
      <c r="BE14" s="190">
        <v>63918000000</v>
      </c>
      <c r="BF14" s="190">
        <v>58287000000</v>
      </c>
      <c r="BG14" s="190">
        <v>58990000000</v>
      </c>
      <c r="BH14" s="190">
        <v>47671000000</v>
      </c>
      <c r="BI14" s="190">
        <v>44915000000</v>
      </c>
      <c r="BJ14" s="190">
        <v>41275000000</v>
      </c>
      <c r="BK14" s="190">
        <v>44803000000</v>
      </c>
      <c r="BL14" s="190">
        <v>46165000000</v>
      </c>
      <c r="BM14" s="190">
        <v>44932000000</v>
      </c>
      <c r="BN14" s="190">
        <v>42450000000</v>
      </c>
      <c r="BO14" s="190">
        <v>46874000000</v>
      </c>
      <c r="BP14" s="190">
        <v>42826000000</v>
      </c>
      <c r="BQ14" s="190">
        <v>45448000000</v>
      </c>
      <c r="BR14" s="190">
        <v>54444000000</v>
      </c>
      <c r="BS14" s="190">
        <v>49761000000</v>
      </c>
      <c r="BT14" s="190">
        <v>0</v>
      </c>
    </row>
    <row r="15" spans="1:72" x14ac:dyDescent="0.25">
      <c r="A15" s="190" t="s">
        <v>119</v>
      </c>
      <c r="B15" s="190">
        <v>0</v>
      </c>
      <c r="C15" s="190">
        <v>0</v>
      </c>
      <c r="D15" s="190">
        <v>0</v>
      </c>
      <c r="E15" s="190">
        <v>0</v>
      </c>
      <c r="F15" s="190">
        <v>0</v>
      </c>
      <c r="G15" s="190">
        <v>0</v>
      </c>
      <c r="H15" s="190">
        <v>0</v>
      </c>
      <c r="I15" s="190">
        <v>0</v>
      </c>
      <c r="J15" s="190">
        <v>0</v>
      </c>
      <c r="K15" s="190">
        <v>0</v>
      </c>
      <c r="L15" s="190">
        <v>0</v>
      </c>
      <c r="M15" s="190">
        <v>0</v>
      </c>
      <c r="N15" s="190">
        <v>0</v>
      </c>
      <c r="O15" s="190">
        <v>0</v>
      </c>
      <c r="P15" s="190">
        <v>0</v>
      </c>
      <c r="Q15" s="190">
        <v>0</v>
      </c>
      <c r="R15" s="190">
        <v>0</v>
      </c>
      <c r="S15" s="190">
        <v>0</v>
      </c>
      <c r="T15" s="190">
        <v>0</v>
      </c>
      <c r="U15" s="190">
        <v>0</v>
      </c>
      <c r="V15" s="190">
        <v>0</v>
      </c>
      <c r="W15" s="190">
        <v>0</v>
      </c>
      <c r="X15" s="190">
        <v>0</v>
      </c>
      <c r="Y15" s="190">
        <v>0</v>
      </c>
      <c r="Z15" s="190">
        <v>0</v>
      </c>
      <c r="AA15" s="190">
        <v>0</v>
      </c>
      <c r="AB15" s="190">
        <v>0</v>
      </c>
      <c r="AC15" s="190">
        <v>0</v>
      </c>
      <c r="AD15" s="190">
        <v>0</v>
      </c>
      <c r="AE15" s="190">
        <v>0</v>
      </c>
      <c r="AF15" s="190">
        <v>0</v>
      </c>
      <c r="AG15" s="190">
        <v>0</v>
      </c>
      <c r="AH15" s="190">
        <v>0</v>
      </c>
      <c r="AI15" s="190">
        <v>0</v>
      </c>
      <c r="AJ15" s="190">
        <v>0</v>
      </c>
      <c r="AK15" s="190">
        <v>0</v>
      </c>
      <c r="AL15" s="190">
        <v>0</v>
      </c>
      <c r="AM15" s="190">
        <v>0</v>
      </c>
      <c r="AN15" s="190">
        <v>0</v>
      </c>
      <c r="AO15" s="190">
        <v>0</v>
      </c>
      <c r="AP15" s="190">
        <v>0</v>
      </c>
      <c r="AQ15" s="190">
        <v>0</v>
      </c>
      <c r="AR15" s="190">
        <v>0</v>
      </c>
      <c r="AS15" s="190">
        <v>0</v>
      </c>
      <c r="AT15" s="190">
        <v>0</v>
      </c>
      <c r="AU15" s="190">
        <v>0</v>
      </c>
      <c r="AV15" s="190">
        <v>0</v>
      </c>
      <c r="AW15" s="190">
        <v>0</v>
      </c>
      <c r="AX15" s="190">
        <v>0</v>
      </c>
      <c r="AY15" s="190">
        <v>0</v>
      </c>
      <c r="AZ15" s="190">
        <v>0</v>
      </c>
      <c r="BA15" s="190">
        <v>0</v>
      </c>
      <c r="BB15" s="190">
        <v>0</v>
      </c>
      <c r="BC15" s="190">
        <v>0</v>
      </c>
      <c r="BD15" s="190">
        <v>0</v>
      </c>
      <c r="BE15" s="190">
        <v>0</v>
      </c>
      <c r="BF15" s="190">
        <v>0</v>
      </c>
      <c r="BG15" s="190">
        <v>0</v>
      </c>
      <c r="BH15" s="190">
        <v>0</v>
      </c>
      <c r="BI15" s="190">
        <v>0</v>
      </c>
      <c r="BJ15" s="190">
        <v>0</v>
      </c>
      <c r="BK15" s="190">
        <v>0</v>
      </c>
      <c r="BL15" s="190">
        <v>0</v>
      </c>
      <c r="BM15" s="190">
        <v>0</v>
      </c>
      <c r="BN15" s="190">
        <v>0</v>
      </c>
      <c r="BO15" s="190">
        <v>0</v>
      </c>
      <c r="BP15" s="190">
        <v>0</v>
      </c>
      <c r="BQ15" s="190">
        <v>0</v>
      </c>
      <c r="BR15" s="190">
        <v>0</v>
      </c>
      <c r="BS15" s="190">
        <v>0</v>
      </c>
      <c r="BT15" s="190">
        <v>0</v>
      </c>
    </row>
    <row r="16" spans="1:72" x14ac:dyDescent="0.25">
      <c r="A16" s="190" t="s">
        <v>120</v>
      </c>
      <c r="B16" s="190">
        <v>0</v>
      </c>
      <c r="C16" s="190">
        <v>0</v>
      </c>
      <c r="D16" s="190">
        <v>0</v>
      </c>
      <c r="E16" s="190">
        <v>0</v>
      </c>
      <c r="F16" s="190">
        <v>0</v>
      </c>
      <c r="G16" s="190">
        <v>0</v>
      </c>
      <c r="H16" s="190">
        <v>0</v>
      </c>
      <c r="I16" s="190">
        <v>0</v>
      </c>
      <c r="J16" s="190">
        <v>0</v>
      </c>
      <c r="K16" s="190">
        <v>0</v>
      </c>
      <c r="L16" s="190">
        <v>0</v>
      </c>
      <c r="M16" s="190">
        <v>0</v>
      </c>
      <c r="N16" s="190">
        <v>0</v>
      </c>
      <c r="O16" s="190">
        <v>0</v>
      </c>
      <c r="P16" s="190">
        <v>0</v>
      </c>
      <c r="Q16" s="190">
        <v>0</v>
      </c>
      <c r="R16" s="190">
        <v>0</v>
      </c>
      <c r="S16" s="190">
        <v>0</v>
      </c>
      <c r="T16" s="190">
        <v>0</v>
      </c>
      <c r="U16" s="190">
        <v>0</v>
      </c>
      <c r="V16" s="190">
        <v>0</v>
      </c>
      <c r="W16" s="190">
        <v>0</v>
      </c>
      <c r="X16" s="190">
        <v>0</v>
      </c>
      <c r="Y16" s="190">
        <v>0</v>
      </c>
      <c r="Z16" s="190">
        <v>0</v>
      </c>
      <c r="AA16" s="190">
        <v>0</v>
      </c>
      <c r="AB16" s="190">
        <v>0</v>
      </c>
      <c r="AC16" s="190">
        <v>0</v>
      </c>
      <c r="AD16" s="190">
        <v>0</v>
      </c>
      <c r="AE16" s="190">
        <v>0</v>
      </c>
      <c r="AF16" s="190">
        <v>0</v>
      </c>
      <c r="AG16" s="190">
        <v>0</v>
      </c>
      <c r="AH16" s="190">
        <v>0</v>
      </c>
      <c r="AI16" s="190">
        <v>0</v>
      </c>
      <c r="AJ16" s="190">
        <v>0</v>
      </c>
      <c r="AK16" s="190">
        <v>0</v>
      </c>
      <c r="AL16" s="190">
        <v>0</v>
      </c>
      <c r="AM16" s="190">
        <v>0</v>
      </c>
      <c r="AN16" s="190">
        <v>0</v>
      </c>
      <c r="AO16" s="190">
        <v>0</v>
      </c>
      <c r="AP16" s="190">
        <v>0</v>
      </c>
      <c r="AQ16" s="190">
        <v>0</v>
      </c>
      <c r="AR16" s="190">
        <v>0</v>
      </c>
      <c r="AS16" s="190">
        <v>0</v>
      </c>
      <c r="AT16" s="190">
        <v>0</v>
      </c>
      <c r="AU16" s="190">
        <v>0</v>
      </c>
      <c r="AV16" s="190">
        <v>0</v>
      </c>
      <c r="AW16" s="190">
        <v>0</v>
      </c>
      <c r="AX16" s="190">
        <v>0</v>
      </c>
      <c r="AY16" s="190">
        <v>0</v>
      </c>
      <c r="AZ16" s="190">
        <v>0</v>
      </c>
      <c r="BA16" s="190">
        <v>0</v>
      </c>
      <c r="BB16" s="190">
        <v>0</v>
      </c>
      <c r="BC16" s="190">
        <v>0</v>
      </c>
      <c r="BD16" s="190">
        <v>0</v>
      </c>
      <c r="BE16" s="190">
        <v>0</v>
      </c>
      <c r="BF16" s="190">
        <v>0</v>
      </c>
      <c r="BG16" s="190">
        <v>0</v>
      </c>
      <c r="BH16" s="190">
        <v>0</v>
      </c>
      <c r="BI16" s="190">
        <v>0</v>
      </c>
      <c r="BJ16" s="190">
        <v>0</v>
      </c>
      <c r="BK16" s="190">
        <v>0</v>
      </c>
      <c r="BL16" s="190">
        <v>0</v>
      </c>
      <c r="BM16" s="190">
        <v>0</v>
      </c>
      <c r="BN16" s="190">
        <v>0</v>
      </c>
      <c r="BO16" s="190">
        <v>0</v>
      </c>
      <c r="BP16" s="190">
        <v>0</v>
      </c>
      <c r="BQ16" s="190">
        <v>0</v>
      </c>
      <c r="BR16" s="190">
        <v>0</v>
      </c>
      <c r="BS16" s="190">
        <v>0</v>
      </c>
      <c r="BT16" s="190">
        <v>0</v>
      </c>
    </row>
    <row r="17" spans="1:72" x14ac:dyDescent="0.25">
      <c r="A17" s="190" t="s">
        <v>121</v>
      </c>
      <c r="B17" s="190">
        <v>0</v>
      </c>
      <c r="C17" s="190">
        <v>0</v>
      </c>
      <c r="D17" s="190">
        <v>0</v>
      </c>
      <c r="E17" s="190">
        <v>0</v>
      </c>
      <c r="F17" s="190">
        <v>0</v>
      </c>
      <c r="G17" s="190">
        <v>0</v>
      </c>
      <c r="H17" s="190">
        <v>0</v>
      </c>
      <c r="I17" s="190">
        <v>0</v>
      </c>
      <c r="J17" s="190">
        <v>0</v>
      </c>
      <c r="K17" s="190">
        <v>0</v>
      </c>
      <c r="L17" s="190">
        <v>0</v>
      </c>
      <c r="M17" s="190">
        <v>0</v>
      </c>
      <c r="N17" s="190">
        <v>0</v>
      </c>
      <c r="O17" s="190">
        <v>0</v>
      </c>
      <c r="P17" s="190">
        <v>0</v>
      </c>
      <c r="Q17" s="190">
        <v>0</v>
      </c>
      <c r="R17" s="190">
        <v>0</v>
      </c>
      <c r="S17" s="190">
        <v>0</v>
      </c>
      <c r="T17" s="190">
        <v>0</v>
      </c>
      <c r="U17" s="190">
        <v>0</v>
      </c>
      <c r="V17" s="190">
        <v>0</v>
      </c>
      <c r="W17" s="190">
        <v>0</v>
      </c>
      <c r="X17" s="190">
        <v>0</v>
      </c>
      <c r="Y17" s="190">
        <v>0</v>
      </c>
      <c r="Z17" s="190">
        <v>0</v>
      </c>
      <c r="AA17" s="190">
        <v>0</v>
      </c>
      <c r="AB17" s="190">
        <v>0</v>
      </c>
      <c r="AC17" s="190">
        <v>0</v>
      </c>
      <c r="AD17" s="190">
        <v>0</v>
      </c>
      <c r="AE17" s="190">
        <v>0</v>
      </c>
      <c r="AF17" s="190">
        <v>0</v>
      </c>
      <c r="AG17" s="190">
        <v>0</v>
      </c>
      <c r="AH17" s="190">
        <v>0</v>
      </c>
      <c r="AI17" s="190">
        <v>0</v>
      </c>
      <c r="AJ17" s="190">
        <v>0</v>
      </c>
      <c r="AK17" s="190">
        <v>0</v>
      </c>
      <c r="AL17" s="190">
        <v>0</v>
      </c>
      <c r="AM17" s="190">
        <v>0</v>
      </c>
      <c r="AN17" s="190">
        <v>0</v>
      </c>
      <c r="AO17" s="190">
        <v>0</v>
      </c>
      <c r="AP17" s="190">
        <v>0</v>
      </c>
      <c r="AQ17" s="190">
        <v>0</v>
      </c>
      <c r="AR17" s="190">
        <v>0</v>
      </c>
      <c r="AS17" s="190">
        <v>0</v>
      </c>
      <c r="AT17" s="190">
        <v>0</v>
      </c>
      <c r="AU17" s="190">
        <v>0</v>
      </c>
      <c r="AV17" s="190">
        <v>0</v>
      </c>
      <c r="AW17" s="190">
        <v>0</v>
      </c>
      <c r="AX17" s="190">
        <v>0</v>
      </c>
      <c r="AY17" s="190">
        <v>0</v>
      </c>
      <c r="AZ17" s="190">
        <v>0</v>
      </c>
      <c r="BA17" s="190">
        <v>0</v>
      </c>
      <c r="BB17" s="190">
        <v>0</v>
      </c>
      <c r="BC17" s="190">
        <v>0</v>
      </c>
      <c r="BD17" s="190">
        <v>0</v>
      </c>
      <c r="BE17" s="190">
        <v>0</v>
      </c>
      <c r="BF17" s="190">
        <v>0</v>
      </c>
      <c r="BG17" s="190">
        <v>0</v>
      </c>
      <c r="BH17" s="190">
        <v>0</v>
      </c>
      <c r="BI17" s="190">
        <v>0</v>
      </c>
      <c r="BJ17" s="190">
        <v>0</v>
      </c>
      <c r="BK17" s="190">
        <v>0</v>
      </c>
      <c r="BL17" s="190">
        <v>0</v>
      </c>
      <c r="BM17" s="190">
        <v>0</v>
      </c>
      <c r="BN17" s="190">
        <v>0</v>
      </c>
      <c r="BO17" s="190">
        <v>0</v>
      </c>
      <c r="BP17" s="190">
        <v>0</v>
      </c>
      <c r="BQ17" s="190">
        <v>0</v>
      </c>
      <c r="BR17" s="190">
        <v>0</v>
      </c>
      <c r="BS17" s="190">
        <v>0</v>
      </c>
      <c r="BT17" s="190">
        <v>0</v>
      </c>
    </row>
    <row r="18" spans="1:72" x14ac:dyDescent="0.25">
      <c r="A18" s="190" t="s">
        <v>122</v>
      </c>
      <c r="B18" s="190">
        <v>0</v>
      </c>
      <c r="C18" s="190">
        <v>0</v>
      </c>
      <c r="D18" s="190">
        <v>0</v>
      </c>
      <c r="E18" s="190">
        <v>0</v>
      </c>
      <c r="F18" s="190">
        <v>0</v>
      </c>
      <c r="G18" s="190">
        <v>0</v>
      </c>
      <c r="H18" s="190">
        <v>0</v>
      </c>
      <c r="I18" s="190">
        <v>0</v>
      </c>
      <c r="J18" s="190">
        <v>0</v>
      </c>
      <c r="K18" s="190">
        <v>0</v>
      </c>
      <c r="L18" s="190">
        <v>0</v>
      </c>
      <c r="M18" s="190">
        <v>0</v>
      </c>
      <c r="N18" s="190">
        <v>0</v>
      </c>
      <c r="O18" s="190">
        <v>0</v>
      </c>
      <c r="P18" s="190">
        <v>0</v>
      </c>
      <c r="Q18" s="190">
        <v>0</v>
      </c>
      <c r="R18" s="190">
        <v>0</v>
      </c>
      <c r="S18" s="190">
        <v>0</v>
      </c>
      <c r="T18" s="190">
        <v>0</v>
      </c>
      <c r="U18" s="190">
        <v>0</v>
      </c>
      <c r="V18" s="190">
        <v>0</v>
      </c>
      <c r="W18" s="190">
        <v>0</v>
      </c>
      <c r="X18" s="190">
        <v>0</v>
      </c>
      <c r="Y18" s="190">
        <v>0</v>
      </c>
      <c r="Z18" s="190">
        <v>0</v>
      </c>
      <c r="AA18" s="190">
        <v>0</v>
      </c>
      <c r="AB18" s="190">
        <v>0</v>
      </c>
      <c r="AC18" s="190">
        <v>0</v>
      </c>
      <c r="AD18" s="190">
        <v>0</v>
      </c>
      <c r="AE18" s="190">
        <v>0</v>
      </c>
      <c r="AF18" s="190">
        <v>0</v>
      </c>
      <c r="AG18" s="190">
        <v>0</v>
      </c>
      <c r="AH18" s="190">
        <v>0</v>
      </c>
      <c r="AI18" s="190">
        <v>0</v>
      </c>
      <c r="AJ18" s="190">
        <v>0</v>
      </c>
      <c r="AK18" s="190">
        <v>0</v>
      </c>
      <c r="AL18" s="190">
        <v>0</v>
      </c>
      <c r="AM18" s="190">
        <v>0</v>
      </c>
      <c r="AN18" s="190">
        <v>0</v>
      </c>
      <c r="AO18" s="190">
        <v>0</v>
      </c>
      <c r="AP18" s="190">
        <v>0</v>
      </c>
      <c r="AQ18" s="190">
        <v>0</v>
      </c>
      <c r="AR18" s="190">
        <v>0</v>
      </c>
      <c r="AS18" s="190">
        <v>0</v>
      </c>
      <c r="AT18" s="190">
        <v>0</v>
      </c>
      <c r="AU18" s="190">
        <v>0</v>
      </c>
      <c r="AV18" s="190">
        <v>0</v>
      </c>
      <c r="AW18" s="190">
        <v>0</v>
      </c>
      <c r="AX18" s="190">
        <v>0</v>
      </c>
      <c r="AY18" s="190">
        <v>0</v>
      </c>
      <c r="AZ18" s="190">
        <v>0</v>
      </c>
      <c r="BA18" s="190">
        <v>0</v>
      </c>
      <c r="BB18" s="190">
        <v>0</v>
      </c>
      <c r="BC18" s="190">
        <v>0</v>
      </c>
      <c r="BD18" s="190">
        <v>0</v>
      </c>
      <c r="BE18" s="190">
        <v>0</v>
      </c>
      <c r="BF18" s="190">
        <v>0</v>
      </c>
      <c r="BG18" s="190">
        <v>0</v>
      </c>
      <c r="BH18" s="190">
        <v>0</v>
      </c>
      <c r="BI18" s="190">
        <v>0</v>
      </c>
      <c r="BJ18" s="190">
        <v>0</v>
      </c>
      <c r="BK18" s="190">
        <v>0</v>
      </c>
      <c r="BL18" s="190">
        <v>0</v>
      </c>
      <c r="BM18" s="190">
        <v>0</v>
      </c>
      <c r="BN18" s="190">
        <v>0</v>
      </c>
      <c r="BO18" s="190">
        <v>0</v>
      </c>
      <c r="BP18" s="190">
        <v>0</v>
      </c>
      <c r="BQ18" s="190">
        <v>0</v>
      </c>
      <c r="BR18" s="190">
        <v>0</v>
      </c>
      <c r="BS18" s="190">
        <v>0</v>
      </c>
      <c r="BT18" s="190">
        <v>0</v>
      </c>
    </row>
    <row r="19" spans="1:72" x14ac:dyDescent="0.25">
      <c r="A19" s="190" t="s">
        <v>123</v>
      </c>
      <c r="B19" s="190">
        <v>20854000000</v>
      </c>
      <c r="C19" s="190">
        <v>21148000000</v>
      </c>
      <c r="D19" s="190">
        <v>20249000000</v>
      </c>
      <c r="E19" s="190">
        <v>20087000000</v>
      </c>
      <c r="F19" s="190">
        <v>19125000000</v>
      </c>
      <c r="G19" s="190">
        <v>18595000000</v>
      </c>
      <c r="H19" s="190">
        <v>19702000000</v>
      </c>
      <c r="I19" s="190">
        <v>20422000000</v>
      </c>
      <c r="J19" s="190">
        <v>24370000000</v>
      </c>
      <c r="K19" s="190">
        <v>23108000000</v>
      </c>
      <c r="L19" s="190">
        <v>32297000000</v>
      </c>
      <c r="M19" s="190">
        <v>26904000000</v>
      </c>
      <c r="N19" s="190">
        <v>20197000000</v>
      </c>
      <c r="O19" s="190">
        <v>16533000000</v>
      </c>
      <c r="P19" s="190">
        <v>18157000000</v>
      </c>
      <c r="Q19" s="190">
        <v>23996000000</v>
      </c>
      <c r="R19" s="190">
        <v>17573000000</v>
      </c>
      <c r="S19" s="190">
        <v>17303000000</v>
      </c>
      <c r="T19" s="190">
        <v>18039000000</v>
      </c>
      <c r="U19" s="190">
        <v>21385000000</v>
      </c>
      <c r="V19" s="190">
        <v>13875000000</v>
      </c>
      <c r="W19" s="190">
        <v>15177000000</v>
      </c>
      <c r="X19" s="190">
        <v>1477000000</v>
      </c>
      <c r="Y19" s="190">
        <v>1008000000</v>
      </c>
      <c r="Z19" s="190">
        <v>1262000000</v>
      </c>
      <c r="AA19" s="190">
        <v>1134000000</v>
      </c>
      <c r="AB19" s="190">
        <v>962000000</v>
      </c>
      <c r="AC19" s="190">
        <v>836000000</v>
      </c>
      <c r="AD19" s="190">
        <v>1621000000</v>
      </c>
      <c r="AE19" s="190">
        <v>1783000000</v>
      </c>
      <c r="AF19" s="190">
        <v>1771000000</v>
      </c>
      <c r="AG19" s="190">
        <v>594000000</v>
      </c>
      <c r="AH19" s="190">
        <v>866000000</v>
      </c>
      <c r="AI19" s="190">
        <v>370000000</v>
      </c>
      <c r="AJ19" s="190">
        <v>701000000</v>
      </c>
      <c r="AK19" s="190">
        <v>856000000</v>
      </c>
      <c r="AL19" s="190">
        <v>194000000</v>
      </c>
      <c r="AM19" s="190">
        <v>68000000</v>
      </c>
      <c r="AN19" s="190">
        <v>635000000</v>
      </c>
      <c r="AO19" s="190">
        <v>287000000</v>
      </c>
      <c r="AP19" s="190">
        <v>867000000</v>
      </c>
      <c r="AQ19" s="190">
        <v>127000000</v>
      </c>
      <c r="AR19" s="190">
        <v>184000000</v>
      </c>
      <c r="AS19" s="190">
        <v>100000000</v>
      </c>
      <c r="AT19" s="190">
        <v>585000000</v>
      </c>
      <c r="AU19" s="190">
        <v>769000000</v>
      </c>
      <c r="AV19" s="190">
        <v>806000000</v>
      </c>
      <c r="AW19" s="190">
        <v>0</v>
      </c>
      <c r="AX19" s="190">
        <v>0</v>
      </c>
      <c r="AY19" s="190">
        <v>0</v>
      </c>
      <c r="AZ19" s="190">
        <v>0</v>
      </c>
      <c r="BA19" s="190">
        <v>0</v>
      </c>
      <c r="BB19" s="190">
        <v>0</v>
      </c>
      <c r="BC19" s="190">
        <v>0</v>
      </c>
      <c r="BD19" s="190">
        <v>0</v>
      </c>
      <c r="BE19" s="190">
        <v>0</v>
      </c>
      <c r="BF19" s="190">
        <v>0</v>
      </c>
      <c r="BG19" s="190">
        <v>0</v>
      </c>
      <c r="BH19" s="190">
        <v>0</v>
      </c>
      <c r="BI19" s="190">
        <v>0</v>
      </c>
      <c r="BJ19" s="190">
        <v>0</v>
      </c>
      <c r="BK19" s="190">
        <v>0</v>
      </c>
      <c r="BL19" s="190">
        <v>0</v>
      </c>
      <c r="BM19" s="190">
        <v>0</v>
      </c>
      <c r="BN19" s="190">
        <v>0</v>
      </c>
      <c r="BO19" s="190">
        <v>0</v>
      </c>
      <c r="BP19" s="190">
        <v>0</v>
      </c>
      <c r="BQ19" s="190">
        <v>0</v>
      </c>
      <c r="BR19" s="190">
        <v>0</v>
      </c>
      <c r="BS19" s="190">
        <v>0</v>
      </c>
      <c r="BT19" s="190">
        <v>0</v>
      </c>
    </row>
    <row r="20" spans="1:72" x14ac:dyDescent="0.25">
      <c r="A20" s="190" t="s">
        <v>124</v>
      </c>
      <c r="B20" s="190">
        <v>611918000000</v>
      </c>
      <c r="C20" s="190">
        <v>568938000000</v>
      </c>
      <c r="D20" s="190">
        <v>521230000000</v>
      </c>
      <c r="E20" s="190">
        <v>529049000000</v>
      </c>
      <c r="F20" s="190">
        <v>437127000000</v>
      </c>
      <c r="G20" s="190">
        <v>434159000000</v>
      </c>
      <c r="H20" s="190">
        <v>412699000000</v>
      </c>
      <c r="I20" s="190">
        <v>412261000000</v>
      </c>
      <c r="J20" s="190">
        <v>338995000000</v>
      </c>
      <c r="K20" s="190">
        <v>347674000000</v>
      </c>
      <c r="L20" s="190">
        <v>307549000000</v>
      </c>
      <c r="M20" s="190">
        <v>332405000000</v>
      </c>
      <c r="N20" s="190">
        <v>337206000000</v>
      </c>
      <c r="O20" s="190">
        <v>395555000000</v>
      </c>
      <c r="P20" s="190">
        <v>357384000000</v>
      </c>
      <c r="Q20" s="190">
        <v>360144000000</v>
      </c>
      <c r="R20" s="190">
        <v>406116000000</v>
      </c>
      <c r="S20" s="190">
        <v>420728000000</v>
      </c>
      <c r="T20" s="190">
        <v>405907000000</v>
      </c>
      <c r="U20" s="190">
        <v>373010000000</v>
      </c>
      <c r="V20" s="190">
        <v>376735000000</v>
      </c>
      <c r="W20" s="190">
        <v>365130000000</v>
      </c>
      <c r="X20" s="190">
        <v>385446000000</v>
      </c>
      <c r="Y20" s="190">
        <v>344751000000</v>
      </c>
      <c r="Z20" s="190">
        <v>340879000000</v>
      </c>
      <c r="AA20" s="190">
        <v>343909000000</v>
      </c>
      <c r="AB20" s="190">
        <v>390792000000</v>
      </c>
      <c r="AC20" s="190">
        <v>327588000000</v>
      </c>
      <c r="AD20" s="190">
        <v>334087000000</v>
      </c>
      <c r="AE20" s="190">
        <v>331531000000</v>
      </c>
      <c r="AF20" s="190">
        <v>318658000000</v>
      </c>
      <c r="AG20" s="190">
        <v>249450000000</v>
      </c>
      <c r="AH20" s="190">
        <v>245044000000</v>
      </c>
      <c r="AI20" s="190">
        <v>249837000000</v>
      </c>
      <c r="AJ20" s="190">
        <v>248123000000</v>
      </c>
      <c r="AK20" s="190">
        <v>189223000000</v>
      </c>
      <c r="AL20" s="190">
        <v>202334000000</v>
      </c>
      <c r="AM20" s="190">
        <v>186359000000</v>
      </c>
      <c r="AN20" s="190">
        <v>165132000000</v>
      </c>
      <c r="AO20" s="190">
        <v>148007000000</v>
      </c>
      <c r="AP20" s="190">
        <v>245044000000</v>
      </c>
      <c r="AQ20" s="190">
        <v>260041000000</v>
      </c>
      <c r="AR20" s="190">
        <v>229938000000</v>
      </c>
      <c r="AS20" s="190">
        <v>181535000000</v>
      </c>
      <c r="AT20" s="190">
        <v>169986000000</v>
      </c>
      <c r="AU20" s="190">
        <v>175715000000</v>
      </c>
      <c r="AV20" s="190">
        <v>157830000000</v>
      </c>
      <c r="AW20" s="190">
        <v>142100000000</v>
      </c>
      <c r="AX20" s="190">
        <v>169847000000</v>
      </c>
      <c r="AY20" s="190">
        <v>161351000000</v>
      </c>
      <c r="AZ20" s="190">
        <v>154042000000</v>
      </c>
      <c r="BA20" s="190">
        <v>141896000000</v>
      </c>
      <c r="BB20" s="190">
        <v>135447000000</v>
      </c>
      <c r="BC20" s="190">
        <v>135315000000</v>
      </c>
      <c r="BD20" s="190">
        <v>129029000000</v>
      </c>
      <c r="BE20" s="190">
        <v>117056000000</v>
      </c>
      <c r="BF20" s="190">
        <v>115826000000</v>
      </c>
      <c r="BG20" s="190">
        <v>117062000000</v>
      </c>
      <c r="BH20" s="190">
        <v>108073000000</v>
      </c>
      <c r="BI20" s="190">
        <v>96918000000</v>
      </c>
      <c r="BJ20" s="190">
        <v>97924000000</v>
      </c>
      <c r="BK20" s="190">
        <v>104685000000</v>
      </c>
      <c r="BL20" s="190">
        <v>108202000000</v>
      </c>
      <c r="BM20" s="190">
        <v>99008000000</v>
      </c>
      <c r="BN20" s="190">
        <v>103673000000</v>
      </c>
      <c r="BO20" s="190">
        <v>110337000000</v>
      </c>
      <c r="BP20" s="190">
        <v>105631000000</v>
      </c>
      <c r="BQ20" s="190">
        <v>106765000000</v>
      </c>
      <c r="BR20" s="190">
        <v>146711000000</v>
      </c>
      <c r="BS20" s="190">
        <v>131625000000</v>
      </c>
      <c r="BT20" s="190">
        <v>0</v>
      </c>
    </row>
    <row r="21" spans="1:72" x14ac:dyDescent="0.25">
      <c r="A21" s="190" t="s">
        <v>125</v>
      </c>
    </row>
    <row r="22" spans="1:72" x14ac:dyDescent="0.25">
      <c r="A22" s="190" t="s">
        <v>126</v>
      </c>
      <c r="B22" s="190">
        <v>0</v>
      </c>
      <c r="C22" s="190">
        <v>0</v>
      </c>
      <c r="D22" s="190">
        <v>0</v>
      </c>
      <c r="E22" s="190">
        <v>0</v>
      </c>
      <c r="F22" s="190">
        <v>0</v>
      </c>
      <c r="G22" s="190">
        <v>0</v>
      </c>
      <c r="H22" s="190">
        <v>0</v>
      </c>
      <c r="I22" s="190">
        <v>0</v>
      </c>
      <c r="J22" s="190">
        <v>0</v>
      </c>
      <c r="K22" s="190">
        <v>0</v>
      </c>
      <c r="L22" s="190">
        <v>0</v>
      </c>
      <c r="M22" s="190">
        <v>0</v>
      </c>
      <c r="N22" s="190">
        <v>0</v>
      </c>
      <c r="O22" s="190">
        <v>0</v>
      </c>
      <c r="P22" s="190">
        <v>0</v>
      </c>
      <c r="Q22" s="190">
        <v>0</v>
      </c>
      <c r="R22" s="190">
        <v>0</v>
      </c>
      <c r="S22" s="190">
        <v>0</v>
      </c>
      <c r="T22" s="190">
        <v>0</v>
      </c>
      <c r="U22" s="190">
        <v>0</v>
      </c>
      <c r="V22" s="190">
        <v>0</v>
      </c>
      <c r="W22" s="190">
        <v>0</v>
      </c>
      <c r="X22" s="190">
        <v>0</v>
      </c>
      <c r="Y22" s="190">
        <v>0</v>
      </c>
      <c r="Z22" s="190">
        <v>0</v>
      </c>
      <c r="AA22" s="190">
        <v>0</v>
      </c>
      <c r="AB22" s="190">
        <v>0</v>
      </c>
      <c r="AC22" s="190">
        <v>0</v>
      </c>
      <c r="AD22" s="190">
        <v>0</v>
      </c>
      <c r="AE22" s="190">
        <v>0</v>
      </c>
      <c r="AF22" s="190">
        <v>0</v>
      </c>
      <c r="AG22" s="190">
        <v>0</v>
      </c>
      <c r="AH22" s="190">
        <v>0</v>
      </c>
      <c r="AI22" s="190">
        <v>0</v>
      </c>
      <c r="AJ22" s="190">
        <v>0</v>
      </c>
      <c r="AK22" s="190">
        <v>0</v>
      </c>
      <c r="AL22" s="190">
        <v>0</v>
      </c>
      <c r="AM22" s="190">
        <v>0</v>
      </c>
      <c r="AN22" s="190">
        <v>0</v>
      </c>
      <c r="AO22" s="190">
        <v>0</v>
      </c>
      <c r="AP22" s="190">
        <v>0</v>
      </c>
      <c r="AQ22" s="190">
        <v>0</v>
      </c>
      <c r="AR22" s="190">
        <v>0</v>
      </c>
      <c r="AS22" s="190">
        <v>0</v>
      </c>
      <c r="AT22" s="190">
        <v>0</v>
      </c>
      <c r="AU22" s="190">
        <v>0</v>
      </c>
      <c r="AV22" s="190">
        <v>0</v>
      </c>
      <c r="AW22" s="190">
        <v>0</v>
      </c>
      <c r="AX22" s="190">
        <v>0</v>
      </c>
      <c r="AY22" s="190">
        <v>0</v>
      </c>
      <c r="AZ22" s="190">
        <v>0</v>
      </c>
      <c r="BA22" s="190">
        <v>0</v>
      </c>
      <c r="BB22" s="190">
        <v>0</v>
      </c>
      <c r="BC22" s="190">
        <v>0</v>
      </c>
      <c r="BD22" s="190">
        <v>0</v>
      </c>
      <c r="BE22" s="190">
        <v>0</v>
      </c>
      <c r="BF22" s="190">
        <v>0</v>
      </c>
      <c r="BG22" s="190">
        <v>0</v>
      </c>
      <c r="BH22" s="190">
        <v>0</v>
      </c>
      <c r="BI22" s="190">
        <v>0</v>
      </c>
      <c r="BJ22" s="190">
        <v>0</v>
      </c>
      <c r="BK22" s="190">
        <v>0</v>
      </c>
      <c r="BL22" s="190">
        <v>0</v>
      </c>
      <c r="BM22" s="190">
        <v>0</v>
      </c>
      <c r="BN22" s="190">
        <v>0</v>
      </c>
      <c r="BO22" s="190">
        <v>0</v>
      </c>
      <c r="BP22" s="190">
        <v>0</v>
      </c>
      <c r="BQ22" s="190">
        <v>0</v>
      </c>
      <c r="BR22" s="190">
        <v>0</v>
      </c>
      <c r="BS22" s="190">
        <v>0</v>
      </c>
      <c r="BT22" s="190">
        <v>0</v>
      </c>
    </row>
    <row r="23" spans="1:72" x14ac:dyDescent="0.25">
      <c r="A23" s="190" t="s">
        <v>127</v>
      </c>
      <c r="B23" s="190">
        <v>0</v>
      </c>
      <c r="C23" s="190">
        <v>0</v>
      </c>
      <c r="D23" s="190">
        <v>0</v>
      </c>
      <c r="E23" s="190">
        <v>1676000000</v>
      </c>
      <c r="F23" s="190">
        <v>11227000000</v>
      </c>
      <c r="G23" s="190">
        <v>11325000000</v>
      </c>
      <c r="H23" s="190">
        <v>11521000000</v>
      </c>
      <c r="I23" s="190">
        <v>11408000000</v>
      </c>
      <c r="J23" s="190">
        <v>11097000000</v>
      </c>
      <c r="K23" s="190">
        <v>11137000000</v>
      </c>
      <c r="L23" s="190">
        <v>10281000000</v>
      </c>
      <c r="M23" s="190">
        <v>10326000000</v>
      </c>
      <c r="N23" s="190">
        <v>1281000000</v>
      </c>
      <c r="O23" s="190">
        <v>1075000000</v>
      </c>
      <c r="P23" s="190">
        <v>1035000000</v>
      </c>
      <c r="Q23" s="190">
        <v>868000000</v>
      </c>
      <c r="R23" s="190">
        <v>1605000000</v>
      </c>
      <c r="S23" s="190">
        <v>0</v>
      </c>
      <c r="T23" s="190">
        <v>0</v>
      </c>
      <c r="U23" s="190">
        <v>0</v>
      </c>
      <c r="V23" s="190">
        <v>0</v>
      </c>
      <c r="W23" s="190">
        <v>0</v>
      </c>
      <c r="X23" s="190">
        <v>0</v>
      </c>
      <c r="Y23" s="190">
        <v>0</v>
      </c>
      <c r="Z23" s="190">
        <v>0</v>
      </c>
      <c r="AA23" s="190">
        <v>0</v>
      </c>
      <c r="AB23" s="190">
        <v>0</v>
      </c>
      <c r="AC23" s="190">
        <v>0</v>
      </c>
      <c r="AD23" s="190">
        <v>0</v>
      </c>
      <c r="AE23" s="190">
        <v>0</v>
      </c>
      <c r="AF23" s="190">
        <v>0</v>
      </c>
      <c r="AG23" s="190">
        <v>0</v>
      </c>
      <c r="AH23" s="190">
        <v>0</v>
      </c>
      <c r="AI23" s="190">
        <v>0</v>
      </c>
      <c r="AJ23" s="190">
        <v>0</v>
      </c>
      <c r="AK23" s="190">
        <v>0</v>
      </c>
      <c r="AL23" s="190">
        <v>0</v>
      </c>
      <c r="AM23" s="190">
        <v>0</v>
      </c>
      <c r="AN23" s="190">
        <v>0</v>
      </c>
      <c r="AO23" s="190">
        <v>0</v>
      </c>
      <c r="AP23" s="190">
        <v>0</v>
      </c>
      <c r="AQ23" s="190">
        <v>0</v>
      </c>
      <c r="AR23" s="190">
        <v>0</v>
      </c>
      <c r="AS23" s="190">
        <v>0</v>
      </c>
      <c r="AT23" s="190">
        <v>0</v>
      </c>
      <c r="AU23" s="190">
        <v>0</v>
      </c>
      <c r="AV23" s="190">
        <v>0</v>
      </c>
      <c r="AW23" s="190">
        <v>0</v>
      </c>
      <c r="AX23" s="190">
        <v>0</v>
      </c>
      <c r="AY23" s="190">
        <v>0</v>
      </c>
      <c r="AZ23" s="190">
        <v>0</v>
      </c>
      <c r="BA23" s="190">
        <v>0</v>
      </c>
      <c r="BB23" s="190">
        <v>0</v>
      </c>
      <c r="BC23" s="190">
        <v>0</v>
      </c>
      <c r="BD23" s="190">
        <v>0</v>
      </c>
      <c r="BE23" s="190">
        <v>0</v>
      </c>
      <c r="BF23" s="190">
        <v>0</v>
      </c>
      <c r="BG23" s="190">
        <v>0</v>
      </c>
      <c r="BH23" s="190">
        <v>0</v>
      </c>
      <c r="BI23" s="190">
        <v>0</v>
      </c>
      <c r="BJ23" s="190">
        <v>0</v>
      </c>
      <c r="BK23" s="190">
        <v>0</v>
      </c>
      <c r="BL23" s="190">
        <v>0</v>
      </c>
      <c r="BM23" s="190">
        <v>0</v>
      </c>
      <c r="BN23" s="190">
        <v>0</v>
      </c>
      <c r="BO23" s="190">
        <v>0</v>
      </c>
      <c r="BP23" s="190">
        <v>0</v>
      </c>
      <c r="BQ23" s="190">
        <v>0</v>
      </c>
      <c r="BR23" s="190">
        <v>0</v>
      </c>
      <c r="BS23" s="190">
        <v>0</v>
      </c>
      <c r="BT23" s="190">
        <v>0</v>
      </c>
    </row>
    <row r="24" spans="1:72" x14ac:dyDescent="0.25">
      <c r="A24" s="190" t="s">
        <v>128</v>
      </c>
      <c r="B24" s="190">
        <v>0</v>
      </c>
      <c r="C24" s="190">
        <v>0</v>
      </c>
      <c r="D24" s="190">
        <v>0</v>
      </c>
      <c r="E24" s="190">
        <v>0</v>
      </c>
      <c r="F24" s="190">
        <v>0</v>
      </c>
      <c r="G24" s="190">
        <v>0</v>
      </c>
      <c r="H24" s="190">
        <v>0</v>
      </c>
      <c r="I24" s="190">
        <v>0</v>
      </c>
      <c r="J24" s="190">
        <v>0</v>
      </c>
      <c r="K24" s="190">
        <v>0</v>
      </c>
      <c r="L24" s="190">
        <v>0</v>
      </c>
      <c r="M24" s="190">
        <v>0</v>
      </c>
      <c r="N24" s="190">
        <v>0</v>
      </c>
      <c r="O24" s="190">
        <v>0</v>
      </c>
      <c r="P24" s="190">
        <v>0</v>
      </c>
      <c r="Q24" s="190">
        <v>0</v>
      </c>
      <c r="R24" s="190">
        <v>0</v>
      </c>
      <c r="S24" s="190">
        <v>0</v>
      </c>
      <c r="T24" s="190">
        <v>0</v>
      </c>
      <c r="U24" s="190">
        <v>0</v>
      </c>
      <c r="V24" s="190">
        <v>0</v>
      </c>
      <c r="W24" s="190">
        <v>0</v>
      </c>
      <c r="X24" s="190">
        <v>0</v>
      </c>
      <c r="Y24" s="190">
        <v>0</v>
      </c>
      <c r="Z24" s="190">
        <v>0</v>
      </c>
      <c r="AA24" s="190">
        <v>0</v>
      </c>
      <c r="AB24" s="190">
        <v>0</v>
      </c>
      <c r="AC24" s="190">
        <v>0</v>
      </c>
      <c r="AD24" s="190">
        <v>0</v>
      </c>
      <c r="AE24" s="190">
        <v>0</v>
      </c>
      <c r="AF24" s="190">
        <v>0</v>
      </c>
      <c r="AG24" s="190">
        <v>0</v>
      </c>
      <c r="AH24" s="190">
        <v>0</v>
      </c>
      <c r="AI24" s="190">
        <v>0</v>
      </c>
      <c r="AJ24" s="190">
        <v>0</v>
      </c>
      <c r="AK24" s="190">
        <v>0</v>
      </c>
      <c r="AL24" s="190">
        <v>0</v>
      </c>
      <c r="AM24" s="190">
        <v>0</v>
      </c>
      <c r="AN24" s="190">
        <v>0</v>
      </c>
      <c r="AO24" s="190">
        <v>0</v>
      </c>
      <c r="AP24" s="190">
        <v>0</v>
      </c>
      <c r="AQ24" s="190">
        <v>0</v>
      </c>
      <c r="AR24" s="190">
        <v>0</v>
      </c>
      <c r="AS24" s="190">
        <v>0</v>
      </c>
      <c r="AT24" s="190">
        <v>0</v>
      </c>
      <c r="AU24" s="190">
        <v>0</v>
      </c>
      <c r="AV24" s="190">
        <v>0</v>
      </c>
      <c r="AW24" s="190">
        <v>0</v>
      </c>
      <c r="AX24" s="190">
        <v>0</v>
      </c>
      <c r="AY24" s="190">
        <v>0</v>
      </c>
      <c r="AZ24" s="190">
        <v>0</v>
      </c>
      <c r="BA24" s="190">
        <v>0</v>
      </c>
      <c r="BB24" s="190">
        <v>0</v>
      </c>
      <c r="BC24" s="190">
        <v>0</v>
      </c>
      <c r="BD24" s="190">
        <v>0</v>
      </c>
      <c r="BE24" s="190">
        <v>0</v>
      </c>
      <c r="BF24" s="190">
        <v>0</v>
      </c>
      <c r="BG24" s="190">
        <v>0</v>
      </c>
      <c r="BH24" s="190">
        <v>0</v>
      </c>
      <c r="BI24" s="190">
        <v>0</v>
      </c>
      <c r="BJ24" s="190">
        <v>0</v>
      </c>
      <c r="BK24" s="190">
        <v>0</v>
      </c>
      <c r="BL24" s="190">
        <v>0</v>
      </c>
      <c r="BM24" s="190">
        <v>0</v>
      </c>
      <c r="BN24" s="190">
        <v>0</v>
      </c>
      <c r="BO24" s="190">
        <v>0</v>
      </c>
      <c r="BP24" s="190">
        <v>0</v>
      </c>
      <c r="BQ24" s="190">
        <v>0</v>
      </c>
      <c r="BR24" s="190">
        <v>0</v>
      </c>
      <c r="BS24" s="190">
        <v>0</v>
      </c>
      <c r="BT24" s="190">
        <v>0</v>
      </c>
    </row>
    <row r="25" spans="1:72" x14ac:dyDescent="0.25">
      <c r="A25" s="190" t="s">
        <v>129</v>
      </c>
      <c r="B25" s="190">
        <v>0</v>
      </c>
      <c r="C25" s="190">
        <v>0</v>
      </c>
      <c r="D25" s="190">
        <v>0</v>
      </c>
      <c r="E25" s="190">
        <v>0</v>
      </c>
      <c r="F25" s="190">
        <v>0</v>
      </c>
      <c r="G25" s="190">
        <v>0</v>
      </c>
      <c r="H25" s="190">
        <v>0</v>
      </c>
      <c r="I25" s="190">
        <v>0</v>
      </c>
      <c r="J25" s="190">
        <v>0</v>
      </c>
      <c r="K25" s="190">
        <v>0</v>
      </c>
      <c r="L25" s="190">
        <v>0</v>
      </c>
      <c r="M25" s="190">
        <v>0</v>
      </c>
      <c r="N25" s="190">
        <v>0</v>
      </c>
      <c r="O25" s="190">
        <v>0</v>
      </c>
      <c r="P25" s="190">
        <v>0</v>
      </c>
      <c r="Q25" s="190">
        <v>0</v>
      </c>
      <c r="R25" s="190">
        <v>0</v>
      </c>
      <c r="S25" s="190">
        <v>0</v>
      </c>
      <c r="T25" s="190">
        <v>0</v>
      </c>
      <c r="U25" s="190">
        <v>0</v>
      </c>
      <c r="V25" s="190">
        <v>0</v>
      </c>
      <c r="W25" s="190">
        <v>0</v>
      </c>
      <c r="X25" s="190">
        <v>0</v>
      </c>
      <c r="Y25" s="190">
        <v>0</v>
      </c>
      <c r="Z25" s="190">
        <v>0</v>
      </c>
      <c r="AA25" s="190">
        <v>0</v>
      </c>
      <c r="AB25" s="190">
        <v>0</v>
      </c>
      <c r="AC25" s="190">
        <v>0</v>
      </c>
      <c r="AD25" s="190">
        <v>0</v>
      </c>
      <c r="AE25" s="190">
        <v>0</v>
      </c>
      <c r="AF25" s="190">
        <v>0</v>
      </c>
      <c r="AG25" s="190">
        <v>0</v>
      </c>
      <c r="AH25" s="190">
        <v>0</v>
      </c>
      <c r="AI25" s="190">
        <v>0</v>
      </c>
      <c r="AJ25" s="190">
        <v>0</v>
      </c>
      <c r="AK25" s="190">
        <v>0</v>
      </c>
      <c r="AL25" s="190">
        <v>0</v>
      </c>
      <c r="AM25" s="190">
        <v>0</v>
      </c>
      <c r="AN25" s="190">
        <v>0</v>
      </c>
      <c r="AO25" s="190">
        <v>0</v>
      </c>
      <c r="AP25" s="190">
        <v>0</v>
      </c>
      <c r="AQ25" s="190">
        <v>0</v>
      </c>
      <c r="AR25" s="190">
        <v>0</v>
      </c>
      <c r="AS25" s="190">
        <v>0</v>
      </c>
      <c r="AT25" s="190">
        <v>0</v>
      </c>
      <c r="AU25" s="190">
        <v>0</v>
      </c>
      <c r="AV25" s="190">
        <v>0</v>
      </c>
      <c r="AW25" s="190">
        <v>0</v>
      </c>
      <c r="AX25" s="190">
        <v>0</v>
      </c>
      <c r="AY25" s="190">
        <v>0</v>
      </c>
      <c r="AZ25" s="190">
        <v>0</v>
      </c>
      <c r="BA25" s="190">
        <v>0</v>
      </c>
      <c r="BB25" s="190">
        <v>0</v>
      </c>
      <c r="BC25" s="190">
        <v>0</v>
      </c>
      <c r="BD25" s="190">
        <v>0</v>
      </c>
      <c r="BE25" s="190">
        <v>0</v>
      </c>
      <c r="BF25" s="190">
        <v>0</v>
      </c>
      <c r="BG25" s="190">
        <v>0</v>
      </c>
      <c r="BH25" s="190">
        <v>0</v>
      </c>
      <c r="BI25" s="190">
        <v>0</v>
      </c>
      <c r="BJ25" s="190">
        <v>0</v>
      </c>
      <c r="BK25" s="190">
        <v>0</v>
      </c>
      <c r="BL25" s="190">
        <v>0</v>
      </c>
      <c r="BM25" s="190">
        <v>0</v>
      </c>
      <c r="BN25" s="190">
        <v>0</v>
      </c>
      <c r="BO25" s="190">
        <v>0</v>
      </c>
      <c r="BP25" s="190">
        <v>0</v>
      </c>
      <c r="BQ25" s="190">
        <v>0</v>
      </c>
      <c r="BR25" s="190">
        <v>0</v>
      </c>
      <c r="BS25" s="190">
        <v>0</v>
      </c>
      <c r="BT25" s="190">
        <v>0</v>
      </c>
    </row>
    <row r="26" spans="1:72" x14ac:dyDescent="0.25">
      <c r="A26" s="190" t="s">
        <v>130</v>
      </c>
      <c r="B26" s="190">
        <v>140055000000</v>
      </c>
      <c r="C26" s="190">
        <v>134921000000</v>
      </c>
      <c r="D26" s="190">
        <v>133967000000</v>
      </c>
      <c r="E26" s="190">
        <v>131087000000</v>
      </c>
      <c r="F26" s="190">
        <v>125971000000</v>
      </c>
      <c r="G26" s="190">
        <v>122296000000</v>
      </c>
      <c r="H26" s="190">
        <v>120161000000</v>
      </c>
      <c r="I26" s="190">
        <v>116812000000</v>
      </c>
      <c r="J26" s="190">
        <v>90168000000</v>
      </c>
      <c r="K26" s="190">
        <v>88711000000</v>
      </c>
      <c r="L26" s="190">
        <v>85256000000</v>
      </c>
      <c r="M26" s="190">
        <v>82970000000</v>
      </c>
      <c r="N26" s="190">
        <v>85670000000</v>
      </c>
      <c r="O26" s="190">
        <v>84844000000</v>
      </c>
      <c r="P26" s="190">
        <v>82656000000</v>
      </c>
      <c r="Q26" s="190">
        <v>80593000000</v>
      </c>
      <c r="R26" s="190">
        <v>77270000000</v>
      </c>
      <c r="S26" s="190">
        <v>79477000000</v>
      </c>
      <c r="T26" s="190">
        <v>79408000000</v>
      </c>
      <c r="U26" s="190">
        <v>77078000000</v>
      </c>
      <c r="V26" s="190">
        <v>58560000000</v>
      </c>
      <c r="W26" s="190">
        <v>56138000000</v>
      </c>
      <c r="X26" s="190">
        <v>54512000000</v>
      </c>
      <c r="Y26" s="190">
        <v>52061000000</v>
      </c>
      <c r="Z26" s="190">
        <v>47731000000</v>
      </c>
      <c r="AA26" s="190">
        <v>47498000000</v>
      </c>
      <c r="AB26" s="190">
        <v>48482000000</v>
      </c>
      <c r="AC26" s="190">
        <v>47458000000</v>
      </c>
      <c r="AD26" s="190">
        <v>46822000000</v>
      </c>
      <c r="AE26" s="190">
        <v>45706000000</v>
      </c>
      <c r="AF26" s="190">
        <v>46799000000</v>
      </c>
      <c r="AG26" s="190">
        <v>45037000000</v>
      </c>
      <c r="AH26" s="190">
        <v>40305000000</v>
      </c>
      <c r="AI26" s="190">
        <v>39107000000</v>
      </c>
      <c r="AJ26" s="190">
        <v>37745000000</v>
      </c>
      <c r="AK26" s="190">
        <v>33503000000</v>
      </c>
      <c r="AL26" s="190">
        <v>31775000000</v>
      </c>
      <c r="AM26" s="190">
        <v>30582000000</v>
      </c>
      <c r="AN26" s="190">
        <v>29770000000</v>
      </c>
      <c r="AO26" s="190">
        <v>28705000000</v>
      </c>
      <c r="AP26" s="190">
        <v>31369000000</v>
      </c>
      <c r="AQ26" s="190">
        <v>31189000000</v>
      </c>
      <c r="AR26" s="190">
        <v>33317000000</v>
      </c>
      <c r="AS26" s="190">
        <v>31335000000</v>
      </c>
      <c r="AT26" s="190">
        <v>24663000000</v>
      </c>
      <c r="AU26" s="190">
        <v>24408000000</v>
      </c>
      <c r="AV26" s="190">
        <v>24520000000</v>
      </c>
      <c r="AW26" s="190">
        <v>27483000000</v>
      </c>
      <c r="AX26" s="190">
        <v>27298000000</v>
      </c>
      <c r="AY26" s="190">
        <v>27392000000</v>
      </c>
      <c r="AZ26" s="190">
        <v>14553000000</v>
      </c>
      <c r="BA26" s="190">
        <v>14146000000</v>
      </c>
      <c r="BB26" s="190">
        <v>11917000000</v>
      </c>
      <c r="BC26" s="190">
        <v>10549000000</v>
      </c>
      <c r="BD26" s="190">
        <v>10814000000</v>
      </c>
      <c r="BE26" s="190">
        <v>13409000000</v>
      </c>
      <c r="BF26" s="190">
        <v>12534000000</v>
      </c>
      <c r="BG26" s="190">
        <v>12106000000</v>
      </c>
      <c r="BH26" s="190">
        <v>11429000000</v>
      </c>
      <c r="BI26" s="190">
        <v>11150000000</v>
      </c>
      <c r="BJ26" s="190">
        <v>11383000000</v>
      </c>
      <c r="BK26" s="190">
        <v>10836000000</v>
      </c>
      <c r="BL26" s="190">
        <v>10934000000</v>
      </c>
      <c r="BM26" s="190">
        <v>11025000000</v>
      </c>
      <c r="BN26" s="190">
        <v>10567000000</v>
      </c>
      <c r="BO26" s="190">
        <v>10128000000</v>
      </c>
      <c r="BP26" s="190">
        <v>9614000000</v>
      </c>
      <c r="BQ26" s="190">
        <v>8910000000</v>
      </c>
      <c r="BR26" s="190">
        <v>7214000000</v>
      </c>
      <c r="BS26" s="190">
        <v>5235000000</v>
      </c>
      <c r="BT26" s="190">
        <v>0</v>
      </c>
    </row>
    <row r="27" spans="1:72" x14ac:dyDescent="0.25">
      <c r="A27" s="190" t="s">
        <v>131</v>
      </c>
      <c r="B27" s="190">
        <v>0</v>
      </c>
      <c r="C27" s="190">
        <v>0</v>
      </c>
      <c r="D27" s="190">
        <v>0</v>
      </c>
      <c r="E27" s="190">
        <v>0</v>
      </c>
      <c r="F27" s="190">
        <v>0</v>
      </c>
      <c r="G27" s="190">
        <v>0</v>
      </c>
      <c r="H27" s="190">
        <v>0</v>
      </c>
      <c r="I27" s="190">
        <v>0</v>
      </c>
      <c r="J27" s="190">
        <v>0</v>
      </c>
      <c r="K27" s="190">
        <v>0</v>
      </c>
      <c r="L27" s="190">
        <v>0</v>
      </c>
      <c r="M27" s="190">
        <v>0</v>
      </c>
      <c r="N27" s="190">
        <v>0</v>
      </c>
      <c r="O27" s="190">
        <v>0</v>
      </c>
      <c r="P27" s="190">
        <v>0</v>
      </c>
      <c r="Q27" s="190">
        <v>0</v>
      </c>
      <c r="R27" s="190">
        <v>0</v>
      </c>
      <c r="S27" s="190">
        <v>0</v>
      </c>
      <c r="T27" s="190">
        <v>0</v>
      </c>
      <c r="U27" s="190">
        <v>0</v>
      </c>
      <c r="V27" s="190">
        <v>0</v>
      </c>
      <c r="W27" s="190">
        <v>0</v>
      </c>
      <c r="X27" s="190">
        <v>0</v>
      </c>
      <c r="Y27" s="190">
        <v>0</v>
      </c>
      <c r="Z27" s="190">
        <v>0</v>
      </c>
      <c r="AA27" s="190">
        <v>0</v>
      </c>
      <c r="AB27" s="190">
        <v>0</v>
      </c>
      <c r="AC27" s="190">
        <v>0</v>
      </c>
      <c r="AD27" s="190">
        <v>0</v>
      </c>
      <c r="AE27" s="190">
        <v>0</v>
      </c>
      <c r="AF27" s="190">
        <v>0</v>
      </c>
      <c r="AG27" s="190">
        <v>0</v>
      </c>
      <c r="AH27" s="190">
        <v>0</v>
      </c>
      <c r="AI27" s="190">
        <v>0</v>
      </c>
      <c r="AJ27" s="190">
        <v>0</v>
      </c>
      <c r="AK27" s="190">
        <v>0</v>
      </c>
      <c r="AL27" s="190">
        <v>0</v>
      </c>
      <c r="AM27" s="190">
        <v>0</v>
      </c>
      <c r="AN27" s="190">
        <v>0</v>
      </c>
      <c r="AO27" s="190">
        <v>0</v>
      </c>
      <c r="AP27" s="190">
        <v>0</v>
      </c>
      <c r="AQ27" s="190">
        <v>0</v>
      </c>
      <c r="AR27" s="190">
        <v>0</v>
      </c>
      <c r="AS27" s="190">
        <v>0</v>
      </c>
      <c r="AT27" s="190">
        <v>0</v>
      </c>
      <c r="AU27" s="190">
        <v>0</v>
      </c>
      <c r="AV27" s="190">
        <v>0</v>
      </c>
      <c r="AW27" s="190">
        <v>0</v>
      </c>
      <c r="AX27" s="190">
        <v>0</v>
      </c>
      <c r="AY27" s="190">
        <v>0</v>
      </c>
      <c r="AZ27" s="190">
        <v>0</v>
      </c>
      <c r="BA27" s="190">
        <v>0</v>
      </c>
      <c r="BB27" s="190">
        <v>0</v>
      </c>
      <c r="BC27" s="190">
        <v>0</v>
      </c>
      <c r="BD27" s="190">
        <v>0</v>
      </c>
      <c r="BE27" s="190">
        <v>0</v>
      </c>
      <c r="BF27" s="190">
        <v>0</v>
      </c>
      <c r="BG27" s="190">
        <v>0</v>
      </c>
      <c r="BH27" s="190">
        <v>0</v>
      </c>
      <c r="BI27" s="190">
        <v>0</v>
      </c>
      <c r="BJ27" s="190">
        <v>0</v>
      </c>
      <c r="BK27" s="190">
        <v>0</v>
      </c>
      <c r="BL27" s="190">
        <v>0</v>
      </c>
      <c r="BM27" s="190">
        <v>0</v>
      </c>
      <c r="BN27" s="190">
        <v>0</v>
      </c>
      <c r="BO27" s="190">
        <v>0</v>
      </c>
      <c r="BP27" s="190">
        <v>0</v>
      </c>
      <c r="BQ27" s="190">
        <v>0</v>
      </c>
      <c r="BR27" s="190">
        <v>0</v>
      </c>
      <c r="BS27" s="190">
        <v>0</v>
      </c>
      <c r="BT27" s="190">
        <v>0</v>
      </c>
    </row>
    <row r="28" spans="1:72" x14ac:dyDescent="0.25">
      <c r="A28" s="190" t="s">
        <v>132</v>
      </c>
      <c r="B28" s="190">
        <v>607926000000</v>
      </c>
      <c r="C28" s="190">
        <v>620044000000</v>
      </c>
      <c r="D28" s="190">
        <v>634081000000</v>
      </c>
      <c r="E28" s="190">
        <v>650774000000</v>
      </c>
      <c r="F28" s="190">
        <v>639889000000</v>
      </c>
      <c r="G28" s="190">
        <v>652294000000</v>
      </c>
      <c r="H28" s="190">
        <v>671709000000</v>
      </c>
      <c r="I28" s="190">
        <v>690594000000</v>
      </c>
      <c r="J28" s="190">
        <v>714847000000</v>
      </c>
      <c r="K28" s="190">
        <v>723465000000</v>
      </c>
      <c r="L28" s="190">
        <v>717052000000</v>
      </c>
      <c r="M28" s="190">
        <v>732577000000</v>
      </c>
      <c r="N28" s="190">
        <v>690675000000</v>
      </c>
      <c r="O28" s="190">
        <v>695624000000</v>
      </c>
      <c r="P28" s="190">
        <v>699356000000</v>
      </c>
      <c r="Q28" s="190">
        <v>703485000000</v>
      </c>
      <c r="R28" s="190">
        <v>439940000000</v>
      </c>
      <c r="S28" s="190">
        <v>653235000000</v>
      </c>
      <c r="T28" s="190">
        <v>658371000000</v>
      </c>
      <c r="U28" s="190">
        <v>669595000000</v>
      </c>
      <c r="V28" s="190">
        <v>617741000000</v>
      </c>
      <c r="W28" s="190">
        <v>597745000000</v>
      </c>
      <c r="X28" s="190">
        <v>582922000000</v>
      </c>
      <c r="Y28" s="190">
        <v>588969000000</v>
      </c>
      <c r="Z28" s="190">
        <v>544918000000</v>
      </c>
      <c r="AA28" s="190">
        <v>547671000000</v>
      </c>
      <c r="AB28" s="190">
        <v>550128000000</v>
      </c>
      <c r="AC28" s="190">
        <v>565936000000</v>
      </c>
      <c r="AD28" s="190">
        <v>528865000000</v>
      </c>
      <c r="AE28" s="190">
        <v>531953000000</v>
      </c>
      <c r="AF28" s="190">
        <v>531134000000</v>
      </c>
      <c r="AG28" s="190">
        <v>540700000000</v>
      </c>
      <c r="AH28" s="190">
        <v>505081000000</v>
      </c>
      <c r="AI28" s="190">
        <v>478177000000</v>
      </c>
      <c r="AJ28" s="190">
        <v>469251000000</v>
      </c>
      <c r="AK28" s="190">
        <v>465182000000</v>
      </c>
      <c r="AL28" s="190">
        <v>411026000000</v>
      </c>
      <c r="AM28" s="190">
        <v>405975000000</v>
      </c>
      <c r="AN28" s="190">
        <v>397189000000</v>
      </c>
      <c r="AO28" s="190">
        <v>403265000000</v>
      </c>
      <c r="AP28" s="190">
        <v>361911000000</v>
      </c>
      <c r="AQ28" s="190">
        <v>365785000000</v>
      </c>
      <c r="AR28" s="190">
        <v>353713000000</v>
      </c>
      <c r="AS28" s="190">
        <v>361148000000</v>
      </c>
      <c r="AT28" s="190">
        <v>338499000000</v>
      </c>
      <c r="AU28" s="190">
        <v>336750000000</v>
      </c>
      <c r="AV28" s="190">
        <v>338368000000</v>
      </c>
      <c r="AW28" s="190">
        <v>353513000000</v>
      </c>
      <c r="AX28" s="190">
        <v>313131000000</v>
      </c>
      <c r="AY28" s="190">
        <v>301379000000</v>
      </c>
      <c r="AZ28" s="190">
        <v>296536000000</v>
      </c>
      <c r="BA28" s="190">
        <v>300620000000</v>
      </c>
      <c r="BB28" s="190">
        <v>282303000000</v>
      </c>
      <c r="BC28" s="190">
        <v>283883000000</v>
      </c>
      <c r="BD28" s="190">
        <v>275747000000</v>
      </c>
      <c r="BE28" s="190">
        <v>270136000000</v>
      </c>
      <c r="BF28" s="190">
        <v>237103000000</v>
      </c>
      <c r="BG28" s="190">
        <v>239386000000</v>
      </c>
      <c r="BH28" s="190">
        <v>241039000000</v>
      </c>
      <c r="BI28" s="190">
        <v>245993000000</v>
      </c>
      <c r="BJ28" s="190">
        <v>224219000000</v>
      </c>
      <c r="BK28" s="190">
        <v>228650000000</v>
      </c>
      <c r="BL28" s="190">
        <v>226274000000</v>
      </c>
      <c r="BM28" s="190">
        <v>231398000000</v>
      </c>
      <c r="BN28" s="190">
        <v>212334000000</v>
      </c>
      <c r="BO28" s="190">
        <v>214798000000</v>
      </c>
      <c r="BP28" s="190">
        <v>210000000000</v>
      </c>
      <c r="BQ28" s="190">
        <v>213102000000</v>
      </c>
      <c r="BR28" s="190">
        <v>182852000000</v>
      </c>
      <c r="BS28" s="190">
        <v>185236000000</v>
      </c>
      <c r="BT28" s="190">
        <v>0</v>
      </c>
    </row>
    <row r="29" spans="1:72" x14ac:dyDescent="0.25">
      <c r="A29" s="190" t="s">
        <v>133</v>
      </c>
      <c r="B29" s="190">
        <v>123180000000</v>
      </c>
      <c r="C29" s="190">
        <v>118957000000</v>
      </c>
      <c r="D29" s="190">
        <v>115816000000</v>
      </c>
      <c r="E29" s="190">
        <v>118645000000</v>
      </c>
      <c r="F29" s="190">
        <v>113293000000</v>
      </c>
      <c r="G29" s="190">
        <v>119548000000</v>
      </c>
      <c r="H29" s="190">
        <v>123242000000</v>
      </c>
      <c r="I29" s="190">
        <v>129581000000</v>
      </c>
      <c r="J29" s="190">
        <v>123022000000</v>
      </c>
      <c r="K29" s="190">
        <v>126790000000</v>
      </c>
      <c r="L29" s="190">
        <v>145745000000</v>
      </c>
      <c r="M29" s="190">
        <v>152276000000</v>
      </c>
      <c r="N29" s="190">
        <v>160372000000</v>
      </c>
      <c r="O29" s="190">
        <v>165173000000</v>
      </c>
      <c r="P29" s="190">
        <v>166652000000</v>
      </c>
      <c r="Q29" s="190">
        <v>177667000000</v>
      </c>
      <c r="R29" s="190">
        <v>172493000000</v>
      </c>
      <c r="S29" s="190">
        <v>160824000000</v>
      </c>
      <c r="T29" s="190">
        <v>159278000000</v>
      </c>
      <c r="U29" s="190">
        <v>160630000000</v>
      </c>
      <c r="V29" s="190">
        <v>158487000000</v>
      </c>
      <c r="W29" s="190">
        <v>166956000000</v>
      </c>
      <c r="X29" s="190">
        <v>172558000000</v>
      </c>
      <c r="Y29" s="190">
        <v>168977000000</v>
      </c>
      <c r="Z29" s="190">
        <v>155533000000</v>
      </c>
      <c r="AA29" s="190">
        <v>139955000000</v>
      </c>
      <c r="AB29" s="190">
        <v>124147000000</v>
      </c>
      <c r="AC29" s="190">
        <v>111311000000</v>
      </c>
      <c r="AD29" s="190">
        <v>110111000000</v>
      </c>
      <c r="AE29" s="190">
        <v>101299000000</v>
      </c>
      <c r="AF29" s="190">
        <v>97382000000</v>
      </c>
      <c r="AG29" s="190">
        <v>89599000000</v>
      </c>
      <c r="AH29" s="190">
        <v>89616000000</v>
      </c>
      <c r="AI29" s="190">
        <v>95326000000</v>
      </c>
      <c r="AJ29" s="190">
        <v>101052000000</v>
      </c>
      <c r="AK29" s="190">
        <v>119786000000</v>
      </c>
      <c r="AL29" s="190">
        <v>145853000000</v>
      </c>
      <c r="AM29" s="190">
        <v>142148000000</v>
      </c>
      <c r="AN29" s="190">
        <v>131962000000</v>
      </c>
      <c r="AO29" s="190">
        <v>121886000000</v>
      </c>
      <c r="AP29" s="190">
        <v>118816000000</v>
      </c>
      <c r="AQ29" s="190">
        <v>105503000000</v>
      </c>
      <c r="AR29" s="190">
        <v>106005000000</v>
      </c>
      <c r="AS29" s="190">
        <v>95408000000</v>
      </c>
      <c r="AT29" s="190">
        <v>84241000000</v>
      </c>
      <c r="AU29" s="190">
        <v>71755000000</v>
      </c>
      <c r="AV29" s="190">
        <v>62689000000</v>
      </c>
      <c r="AW29" s="190">
        <v>52757000000</v>
      </c>
      <c r="AX29" s="190">
        <v>56144000000</v>
      </c>
      <c r="AY29" s="190">
        <v>62628000000</v>
      </c>
      <c r="AZ29" s="190">
        <v>58760000000</v>
      </c>
      <c r="BA29" s="190">
        <v>48073000000</v>
      </c>
      <c r="BB29" s="190">
        <v>54725000000</v>
      </c>
      <c r="BC29" s="190">
        <v>47629000000</v>
      </c>
      <c r="BD29" s="190">
        <v>50841000000</v>
      </c>
      <c r="BE29" s="190">
        <v>45976000000</v>
      </c>
      <c r="BF29" s="190">
        <v>53673000000</v>
      </c>
      <c r="BG29" s="190">
        <v>44498000000</v>
      </c>
      <c r="BH29" s="190">
        <v>37304000000</v>
      </c>
      <c r="BI29" s="190">
        <v>28513000000</v>
      </c>
      <c r="BJ29" s="190">
        <v>34685000000</v>
      </c>
      <c r="BK29" s="190">
        <v>29891000000</v>
      </c>
      <c r="BL29" s="190">
        <v>28535000000</v>
      </c>
      <c r="BM29" s="190">
        <v>21122000000</v>
      </c>
      <c r="BN29" s="190">
        <v>35367000000</v>
      </c>
      <c r="BO29" s="190">
        <v>31022000000</v>
      </c>
      <c r="BP29" s="190">
        <v>33363000000</v>
      </c>
      <c r="BQ29" s="190">
        <v>26006000000</v>
      </c>
      <c r="BR29" s="190">
        <v>25654000000</v>
      </c>
      <c r="BS29" s="190">
        <v>16150000000</v>
      </c>
      <c r="BT29" s="190">
        <v>0</v>
      </c>
    </row>
    <row r="30" spans="1:72" x14ac:dyDescent="0.25">
      <c r="A30" s="190" t="s">
        <v>134</v>
      </c>
      <c r="B30" s="190">
        <v>0</v>
      </c>
      <c r="C30" s="190">
        <v>0</v>
      </c>
      <c r="D30" s="190">
        <v>0</v>
      </c>
      <c r="E30" s="190">
        <v>0</v>
      </c>
      <c r="F30" s="190">
        <v>0</v>
      </c>
      <c r="G30" s="190">
        <v>0</v>
      </c>
      <c r="H30" s="190">
        <v>0</v>
      </c>
      <c r="I30" s="190">
        <v>0</v>
      </c>
      <c r="J30" s="190">
        <v>0</v>
      </c>
      <c r="K30" s="190">
        <v>0</v>
      </c>
      <c r="L30" s="190">
        <v>0</v>
      </c>
      <c r="M30" s="190">
        <v>0</v>
      </c>
      <c r="N30" s="190">
        <v>0</v>
      </c>
      <c r="O30" s="190">
        <v>0</v>
      </c>
      <c r="P30" s="190">
        <v>0</v>
      </c>
      <c r="Q30" s="190">
        <v>0</v>
      </c>
      <c r="R30" s="190">
        <v>0</v>
      </c>
      <c r="S30" s="190">
        <v>0</v>
      </c>
      <c r="T30" s="190">
        <v>0</v>
      </c>
      <c r="U30" s="190">
        <v>0</v>
      </c>
      <c r="V30" s="190">
        <v>0</v>
      </c>
      <c r="W30" s="190">
        <v>0</v>
      </c>
      <c r="X30" s="190">
        <v>0</v>
      </c>
      <c r="Y30" s="190">
        <v>0</v>
      </c>
      <c r="Z30" s="190">
        <v>0</v>
      </c>
      <c r="AA30" s="190">
        <v>0</v>
      </c>
      <c r="AB30" s="190">
        <v>0</v>
      </c>
      <c r="AC30" s="190">
        <v>0</v>
      </c>
      <c r="AD30" s="190">
        <v>0</v>
      </c>
      <c r="AE30" s="190">
        <v>0</v>
      </c>
      <c r="AF30" s="190">
        <v>0</v>
      </c>
      <c r="AG30" s="190">
        <v>0</v>
      </c>
      <c r="AH30" s="190">
        <v>0</v>
      </c>
      <c r="AI30" s="190">
        <v>0</v>
      </c>
      <c r="AJ30" s="190">
        <v>0</v>
      </c>
      <c r="AK30" s="190">
        <v>0</v>
      </c>
      <c r="AL30" s="190">
        <v>0</v>
      </c>
      <c r="AM30" s="190">
        <v>0</v>
      </c>
      <c r="AN30" s="190">
        <v>0</v>
      </c>
      <c r="AO30" s="190">
        <v>0</v>
      </c>
      <c r="AP30" s="190">
        <v>0</v>
      </c>
      <c r="AQ30" s="190">
        <v>0</v>
      </c>
      <c r="AR30" s="190">
        <v>0</v>
      </c>
      <c r="AS30" s="190">
        <v>0</v>
      </c>
      <c r="AT30" s="190">
        <v>0</v>
      </c>
      <c r="AU30" s="190">
        <v>0</v>
      </c>
      <c r="AV30" s="190">
        <v>0</v>
      </c>
      <c r="AW30" s="190">
        <v>413000000</v>
      </c>
      <c r="AX30" s="190">
        <v>398000000</v>
      </c>
      <c r="AY30" s="190">
        <v>419000000</v>
      </c>
      <c r="AZ30" s="190">
        <v>322000000</v>
      </c>
      <c r="BA30" s="190">
        <v>555000000</v>
      </c>
      <c r="BB30" s="190">
        <v>876000000</v>
      </c>
      <c r="BC30" s="190">
        <v>984000000</v>
      </c>
      <c r="BD30" s="190">
        <v>727000000</v>
      </c>
      <c r="BE30" s="190">
        <v>430000000</v>
      </c>
      <c r="BF30" s="190">
        <v>1575000000</v>
      </c>
      <c r="BG30" s="190">
        <v>1659000000</v>
      </c>
      <c r="BH30" s="190">
        <v>2129000000</v>
      </c>
      <c r="BI30" s="190">
        <v>1226000000</v>
      </c>
      <c r="BJ30" s="190">
        <v>1845000000</v>
      </c>
      <c r="BK30" s="190">
        <v>1360000000</v>
      </c>
      <c r="BL30" s="190">
        <v>1483000000</v>
      </c>
      <c r="BM30" s="190">
        <v>1403000000</v>
      </c>
      <c r="BN30" s="190">
        <v>1185000000</v>
      </c>
      <c r="BO30" s="190">
        <v>855000000</v>
      </c>
      <c r="BP30" s="190">
        <v>932000000</v>
      </c>
      <c r="BQ30" s="190">
        <v>774000000</v>
      </c>
      <c r="BR30" s="190">
        <v>285000000</v>
      </c>
      <c r="BS30" s="190">
        <v>468000000</v>
      </c>
      <c r="BT30" s="190">
        <v>0</v>
      </c>
    </row>
    <row r="31" spans="1:72" x14ac:dyDescent="0.25">
      <c r="A31" s="190" t="s">
        <v>135</v>
      </c>
      <c r="B31" s="190">
        <v>0</v>
      </c>
      <c r="C31" s="190">
        <v>0</v>
      </c>
      <c r="D31" s="190">
        <v>0</v>
      </c>
      <c r="E31" s="190">
        <v>0</v>
      </c>
      <c r="F31" s="190">
        <v>0</v>
      </c>
      <c r="G31" s="190">
        <v>0</v>
      </c>
      <c r="H31" s="190">
        <v>0</v>
      </c>
      <c r="I31" s="190">
        <v>0</v>
      </c>
      <c r="J31" s="190">
        <v>0</v>
      </c>
      <c r="K31" s="190">
        <v>0</v>
      </c>
      <c r="L31" s="190">
        <v>0</v>
      </c>
      <c r="M31" s="190">
        <v>0</v>
      </c>
      <c r="N31" s="190">
        <v>0</v>
      </c>
      <c r="O31" s="190">
        <v>0</v>
      </c>
      <c r="P31" s="190">
        <v>0</v>
      </c>
      <c r="Q31" s="190">
        <v>0</v>
      </c>
      <c r="R31" s="190">
        <v>0</v>
      </c>
      <c r="S31" s="190">
        <v>0</v>
      </c>
      <c r="T31" s="190">
        <v>0</v>
      </c>
      <c r="U31" s="190">
        <v>0</v>
      </c>
      <c r="V31" s="190">
        <v>0</v>
      </c>
      <c r="W31" s="190">
        <v>0</v>
      </c>
      <c r="X31" s="190">
        <v>0</v>
      </c>
      <c r="Y31" s="190">
        <v>0</v>
      </c>
      <c r="Z31" s="190">
        <v>0</v>
      </c>
      <c r="AA31" s="190">
        <v>0</v>
      </c>
      <c r="AB31" s="190">
        <v>0</v>
      </c>
      <c r="AC31" s="190">
        <v>0</v>
      </c>
      <c r="AD31" s="190">
        <v>0</v>
      </c>
      <c r="AE31" s="190">
        <v>0</v>
      </c>
      <c r="AF31" s="190">
        <v>0</v>
      </c>
      <c r="AG31" s="190">
        <v>0</v>
      </c>
      <c r="AH31" s="190">
        <v>0</v>
      </c>
      <c r="AI31" s="190">
        <v>0</v>
      </c>
      <c r="AJ31" s="190">
        <v>0</v>
      </c>
      <c r="AK31" s="190">
        <v>0</v>
      </c>
      <c r="AL31" s="190">
        <v>0</v>
      </c>
      <c r="AM31" s="190">
        <v>0</v>
      </c>
      <c r="AN31" s="190">
        <v>0</v>
      </c>
      <c r="AO31" s="190">
        <v>0</v>
      </c>
      <c r="AP31" s="190">
        <v>0</v>
      </c>
      <c r="AQ31" s="190">
        <v>0</v>
      </c>
      <c r="AR31" s="190">
        <v>0</v>
      </c>
      <c r="AS31" s="190">
        <v>0</v>
      </c>
      <c r="AT31" s="190">
        <v>0</v>
      </c>
      <c r="AU31" s="190">
        <v>0</v>
      </c>
      <c r="AV31" s="190">
        <v>0</v>
      </c>
      <c r="AW31" s="190">
        <v>0</v>
      </c>
      <c r="AX31" s="190">
        <v>0</v>
      </c>
      <c r="AY31" s="190">
        <v>0</v>
      </c>
      <c r="AZ31" s="190">
        <v>0</v>
      </c>
      <c r="BA31" s="190">
        <v>0</v>
      </c>
      <c r="BB31" s="190">
        <v>0</v>
      </c>
      <c r="BC31" s="190">
        <v>0</v>
      </c>
      <c r="BD31" s="190">
        <v>0</v>
      </c>
      <c r="BE31" s="190">
        <v>0</v>
      </c>
      <c r="BF31" s="190">
        <v>0</v>
      </c>
      <c r="BG31" s="190">
        <v>0</v>
      </c>
      <c r="BH31" s="190">
        <v>0</v>
      </c>
      <c r="BI31" s="190">
        <v>0</v>
      </c>
      <c r="BJ31" s="190">
        <v>0</v>
      </c>
      <c r="BK31" s="190">
        <v>0</v>
      </c>
      <c r="BL31" s="190">
        <v>0</v>
      </c>
      <c r="BM31" s="190">
        <v>0</v>
      </c>
      <c r="BN31" s="190">
        <v>0</v>
      </c>
      <c r="BO31" s="190">
        <v>0</v>
      </c>
      <c r="BP31" s="190">
        <v>0</v>
      </c>
      <c r="BQ31" s="190">
        <v>0</v>
      </c>
      <c r="BR31" s="190">
        <v>0</v>
      </c>
      <c r="BS31" s="190">
        <v>0</v>
      </c>
      <c r="BT31" s="190">
        <v>0</v>
      </c>
    </row>
    <row r="32" spans="1:72" x14ac:dyDescent="0.25">
      <c r="A32" s="190" t="s">
        <v>136</v>
      </c>
      <c r="B32" s="190">
        <v>0</v>
      </c>
      <c r="C32" s="190">
        <v>0</v>
      </c>
      <c r="D32" s="190">
        <v>0</v>
      </c>
      <c r="E32" s="190">
        <v>0</v>
      </c>
      <c r="F32" s="190">
        <v>0</v>
      </c>
      <c r="G32" s="190">
        <v>0</v>
      </c>
      <c r="H32" s="190">
        <v>0</v>
      </c>
      <c r="I32" s="190">
        <v>0</v>
      </c>
      <c r="J32" s="190">
        <v>0</v>
      </c>
      <c r="K32" s="190">
        <v>0</v>
      </c>
      <c r="L32" s="190">
        <v>0</v>
      </c>
      <c r="M32" s="190">
        <v>0</v>
      </c>
      <c r="N32" s="190">
        <v>0</v>
      </c>
      <c r="O32" s="190">
        <v>0</v>
      </c>
      <c r="P32" s="190">
        <v>0</v>
      </c>
      <c r="Q32" s="190">
        <v>0</v>
      </c>
      <c r="R32" s="190">
        <v>0</v>
      </c>
      <c r="S32" s="190">
        <v>0</v>
      </c>
      <c r="T32" s="190">
        <v>0</v>
      </c>
      <c r="U32" s="190">
        <v>0</v>
      </c>
      <c r="V32" s="190">
        <v>0</v>
      </c>
      <c r="W32" s="190">
        <v>0</v>
      </c>
      <c r="X32" s="190">
        <v>0</v>
      </c>
      <c r="Y32" s="190">
        <v>0</v>
      </c>
      <c r="Z32" s="190">
        <v>0</v>
      </c>
      <c r="AA32" s="190">
        <v>0</v>
      </c>
      <c r="AB32" s="190">
        <v>0</v>
      </c>
      <c r="AC32" s="190">
        <v>0</v>
      </c>
      <c r="AD32" s="190">
        <v>0</v>
      </c>
      <c r="AE32" s="190">
        <v>0</v>
      </c>
      <c r="AF32" s="190">
        <v>0</v>
      </c>
      <c r="AG32" s="190">
        <v>0</v>
      </c>
      <c r="AH32" s="190">
        <v>0</v>
      </c>
      <c r="AI32" s="190">
        <v>0</v>
      </c>
      <c r="AJ32" s="190">
        <v>0</v>
      </c>
      <c r="AK32" s="190">
        <v>0</v>
      </c>
      <c r="AL32" s="190">
        <v>0</v>
      </c>
      <c r="AM32" s="190">
        <v>0</v>
      </c>
      <c r="AN32" s="190">
        <v>0</v>
      </c>
      <c r="AO32" s="190">
        <v>0</v>
      </c>
      <c r="AP32" s="190">
        <v>0</v>
      </c>
      <c r="AQ32" s="190">
        <v>0</v>
      </c>
      <c r="AR32" s="190">
        <v>0</v>
      </c>
      <c r="AS32" s="190">
        <v>0</v>
      </c>
      <c r="AT32" s="190">
        <v>0</v>
      </c>
      <c r="AU32" s="190">
        <v>0</v>
      </c>
      <c r="AV32" s="190">
        <v>0</v>
      </c>
      <c r="AW32" s="190">
        <v>0</v>
      </c>
      <c r="AX32" s="190">
        <v>0</v>
      </c>
      <c r="AY32" s="190">
        <v>0</v>
      </c>
      <c r="AZ32" s="190">
        <v>0</v>
      </c>
      <c r="BA32" s="190">
        <v>0</v>
      </c>
      <c r="BB32" s="190">
        <v>0</v>
      </c>
      <c r="BC32" s="190">
        <v>0</v>
      </c>
      <c r="BD32" s="190">
        <v>0</v>
      </c>
      <c r="BE32" s="190">
        <v>0</v>
      </c>
      <c r="BF32" s="190">
        <v>0</v>
      </c>
      <c r="BG32" s="190">
        <v>0</v>
      </c>
      <c r="BH32" s="190">
        <v>0</v>
      </c>
      <c r="BI32" s="190">
        <v>0</v>
      </c>
      <c r="BJ32" s="190">
        <v>0</v>
      </c>
      <c r="BK32" s="190">
        <v>0</v>
      </c>
      <c r="BL32" s="190">
        <v>0</v>
      </c>
      <c r="BM32" s="190">
        <v>0</v>
      </c>
      <c r="BN32" s="190">
        <v>0</v>
      </c>
      <c r="BO32" s="190">
        <v>0</v>
      </c>
      <c r="BP32" s="190">
        <v>0</v>
      </c>
      <c r="BQ32" s="190">
        <v>0</v>
      </c>
      <c r="BR32" s="190">
        <v>0</v>
      </c>
      <c r="BS32" s="190">
        <v>0</v>
      </c>
      <c r="BT32" s="190">
        <v>0</v>
      </c>
    </row>
    <row r="33" spans="1:72" x14ac:dyDescent="0.25">
      <c r="A33" s="190" t="s">
        <v>137</v>
      </c>
      <c r="B33" s="190">
        <v>0</v>
      </c>
      <c r="C33" s="190">
        <v>0</v>
      </c>
      <c r="D33" s="190">
        <v>0</v>
      </c>
      <c r="E33" s="190">
        <v>0</v>
      </c>
      <c r="F33" s="190">
        <v>0</v>
      </c>
      <c r="G33" s="190">
        <v>0</v>
      </c>
      <c r="H33" s="190">
        <v>0</v>
      </c>
      <c r="I33" s="190">
        <v>0</v>
      </c>
      <c r="J33" s="190">
        <v>0</v>
      </c>
      <c r="K33" s="190">
        <v>0</v>
      </c>
      <c r="L33" s="190">
        <v>0</v>
      </c>
      <c r="M33" s="190">
        <v>0</v>
      </c>
      <c r="N33" s="190">
        <v>0</v>
      </c>
      <c r="O33" s="190">
        <v>0</v>
      </c>
      <c r="P33" s="190">
        <v>0</v>
      </c>
      <c r="Q33" s="190">
        <v>0</v>
      </c>
      <c r="R33" s="190">
        <v>0</v>
      </c>
      <c r="S33" s="190">
        <v>0</v>
      </c>
      <c r="T33" s="190">
        <v>0</v>
      </c>
      <c r="U33" s="190">
        <v>0</v>
      </c>
      <c r="V33" s="190">
        <v>0</v>
      </c>
      <c r="W33" s="190">
        <v>0</v>
      </c>
      <c r="X33" s="190">
        <v>0</v>
      </c>
      <c r="Y33" s="190">
        <v>0</v>
      </c>
      <c r="Z33" s="190">
        <v>0</v>
      </c>
      <c r="AA33" s="190">
        <v>0</v>
      </c>
      <c r="AB33" s="190">
        <v>0</v>
      </c>
      <c r="AC33" s="190">
        <v>0</v>
      </c>
      <c r="AD33" s="190">
        <v>0</v>
      </c>
      <c r="AE33" s="190">
        <v>0</v>
      </c>
      <c r="AF33" s="190">
        <v>0</v>
      </c>
      <c r="AG33" s="190">
        <v>0</v>
      </c>
      <c r="AH33" s="190">
        <v>0</v>
      </c>
      <c r="AI33" s="190">
        <v>0</v>
      </c>
      <c r="AJ33" s="190">
        <v>0</v>
      </c>
      <c r="AK33" s="190">
        <v>0</v>
      </c>
      <c r="AL33" s="190">
        <v>0</v>
      </c>
      <c r="AM33" s="190">
        <v>0</v>
      </c>
      <c r="AN33" s="190">
        <v>0</v>
      </c>
      <c r="AO33" s="190">
        <v>0</v>
      </c>
      <c r="AP33" s="190">
        <v>0</v>
      </c>
      <c r="AQ33" s="190">
        <v>0</v>
      </c>
      <c r="AR33" s="190">
        <v>0</v>
      </c>
      <c r="AS33" s="190">
        <v>0</v>
      </c>
      <c r="AT33" s="190">
        <v>0</v>
      </c>
      <c r="AU33" s="190">
        <v>0</v>
      </c>
      <c r="AV33" s="190">
        <v>0</v>
      </c>
      <c r="AW33" s="190">
        <v>0</v>
      </c>
      <c r="AX33" s="190">
        <v>0</v>
      </c>
      <c r="AY33" s="190">
        <v>0</v>
      </c>
      <c r="AZ33" s="190">
        <v>0</v>
      </c>
      <c r="BA33" s="190">
        <v>0</v>
      </c>
      <c r="BB33" s="190">
        <v>0</v>
      </c>
      <c r="BC33" s="190">
        <v>0</v>
      </c>
      <c r="BD33" s="190">
        <v>0</v>
      </c>
      <c r="BE33" s="190">
        <v>0</v>
      </c>
      <c r="BF33" s="190">
        <v>0</v>
      </c>
      <c r="BG33" s="190">
        <v>0</v>
      </c>
      <c r="BH33" s="190">
        <v>0</v>
      </c>
      <c r="BI33" s="190">
        <v>0</v>
      </c>
      <c r="BJ33" s="190">
        <v>0</v>
      </c>
      <c r="BK33" s="190">
        <v>0</v>
      </c>
      <c r="BL33" s="190">
        <v>0</v>
      </c>
      <c r="BM33" s="190">
        <v>0</v>
      </c>
      <c r="BN33" s="190">
        <v>0</v>
      </c>
      <c r="BO33" s="190">
        <v>0</v>
      </c>
      <c r="BP33" s="190">
        <v>0</v>
      </c>
      <c r="BQ33" s="190">
        <v>0</v>
      </c>
      <c r="BR33" s="190">
        <v>0</v>
      </c>
      <c r="BS33" s="190">
        <v>0</v>
      </c>
      <c r="BT33" s="190">
        <v>0</v>
      </c>
    </row>
    <row r="34" spans="1:72" x14ac:dyDescent="0.25">
      <c r="A34" s="190" t="s">
        <v>138</v>
      </c>
      <c r="B34" s="190">
        <v>0</v>
      </c>
      <c r="C34" s="190">
        <v>0</v>
      </c>
      <c r="D34" s="190">
        <v>0</v>
      </c>
      <c r="E34" s="190">
        <v>0</v>
      </c>
      <c r="F34" s="190">
        <v>0</v>
      </c>
      <c r="G34" s="190">
        <v>0</v>
      </c>
      <c r="H34" s="190">
        <v>0</v>
      </c>
      <c r="I34" s="190">
        <v>0</v>
      </c>
      <c r="J34" s="190">
        <v>0</v>
      </c>
      <c r="K34" s="190">
        <v>0</v>
      </c>
      <c r="L34" s="190">
        <v>0</v>
      </c>
      <c r="M34" s="190">
        <v>0</v>
      </c>
      <c r="N34" s="190">
        <v>0</v>
      </c>
      <c r="O34" s="190">
        <v>0</v>
      </c>
      <c r="P34" s="190">
        <v>0</v>
      </c>
      <c r="Q34" s="190">
        <v>0</v>
      </c>
      <c r="R34" s="190">
        <v>223398000000</v>
      </c>
      <c r="S34" s="190">
        <v>0</v>
      </c>
      <c r="T34" s="190">
        <v>0</v>
      </c>
      <c r="U34" s="190">
        <v>0</v>
      </c>
      <c r="V34" s="190">
        <v>0</v>
      </c>
      <c r="W34" s="190">
        <v>0</v>
      </c>
      <c r="X34" s="190">
        <v>0</v>
      </c>
      <c r="Y34" s="190">
        <v>0</v>
      </c>
      <c r="Z34" s="190">
        <v>0</v>
      </c>
      <c r="AA34" s="190">
        <v>0</v>
      </c>
      <c r="AB34" s="190">
        <v>0</v>
      </c>
      <c r="AC34" s="190">
        <v>0</v>
      </c>
      <c r="AD34" s="190">
        <v>0</v>
      </c>
      <c r="AE34" s="190">
        <v>0</v>
      </c>
      <c r="AF34" s="190">
        <v>0</v>
      </c>
      <c r="AG34" s="190">
        <v>0</v>
      </c>
      <c r="AH34" s="190">
        <v>0</v>
      </c>
      <c r="AI34" s="190">
        <v>0</v>
      </c>
      <c r="AJ34" s="190">
        <v>0</v>
      </c>
      <c r="AK34" s="190">
        <v>0</v>
      </c>
      <c r="AL34" s="190">
        <v>0</v>
      </c>
      <c r="AM34" s="190">
        <v>0</v>
      </c>
      <c r="AN34" s="190">
        <v>0</v>
      </c>
      <c r="AO34" s="190">
        <v>0</v>
      </c>
      <c r="AP34" s="190">
        <v>0</v>
      </c>
      <c r="AQ34" s="190">
        <v>0</v>
      </c>
      <c r="AR34" s="190">
        <v>0</v>
      </c>
      <c r="AS34" s="190">
        <v>0</v>
      </c>
      <c r="AT34" s="190">
        <v>0</v>
      </c>
      <c r="AU34" s="190">
        <v>0</v>
      </c>
      <c r="AV34" s="190">
        <v>0</v>
      </c>
      <c r="AW34" s="190">
        <v>0</v>
      </c>
      <c r="AX34" s="190">
        <v>0</v>
      </c>
      <c r="AY34" s="190">
        <v>0</v>
      </c>
      <c r="AZ34" s="190">
        <v>0</v>
      </c>
      <c r="BA34" s="190">
        <v>0</v>
      </c>
      <c r="BB34" s="190">
        <v>0</v>
      </c>
      <c r="BC34" s="190">
        <v>0</v>
      </c>
      <c r="BD34" s="190">
        <v>0</v>
      </c>
      <c r="BE34" s="190">
        <v>0</v>
      </c>
      <c r="BF34" s="190">
        <v>0</v>
      </c>
      <c r="BG34" s="190">
        <v>0</v>
      </c>
      <c r="BH34" s="190">
        <v>0</v>
      </c>
      <c r="BI34" s="190">
        <v>0</v>
      </c>
      <c r="BJ34" s="190">
        <v>0</v>
      </c>
      <c r="BK34" s="190">
        <v>0</v>
      </c>
      <c r="BL34" s="190">
        <v>0</v>
      </c>
      <c r="BM34" s="190">
        <v>0</v>
      </c>
      <c r="BN34" s="190">
        <v>0</v>
      </c>
      <c r="BO34" s="190">
        <v>0</v>
      </c>
      <c r="BP34" s="190">
        <v>0</v>
      </c>
      <c r="BQ34" s="190">
        <v>0</v>
      </c>
      <c r="BR34" s="190">
        <v>0</v>
      </c>
      <c r="BS34" s="190">
        <v>0</v>
      </c>
      <c r="BT34" s="190">
        <v>0</v>
      </c>
    </row>
    <row r="35" spans="1:72" x14ac:dyDescent="0.25">
      <c r="A35" s="190" t="s">
        <v>139</v>
      </c>
      <c r="B35" s="190">
        <v>99411000000</v>
      </c>
      <c r="C35" s="190">
        <v>97396000000</v>
      </c>
      <c r="D35" s="190">
        <v>96446000000</v>
      </c>
      <c r="E35" s="190">
        <v>97126000000</v>
      </c>
      <c r="F35" s="190">
        <v>91132000000</v>
      </c>
      <c r="G35" s="190">
        <v>90230000000</v>
      </c>
      <c r="H35" s="190">
        <v>86246000000</v>
      </c>
      <c r="I35" s="190">
        <v>85023000000</v>
      </c>
      <c r="J35" s="190">
        <v>82007000000</v>
      </c>
      <c r="K35" s="190">
        <v>82156000000</v>
      </c>
      <c r="L35" s="190">
        <v>81151000000</v>
      </c>
      <c r="M35" s="190">
        <v>81081000000</v>
      </c>
      <c r="N35" s="190">
        <v>78402000000</v>
      </c>
      <c r="O35" s="190">
        <v>78218000000</v>
      </c>
      <c r="P35" s="190">
        <v>78331000000</v>
      </c>
      <c r="Q35" s="190">
        <v>78681000000</v>
      </c>
      <c r="R35" s="190">
        <v>68250000000</v>
      </c>
      <c r="S35" s="190">
        <v>66246000000</v>
      </c>
      <c r="T35" s="190">
        <v>60763000000</v>
      </c>
      <c r="U35" s="190">
        <v>60263000000</v>
      </c>
      <c r="V35" s="190">
        <v>55075000000</v>
      </c>
      <c r="W35" s="190">
        <v>53016000000</v>
      </c>
      <c r="X35" s="190">
        <v>51234000000</v>
      </c>
      <c r="Y35" s="190">
        <v>49834000000</v>
      </c>
      <c r="Z35" s="190">
        <v>46273000000</v>
      </c>
      <c r="AA35" s="190">
        <v>44459000000</v>
      </c>
      <c r="AB35" s="190">
        <v>38177000000</v>
      </c>
      <c r="AC35" s="190">
        <v>34842000000</v>
      </c>
      <c r="AD35" s="190">
        <v>29438000000</v>
      </c>
      <c r="AE35" s="190">
        <v>28634000000</v>
      </c>
      <c r="AF35" s="190">
        <v>27895000000</v>
      </c>
      <c r="AG35" s="190">
        <v>27440000000</v>
      </c>
      <c r="AH35" s="190">
        <v>24605000000</v>
      </c>
      <c r="AI35" s="190">
        <v>24025000000</v>
      </c>
      <c r="AJ35" s="190">
        <v>23263000000</v>
      </c>
      <c r="AK35" s="190">
        <v>22862000000</v>
      </c>
      <c r="AL35" s="190">
        <v>19317000000</v>
      </c>
      <c r="AM35" s="190">
        <v>17533000000</v>
      </c>
      <c r="AN35" s="190">
        <v>15976000000</v>
      </c>
      <c r="AO35" s="190">
        <v>15965000000</v>
      </c>
      <c r="AP35" s="190">
        <v>16985000000</v>
      </c>
      <c r="AQ35" s="190">
        <v>16730000000</v>
      </c>
      <c r="AR35" s="190">
        <v>15618000000</v>
      </c>
      <c r="AS35" s="190">
        <v>15232000000</v>
      </c>
      <c r="AT35" s="190">
        <v>12674000000</v>
      </c>
      <c r="AU35" s="190">
        <v>12182000000</v>
      </c>
      <c r="AV35" s="190">
        <v>9293000000</v>
      </c>
      <c r="AW35" s="190">
        <v>6676000000</v>
      </c>
      <c r="AX35" s="190">
        <v>6008000000</v>
      </c>
      <c r="AY35" s="190">
        <v>5835000000</v>
      </c>
      <c r="AZ35" s="190">
        <v>5752000000</v>
      </c>
      <c r="BA35" s="190">
        <v>5924000000</v>
      </c>
      <c r="BB35" s="190">
        <v>5721000000</v>
      </c>
      <c r="BC35" s="190">
        <v>6125000000</v>
      </c>
      <c r="BD35" s="190">
        <v>6075000000</v>
      </c>
      <c r="BE35" s="190">
        <v>5345000000</v>
      </c>
      <c r="BF35" s="190">
        <v>4601000000</v>
      </c>
      <c r="BG35" s="190">
        <v>4526000000</v>
      </c>
      <c r="BH35" s="190">
        <v>4504000000</v>
      </c>
      <c r="BI35" s="190">
        <v>4564000000</v>
      </c>
      <c r="BJ35" s="190">
        <v>4001000000</v>
      </c>
      <c r="BK35" s="190">
        <v>3945000000</v>
      </c>
      <c r="BL35" s="190">
        <v>4059000000</v>
      </c>
      <c r="BM35" s="190">
        <v>4062000000</v>
      </c>
      <c r="BN35" s="190">
        <v>3810000000</v>
      </c>
      <c r="BO35" s="190">
        <v>3904000000</v>
      </c>
      <c r="BP35" s="190">
        <v>4055000000</v>
      </c>
      <c r="BQ35" s="190">
        <v>3977000000</v>
      </c>
      <c r="BR35" s="190">
        <v>1007000000</v>
      </c>
      <c r="BS35" s="190">
        <v>1049000000</v>
      </c>
      <c r="BT35" s="190">
        <v>0</v>
      </c>
    </row>
    <row r="36" spans="1:72" x14ac:dyDescent="0.25">
      <c r="A36" s="190" t="s">
        <v>140</v>
      </c>
      <c r="B36" s="190">
        <v>0</v>
      </c>
      <c r="C36" s="190">
        <v>0</v>
      </c>
      <c r="D36" s="190">
        <v>0</v>
      </c>
      <c r="E36" s="190">
        <v>0</v>
      </c>
      <c r="F36" s="190">
        <v>0</v>
      </c>
      <c r="G36" s="190">
        <v>0</v>
      </c>
      <c r="H36" s="190">
        <v>0</v>
      </c>
      <c r="I36" s="190">
        <v>0</v>
      </c>
      <c r="J36" s="190">
        <v>0</v>
      </c>
      <c r="K36" s="190">
        <v>0</v>
      </c>
      <c r="L36" s="190">
        <v>0</v>
      </c>
      <c r="M36" s="190">
        <v>0</v>
      </c>
      <c r="N36" s="190">
        <v>0</v>
      </c>
      <c r="O36" s="190">
        <v>0</v>
      </c>
      <c r="P36" s="190">
        <v>0</v>
      </c>
      <c r="Q36" s="190">
        <v>0</v>
      </c>
      <c r="R36" s="190">
        <v>0</v>
      </c>
      <c r="S36" s="190">
        <v>0</v>
      </c>
      <c r="T36" s="190">
        <v>0</v>
      </c>
      <c r="U36" s="190">
        <v>0</v>
      </c>
      <c r="V36" s="190">
        <v>0</v>
      </c>
      <c r="W36" s="190">
        <v>0</v>
      </c>
      <c r="X36" s="190">
        <v>0</v>
      </c>
      <c r="Y36" s="190">
        <v>0</v>
      </c>
      <c r="Z36" s="190">
        <v>0</v>
      </c>
      <c r="AA36" s="190">
        <v>0</v>
      </c>
      <c r="AB36" s="190">
        <v>0</v>
      </c>
      <c r="AC36" s="190">
        <v>0</v>
      </c>
      <c r="AD36" s="190">
        <v>0</v>
      </c>
      <c r="AE36" s="190">
        <v>0</v>
      </c>
      <c r="AF36" s="190">
        <v>0</v>
      </c>
      <c r="AG36" s="190">
        <v>0</v>
      </c>
      <c r="AH36" s="190">
        <v>0</v>
      </c>
      <c r="AI36" s="190">
        <v>0</v>
      </c>
      <c r="AJ36" s="190">
        <v>0</v>
      </c>
      <c r="AK36" s="190">
        <v>0</v>
      </c>
      <c r="AL36" s="190">
        <v>0</v>
      </c>
      <c r="AM36" s="190">
        <v>0</v>
      </c>
      <c r="AN36" s="190">
        <v>0</v>
      </c>
      <c r="AO36" s="190">
        <v>0</v>
      </c>
      <c r="AP36" s="190">
        <v>0</v>
      </c>
      <c r="AQ36" s="190">
        <v>0</v>
      </c>
      <c r="AR36" s="190">
        <v>0</v>
      </c>
      <c r="AS36" s="190">
        <v>0</v>
      </c>
      <c r="AT36" s="190">
        <v>0</v>
      </c>
      <c r="AU36" s="190">
        <v>0</v>
      </c>
      <c r="AV36" s="190">
        <v>0</v>
      </c>
      <c r="AW36" s="190">
        <v>0</v>
      </c>
      <c r="AX36" s="190">
        <v>0</v>
      </c>
      <c r="AY36" s="190">
        <v>0</v>
      </c>
      <c r="AZ36" s="190">
        <v>0</v>
      </c>
      <c r="BA36" s="190">
        <v>0</v>
      </c>
      <c r="BB36" s="190">
        <v>0</v>
      </c>
      <c r="BC36" s="190">
        <v>0</v>
      </c>
      <c r="BD36" s="190">
        <v>0</v>
      </c>
      <c r="BE36" s="190">
        <v>0</v>
      </c>
      <c r="BF36" s="190">
        <v>0</v>
      </c>
      <c r="BG36" s="190">
        <v>0</v>
      </c>
      <c r="BH36" s="190">
        <v>0</v>
      </c>
      <c r="BI36" s="190">
        <v>0</v>
      </c>
      <c r="BJ36" s="190">
        <v>0</v>
      </c>
      <c r="BK36" s="190">
        <v>0</v>
      </c>
      <c r="BL36" s="190">
        <v>0</v>
      </c>
      <c r="BM36" s="190">
        <v>0</v>
      </c>
      <c r="BN36" s="190">
        <v>0</v>
      </c>
      <c r="BO36" s="190">
        <v>0</v>
      </c>
      <c r="BP36" s="190">
        <v>0</v>
      </c>
      <c r="BQ36" s="190">
        <v>0</v>
      </c>
      <c r="BR36" s="190">
        <v>0</v>
      </c>
      <c r="BS36" s="190">
        <v>0</v>
      </c>
      <c r="BT36" s="190">
        <v>0</v>
      </c>
    </row>
    <row r="37" spans="1:72" x14ac:dyDescent="0.25">
      <c r="A37" s="190" t="s">
        <v>141</v>
      </c>
      <c r="B37" s="190">
        <v>8680000000</v>
      </c>
      <c r="C37" s="190">
        <v>8642000000</v>
      </c>
      <c r="D37" s="190">
        <v>8598000000</v>
      </c>
      <c r="E37" s="190">
        <v>8634000000</v>
      </c>
      <c r="F37" s="190">
        <v>6326000000</v>
      </c>
      <c r="G37" s="190">
        <v>6325000000</v>
      </c>
      <c r="H37" s="190">
        <v>6346000000</v>
      </c>
      <c r="I37" s="190">
        <v>6353000000</v>
      </c>
      <c r="J37" s="190">
        <v>6324000000</v>
      </c>
      <c r="K37" s="190">
        <v>6317000000</v>
      </c>
      <c r="L37" s="190">
        <v>6300000000</v>
      </c>
      <c r="M37" s="190">
        <v>6271000000</v>
      </c>
      <c r="N37" s="190">
        <v>6281000000</v>
      </c>
      <c r="O37" s="190">
        <v>6281000000</v>
      </c>
      <c r="P37" s="190">
        <v>6281000000</v>
      </c>
      <c r="Q37" s="190">
        <v>6281000000</v>
      </c>
      <c r="R37" s="190">
        <v>6255000000</v>
      </c>
      <c r="S37" s="190">
        <v>6255000000</v>
      </c>
      <c r="T37" s="190">
        <v>6255000000</v>
      </c>
      <c r="U37" s="190">
        <v>6255000000</v>
      </c>
      <c r="V37" s="190">
        <v>6254000000</v>
      </c>
      <c r="W37" s="190">
        <v>6257000000</v>
      </c>
      <c r="X37" s="190">
        <v>6257000000</v>
      </c>
      <c r="Y37" s="190">
        <v>6257000000</v>
      </c>
      <c r="Z37" s="190">
        <v>6662000000</v>
      </c>
      <c r="AA37" s="190">
        <v>6536000000</v>
      </c>
      <c r="AB37" s="190">
        <v>8302000000</v>
      </c>
      <c r="AC37" s="190">
        <v>8212000000</v>
      </c>
      <c r="AD37" s="190">
        <v>8917000000</v>
      </c>
      <c r="AE37" s="190">
        <v>8775000000</v>
      </c>
      <c r="AF37" s="190">
        <v>8417000000</v>
      </c>
      <c r="AG37" s="190">
        <v>8298000000</v>
      </c>
      <c r="AH37" s="190">
        <v>14268000000</v>
      </c>
      <c r="AI37" s="190">
        <v>14290000000</v>
      </c>
      <c r="AJ37" s="190">
        <v>14294000000</v>
      </c>
      <c r="AK37" s="190">
        <v>14163000000</v>
      </c>
      <c r="AL37" s="190">
        <v>14009000000</v>
      </c>
      <c r="AM37" s="190">
        <v>14393000000</v>
      </c>
      <c r="AN37" s="190">
        <v>14395000000</v>
      </c>
      <c r="AO37" s="190">
        <v>14328000000</v>
      </c>
      <c r="AP37" s="190">
        <v>15686000000</v>
      </c>
      <c r="AQ37" s="190">
        <v>15707000000</v>
      </c>
      <c r="AR37" s="190">
        <v>15701000000</v>
      </c>
      <c r="AS37" s="190">
        <v>15690000000</v>
      </c>
      <c r="AT37" s="190">
        <v>15407000000</v>
      </c>
      <c r="AU37" s="190">
        <v>15407000000</v>
      </c>
      <c r="AV37" s="190">
        <v>14510000000</v>
      </c>
      <c r="AW37" s="190">
        <v>0</v>
      </c>
      <c r="AX37" s="190">
        <v>0</v>
      </c>
      <c r="AY37" s="190">
        <v>0</v>
      </c>
      <c r="AZ37" s="190">
        <v>0</v>
      </c>
      <c r="BA37" s="190">
        <v>0</v>
      </c>
      <c r="BB37" s="190">
        <v>0</v>
      </c>
      <c r="BC37" s="190">
        <v>0</v>
      </c>
      <c r="BD37" s="190">
        <v>0</v>
      </c>
      <c r="BE37" s="190">
        <v>0</v>
      </c>
      <c r="BF37" s="190">
        <v>0</v>
      </c>
      <c r="BG37" s="190">
        <v>0</v>
      </c>
      <c r="BH37" s="190">
        <v>0</v>
      </c>
      <c r="BI37" s="190">
        <v>0</v>
      </c>
      <c r="BJ37" s="190">
        <v>0</v>
      </c>
      <c r="BK37" s="190">
        <v>0</v>
      </c>
      <c r="BL37" s="190">
        <v>0</v>
      </c>
      <c r="BM37" s="190">
        <v>0</v>
      </c>
      <c r="BN37" s="190">
        <v>0</v>
      </c>
      <c r="BO37" s="190">
        <v>0</v>
      </c>
      <c r="BP37" s="190">
        <v>0</v>
      </c>
      <c r="BQ37" s="190">
        <v>0</v>
      </c>
      <c r="BR37" s="190">
        <v>0</v>
      </c>
      <c r="BS37" s="190">
        <v>0</v>
      </c>
      <c r="BT37" s="190">
        <v>0</v>
      </c>
    </row>
    <row r="38" spans="1:72" x14ac:dyDescent="0.25">
      <c r="A38" s="190" t="s">
        <v>142</v>
      </c>
      <c r="B38" s="190">
        <v>14443000000</v>
      </c>
      <c r="C38" s="190">
        <v>14387000000</v>
      </c>
      <c r="D38" s="190">
        <v>14637000000</v>
      </c>
      <c r="E38" s="190">
        <v>14720000000</v>
      </c>
      <c r="F38" s="190">
        <v>13883000000</v>
      </c>
      <c r="G38" s="190">
        <v>13764000000</v>
      </c>
      <c r="H38" s="190">
        <v>13274000000</v>
      </c>
      <c r="I38" s="190">
        <v>13537000000</v>
      </c>
      <c r="J38" s="190">
        <v>13663000000</v>
      </c>
      <c r="K38" s="190">
        <v>13634000000</v>
      </c>
      <c r="L38" s="190">
        <v>13321000000</v>
      </c>
      <c r="M38" s="190">
        <v>13919000000</v>
      </c>
      <c r="N38" s="190">
        <v>13599000000</v>
      </c>
      <c r="O38" s="190">
        <v>13983000000</v>
      </c>
      <c r="P38" s="190">
        <v>14107000000</v>
      </c>
      <c r="Q38" s="190">
        <v>14158000000</v>
      </c>
      <c r="R38" s="190">
        <v>13894000000</v>
      </c>
      <c r="S38" s="190">
        <v>12987000000</v>
      </c>
      <c r="T38" s="190">
        <v>11821000000</v>
      </c>
      <c r="U38" s="190">
        <v>11961000000</v>
      </c>
      <c r="V38" s="190">
        <v>10555000000</v>
      </c>
      <c r="W38" s="190">
        <v>10322000000</v>
      </c>
      <c r="X38" s="190">
        <v>9803000000</v>
      </c>
      <c r="Y38" s="190">
        <v>10246000000</v>
      </c>
      <c r="Z38" s="190">
        <v>9720000000</v>
      </c>
      <c r="AA38" s="190">
        <v>9305000000</v>
      </c>
      <c r="AB38" s="190">
        <v>9337000000</v>
      </c>
      <c r="AC38" s="190">
        <v>9076000000</v>
      </c>
      <c r="AD38" s="190">
        <v>8381000000</v>
      </c>
      <c r="AE38" s="190">
        <v>7764000000</v>
      </c>
      <c r="AF38" s="190">
        <v>7499000000</v>
      </c>
      <c r="AG38" s="190">
        <v>7560000000</v>
      </c>
      <c r="AH38" s="190">
        <v>6920000000</v>
      </c>
      <c r="AI38" s="190">
        <v>6447000000</v>
      </c>
      <c r="AJ38" s="190">
        <v>6142000000</v>
      </c>
      <c r="AK38" s="190">
        <v>6281000000</v>
      </c>
      <c r="AL38" s="190">
        <v>6524000000</v>
      </c>
      <c r="AM38" s="190">
        <v>6175000000</v>
      </c>
      <c r="AN38" s="190">
        <v>6418000000</v>
      </c>
      <c r="AO38" s="190">
        <v>6557000000</v>
      </c>
      <c r="AP38" s="190">
        <v>6643000000</v>
      </c>
      <c r="AQ38" s="190">
        <v>6348000000</v>
      </c>
      <c r="AR38" s="190">
        <v>5774000000</v>
      </c>
      <c r="AS38" s="190">
        <v>5842000000</v>
      </c>
      <c r="AT38" s="190">
        <v>4433000000</v>
      </c>
      <c r="AU38" s="190">
        <v>4226000000</v>
      </c>
      <c r="AV38" s="190">
        <v>4662000000</v>
      </c>
      <c r="AW38" s="190">
        <v>4898000000</v>
      </c>
      <c r="AX38" s="190">
        <v>3984000000</v>
      </c>
      <c r="AY38" s="190">
        <v>4088000000</v>
      </c>
      <c r="AZ38" s="190">
        <v>4127000000</v>
      </c>
      <c r="BA38" s="190">
        <v>3657000000</v>
      </c>
      <c r="BB38" s="190">
        <v>4248000000</v>
      </c>
      <c r="BC38" s="190">
        <v>3783000000</v>
      </c>
      <c r="BD38" s="190">
        <v>3581000000</v>
      </c>
      <c r="BE38" s="190">
        <v>3563000000</v>
      </c>
      <c r="BF38" s="190">
        <v>943000000</v>
      </c>
      <c r="BG38" s="190">
        <v>573000000</v>
      </c>
      <c r="BH38" s="190">
        <v>125000000</v>
      </c>
      <c r="BI38" s="190">
        <v>97000000</v>
      </c>
      <c r="BJ38" s="190">
        <v>76000000</v>
      </c>
      <c r="BK38" s="190">
        <v>58000000</v>
      </c>
      <c r="BL38" s="190">
        <v>0</v>
      </c>
      <c r="BM38" s="190">
        <v>0</v>
      </c>
      <c r="BN38" s="190">
        <v>0</v>
      </c>
      <c r="BO38" s="190">
        <v>0</v>
      </c>
      <c r="BP38" s="190">
        <v>0</v>
      </c>
      <c r="BQ38" s="190">
        <v>0</v>
      </c>
      <c r="BR38" s="190">
        <v>0</v>
      </c>
      <c r="BS38" s="190">
        <v>0</v>
      </c>
      <c r="BT38" s="190">
        <v>0</v>
      </c>
    </row>
    <row r="39" spans="1:72" x14ac:dyDescent="0.25">
      <c r="A39" s="190" t="s">
        <v>143</v>
      </c>
      <c r="B39" s="190">
        <v>19912000000</v>
      </c>
      <c r="C39" s="190">
        <v>19000000000</v>
      </c>
      <c r="D39" s="190">
        <v>16892000000</v>
      </c>
      <c r="E39" s="190">
        <v>15131000000</v>
      </c>
      <c r="F39" s="190">
        <v>11107000000</v>
      </c>
      <c r="G39" s="190">
        <v>9761000000</v>
      </c>
      <c r="H39" s="190">
        <v>8112000000</v>
      </c>
      <c r="I39" s="190">
        <v>7214000000</v>
      </c>
      <c r="J39" s="190">
        <v>7183000000</v>
      </c>
      <c r="K39" s="190">
        <v>6818000000</v>
      </c>
      <c r="L39" s="190">
        <v>7687000000</v>
      </c>
      <c r="M39" s="190">
        <v>7469000000</v>
      </c>
      <c r="N39" s="190">
        <v>7171000000</v>
      </c>
      <c r="O39" s="190">
        <v>6376000000</v>
      </c>
      <c r="P39" s="190">
        <v>7495000000</v>
      </c>
      <c r="Q39" s="190">
        <v>6979000000</v>
      </c>
      <c r="R39" s="190">
        <v>5610000000</v>
      </c>
      <c r="S39" s="190">
        <v>5563000000</v>
      </c>
      <c r="T39" s="190">
        <v>4751000000</v>
      </c>
      <c r="U39" s="190">
        <v>4141000000</v>
      </c>
      <c r="V39" s="190">
        <v>4424000000</v>
      </c>
      <c r="W39" s="190">
        <v>5089000000</v>
      </c>
      <c r="X39" s="190">
        <v>15092000000</v>
      </c>
      <c r="Y39" s="190">
        <v>6381000000</v>
      </c>
      <c r="Z39" s="190">
        <v>13740000000</v>
      </c>
      <c r="AA39" s="190">
        <v>15167000000</v>
      </c>
      <c r="AB39" s="190">
        <v>13640000000</v>
      </c>
      <c r="AC39" s="190">
        <v>13398000000</v>
      </c>
      <c r="AD39" s="190">
        <v>13425000000</v>
      </c>
      <c r="AE39" s="190">
        <v>14748000000</v>
      </c>
      <c r="AF39" s="190">
        <v>15541000000</v>
      </c>
      <c r="AG39" s="190">
        <v>15578000000</v>
      </c>
      <c r="AH39" s="190">
        <v>12728000000</v>
      </c>
      <c r="AI39" s="190">
        <v>12577000000</v>
      </c>
      <c r="AJ39" s="190">
        <v>13282000000</v>
      </c>
      <c r="AK39" s="190">
        <v>13683000000</v>
      </c>
      <c r="AL39" s="190">
        <v>11869000000</v>
      </c>
      <c r="AM39" s="190">
        <v>12010000000</v>
      </c>
      <c r="AN39" s="190">
        <v>11720000000</v>
      </c>
      <c r="AO39" s="190">
        <v>12510000000</v>
      </c>
      <c r="AP39" s="190">
        <v>16088000000</v>
      </c>
      <c r="AQ39" s="190">
        <v>18037000000</v>
      </c>
      <c r="AR39" s="190">
        <v>12623000000</v>
      </c>
      <c r="AS39" s="190">
        <v>10192000000</v>
      </c>
      <c r="AT39" s="190">
        <v>8416000000</v>
      </c>
      <c r="AU39" s="190">
        <v>8107000000</v>
      </c>
      <c r="AV39" s="190">
        <v>9663000000</v>
      </c>
      <c r="AW39" s="190">
        <v>6710000000</v>
      </c>
      <c r="AX39" s="190">
        <v>5787000000</v>
      </c>
      <c r="AY39" s="190">
        <v>5796000000</v>
      </c>
      <c r="AZ39" s="190">
        <v>5835000000</v>
      </c>
      <c r="BA39" s="190">
        <v>5701000000</v>
      </c>
      <c r="BB39" s="190">
        <v>5459000000</v>
      </c>
      <c r="BC39" s="190">
        <v>4718000000</v>
      </c>
      <c r="BD39" s="190">
        <v>4971000000</v>
      </c>
      <c r="BE39" s="190">
        <v>4166000000</v>
      </c>
      <c r="BF39" s="190">
        <v>4049000000</v>
      </c>
      <c r="BG39" s="190">
        <v>3115000000</v>
      </c>
      <c r="BH39" s="190">
        <v>2297000000</v>
      </c>
      <c r="BI39" s="190">
        <v>1752000000</v>
      </c>
      <c r="BJ39" s="190">
        <v>543000000</v>
      </c>
      <c r="BK39" s="190">
        <v>689000000</v>
      </c>
      <c r="BL39" s="190">
        <v>843000000</v>
      </c>
      <c r="BM39" s="190">
        <v>357000000</v>
      </c>
      <c r="BN39" s="190">
        <v>451000000</v>
      </c>
      <c r="BO39" s="190">
        <v>621000000</v>
      </c>
      <c r="BP39" s="190">
        <v>800000000</v>
      </c>
      <c r="BQ39" s="190">
        <v>760000000</v>
      </c>
      <c r="BR39" s="190">
        <v>1201000000</v>
      </c>
      <c r="BS39" s="190">
        <v>1155000000</v>
      </c>
      <c r="BT39" s="190">
        <v>0</v>
      </c>
    </row>
    <row r="40" spans="1:72" x14ac:dyDescent="0.25">
      <c r="A40" s="190" t="s">
        <v>144</v>
      </c>
      <c r="B40" s="190">
        <v>35739000000</v>
      </c>
      <c r="C40" s="190">
        <v>33539000000</v>
      </c>
      <c r="D40" s="190">
        <v>29705000000</v>
      </c>
      <c r="E40" s="190">
        <v>28662000000</v>
      </c>
      <c r="F40" s="190">
        <v>26700000000</v>
      </c>
      <c r="G40" s="190">
        <v>27836000000</v>
      </c>
      <c r="H40" s="190">
        <v>25607000000</v>
      </c>
      <c r="I40" s="190">
        <v>25826000000</v>
      </c>
      <c r="J40" s="190">
        <v>25842000000</v>
      </c>
      <c r="K40" s="190">
        <v>25922000000</v>
      </c>
      <c r="L40" s="190">
        <v>23346000000</v>
      </c>
      <c r="M40" s="190">
        <v>23835000000</v>
      </c>
      <c r="N40" s="190">
        <v>23757000000</v>
      </c>
      <c r="O40" s="190">
        <v>23226000000</v>
      </c>
      <c r="P40" s="190">
        <v>22754000000</v>
      </c>
      <c r="Q40" s="190">
        <v>22512000000</v>
      </c>
      <c r="R40" s="190">
        <v>22759000000</v>
      </c>
      <c r="S40" s="190">
        <v>24228000000</v>
      </c>
      <c r="T40" s="190">
        <v>21813000000</v>
      </c>
      <c r="U40" s="190">
        <v>19983000000</v>
      </c>
      <c r="V40" s="190">
        <v>31707000000</v>
      </c>
      <c r="W40" s="190">
        <v>13580000000</v>
      </c>
      <c r="X40" s="190">
        <v>12194000000</v>
      </c>
      <c r="Y40" s="190">
        <v>11046000000</v>
      </c>
      <c r="Z40" s="190">
        <v>14459000000</v>
      </c>
      <c r="AA40" s="190">
        <v>13678000000</v>
      </c>
      <c r="AB40" s="190">
        <v>14258000000</v>
      </c>
      <c r="AC40" s="190">
        <v>12232000000</v>
      </c>
      <c r="AD40" s="190">
        <v>1885000000</v>
      </c>
      <c r="AE40" s="190">
        <v>1502000000</v>
      </c>
      <c r="AF40" s="190">
        <v>1103000000</v>
      </c>
      <c r="AG40" s="190">
        <v>1727000000</v>
      </c>
      <c r="AH40" s="190">
        <v>1042000000</v>
      </c>
      <c r="AI40" s="190">
        <v>1009000000</v>
      </c>
      <c r="AJ40" s="190">
        <v>1124000000</v>
      </c>
      <c r="AK40" s="190">
        <v>1792000000</v>
      </c>
      <c r="AL40" s="190">
        <v>1027000000</v>
      </c>
      <c r="AM40" s="190">
        <v>1167000000</v>
      </c>
      <c r="AN40" s="190">
        <v>1016000000</v>
      </c>
      <c r="AO40" s="190">
        <v>1012000000</v>
      </c>
      <c r="AP40" s="190">
        <v>1215000000</v>
      </c>
      <c r="AQ40" s="190">
        <v>1216000000</v>
      </c>
      <c r="AR40" s="190">
        <v>1072000000</v>
      </c>
      <c r="AS40" s="190">
        <v>2190000000</v>
      </c>
      <c r="AT40" s="190">
        <v>1960000000</v>
      </c>
      <c r="AU40" s="190">
        <v>1997000000</v>
      </c>
      <c r="AV40" s="190">
        <v>1531000000</v>
      </c>
      <c r="AW40" s="190">
        <v>0</v>
      </c>
      <c r="AX40" s="190">
        <v>0</v>
      </c>
      <c r="AY40" s="190">
        <v>0</v>
      </c>
      <c r="AZ40" s="190">
        <v>0</v>
      </c>
      <c r="BA40" s="190">
        <v>0</v>
      </c>
      <c r="BB40" s="190">
        <v>0</v>
      </c>
      <c r="BC40" s="190">
        <v>0</v>
      </c>
      <c r="BD40" s="190">
        <v>0</v>
      </c>
      <c r="BE40" s="190">
        <v>0</v>
      </c>
      <c r="BF40" s="190">
        <v>0</v>
      </c>
      <c r="BG40" s="190">
        <v>0</v>
      </c>
      <c r="BH40" s="190">
        <v>0</v>
      </c>
      <c r="BI40" s="190">
        <v>0</v>
      </c>
      <c r="BJ40" s="190">
        <v>0</v>
      </c>
      <c r="BK40" s="190">
        <v>0</v>
      </c>
      <c r="BL40" s="190">
        <v>0</v>
      </c>
      <c r="BM40" s="190">
        <v>0</v>
      </c>
      <c r="BN40" s="190">
        <v>0</v>
      </c>
      <c r="BO40" s="190">
        <v>0</v>
      </c>
      <c r="BP40" s="190">
        <v>0</v>
      </c>
      <c r="BQ40" s="190">
        <v>0</v>
      </c>
      <c r="BR40" s="190">
        <v>0</v>
      </c>
      <c r="BS40" s="190">
        <v>0</v>
      </c>
      <c r="BT40" s="190">
        <v>0</v>
      </c>
    </row>
    <row r="41" spans="1:72" x14ac:dyDescent="0.25">
      <c r="A41" s="190" t="s">
        <v>145</v>
      </c>
      <c r="B41" s="190">
        <v>1050842000000</v>
      </c>
      <c r="C41" s="190">
        <v>1048366000000</v>
      </c>
      <c r="D41" s="190">
        <v>1051297000000</v>
      </c>
      <c r="E41" s="190">
        <v>1066455000000</v>
      </c>
      <c r="F41" s="190">
        <v>1039528000000</v>
      </c>
      <c r="G41" s="190">
        <v>1053379000000</v>
      </c>
      <c r="H41" s="190">
        <v>1066218000000</v>
      </c>
      <c r="I41" s="190">
        <v>1086348000000</v>
      </c>
      <c r="J41" s="190">
        <v>1074153000000</v>
      </c>
      <c r="K41" s="190">
        <v>1084950000000</v>
      </c>
      <c r="L41" s="190">
        <v>1090139000000</v>
      </c>
      <c r="M41" s="190">
        <v>1110724000000</v>
      </c>
      <c r="N41" s="190">
        <v>1067208000000</v>
      </c>
      <c r="O41" s="190">
        <v>1074800000000</v>
      </c>
      <c r="P41" s="190">
        <v>1078667000000</v>
      </c>
      <c r="Q41" s="190">
        <v>1091224000000</v>
      </c>
      <c r="R41" s="190">
        <v>1031474000000</v>
      </c>
      <c r="S41" s="190">
        <v>1008815000000</v>
      </c>
      <c r="T41" s="190">
        <v>1002460000000</v>
      </c>
      <c r="U41" s="190">
        <v>1009906000000</v>
      </c>
      <c r="V41" s="190">
        <v>942803000000</v>
      </c>
      <c r="W41" s="190">
        <v>909103000000</v>
      </c>
      <c r="X41" s="190">
        <v>904572000000</v>
      </c>
      <c r="Y41" s="190">
        <v>893771000000</v>
      </c>
      <c r="Z41" s="190">
        <v>839036000000</v>
      </c>
      <c r="AA41" s="190">
        <v>824269000000</v>
      </c>
      <c r="AB41" s="190">
        <v>806471000000</v>
      </c>
      <c r="AC41" s="190">
        <v>802465000000</v>
      </c>
      <c r="AD41" s="190">
        <v>747844000000</v>
      </c>
      <c r="AE41" s="190">
        <v>740381000000</v>
      </c>
      <c r="AF41" s="190">
        <v>735770000000</v>
      </c>
      <c r="AG41" s="190">
        <v>735939000000</v>
      </c>
      <c r="AH41" s="190">
        <v>694565000000</v>
      </c>
      <c r="AI41" s="190">
        <v>670958000000</v>
      </c>
      <c r="AJ41" s="190">
        <v>666153000000</v>
      </c>
      <c r="AK41" s="190">
        <v>677252000000</v>
      </c>
      <c r="AL41" s="190">
        <v>641400000000</v>
      </c>
      <c r="AM41" s="190">
        <v>629983000000</v>
      </c>
      <c r="AN41" s="190">
        <v>608446000000</v>
      </c>
      <c r="AO41" s="190">
        <v>604228000000</v>
      </c>
      <c r="AP41" s="190">
        <v>568713000000</v>
      </c>
      <c r="AQ41" s="190">
        <v>560515000000</v>
      </c>
      <c r="AR41" s="190">
        <v>543823000000</v>
      </c>
      <c r="AS41" s="190">
        <v>537037000000</v>
      </c>
      <c r="AT41" s="190">
        <v>490293000000</v>
      </c>
      <c r="AU41" s="190">
        <v>474832000000</v>
      </c>
      <c r="AV41" s="190">
        <v>465236000000</v>
      </c>
      <c r="AW41" s="190">
        <v>452450000000</v>
      </c>
      <c r="AX41" s="190">
        <v>412750000000</v>
      </c>
      <c r="AY41" s="190">
        <v>407537000000</v>
      </c>
      <c r="AZ41" s="190">
        <v>385885000000</v>
      </c>
      <c r="BA41" s="190">
        <v>378676000000</v>
      </c>
      <c r="BB41" s="190">
        <v>365249000000</v>
      </c>
      <c r="BC41" s="190">
        <v>357671000000</v>
      </c>
      <c r="BD41" s="190">
        <v>352756000000</v>
      </c>
      <c r="BE41" s="190">
        <v>343025000000</v>
      </c>
      <c r="BF41" s="190">
        <v>314478000000</v>
      </c>
      <c r="BG41" s="190">
        <v>305863000000</v>
      </c>
      <c r="BH41" s="190">
        <v>298827000000</v>
      </c>
      <c r="BI41" s="190">
        <v>293295000000</v>
      </c>
      <c r="BJ41" s="190">
        <v>276752000000</v>
      </c>
      <c r="BK41" s="190">
        <v>275429000000</v>
      </c>
      <c r="BL41" s="190">
        <v>272128000000</v>
      </c>
      <c r="BM41" s="190">
        <v>269367000000</v>
      </c>
      <c r="BN41" s="190">
        <v>263714000000</v>
      </c>
      <c r="BO41" s="190">
        <v>261328000000</v>
      </c>
      <c r="BP41" s="190">
        <v>258764000000</v>
      </c>
      <c r="BQ41" s="190">
        <v>253529000000</v>
      </c>
      <c r="BR41" s="190">
        <v>218213000000</v>
      </c>
      <c r="BS41" s="190">
        <v>209293000000</v>
      </c>
      <c r="BT41" s="190">
        <v>0</v>
      </c>
    </row>
    <row r="42" spans="1:72" x14ac:dyDescent="0.25">
      <c r="A42" s="190" t="s">
        <v>146</v>
      </c>
      <c r="B42" s="190">
        <v>1662760000000</v>
      </c>
      <c r="C42" s="190">
        <v>1617304000000</v>
      </c>
      <c r="D42" s="190">
        <v>1572527000000</v>
      </c>
      <c r="E42" s="190">
        <v>1595504000000</v>
      </c>
      <c r="F42" s="190">
        <v>1476655000000</v>
      </c>
      <c r="G42" s="190">
        <v>1487538000000</v>
      </c>
      <c r="H42" s="190">
        <v>1478917000000</v>
      </c>
      <c r="I42" s="190">
        <v>1498609000000</v>
      </c>
      <c r="J42" s="190">
        <v>1413148000000</v>
      </c>
      <c r="K42" s="190">
        <v>1432624000000</v>
      </c>
      <c r="L42" s="190">
        <v>1397688000000</v>
      </c>
      <c r="M42" s="190">
        <v>1443129000000</v>
      </c>
      <c r="N42" s="190">
        <v>1404414000000</v>
      </c>
      <c r="O42" s="190">
        <v>1470355000000</v>
      </c>
      <c r="P42" s="190">
        <v>1436051000000</v>
      </c>
      <c r="Q42" s="190">
        <v>1451368000000</v>
      </c>
      <c r="R42" s="190">
        <v>1437590000000</v>
      </c>
      <c r="S42" s="190">
        <v>1429543000000</v>
      </c>
      <c r="T42" s="190">
        <v>1408367000000</v>
      </c>
      <c r="U42" s="190">
        <v>1382916000000</v>
      </c>
      <c r="V42" s="190">
        <v>1319538000000</v>
      </c>
      <c r="W42" s="190">
        <v>1274233000000</v>
      </c>
      <c r="X42" s="190">
        <v>1290018000000</v>
      </c>
      <c r="Y42" s="190">
        <v>1238522000000</v>
      </c>
      <c r="Z42" s="190">
        <v>1179915000000</v>
      </c>
      <c r="AA42" s="190">
        <v>1168178000000</v>
      </c>
      <c r="AB42" s="190">
        <v>1197263000000</v>
      </c>
      <c r="AC42" s="190">
        <v>1130053000000</v>
      </c>
      <c r="AD42" s="190">
        <v>1081931000000</v>
      </c>
      <c r="AE42" s="190">
        <v>1071912000000</v>
      </c>
      <c r="AF42" s="190">
        <v>1054428000000</v>
      </c>
      <c r="AG42" s="190">
        <v>985389000000</v>
      </c>
      <c r="AH42" s="190">
        <v>939609000000</v>
      </c>
      <c r="AI42" s="190">
        <v>920795000000</v>
      </c>
      <c r="AJ42" s="190">
        <v>914276000000</v>
      </c>
      <c r="AK42" s="190">
        <v>866475000000</v>
      </c>
      <c r="AL42" s="190">
        <v>843734000000</v>
      </c>
      <c r="AM42" s="190">
        <v>816342000000</v>
      </c>
      <c r="AN42" s="190">
        <v>773578000000</v>
      </c>
      <c r="AO42" s="190">
        <v>752235000000</v>
      </c>
      <c r="AP42" s="190">
        <v>813757000000</v>
      </c>
      <c r="AQ42" s="190">
        <v>820556000000</v>
      </c>
      <c r="AR42" s="190">
        <v>773761000000</v>
      </c>
      <c r="AS42" s="190">
        <v>718572000000</v>
      </c>
      <c r="AT42" s="190">
        <v>660279000000</v>
      </c>
      <c r="AU42" s="190">
        <v>650547000000</v>
      </c>
      <c r="AV42" s="190">
        <v>623066000000</v>
      </c>
      <c r="AW42" s="190">
        <v>594550000000</v>
      </c>
      <c r="AX42" s="190">
        <v>582597000000</v>
      </c>
      <c r="AY42" s="190">
        <v>568888000000</v>
      </c>
      <c r="AZ42" s="190">
        <v>539927000000</v>
      </c>
      <c r="BA42" s="190">
        <v>520572000000</v>
      </c>
      <c r="BB42" s="190">
        <v>500696000000</v>
      </c>
      <c r="BC42" s="190">
        <v>492986000000</v>
      </c>
      <c r="BD42" s="190">
        <v>481785000000</v>
      </c>
      <c r="BE42" s="190">
        <v>460081000000</v>
      </c>
      <c r="BF42" s="190">
        <v>430304000000</v>
      </c>
      <c r="BG42" s="190">
        <v>422925000000</v>
      </c>
      <c r="BH42" s="190">
        <v>406900000000</v>
      </c>
      <c r="BI42" s="190">
        <v>390213000000</v>
      </c>
      <c r="BJ42" s="190">
        <v>374676000000</v>
      </c>
      <c r="BK42" s="190">
        <v>380114000000</v>
      </c>
      <c r="BL42" s="190">
        <v>380330000000</v>
      </c>
      <c r="BM42" s="190">
        <v>368375000000</v>
      </c>
      <c r="BN42" s="190">
        <v>367387000000</v>
      </c>
      <c r="BO42" s="190">
        <v>371665000000</v>
      </c>
      <c r="BP42" s="190">
        <v>364395000000</v>
      </c>
      <c r="BQ42" s="190">
        <v>360294000000</v>
      </c>
      <c r="BR42" s="190">
        <v>364924000000</v>
      </c>
      <c r="BS42" s="190">
        <v>340918000000</v>
      </c>
      <c r="BT42" s="190">
        <v>0</v>
      </c>
    </row>
    <row r="43" spans="1:72" x14ac:dyDescent="0.25">
      <c r="A43" s="190" t="s">
        <v>147</v>
      </c>
    </row>
    <row r="44" spans="1:72" x14ac:dyDescent="0.25">
      <c r="A44" s="190" t="s">
        <v>148</v>
      </c>
      <c r="B44" s="190">
        <v>69864000000</v>
      </c>
      <c r="C44" s="190">
        <v>57985000000</v>
      </c>
      <c r="D44" s="190">
        <v>57358000000</v>
      </c>
      <c r="E44" s="190">
        <v>54701000000</v>
      </c>
      <c r="F44" s="190">
        <v>45698000000</v>
      </c>
      <c r="G44" s="190">
        <v>42032000000</v>
      </c>
      <c r="H44" s="190">
        <v>29748000000</v>
      </c>
      <c r="I44" s="190">
        <v>30374000000</v>
      </c>
      <c r="J44" s="190">
        <v>41581000000</v>
      </c>
      <c r="K44" s="190">
        <v>70327000000</v>
      </c>
      <c r="L44" s="190">
        <v>65404000000</v>
      </c>
      <c r="M44" s="190">
        <v>74729000000</v>
      </c>
      <c r="N44" s="190">
        <v>89977000000</v>
      </c>
      <c r="O44" s="190">
        <v>147376000000</v>
      </c>
      <c r="P44" s="190">
        <v>159184000000</v>
      </c>
      <c r="Q44" s="190">
        <v>166688000000</v>
      </c>
      <c r="R44" s="190">
        <v>170640000000</v>
      </c>
      <c r="S44" s="190">
        <v>177361000000</v>
      </c>
      <c r="T44" s="190">
        <v>172742000000</v>
      </c>
      <c r="U44" s="190">
        <v>108121000000</v>
      </c>
      <c r="V44" s="190">
        <v>124769000000</v>
      </c>
      <c r="W44" s="190">
        <v>101507000000</v>
      </c>
      <c r="X44" s="190">
        <v>107677000000</v>
      </c>
      <c r="Y44" s="190">
        <v>70228000000</v>
      </c>
      <c r="Z44" s="190">
        <v>67660000000</v>
      </c>
      <c r="AA44" s="190">
        <v>86720000000</v>
      </c>
      <c r="AB44" s="190">
        <v>83599000000</v>
      </c>
      <c r="AC44" s="190">
        <v>36985000000</v>
      </c>
      <c r="AD44" s="190">
        <v>34520000000</v>
      </c>
      <c r="AE44" s="190">
        <v>35426000000</v>
      </c>
      <c r="AF44" s="190">
        <v>27244000000</v>
      </c>
      <c r="AG44" s="190">
        <v>29298000000</v>
      </c>
      <c r="AH44" s="190">
        <v>28399000000</v>
      </c>
      <c r="AI44" s="190">
        <v>23796000000</v>
      </c>
      <c r="AJ44" s="190">
        <v>41463000000</v>
      </c>
      <c r="AK44" s="190">
        <v>34900000000</v>
      </c>
      <c r="AL44" s="190">
        <v>48377000000</v>
      </c>
      <c r="AM44" s="190">
        <v>44068000000</v>
      </c>
      <c r="AN44" s="190">
        <v>30675000000</v>
      </c>
      <c r="AO44" s="190">
        <v>63972000000</v>
      </c>
      <c r="AP44" s="190">
        <v>111891000000</v>
      </c>
      <c r="AQ44" s="190">
        <v>67229000000</v>
      </c>
      <c r="AR44" s="190">
        <v>39148000000</v>
      </c>
      <c r="AS44" s="190">
        <v>36954000000</v>
      </c>
      <c r="AT44" s="190">
        <v>22004000000</v>
      </c>
      <c r="AU44" s="190">
        <v>31440000000</v>
      </c>
      <c r="AV44" s="190">
        <v>32156000000</v>
      </c>
      <c r="AW44" s="190">
        <v>30515000000</v>
      </c>
      <c r="AX44" s="190">
        <v>47974000000</v>
      </c>
      <c r="AY44" s="190">
        <v>46785000000</v>
      </c>
      <c r="AZ44" s="190">
        <v>29878000000</v>
      </c>
      <c r="BA44" s="190">
        <v>16124000000</v>
      </c>
      <c r="BB44" s="190">
        <v>33195000000</v>
      </c>
      <c r="BC44" s="190">
        <v>34419000000</v>
      </c>
      <c r="BD44" s="190">
        <v>26267000000</v>
      </c>
      <c r="BE44" s="190">
        <v>26723000000</v>
      </c>
      <c r="BF44" s="190">
        <v>24482000000</v>
      </c>
      <c r="BG44" s="190">
        <v>26445000000</v>
      </c>
      <c r="BH44" s="190">
        <v>21624000000</v>
      </c>
      <c r="BI44" s="190">
        <v>20904000000</v>
      </c>
      <c r="BJ44" s="190">
        <v>18438000000</v>
      </c>
      <c r="BK44" s="190">
        <v>22532000000</v>
      </c>
      <c r="BL44" s="190">
        <v>22757000000</v>
      </c>
      <c r="BM44" s="190">
        <v>26979000000</v>
      </c>
      <c r="BN44" s="190">
        <v>35013000000</v>
      </c>
      <c r="BO44" s="190">
        <v>31808000000</v>
      </c>
      <c r="BP44" s="190">
        <v>37737000000</v>
      </c>
      <c r="BQ44" s="190">
        <v>37915000000</v>
      </c>
      <c r="BR44" s="190">
        <v>62572000000</v>
      </c>
      <c r="BS44" s="190">
        <v>50654000000</v>
      </c>
      <c r="BT44" s="190">
        <v>0</v>
      </c>
    </row>
    <row r="45" spans="1:72" x14ac:dyDescent="0.25">
      <c r="A45" s="190" t="s">
        <v>149</v>
      </c>
      <c r="B45" s="190">
        <v>0</v>
      </c>
      <c r="C45" s="190">
        <v>0</v>
      </c>
      <c r="D45" s="190">
        <v>0</v>
      </c>
      <c r="E45" s="190">
        <v>0</v>
      </c>
      <c r="F45" s="190">
        <v>0</v>
      </c>
      <c r="G45" s="190">
        <v>0</v>
      </c>
      <c r="H45" s="190">
        <v>0</v>
      </c>
      <c r="I45" s="190">
        <v>0</v>
      </c>
      <c r="J45" s="190">
        <v>0</v>
      </c>
      <c r="K45" s="190">
        <v>0</v>
      </c>
      <c r="L45" s="190">
        <v>0</v>
      </c>
      <c r="M45" s="190">
        <v>0</v>
      </c>
      <c r="N45" s="190">
        <v>0</v>
      </c>
      <c r="O45" s="190">
        <v>0</v>
      </c>
      <c r="P45" s="190">
        <v>0</v>
      </c>
      <c r="Q45" s="190">
        <v>0</v>
      </c>
      <c r="R45" s="190">
        <v>0</v>
      </c>
      <c r="S45" s="190">
        <v>0</v>
      </c>
      <c r="T45" s="190">
        <v>0</v>
      </c>
      <c r="U45" s="190">
        <v>0</v>
      </c>
      <c r="V45" s="190">
        <v>0</v>
      </c>
      <c r="W45" s="190">
        <v>0</v>
      </c>
      <c r="X45" s="190">
        <v>0</v>
      </c>
      <c r="Y45" s="190">
        <v>0</v>
      </c>
      <c r="Z45" s="190">
        <v>0</v>
      </c>
      <c r="AA45" s="190">
        <v>0</v>
      </c>
      <c r="AB45" s="190">
        <v>0</v>
      </c>
      <c r="AC45" s="190">
        <v>0</v>
      </c>
      <c r="AD45" s="190">
        <v>0</v>
      </c>
      <c r="AE45" s="190">
        <v>0</v>
      </c>
      <c r="AF45" s="190">
        <v>0</v>
      </c>
      <c r="AG45" s="190">
        <v>0</v>
      </c>
      <c r="AH45" s="190">
        <v>0</v>
      </c>
      <c r="AI45" s="190">
        <v>0</v>
      </c>
      <c r="AJ45" s="190">
        <v>0</v>
      </c>
      <c r="AK45" s="190">
        <v>0</v>
      </c>
      <c r="AL45" s="190">
        <v>0</v>
      </c>
      <c r="AM45" s="190">
        <v>1000000000</v>
      </c>
      <c r="AN45" s="190">
        <v>15000000000</v>
      </c>
      <c r="AO45" s="190">
        <v>0</v>
      </c>
      <c r="AP45" s="190">
        <v>0</v>
      </c>
      <c r="AQ45" s="190">
        <v>0</v>
      </c>
      <c r="AR45" s="190">
        <v>0</v>
      </c>
      <c r="AS45" s="190">
        <v>0</v>
      </c>
      <c r="AT45" s="190">
        <v>0</v>
      </c>
      <c r="AU45" s="190">
        <v>0</v>
      </c>
      <c r="AV45" s="190">
        <v>0</v>
      </c>
      <c r="AW45" s="190">
        <v>0</v>
      </c>
      <c r="AX45" s="190">
        <v>0</v>
      </c>
      <c r="AY45" s="190">
        <v>0</v>
      </c>
      <c r="AZ45" s="190">
        <v>0</v>
      </c>
      <c r="BA45" s="190">
        <v>0</v>
      </c>
      <c r="BB45" s="190">
        <v>0</v>
      </c>
      <c r="BC45" s="190">
        <v>0</v>
      </c>
      <c r="BD45" s="190">
        <v>0</v>
      </c>
      <c r="BE45" s="190">
        <v>0</v>
      </c>
      <c r="BF45" s="190">
        <v>0</v>
      </c>
      <c r="BG45" s="190">
        <v>0</v>
      </c>
      <c r="BH45" s="190">
        <v>0</v>
      </c>
      <c r="BI45" s="190">
        <v>0</v>
      </c>
      <c r="BJ45" s="190">
        <v>0</v>
      </c>
      <c r="BK45" s="190">
        <v>0</v>
      </c>
      <c r="BL45" s="190">
        <v>0</v>
      </c>
      <c r="BM45" s="190">
        <v>0</v>
      </c>
      <c r="BN45" s="190">
        <v>0</v>
      </c>
      <c r="BO45" s="190">
        <v>0</v>
      </c>
      <c r="BP45" s="190">
        <v>0</v>
      </c>
      <c r="BQ45" s="190">
        <v>0</v>
      </c>
      <c r="BR45" s="190">
        <v>0</v>
      </c>
      <c r="BS45" s="190">
        <v>0</v>
      </c>
      <c r="BT45" s="190">
        <v>0</v>
      </c>
    </row>
    <row r="46" spans="1:72" x14ac:dyDescent="0.25">
      <c r="A46" s="190" t="s">
        <v>150</v>
      </c>
      <c r="B46" s="190">
        <v>0</v>
      </c>
      <c r="C46" s="190">
        <v>0</v>
      </c>
      <c r="D46" s="190">
        <v>7398000000</v>
      </c>
      <c r="E46" s="190">
        <v>6462000000</v>
      </c>
      <c r="F46" s="190">
        <v>5879000000</v>
      </c>
      <c r="G46" s="190">
        <v>6162000000</v>
      </c>
      <c r="H46" s="190">
        <v>6039000000</v>
      </c>
      <c r="I46" s="190">
        <v>5828000000</v>
      </c>
      <c r="J46" s="190">
        <v>4457000000</v>
      </c>
      <c r="K46" s="190">
        <v>3836000000</v>
      </c>
      <c r="L46" s="190">
        <v>4570000000</v>
      </c>
      <c r="M46" s="190">
        <v>3566000000</v>
      </c>
      <c r="N46" s="190">
        <v>2915000000</v>
      </c>
      <c r="O46" s="190">
        <v>3912000000</v>
      </c>
      <c r="P46" s="190">
        <v>3877000000</v>
      </c>
      <c r="Q46" s="190">
        <v>4577000000</v>
      </c>
      <c r="R46" s="190">
        <v>3813000000</v>
      </c>
      <c r="S46" s="190">
        <v>3550000000</v>
      </c>
      <c r="T46" s="190">
        <v>4499000000</v>
      </c>
      <c r="U46" s="190">
        <v>4526000000</v>
      </c>
      <c r="V46" s="190">
        <v>5289000000</v>
      </c>
      <c r="W46" s="190">
        <v>5700000000</v>
      </c>
      <c r="X46" s="190">
        <v>5534000000</v>
      </c>
      <c r="Y46" s="190">
        <v>6656000000</v>
      </c>
      <c r="Z46" s="190">
        <v>6384000000</v>
      </c>
      <c r="AA46" s="190">
        <v>4276000000</v>
      </c>
      <c r="AB46" s="190">
        <v>4723000000</v>
      </c>
      <c r="AC46" s="190">
        <v>5933000000</v>
      </c>
      <c r="AD46" s="190">
        <v>4349000000</v>
      </c>
      <c r="AE46" s="190">
        <v>4301000000</v>
      </c>
      <c r="AF46" s="190">
        <v>5813000000</v>
      </c>
      <c r="AG46" s="190">
        <v>3818000000</v>
      </c>
      <c r="AH46" s="190">
        <v>8943000000</v>
      </c>
      <c r="AI46" s="190">
        <v>21847000000</v>
      </c>
      <c r="AJ46" s="190">
        <v>25317000000</v>
      </c>
      <c r="AK46" s="190">
        <v>23111000000</v>
      </c>
      <c r="AL46" s="190">
        <v>27258000000</v>
      </c>
      <c r="AM46" s="190">
        <v>32058000000</v>
      </c>
      <c r="AN46" s="190">
        <v>35429000000</v>
      </c>
      <c r="AO46" s="190">
        <v>17493000000</v>
      </c>
      <c r="AP46" s="190">
        <v>16341000000</v>
      </c>
      <c r="AQ46" s="190">
        <v>17563000000</v>
      </c>
      <c r="AR46" s="190">
        <v>12379000000</v>
      </c>
      <c r="AS46" s="190">
        <v>12162000000</v>
      </c>
      <c r="AT46" s="190">
        <v>18565000000</v>
      </c>
      <c r="AU46" s="190">
        <v>20372000000</v>
      </c>
      <c r="AV46" s="190">
        <v>18000000000</v>
      </c>
      <c r="AW46" s="190">
        <v>21685000000</v>
      </c>
      <c r="AX46" s="190">
        <v>26498000000</v>
      </c>
      <c r="AY46" s="190">
        <v>27198000000</v>
      </c>
      <c r="AZ46" s="190">
        <v>26246000000</v>
      </c>
      <c r="BA46" s="190">
        <v>23243000000</v>
      </c>
      <c r="BB46" s="190">
        <v>26743000000</v>
      </c>
      <c r="BC46" s="190">
        <v>26893000000</v>
      </c>
      <c r="BD46" s="190">
        <v>27791000000</v>
      </c>
      <c r="BE46" s="190">
        <v>30797000000</v>
      </c>
      <c r="BF46" s="190">
        <v>24808000000</v>
      </c>
      <c r="BG46" s="190">
        <v>28531000000</v>
      </c>
      <c r="BH46" s="190">
        <v>24547000000</v>
      </c>
      <c r="BI46" s="190">
        <v>23958000000</v>
      </c>
      <c r="BJ46" s="190">
        <v>28611000000</v>
      </c>
      <c r="BK46" s="190">
        <v>32566000000</v>
      </c>
      <c r="BL46" s="190">
        <v>30293000000</v>
      </c>
      <c r="BM46" s="190">
        <v>30139000000</v>
      </c>
      <c r="BN46" s="190">
        <v>32430000000</v>
      </c>
      <c r="BO46" s="190">
        <v>32903000000</v>
      </c>
      <c r="BP46" s="190">
        <v>29011000000</v>
      </c>
      <c r="BQ46" s="190">
        <v>26022000000</v>
      </c>
      <c r="BR46" s="190">
        <v>18194000000</v>
      </c>
      <c r="BS46" s="190">
        <v>11203000000</v>
      </c>
      <c r="BT46" s="190">
        <v>0</v>
      </c>
    </row>
    <row r="47" spans="1:72" x14ac:dyDescent="0.25">
      <c r="A47" s="190" t="s">
        <v>151</v>
      </c>
      <c r="B47" s="190">
        <v>0</v>
      </c>
      <c r="C47" s="190">
        <v>0</v>
      </c>
      <c r="D47" s="190">
        <v>177944000000</v>
      </c>
      <c r="E47" s="190">
        <v>200073000000</v>
      </c>
      <c r="F47" s="190">
        <v>156655000000</v>
      </c>
      <c r="G47" s="190">
        <v>170116000000</v>
      </c>
      <c r="H47" s="190">
        <v>158158000000</v>
      </c>
      <c r="I47" s="190">
        <v>174301000000</v>
      </c>
      <c r="J47" s="190">
        <v>140645000000</v>
      </c>
      <c r="K47" s="190">
        <v>151800000000</v>
      </c>
      <c r="L47" s="190">
        <v>117975000000</v>
      </c>
      <c r="M47" s="190">
        <v>130446000000</v>
      </c>
      <c r="N47" s="190">
        <v>129635000000</v>
      </c>
      <c r="O47" s="190">
        <v>163967000000</v>
      </c>
      <c r="P47" s="190">
        <v>131040000000</v>
      </c>
      <c r="Q47" s="190">
        <v>198366000000</v>
      </c>
      <c r="R47" s="190">
        <v>207130000000</v>
      </c>
      <c r="S47" s="190">
        <v>221246000000</v>
      </c>
      <c r="T47" s="190">
        <v>208384000000</v>
      </c>
      <c r="U47" s="190">
        <v>202724000000</v>
      </c>
      <c r="V47" s="190">
        <v>183762000000</v>
      </c>
      <c r="W47" s="190">
        <v>187176000000</v>
      </c>
      <c r="X47" s="190">
        <v>209989000000</v>
      </c>
      <c r="Y47" s="190">
        <v>215628000000</v>
      </c>
      <c r="Z47" s="190">
        <v>190169000000</v>
      </c>
      <c r="AA47" s="190">
        <v>172949000000</v>
      </c>
      <c r="AB47" s="190">
        <v>188502000000</v>
      </c>
      <c r="AC47" s="190">
        <v>177002000000</v>
      </c>
      <c r="AD47" s="190">
        <v>167358000000</v>
      </c>
      <c r="AE47" s="190">
        <v>171059000000</v>
      </c>
      <c r="AF47" s="190">
        <v>167772000000</v>
      </c>
      <c r="AG47" s="190">
        <v>132528000000</v>
      </c>
      <c r="AH47" s="190">
        <v>116965000000</v>
      </c>
      <c r="AI47" s="190">
        <v>112463000000</v>
      </c>
      <c r="AJ47" s="190">
        <v>127158000000</v>
      </c>
      <c r="AK47" s="190">
        <v>97749000000</v>
      </c>
      <c r="AL47" s="190">
        <v>92069000000</v>
      </c>
      <c r="AM47" s="190">
        <v>84673000000</v>
      </c>
      <c r="AN47" s="190">
        <v>70923000000</v>
      </c>
      <c r="AO47" s="190">
        <v>56667000000</v>
      </c>
      <c r="AP47" s="190">
        <v>103398000000</v>
      </c>
      <c r="AQ47" s="190">
        <v>126669000000</v>
      </c>
      <c r="AR47" s="190">
        <v>116817000000</v>
      </c>
      <c r="AS47" s="190">
        <v>93049000000</v>
      </c>
      <c r="AT47" s="190">
        <v>74045000000</v>
      </c>
      <c r="AU47" s="190">
        <v>69947000000</v>
      </c>
      <c r="AV47" s="190">
        <v>65438000000</v>
      </c>
      <c r="AW47" s="190">
        <v>52125000000</v>
      </c>
      <c r="AX47" s="190">
        <v>53872000000</v>
      </c>
      <c r="AY47" s="190">
        <v>50636000000</v>
      </c>
      <c r="AZ47" s="190">
        <v>48836000000</v>
      </c>
      <c r="BA47" s="190">
        <v>52967000000</v>
      </c>
      <c r="BB47" s="190">
        <v>32957000000</v>
      </c>
      <c r="BC47" s="190">
        <v>34152000000</v>
      </c>
      <c r="BD47" s="190">
        <v>29826000000</v>
      </c>
      <c r="BE47" s="190">
        <v>23792000000</v>
      </c>
      <c r="BF47" s="190">
        <v>24516000000</v>
      </c>
      <c r="BG47" s="190">
        <v>26277000000</v>
      </c>
      <c r="BH47" s="190">
        <v>23133000000</v>
      </c>
      <c r="BI47" s="190">
        <v>22704000000</v>
      </c>
      <c r="BJ47" s="190">
        <v>18308000000</v>
      </c>
      <c r="BK47" s="190">
        <v>17022000000</v>
      </c>
      <c r="BL47" s="190">
        <v>22218000000</v>
      </c>
      <c r="BM47" s="190">
        <v>19212000000</v>
      </c>
      <c r="BN47" s="190">
        <v>17540000000</v>
      </c>
      <c r="BO47" s="190">
        <v>17655000000</v>
      </c>
      <c r="BP47" s="190">
        <v>16808000000</v>
      </c>
      <c r="BQ47" s="190">
        <v>16793000000</v>
      </c>
      <c r="BR47" s="190">
        <v>13466000000</v>
      </c>
      <c r="BS47" s="190">
        <v>19403000000</v>
      </c>
      <c r="BT47" s="190">
        <v>0</v>
      </c>
    </row>
    <row r="48" spans="1:72" x14ac:dyDescent="0.25">
      <c r="A48" s="190" t="s">
        <v>152</v>
      </c>
      <c r="B48" s="190">
        <v>0</v>
      </c>
      <c r="C48" s="190">
        <v>0</v>
      </c>
      <c r="D48" s="190">
        <v>124548000000</v>
      </c>
      <c r="E48" s="190">
        <v>120734000000</v>
      </c>
      <c r="F48" s="190">
        <v>106321000000</v>
      </c>
      <c r="G48" s="190">
        <v>96039000000</v>
      </c>
      <c r="H48" s="190">
        <v>95104000000</v>
      </c>
      <c r="I48" s="190">
        <v>95928000000</v>
      </c>
      <c r="J48" s="190">
        <v>93757000000</v>
      </c>
      <c r="K48" s="190">
        <v>85968000000</v>
      </c>
      <c r="L48" s="190">
        <v>88080000000</v>
      </c>
      <c r="M48" s="190">
        <v>92649000000</v>
      </c>
      <c r="N48" s="190">
        <v>90770000000</v>
      </c>
      <c r="O48" s="190">
        <v>82573000000</v>
      </c>
      <c r="P48" s="190">
        <v>82831000000</v>
      </c>
      <c r="Q48" s="190">
        <v>89918000000</v>
      </c>
      <c r="R48" s="190">
        <v>86797000000</v>
      </c>
      <c r="S48" s="190">
        <v>75879000000</v>
      </c>
      <c r="T48" s="190">
        <v>74947000000</v>
      </c>
      <c r="U48" s="190">
        <v>81079000000</v>
      </c>
      <c r="V48" s="190">
        <v>76526000000</v>
      </c>
      <c r="W48" s="190">
        <v>62367000000</v>
      </c>
      <c r="X48" s="190">
        <v>62890000000</v>
      </c>
      <c r="Y48" s="190">
        <v>69299000000</v>
      </c>
      <c r="Z48" s="190">
        <v>64274000000</v>
      </c>
      <c r="AA48" s="190">
        <v>53494000000</v>
      </c>
      <c r="AB48" s="190">
        <v>54194000000</v>
      </c>
      <c r="AC48" s="190">
        <v>66686000000</v>
      </c>
      <c r="AD48" s="190">
        <v>56274000000</v>
      </c>
      <c r="AE48" s="190">
        <v>44977000000</v>
      </c>
      <c r="AF48" s="190">
        <v>47588000000</v>
      </c>
      <c r="AG48" s="190">
        <v>57324000000</v>
      </c>
      <c r="AH48" s="190">
        <v>47537000000</v>
      </c>
      <c r="AI48" s="190">
        <v>35600000000</v>
      </c>
      <c r="AJ48" s="190">
        <v>35231000000</v>
      </c>
      <c r="AK48" s="190">
        <v>37270000000</v>
      </c>
      <c r="AL48" s="190">
        <v>34472000000</v>
      </c>
      <c r="AM48" s="190">
        <v>27618000000</v>
      </c>
      <c r="AN48" s="190">
        <v>30718000000</v>
      </c>
      <c r="AO48" s="190">
        <v>29783000000</v>
      </c>
      <c r="AP48" s="190">
        <v>30844000000</v>
      </c>
      <c r="AQ48" s="190">
        <v>27448000000</v>
      </c>
      <c r="AR48" s="190">
        <v>26900000000</v>
      </c>
      <c r="AS48" s="190">
        <v>25082000000</v>
      </c>
      <c r="AT48" s="190">
        <v>24807000000</v>
      </c>
      <c r="AU48" s="190">
        <v>17296000000</v>
      </c>
      <c r="AV48" s="190">
        <v>17438000000</v>
      </c>
      <c r="AW48" s="190">
        <v>19689000000</v>
      </c>
      <c r="AX48" s="190">
        <v>19108000000</v>
      </c>
      <c r="AY48" s="190">
        <v>14624000000</v>
      </c>
      <c r="AZ48" s="190">
        <v>14520000000</v>
      </c>
      <c r="BA48" s="190">
        <v>14086000000</v>
      </c>
      <c r="BB48" s="190">
        <v>12965000000</v>
      </c>
      <c r="BC48" s="190">
        <v>9189000000</v>
      </c>
      <c r="BD48" s="190">
        <v>8977000000</v>
      </c>
      <c r="BE48" s="190">
        <v>8605000000</v>
      </c>
      <c r="BF48" s="190">
        <v>8086000000</v>
      </c>
      <c r="BG48" s="190">
        <v>5610000000</v>
      </c>
      <c r="BH48" s="190">
        <v>5408000000</v>
      </c>
      <c r="BI48" s="190">
        <v>5908000000</v>
      </c>
      <c r="BJ48" s="190">
        <v>4815000000</v>
      </c>
      <c r="BK48" s="190">
        <v>3839000000</v>
      </c>
      <c r="BL48" s="190">
        <v>3441000000</v>
      </c>
      <c r="BM48" s="190">
        <v>3767000000</v>
      </c>
      <c r="BN48" s="190">
        <v>4107000000</v>
      </c>
      <c r="BO48" s="190">
        <v>3075000000</v>
      </c>
      <c r="BP48" s="190">
        <v>3100000000</v>
      </c>
      <c r="BQ48" s="190">
        <v>2884000000</v>
      </c>
      <c r="BR48" s="190">
        <v>2754000000</v>
      </c>
      <c r="BS48" s="190">
        <v>2456000000</v>
      </c>
      <c r="BT48" s="190">
        <v>0</v>
      </c>
    </row>
    <row r="49" spans="1:72" x14ac:dyDescent="0.25">
      <c r="A49" s="190" t="s">
        <v>153</v>
      </c>
      <c r="B49" s="190">
        <v>0</v>
      </c>
      <c r="C49" s="190">
        <v>0</v>
      </c>
      <c r="D49" s="190">
        <v>0</v>
      </c>
      <c r="E49" s="190">
        <v>0</v>
      </c>
      <c r="F49" s="190">
        <v>0</v>
      </c>
      <c r="G49" s="190">
        <v>0</v>
      </c>
      <c r="H49" s="190">
        <v>0</v>
      </c>
      <c r="I49" s="190">
        <v>0</v>
      </c>
      <c r="J49" s="190">
        <v>0</v>
      </c>
      <c r="K49" s="190">
        <v>0</v>
      </c>
      <c r="L49" s="190">
        <v>0</v>
      </c>
      <c r="M49" s="190">
        <v>0</v>
      </c>
      <c r="N49" s="190">
        <v>0</v>
      </c>
      <c r="O49" s="190">
        <v>0</v>
      </c>
      <c r="P49" s="190">
        <v>0</v>
      </c>
      <c r="Q49" s="190">
        <v>0</v>
      </c>
      <c r="R49" s="190">
        <v>0</v>
      </c>
      <c r="S49" s="190">
        <v>0</v>
      </c>
      <c r="T49" s="190">
        <v>0</v>
      </c>
      <c r="U49" s="190">
        <v>0</v>
      </c>
      <c r="V49" s="190">
        <v>0</v>
      </c>
      <c r="W49" s="190">
        <v>0</v>
      </c>
      <c r="X49" s="190">
        <v>0</v>
      </c>
      <c r="Y49" s="190">
        <v>0</v>
      </c>
      <c r="Z49" s="190">
        <v>0</v>
      </c>
      <c r="AA49" s="190">
        <v>0</v>
      </c>
      <c r="AB49" s="190">
        <v>0</v>
      </c>
      <c r="AC49" s="190">
        <v>0</v>
      </c>
      <c r="AD49" s="190">
        <v>0</v>
      </c>
      <c r="AE49" s="190">
        <v>0</v>
      </c>
      <c r="AF49" s="190">
        <v>0</v>
      </c>
      <c r="AG49" s="190">
        <v>0</v>
      </c>
      <c r="AH49" s="190">
        <v>0</v>
      </c>
      <c r="AI49" s="190">
        <v>0</v>
      </c>
      <c r="AJ49" s="190">
        <v>0</v>
      </c>
      <c r="AK49" s="190">
        <v>0</v>
      </c>
      <c r="AL49" s="190">
        <v>0</v>
      </c>
      <c r="AM49" s="190">
        <v>0</v>
      </c>
      <c r="AN49" s="190">
        <v>0</v>
      </c>
      <c r="AO49" s="190">
        <v>0</v>
      </c>
      <c r="AP49" s="190">
        <v>0</v>
      </c>
      <c r="AQ49" s="190">
        <v>0</v>
      </c>
      <c r="AR49" s="190">
        <v>0</v>
      </c>
      <c r="AS49" s="190">
        <v>0</v>
      </c>
      <c r="AT49" s="190">
        <v>0</v>
      </c>
      <c r="AU49" s="190">
        <v>0</v>
      </c>
      <c r="AV49" s="190">
        <v>0</v>
      </c>
      <c r="AW49" s="190">
        <v>0</v>
      </c>
      <c r="AX49" s="190">
        <v>0</v>
      </c>
      <c r="AY49" s="190">
        <v>0</v>
      </c>
      <c r="AZ49" s="190">
        <v>0</v>
      </c>
      <c r="BA49" s="190">
        <v>0</v>
      </c>
      <c r="BB49" s="190">
        <v>0</v>
      </c>
      <c r="BC49" s="190">
        <v>0</v>
      </c>
      <c r="BD49" s="190">
        <v>0</v>
      </c>
      <c r="BE49" s="190">
        <v>0</v>
      </c>
      <c r="BF49" s="190">
        <v>0</v>
      </c>
      <c r="BG49" s="190">
        <v>0</v>
      </c>
      <c r="BH49" s="190">
        <v>0</v>
      </c>
      <c r="BI49" s="190">
        <v>0</v>
      </c>
      <c r="BJ49" s="190">
        <v>0</v>
      </c>
      <c r="BK49" s="190">
        <v>0</v>
      </c>
      <c r="BL49" s="190">
        <v>0</v>
      </c>
      <c r="BM49" s="190">
        <v>0</v>
      </c>
      <c r="BN49" s="190">
        <v>0</v>
      </c>
      <c r="BO49" s="190">
        <v>0</v>
      </c>
      <c r="BP49" s="190">
        <v>0</v>
      </c>
      <c r="BQ49" s="190">
        <v>0</v>
      </c>
      <c r="BR49" s="190">
        <v>0</v>
      </c>
      <c r="BS49" s="190">
        <v>0</v>
      </c>
      <c r="BT49" s="190">
        <v>0</v>
      </c>
    </row>
    <row r="50" spans="1:72" x14ac:dyDescent="0.25">
      <c r="A50" s="190" t="s">
        <v>154</v>
      </c>
      <c r="B50" s="190">
        <v>11922000000</v>
      </c>
      <c r="C50" s="190">
        <v>12467000000</v>
      </c>
      <c r="D50" s="190">
        <v>8425000000</v>
      </c>
      <c r="E50" s="190">
        <v>7162000000</v>
      </c>
      <c r="F50" s="190">
        <v>5710000000</v>
      </c>
      <c r="G50" s="190">
        <v>4190000000</v>
      </c>
      <c r="H50" s="190">
        <v>3621000000</v>
      </c>
      <c r="I50" s="190">
        <v>1618000000</v>
      </c>
      <c r="J50" s="190">
        <v>4549000000</v>
      </c>
      <c r="K50" s="190">
        <v>3619000000</v>
      </c>
      <c r="L50" s="190">
        <v>2736000000</v>
      </c>
      <c r="M50" s="190">
        <v>1185000000</v>
      </c>
      <c r="N50" s="190">
        <v>3781000000</v>
      </c>
      <c r="O50" s="190">
        <v>3366000000</v>
      </c>
      <c r="P50" s="190">
        <v>2398000000</v>
      </c>
      <c r="Q50" s="190">
        <v>839000000</v>
      </c>
      <c r="R50" s="190">
        <v>3463000000</v>
      </c>
      <c r="S50" s="190">
        <v>3120000000</v>
      </c>
      <c r="T50" s="190">
        <v>2267000000</v>
      </c>
      <c r="U50" s="190">
        <v>818000000</v>
      </c>
      <c r="V50" s="190">
        <v>2518000000</v>
      </c>
      <c r="W50" s="190">
        <v>3059000000</v>
      </c>
      <c r="X50" s="190">
        <v>2445000000</v>
      </c>
      <c r="Y50" s="190">
        <v>1838000000</v>
      </c>
      <c r="Z50" s="190">
        <v>2887000000</v>
      </c>
      <c r="AA50" s="190">
        <v>5985000000</v>
      </c>
      <c r="AB50" s="190">
        <v>4537000000</v>
      </c>
      <c r="AC50" s="190">
        <v>1795000000</v>
      </c>
      <c r="AD50" s="190">
        <v>12976000000</v>
      </c>
      <c r="AE50" s="190">
        <v>11238000000</v>
      </c>
      <c r="AF50" s="190">
        <v>9827000000</v>
      </c>
      <c r="AG50" s="190">
        <v>7444000000</v>
      </c>
      <c r="AH50" s="190">
        <v>9263000000</v>
      </c>
      <c r="AI50" s="190">
        <v>8714000000</v>
      </c>
      <c r="AJ50" s="190">
        <v>6244000000</v>
      </c>
      <c r="AK50" s="190">
        <v>4526000000</v>
      </c>
      <c r="AL50" s="190">
        <v>4469000000</v>
      </c>
      <c r="AM50" s="190">
        <v>3981000000</v>
      </c>
      <c r="AN50" s="190">
        <v>4359000000</v>
      </c>
      <c r="AO50" s="190">
        <v>1778000000</v>
      </c>
      <c r="AP50" s="190">
        <v>7414000000</v>
      </c>
      <c r="AQ50" s="190">
        <v>7091000000</v>
      </c>
      <c r="AR50" s="190">
        <v>5391000000</v>
      </c>
      <c r="AS50" s="190">
        <v>5905000000</v>
      </c>
      <c r="AT50" s="190">
        <v>7223000000</v>
      </c>
      <c r="AU50" s="190">
        <v>6267000000</v>
      </c>
      <c r="AV50" s="190">
        <v>4886000000</v>
      </c>
      <c r="AW50" s="190">
        <v>4163000000</v>
      </c>
      <c r="AX50" s="190">
        <v>4553000000</v>
      </c>
      <c r="AY50" s="190">
        <v>4443000000</v>
      </c>
      <c r="AZ50" s="190">
        <v>4085000000</v>
      </c>
      <c r="BA50" s="190">
        <v>4488000000</v>
      </c>
      <c r="BB50" s="190">
        <v>4949000000</v>
      </c>
      <c r="BC50" s="190">
        <v>4710000000</v>
      </c>
      <c r="BD50" s="190">
        <v>4533000000</v>
      </c>
      <c r="BE50" s="190">
        <v>4324000000</v>
      </c>
      <c r="BF50" s="190">
        <v>3689000000</v>
      </c>
      <c r="BG50" s="190">
        <v>3556000000</v>
      </c>
      <c r="BH50" s="190">
        <v>3008000000</v>
      </c>
      <c r="BI50" s="190">
        <v>3080000000</v>
      </c>
      <c r="BJ50" s="190">
        <v>4364000000</v>
      </c>
      <c r="BK50" s="190">
        <v>4011000000</v>
      </c>
      <c r="BL50" s="190">
        <v>2390000000</v>
      </c>
      <c r="BM50" s="190">
        <v>2471000000</v>
      </c>
      <c r="BN50" s="190">
        <v>2215000000</v>
      </c>
      <c r="BO50" s="190">
        <v>2236000000</v>
      </c>
      <c r="BP50" s="190">
        <v>1872000000</v>
      </c>
      <c r="BQ50" s="190">
        <v>1908000000</v>
      </c>
      <c r="BR50" s="190">
        <v>1585000000</v>
      </c>
      <c r="BS50" s="190">
        <v>1338000000</v>
      </c>
      <c r="BT50" s="190">
        <v>0</v>
      </c>
    </row>
    <row r="51" spans="1:72" x14ac:dyDescent="0.25">
      <c r="A51" s="190" t="s">
        <v>155</v>
      </c>
      <c r="B51" s="190">
        <v>43349000000</v>
      </c>
      <c r="C51" s="190">
        <v>39831000000</v>
      </c>
      <c r="D51" s="190">
        <v>45124000000</v>
      </c>
      <c r="E51" s="190">
        <v>71940000000</v>
      </c>
      <c r="F51" s="190">
        <v>39722000000</v>
      </c>
      <c r="G51" s="190">
        <v>31857000000</v>
      </c>
      <c r="H51" s="190">
        <v>44431000000</v>
      </c>
      <c r="I51" s="190">
        <v>52886000000</v>
      </c>
      <c r="J51" s="190">
        <v>33717000000</v>
      </c>
      <c r="K51" s="190">
        <v>30696000000</v>
      </c>
      <c r="L51" s="190">
        <v>26632000000</v>
      </c>
      <c r="M51" s="190">
        <v>32473000000</v>
      </c>
      <c r="N51" s="190">
        <v>29244000000</v>
      </c>
      <c r="O51" s="190">
        <v>30585000000</v>
      </c>
      <c r="P51" s="190">
        <v>28168000000</v>
      </c>
      <c r="Q51" s="190">
        <v>28677000000</v>
      </c>
      <c r="R51" s="190">
        <v>34821000000</v>
      </c>
      <c r="S51" s="190">
        <v>33227000000</v>
      </c>
      <c r="T51" s="190">
        <v>32515000000</v>
      </c>
      <c r="U51" s="190">
        <v>35888000000</v>
      </c>
      <c r="V51" s="190">
        <v>29264000000</v>
      </c>
      <c r="W51" s="190">
        <v>29829000000</v>
      </c>
      <c r="X51" s="190">
        <v>18521000000</v>
      </c>
      <c r="Y51" s="190">
        <v>21985000000</v>
      </c>
      <c r="Z51" s="190">
        <v>21271000000</v>
      </c>
      <c r="AA51" s="190">
        <v>16722000000</v>
      </c>
      <c r="AB51" s="190">
        <v>25176000000</v>
      </c>
      <c r="AC51" s="190">
        <v>39622000000</v>
      </c>
      <c r="AD51" s="190">
        <v>24543000000</v>
      </c>
      <c r="AE51" s="190">
        <v>24205000000</v>
      </c>
      <c r="AF51" s="190">
        <v>29167000000</v>
      </c>
      <c r="AG51" s="190">
        <v>33814000000</v>
      </c>
      <c r="AH51" s="190">
        <v>19073000000</v>
      </c>
      <c r="AI51" s="190">
        <v>17997000000</v>
      </c>
      <c r="AJ51" s="190">
        <v>15445000000</v>
      </c>
      <c r="AK51" s="190">
        <v>16489000000</v>
      </c>
      <c r="AL51" s="190">
        <v>11464000000</v>
      </c>
      <c r="AM51" s="190">
        <v>15246000000</v>
      </c>
      <c r="AN51" s="190">
        <v>19759000000</v>
      </c>
      <c r="AO51" s="190">
        <v>7057000000</v>
      </c>
      <c r="AP51" s="190">
        <v>907000000</v>
      </c>
      <c r="AQ51" s="190">
        <v>9324000000</v>
      </c>
      <c r="AR51" s="190">
        <v>17735000000</v>
      </c>
      <c r="AS51" s="190">
        <v>17562000000</v>
      </c>
      <c r="AT51" s="190">
        <v>16797000000</v>
      </c>
      <c r="AU51" s="190">
        <v>16620000000</v>
      </c>
      <c r="AV51" s="190">
        <v>19820000000</v>
      </c>
      <c r="AW51" s="190">
        <v>11348000000</v>
      </c>
      <c r="AX51" s="190">
        <v>5209000000</v>
      </c>
      <c r="AY51" s="190">
        <v>4105000000</v>
      </c>
      <c r="AZ51" s="190">
        <v>5430000000</v>
      </c>
      <c r="BA51" s="190">
        <v>5262000000</v>
      </c>
      <c r="BB51" s="190">
        <v>4695000000</v>
      </c>
      <c r="BC51" s="190">
        <v>3552000000</v>
      </c>
      <c r="BD51" s="190">
        <v>8274000000</v>
      </c>
      <c r="BE51" s="190">
        <v>6741000000</v>
      </c>
      <c r="BF51" s="190">
        <v>8113000000</v>
      </c>
      <c r="BG51" s="190">
        <v>6025000000</v>
      </c>
      <c r="BH51" s="190">
        <v>7623000000</v>
      </c>
      <c r="BI51" s="190">
        <v>6986000000</v>
      </c>
      <c r="BJ51" s="190">
        <v>4508000000</v>
      </c>
      <c r="BK51" s="190">
        <v>3937000000</v>
      </c>
      <c r="BL51" s="190">
        <v>4620000000</v>
      </c>
      <c r="BM51" s="190">
        <v>3380000000</v>
      </c>
      <c r="BN51" s="190">
        <v>4569000000</v>
      </c>
      <c r="BO51" s="190">
        <v>3053000000</v>
      </c>
      <c r="BP51" s="190">
        <v>4223000000</v>
      </c>
      <c r="BQ51" s="190">
        <v>3587000000</v>
      </c>
      <c r="BR51" s="190">
        <v>2328000000</v>
      </c>
      <c r="BS51" s="190">
        <v>4093000000</v>
      </c>
      <c r="BT51" s="190">
        <v>0</v>
      </c>
    </row>
    <row r="52" spans="1:72" x14ac:dyDescent="0.25">
      <c r="A52" s="190" t="s">
        <v>156</v>
      </c>
      <c r="B52" s="190">
        <v>1191000000</v>
      </c>
      <c r="C52" s="190">
        <v>0</v>
      </c>
      <c r="D52" s="190">
        <v>0</v>
      </c>
      <c r="E52" s="190">
        <v>0</v>
      </c>
      <c r="F52" s="190">
        <v>0</v>
      </c>
      <c r="G52" s="190">
        <v>0</v>
      </c>
      <c r="H52" s="190">
        <v>0</v>
      </c>
      <c r="I52" s="190">
        <v>0</v>
      </c>
      <c r="J52" s="190">
        <v>0</v>
      </c>
      <c r="K52" s="190">
        <v>0</v>
      </c>
      <c r="L52" s="190">
        <v>0</v>
      </c>
      <c r="M52" s="190">
        <v>0</v>
      </c>
      <c r="N52" s="190">
        <v>0</v>
      </c>
      <c r="O52" s="190">
        <v>0</v>
      </c>
      <c r="P52" s="190">
        <v>0</v>
      </c>
      <c r="Q52" s="190">
        <v>0</v>
      </c>
      <c r="R52" s="190">
        <v>0</v>
      </c>
      <c r="S52" s="190">
        <v>0</v>
      </c>
      <c r="T52" s="190">
        <v>0</v>
      </c>
      <c r="U52" s="190">
        <v>0</v>
      </c>
      <c r="V52" s="190">
        <v>0</v>
      </c>
      <c r="W52" s="190">
        <v>0</v>
      </c>
      <c r="X52" s="190">
        <v>0</v>
      </c>
      <c r="Y52" s="190">
        <v>0</v>
      </c>
      <c r="Z52" s="190">
        <v>0</v>
      </c>
      <c r="AA52" s="190">
        <v>0</v>
      </c>
      <c r="AB52" s="190">
        <v>0</v>
      </c>
      <c r="AC52" s="190">
        <v>0</v>
      </c>
      <c r="AD52" s="190">
        <v>0</v>
      </c>
      <c r="AE52" s="190">
        <v>0</v>
      </c>
      <c r="AF52" s="190">
        <v>0</v>
      </c>
      <c r="AG52" s="190">
        <v>0</v>
      </c>
      <c r="AH52" s="190">
        <v>0</v>
      </c>
      <c r="AI52" s="190">
        <v>0</v>
      </c>
      <c r="AJ52" s="190">
        <v>0</v>
      </c>
      <c r="AK52" s="190">
        <v>0</v>
      </c>
      <c r="AL52" s="190">
        <v>0</v>
      </c>
      <c r="AM52" s="190">
        <v>0</v>
      </c>
      <c r="AN52" s="190">
        <v>0</v>
      </c>
      <c r="AO52" s="190">
        <v>0</v>
      </c>
      <c r="AP52" s="190">
        <v>0</v>
      </c>
      <c r="AQ52" s="190">
        <v>0</v>
      </c>
      <c r="AR52" s="190">
        <v>0</v>
      </c>
      <c r="AS52" s="190">
        <v>0</v>
      </c>
      <c r="AT52" s="190">
        <v>0</v>
      </c>
      <c r="AU52" s="190">
        <v>0</v>
      </c>
      <c r="AV52" s="190">
        <v>0</v>
      </c>
      <c r="AW52" s="190">
        <v>0</v>
      </c>
      <c r="AX52" s="190">
        <v>0</v>
      </c>
      <c r="AY52" s="190">
        <v>0</v>
      </c>
      <c r="AZ52" s="190">
        <v>0</v>
      </c>
      <c r="BA52" s="190">
        <v>0</v>
      </c>
      <c r="BB52" s="190">
        <v>0</v>
      </c>
      <c r="BC52" s="190">
        <v>0</v>
      </c>
      <c r="BD52" s="190">
        <v>0</v>
      </c>
      <c r="BE52" s="190">
        <v>0</v>
      </c>
      <c r="BF52" s="190">
        <v>0</v>
      </c>
      <c r="BG52" s="190">
        <v>0</v>
      </c>
      <c r="BH52" s="190">
        <v>0</v>
      </c>
      <c r="BI52" s="190">
        <v>0</v>
      </c>
      <c r="BJ52" s="190">
        <v>0</v>
      </c>
      <c r="BK52" s="190">
        <v>0</v>
      </c>
      <c r="BL52" s="190">
        <v>0</v>
      </c>
      <c r="BM52" s="190">
        <v>0</v>
      </c>
      <c r="BN52" s="190">
        <v>0</v>
      </c>
      <c r="BO52" s="190">
        <v>0</v>
      </c>
      <c r="BP52" s="190">
        <v>0</v>
      </c>
      <c r="BQ52" s="190">
        <v>0</v>
      </c>
      <c r="BR52" s="190">
        <v>0</v>
      </c>
      <c r="BS52" s="190">
        <v>0</v>
      </c>
      <c r="BT52" s="190">
        <v>0</v>
      </c>
    </row>
    <row r="53" spans="1:72" x14ac:dyDescent="0.25">
      <c r="A53" s="190" t="s">
        <v>157</v>
      </c>
      <c r="B53" s="190">
        <v>660000000</v>
      </c>
      <c r="C53" s="190">
        <v>0</v>
      </c>
      <c r="D53" s="190">
        <v>6782000000</v>
      </c>
      <c r="E53" s="190">
        <v>6843000000</v>
      </c>
      <c r="F53" s="190">
        <v>2184000000</v>
      </c>
      <c r="G53" s="190">
        <v>22336000000</v>
      </c>
      <c r="H53" s="190">
        <v>0</v>
      </c>
      <c r="I53" s="190">
        <v>0</v>
      </c>
      <c r="J53" s="190">
        <v>0</v>
      </c>
      <c r="K53" s="190">
        <v>0</v>
      </c>
      <c r="L53" s="190">
        <v>0</v>
      </c>
      <c r="M53" s="190">
        <v>0</v>
      </c>
      <c r="N53" s="190">
        <v>0</v>
      </c>
      <c r="O53" s="190">
        <v>0</v>
      </c>
      <c r="P53" s="190">
        <v>0</v>
      </c>
      <c r="Q53" s="190">
        <v>0</v>
      </c>
      <c r="R53" s="190">
        <v>0</v>
      </c>
      <c r="S53" s="190">
        <v>0</v>
      </c>
      <c r="T53" s="190">
        <v>0</v>
      </c>
      <c r="U53" s="190">
        <v>0</v>
      </c>
      <c r="V53" s="190">
        <v>0</v>
      </c>
      <c r="W53" s="190">
        <v>0</v>
      </c>
      <c r="X53" s="190">
        <v>0</v>
      </c>
      <c r="Y53" s="190">
        <v>0</v>
      </c>
      <c r="Z53" s="190">
        <v>0</v>
      </c>
      <c r="AA53" s="190">
        <v>0</v>
      </c>
      <c r="AB53" s="190">
        <v>0</v>
      </c>
      <c r="AC53" s="190">
        <v>0</v>
      </c>
      <c r="AD53" s="190">
        <v>0</v>
      </c>
      <c r="AE53" s="190">
        <v>0</v>
      </c>
      <c r="AF53" s="190">
        <v>0</v>
      </c>
      <c r="AG53" s="190">
        <v>0</v>
      </c>
      <c r="AH53" s="190">
        <v>0</v>
      </c>
      <c r="AI53" s="190">
        <v>0</v>
      </c>
      <c r="AJ53" s="190">
        <v>0</v>
      </c>
      <c r="AK53" s="190">
        <v>0</v>
      </c>
      <c r="AL53" s="190">
        <v>0</v>
      </c>
      <c r="AM53" s="190">
        <v>0</v>
      </c>
      <c r="AN53" s="190">
        <v>0</v>
      </c>
      <c r="AO53" s="190">
        <v>0</v>
      </c>
      <c r="AP53" s="190">
        <v>0</v>
      </c>
      <c r="AQ53" s="190">
        <v>0</v>
      </c>
      <c r="AR53" s="190">
        <v>0</v>
      </c>
      <c r="AS53" s="190">
        <v>0</v>
      </c>
      <c r="AT53" s="190">
        <v>0</v>
      </c>
      <c r="AU53" s="190">
        <v>0</v>
      </c>
      <c r="AV53" s="190">
        <v>0</v>
      </c>
      <c r="AW53" s="190">
        <v>0</v>
      </c>
      <c r="AX53" s="190">
        <v>0</v>
      </c>
      <c r="AY53" s="190">
        <v>0</v>
      </c>
      <c r="AZ53" s="190">
        <v>0</v>
      </c>
      <c r="BA53" s="190">
        <v>0</v>
      </c>
      <c r="BB53" s="190">
        <v>0</v>
      </c>
      <c r="BC53" s="190">
        <v>0</v>
      </c>
      <c r="BD53" s="190">
        <v>0</v>
      </c>
      <c r="BE53" s="190">
        <v>0</v>
      </c>
      <c r="BF53" s="190">
        <v>0</v>
      </c>
      <c r="BG53" s="190">
        <v>0</v>
      </c>
      <c r="BH53" s="190">
        <v>0</v>
      </c>
      <c r="BI53" s="190">
        <v>0</v>
      </c>
      <c r="BJ53" s="190">
        <v>0</v>
      </c>
      <c r="BK53" s="190">
        <v>0</v>
      </c>
      <c r="BL53" s="190">
        <v>5202000000</v>
      </c>
      <c r="BM53" s="190">
        <v>5202000000</v>
      </c>
      <c r="BN53" s="190">
        <v>0</v>
      </c>
      <c r="BO53" s="190">
        <v>8670000000</v>
      </c>
      <c r="BP53" s="190">
        <v>6936000000</v>
      </c>
      <c r="BQ53" s="190">
        <v>6936000000</v>
      </c>
      <c r="BR53" s="190">
        <v>6712000000</v>
      </c>
      <c r="BS53" s="190">
        <v>6712000000</v>
      </c>
      <c r="BT53" s="190">
        <v>0</v>
      </c>
    </row>
    <row r="54" spans="1:72" x14ac:dyDescent="0.25">
      <c r="A54" s="190" t="s">
        <v>158</v>
      </c>
      <c r="B54" s="190">
        <v>94991000000</v>
      </c>
      <c r="C54" s="190">
        <v>88043000000</v>
      </c>
      <c r="D54" s="190">
        <v>75019000000</v>
      </c>
      <c r="E54" s="190">
        <v>84850000000</v>
      </c>
      <c r="F54" s="190">
        <v>66696000000</v>
      </c>
      <c r="G54" s="190">
        <v>64171000000</v>
      </c>
      <c r="H54" s="190">
        <v>66124000000</v>
      </c>
      <c r="I54" s="190">
        <v>79636000000</v>
      </c>
      <c r="J54" s="190">
        <v>58739000000</v>
      </c>
      <c r="K54" s="190">
        <v>63799000000</v>
      </c>
      <c r="L54" s="190">
        <v>60901000000</v>
      </c>
      <c r="M54" s="190">
        <v>86317000000</v>
      </c>
      <c r="N54" s="190">
        <v>55756000000</v>
      </c>
      <c r="O54" s="190">
        <v>67280000000</v>
      </c>
      <c r="P54" s="190">
        <v>61989000000</v>
      </c>
      <c r="Q54" s="190">
        <v>103302000000</v>
      </c>
      <c r="R54" s="190">
        <v>63751000000</v>
      </c>
      <c r="S54" s="190">
        <v>68100000000</v>
      </c>
      <c r="T54" s="190">
        <v>60569000000</v>
      </c>
      <c r="U54" s="190">
        <v>82917000000</v>
      </c>
      <c r="V54" s="190">
        <v>61812000000</v>
      </c>
      <c r="W54" s="190">
        <v>54676000000</v>
      </c>
      <c r="X54" s="190">
        <v>51023000000</v>
      </c>
      <c r="Y54" s="190">
        <v>61721000000</v>
      </c>
      <c r="Z54" s="190">
        <v>47925000000</v>
      </c>
      <c r="AA54" s="190">
        <v>53119000000</v>
      </c>
      <c r="AB54" s="190">
        <v>55696000000</v>
      </c>
      <c r="AC54" s="190">
        <v>57662000000</v>
      </c>
      <c r="AD54" s="190">
        <v>51282000000</v>
      </c>
      <c r="AE54" s="190">
        <v>55426000000</v>
      </c>
      <c r="AF54" s="190">
        <v>49099000000</v>
      </c>
      <c r="AG54" s="190">
        <v>54871000000</v>
      </c>
      <c r="AH54" s="190">
        <v>49312000000</v>
      </c>
      <c r="AI54" s="190">
        <v>47237000000</v>
      </c>
      <c r="AJ54" s="190">
        <v>44520000000</v>
      </c>
      <c r="AK54" s="190">
        <v>49676000000</v>
      </c>
      <c r="AL54" s="190">
        <v>50497000000</v>
      </c>
      <c r="AM54" s="190">
        <v>52924000000</v>
      </c>
      <c r="AN54" s="190">
        <v>39282000000</v>
      </c>
      <c r="AO54" s="190">
        <v>46972000000</v>
      </c>
      <c r="AP54" s="190">
        <v>44967000000</v>
      </c>
      <c r="AQ54" s="190">
        <v>65617000000</v>
      </c>
      <c r="AR54" s="190">
        <v>41443000000</v>
      </c>
      <c r="AS54" s="190">
        <v>47503000000</v>
      </c>
      <c r="AT54" s="190">
        <v>41239000000</v>
      </c>
      <c r="AU54" s="190">
        <v>41797000000</v>
      </c>
      <c r="AV54" s="190">
        <v>30069000000</v>
      </c>
      <c r="AW54" s="190">
        <v>36065000000</v>
      </c>
      <c r="AX54" s="190">
        <v>27357000000</v>
      </c>
      <c r="AY54" s="190">
        <v>30656000000</v>
      </c>
      <c r="AZ54" s="190">
        <v>21685000000</v>
      </c>
      <c r="BA54" s="190">
        <v>24161000000</v>
      </c>
      <c r="BB54" s="190">
        <v>26407000000</v>
      </c>
      <c r="BC54" s="190">
        <v>27384000000</v>
      </c>
      <c r="BD54" s="190">
        <v>23166000000</v>
      </c>
      <c r="BE54" s="190">
        <v>26459000000</v>
      </c>
      <c r="BF54" s="190">
        <v>23398000000</v>
      </c>
      <c r="BG54" s="190">
        <v>25334000000</v>
      </c>
      <c r="BH54" s="190">
        <v>26764000000</v>
      </c>
      <c r="BI54" s="190">
        <v>27537000000</v>
      </c>
      <c r="BJ54" s="190">
        <v>20714000000</v>
      </c>
      <c r="BK54" s="190">
        <v>21717000000</v>
      </c>
      <c r="BL54" s="190">
        <v>20297000000</v>
      </c>
      <c r="BM54" s="190">
        <v>19787000000</v>
      </c>
      <c r="BN54" s="190">
        <v>21062000000</v>
      </c>
      <c r="BO54" s="190">
        <v>21976000000</v>
      </c>
      <c r="BP54" s="190">
        <v>19993000000</v>
      </c>
      <c r="BQ54" s="190">
        <v>20112000000</v>
      </c>
      <c r="BR54" s="190">
        <v>22706000000</v>
      </c>
      <c r="BS54" s="190">
        <v>23122000000</v>
      </c>
      <c r="BT54" s="190">
        <v>0</v>
      </c>
    </row>
    <row r="55" spans="1:72" x14ac:dyDescent="0.25">
      <c r="A55" s="190" t="s">
        <v>159</v>
      </c>
      <c r="B55" s="190">
        <v>0</v>
      </c>
      <c r="C55" s="190">
        <v>0</v>
      </c>
      <c r="D55" s="190">
        <v>0</v>
      </c>
      <c r="E55" s="190">
        <v>0</v>
      </c>
      <c r="F55" s="190">
        <v>0</v>
      </c>
      <c r="G55" s="190">
        <v>0</v>
      </c>
      <c r="H55" s="190">
        <v>0</v>
      </c>
      <c r="I55" s="190">
        <v>0</v>
      </c>
      <c r="J55" s="190">
        <v>0</v>
      </c>
      <c r="K55" s="190">
        <v>0</v>
      </c>
      <c r="L55" s="190">
        <v>0</v>
      </c>
      <c r="M55" s="190">
        <v>0</v>
      </c>
      <c r="N55" s="190">
        <v>0</v>
      </c>
      <c r="O55" s="190">
        <v>0</v>
      </c>
      <c r="P55" s="190">
        <v>0</v>
      </c>
      <c r="Q55" s="190">
        <v>0</v>
      </c>
      <c r="R55" s="190">
        <v>0</v>
      </c>
      <c r="S55" s="190">
        <v>0</v>
      </c>
      <c r="T55" s="190">
        <v>0</v>
      </c>
      <c r="U55" s="190">
        <v>0</v>
      </c>
      <c r="V55" s="190">
        <v>0</v>
      </c>
      <c r="W55" s="190">
        <v>0</v>
      </c>
      <c r="X55" s="190">
        <v>0</v>
      </c>
      <c r="Y55" s="190">
        <v>0</v>
      </c>
      <c r="Z55" s="190">
        <v>0</v>
      </c>
      <c r="AA55" s="190">
        <v>0</v>
      </c>
      <c r="AB55" s="190">
        <v>0</v>
      </c>
      <c r="AC55" s="190">
        <v>0</v>
      </c>
      <c r="AD55" s="190">
        <v>0</v>
      </c>
      <c r="AE55" s="190">
        <v>0</v>
      </c>
      <c r="AF55" s="190">
        <v>0</v>
      </c>
      <c r="AG55" s="190">
        <v>0</v>
      </c>
      <c r="AH55" s="190">
        <v>0</v>
      </c>
      <c r="AI55" s="190">
        <v>0</v>
      </c>
      <c r="AJ55" s="190">
        <v>0</v>
      </c>
      <c r="AK55" s="190">
        <v>0</v>
      </c>
      <c r="AL55" s="190">
        <v>0</v>
      </c>
      <c r="AM55" s="190">
        <v>0</v>
      </c>
      <c r="AN55" s="190">
        <v>0</v>
      </c>
      <c r="AO55" s="190">
        <v>0</v>
      </c>
      <c r="AP55" s="190">
        <v>0</v>
      </c>
      <c r="AQ55" s="190">
        <v>0</v>
      </c>
      <c r="AR55" s="190">
        <v>0</v>
      </c>
      <c r="AS55" s="190">
        <v>0</v>
      </c>
      <c r="AT55" s="190">
        <v>0</v>
      </c>
      <c r="AU55" s="190">
        <v>0</v>
      </c>
      <c r="AV55" s="190">
        <v>0</v>
      </c>
      <c r="AW55" s="190">
        <v>264000000</v>
      </c>
      <c r="AX55" s="190">
        <v>1926000000</v>
      </c>
      <c r="AY55" s="190">
        <v>1483000000</v>
      </c>
      <c r="AZ55" s="190">
        <v>1979000000</v>
      </c>
      <c r="BA55" s="190">
        <v>512000000</v>
      </c>
      <c r="BB55" s="190">
        <v>1645000000</v>
      </c>
      <c r="BC55" s="190">
        <v>2395000000</v>
      </c>
      <c r="BD55" s="190">
        <v>1308000000</v>
      </c>
      <c r="BE55" s="190">
        <v>652000000</v>
      </c>
      <c r="BF55" s="190">
        <v>1895000000</v>
      </c>
      <c r="BG55" s="190">
        <v>2151000000</v>
      </c>
      <c r="BH55" s="190">
        <v>985000000</v>
      </c>
      <c r="BI55" s="190">
        <v>303000000</v>
      </c>
      <c r="BJ55" s="190">
        <v>978000000</v>
      </c>
      <c r="BK55" s="190">
        <v>1633000000</v>
      </c>
      <c r="BL55" s="190">
        <v>909000000</v>
      </c>
      <c r="BM55" s="190">
        <v>561000000</v>
      </c>
      <c r="BN55" s="190">
        <v>1060000000</v>
      </c>
      <c r="BO55" s="190">
        <v>1559000000</v>
      </c>
      <c r="BP55" s="190">
        <v>847000000</v>
      </c>
      <c r="BQ55" s="190">
        <v>873000000</v>
      </c>
      <c r="BR55" s="190">
        <v>1386000000</v>
      </c>
      <c r="BS55" s="190">
        <v>336000000</v>
      </c>
      <c r="BT55" s="190">
        <v>0</v>
      </c>
    </row>
    <row r="56" spans="1:72" x14ac:dyDescent="0.25">
      <c r="A56" s="190" t="s">
        <v>160</v>
      </c>
      <c r="B56" s="190">
        <v>0</v>
      </c>
      <c r="C56" s="190">
        <v>0</v>
      </c>
      <c r="D56" s="190">
        <v>0</v>
      </c>
      <c r="E56" s="190">
        <v>0</v>
      </c>
      <c r="F56" s="190">
        <v>0</v>
      </c>
      <c r="G56" s="190">
        <v>0</v>
      </c>
      <c r="H56" s="190">
        <v>0</v>
      </c>
      <c r="I56" s="190">
        <v>0</v>
      </c>
      <c r="J56" s="190">
        <v>0</v>
      </c>
      <c r="K56" s="190">
        <v>0</v>
      </c>
      <c r="L56" s="190">
        <v>0</v>
      </c>
      <c r="M56" s="190">
        <v>0</v>
      </c>
      <c r="N56" s="190">
        <v>0</v>
      </c>
      <c r="O56" s="190">
        <v>0</v>
      </c>
      <c r="P56" s="190">
        <v>0</v>
      </c>
      <c r="Q56" s="190">
        <v>0</v>
      </c>
      <c r="R56" s="190">
        <v>0</v>
      </c>
      <c r="S56" s="190">
        <v>0</v>
      </c>
      <c r="T56" s="190">
        <v>0</v>
      </c>
      <c r="U56" s="190">
        <v>0</v>
      </c>
      <c r="V56" s="190">
        <v>0</v>
      </c>
      <c r="W56" s="190">
        <v>0</v>
      </c>
      <c r="X56" s="190">
        <v>0</v>
      </c>
      <c r="Y56" s="190">
        <v>0</v>
      </c>
      <c r="Z56" s="190">
        <v>0</v>
      </c>
      <c r="AA56" s="190">
        <v>0</v>
      </c>
      <c r="AB56" s="190">
        <v>0</v>
      </c>
      <c r="AC56" s="190">
        <v>0</v>
      </c>
      <c r="AD56" s="190">
        <v>0</v>
      </c>
      <c r="AE56" s="190">
        <v>0</v>
      </c>
      <c r="AF56" s="190">
        <v>0</v>
      </c>
      <c r="AG56" s="190">
        <v>0</v>
      </c>
      <c r="AH56" s="190">
        <v>0</v>
      </c>
      <c r="AI56" s="190">
        <v>0</v>
      </c>
      <c r="AJ56" s="190">
        <v>0</v>
      </c>
      <c r="AK56" s="190">
        <v>0</v>
      </c>
      <c r="AL56" s="190">
        <v>0</v>
      </c>
      <c r="AM56" s="190">
        <v>0</v>
      </c>
      <c r="AN56" s="190">
        <v>0</v>
      </c>
      <c r="AO56" s="190">
        <v>0</v>
      </c>
      <c r="AP56" s="190">
        <v>0</v>
      </c>
      <c r="AQ56" s="190">
        <v>0</v>
      </c>
      <c r="AR56" s="190">
        <v>0</v>
      </c>
      <c r="AS56" s="190">
        <v>0</v>
      </c>
      <c r="AT56" s="190">
        <v>0</v>
      </c>
      <c r="AU56" s="190">
        <v>0</v>
      </c>
      <c r="AV56" s="190">
        <v>0</v>
      </c>
      <c r="AW56" s="190">
        <v>0</v>
      </c>
      <c r="AX56" s="190">
        <v>0</v>
      </c>
      <c r="AY56" s="190">
        <v>0</v>
      </c>
      <c r="AZ56" s="190">
        <v>0</v>
      </c>
      <c r="BA56" s="190">
        <v>0</v>
      </c>
      <c r="BB56" s="190">
        <v>0</v>
      </c>
      <c r="BC56" s="190">
        <v>0</v>
      </c>
      <c r="BD56" s="190">
        <v>0</v>
      </c>
      <c r="BE56" s="190">
        <v>0</v>
      </c>
      <c r="BF56" s="190">
        <v>0</v>
      </c>
      <c r="BG56" s="190">
        <v>0</v>
      </c>
      <c r="BH56" s="190">
        <v>0</v>
      </c>
      <c r="BI56" s="190">
        <v>0</v>
      </c>
      <c r="BJ56" s="190">
        <v>0</v>
      </c>
      <c r="BK56" s="190">
        <v>0</v>
      </c>
      <c r="BL56" s="190">
        <v>0</v>
      </c>
      <c r="BM56" s="190">
        <v>0</v>
      </c>
      <c r="BN56" s="190">
        <v>0</v>
      </c>
      <c r="BO56" s="190">
        <v>0</v>
      </c>
      <c r="BP56" s="190">
        <v>0</v>
      </c>
      <c r="BQ56" s="190">
        <v>0</v>
      </c>
      <c r="BR56" s="190">
        <v>0</v>
      </c>
      <c r="BS56" s="190">
        <v>0</v>
      </c>
      <c r="BT56" s="190">
        <v>0</v>
      </c>
    </row>
    <row r="57" spans="1:72" x14ac:dyDescent="0.25">
      <c r="A57" s="190" t="s">
        <v>161</v>
      </c>
      <c r="B57" s="190">
        <v>0</v>
      </c>
      <c r="C57" s="190">
        <v>0</v>
      </c>
      <c r="D57" s="190">
        <v>0</v>
      </c>
      <c r="E57" s="190">
        <v>0</v>
      </c>
      <c r="F57" s="190">
        <v>0</v>
      </c>
      <c r="G57" s="190">
        <v>0</v>
      </c>
      <c r="H57" s="190">
        <v>0</v>
      </c>
      <c r="I57" s="190">
        <v>6000000000</v>
      </c>
      <c r="J57" s="190">
        <v>6000000000</v>
      </c>
      <c r="K57" s="190">
        <v>10000000000</v>
      </c>
      <c r="L57" s="190">
        <v>30000000000</v>
      </c>
      <c r="M57" s="190">
        <v>30000000000</v>
      </c>
      <c r="N57" s="190">
        <v>30000000000</v>
      </c>
      <c r="O57" s="190">
        <v>0</v>
      </c>
      <c r="P57" s="190">
        <v>0</v>
      </c>
      <c r="Q57" s="190">
        <v>0</v>
      </c>
      <c r="R57" s="190">
        <v>10000000000</v>
      </c>
      <c r="S57" s="190">
        <v>10000000000</v>
      </c>
      <c r="T57" s="190">
        <v>10000000000</v>
      </c>
      <c r="U57" s="190">
        <v>10000000000</v>
      </c>
      <c r="V57" s="190">
        <v>10000000000</v>
      </c>
      <c r="W57" s="190">
        <v>10000000000</v>
      </c>
      <c r="X57" s="190">
        <v>25000000000</v>
      </c>
      <c r="Y57" s="190">
        <v>30000000000</v>
      </c>
      <c r="Z57" s="190">
        <v>25000000000</v>
      </c>
      <c r="AA57" s="190">
        <v>30000000000</v>
      </c>
      <c r="AB57" s="190">
        <v>30000000000</v>
      </c>
      <c r="AC57" s="190">
        <v>0</v>
      </c>
      <c r="AD57" s="190">
        <v>0</v>
      </c>
      <c r="AE57" s="190">
        <v>5000000000</v>
      </c>
      <c r="AF57" s="190">
        <v>6000000000</v>
      </c>
      <c r="AG57" s="190">
        <v>1000000000</v>
      </c>
      <c r="AH57" s="190">
        <v>16000000000</v>
      </c>
      <c r="AI57" s="190">
        <v>31000000000</v>
      </c>
      <c r="AJ57" s="190">
        <v>30000000000</v>
      </c>
      <c r="AK57" s="190">
        <v>31000000000</v>
      </c>
      <c r="AL57" s="190">
        <v>16000000000</v>
      </c>
      <c r="AM57" s="190">
        <v>0</v>
      </c>
      <c r="AN57" s="190">
        <v>0</v>
      </c>
      <c r="AO57" s="190">
        <v>15000000000</v>
      </c>
      <c r="AP57" s="190">
        <v>0</v>
      </c>
      <c r="AQ57" s="190">
        <v>0</v>
      </c>
      <c r="AR57" s="190">
        <v>10188000000</v>
      </c>
      <c r="AS57" s="190">
        <v>10074000000</v>
      </c>
      <c r="AT57" s="190">
        <v>2000000000</v>
      </c>
      <c r="AU57" s="190">
        <v>2000000000</v>
      </c>
      <c r="AV57" s="190">
        <v>11969000000</v>
      </c>
      <c r="AW57" s="190">
        <v>11885000000</v>
      </c>
      <c r="AX57" s="190">
        <v>10964000000</v>
      </c>
      <c r="AY57" s="190">
        <v>10891000000</v>
      </c>
      <c r="AZ57" s="190">
        <v>10966000000</v>
      </c>
      <c r="BA57" s="190">
        <v>9921000000</v>
      </c>
      <c r="BB57" s="190">
        <v>0</v>
      </c>
      <c r="BC57" s="190">
        <v>0</v>
      </c>
      <c r="BD57" s="190">
        <v>0</v>
      </c>
      <c r="BE57" s="190">
        <v>0</v>
      </c>
      <c r="BF57" s="190">
        <v>0</v>
      </c>
      <c r="BG57" s="190">
        <v>0</v>
      </c>
      <c r="BH57" s="190">
        <v>0</v>
      </c>
      <c r="BI57" s="190">
        <v>0</v>
      </c>
      <c r="BJ57" s="190">
        <v>0</v>
      </c>
      <c r="BK57" s="190">
        <v>0</v>
      </c>
      <c r="BL57" s="190">
        <v>0</v>
      </c>
      <c r="BM57" s="190">
        <v>0</v>
      </c>
      <c r="BN57" s="190">
        <v>0</v>
      </c>
      <c r="BO57" s="190">
        <v>0</v>
      </c>
      <c r="BP57" s="190">
        <v>0</v>
      </c>
      <c r="BQ57" s="190">
        <v>0</v>
      </c>
      <c r="BR57" s="190">
        <v>0</v>
      </c>
      <c r="BS57" s="190">
        <v>0</v>
      </c>
      <c r="BT57" s="190">
        <v>0</v>
      </c>
    </row>
    <row r="58" spans="1:72" x14ac:dyDescent="0.25">
      <c r="A58" s="190" t="s">
        <v>162</v>
      </c>
      <c r="B58" s="190">
        <v>24342000000</v>
      </c>
      <c r="C58" s="190">
        <v>20786000000</v>
      </c>
      <c r="D58" s="190">
        <v>27155000000</v>
      </c>
      <c r="E58" s="190">
        <v>26681000000</v>
      </c>
      <c r="F58" s="190">
        <v>22711000000</v>
      </c>
      <c r="G58" s="190">
        <v>25506000000</v>
      </c>
      <c r="H58" s="190">
        <v>36750000000</v>
      </c>
      <c r="I58" s="190">
        <v>38972000000</v>
      </c>
      <c r="J58" s="190">
        <v>24552000000</v>
      </c>
      <c r="K58" s="190">
        <v>25351000000</v>
      </c>
      <c r="L58" s="190">
        <v>12344000000</v>
      </c>
      <c r="M58" s="190">
        <v>11277000000</v>
      </c>
      <c r="N58" s="190">
        <v>10601000000</v>
      </c>
      <c r="O58" s="190">
        <v>7854000000</v>
      </c>
      <c r="P58" s="190">
        <v>13157000000</v>
      </c>
      <c r="Q58" s="190">
        <v>11890000000</v>
      </c>
      <c r="R58" s="190">
        <v>12306000000</v>
      </c>
      <c r="S58" s="190">
        <v>12468000000</v>
      </c>
      <c r="T58" s="190">
        <v>12636000000</v>
      </c>
      <c r="U58" s="190">
        <v>45749000000</v>
      </c>
      <c r="V58" s="190">
        <v>48130000000</v>
      </c>
      <c r="W58" s="190">
        <v>56040000000</v>
      </c>
      <c r="X58" s="190">
        <v>44719000000</v>
      </c>
      <c r="Y58" s="190">
        <v>15754000000</v>
      </c>
      <c r="Z58" s="190">
        <v>17882000000</v>
      </c>
      <c r="AA58" s="190">
        <v>14955000000</v>
      </c>
      <c r="AB58" s="190">
        <v>35818000000</v>
      </c>
      <c r="AC58" s="190">
        <v>43388000000</v>
      </c>
      <c r="AD58" s="190">
        <v>32962000000</v>
      </c>
      <c r="AE58" s="190">
        <v>33994000000</v>
      </c>
      <c r="AF58" s="190">
        <v>4981000000</v>
      </c>
      <c r="AG58" s="190">
        <v>5530000000</v>
      </c>
      <c r="AH58" s="190">
        <v>4659000000</v>
      </c>
      <c r="AI58" s="190">
        <v>3033000000</v>
      </c>
      <c r="AJ58" s="190">
        <v>3519000000</v>
      </c>
      <c r="AK58" s="190">
        <v>6641000000</v>
      </c>
      <c r="AL58" s="190">
        <v>7630000000</v>
      </c>
      <c r="AM58" s="190">
        <v>9438000000</v>
      </c>
      <c r="AN58" s="190">
        <v>14855000000</v>
      </c>
      <c r="AO58" s="190">
        <v>19511000000</v>
      </c>
      <c r="AP58" s="190">
        <v>21466000000</v>
      </c>
      <c r="AQ58" s="190">
        <v>18785000000</v>
      </c>
      <c r="AR58" s="190">
        <v>16215000000</v>
      </c>
      <c r="AS58" s="190">
        <v>13466000000</v>
      </c>
      <c r="AT58" s="190">
        <v>20257000000</v>
      </c>
      <c r="AU58" s="190">
        <v>20414000000</v>
      </c>
      <c r="AV58" s="190">
        <v>19699000000</v>
      </c>
      <c r="AW58" s="190">
        <v>16360000000</v>
      </c>
      <c r="AX58" s="190">
        <v>14748000000</v>
      </c>
      <c r="AY58" s="190">
        <v>14818000000</v>
      </c>
      <c r="AZ58" s="190">
        <v>11213000000</v>
      </c>
      <c r="BA58" s="190">
        <v>15198000000</v>
      </c>
      <c r="BB58" s="190">
        <v>6146000000</v>
      </c>
      <c r="BC58" s="190">
        <v>7245000000</v>
      </c>
      <c r="BD58" s="190">
        <v>14634000000</v>
      </c>
      <c r="BE58" s="190">
        <v>14298000000</v>
      </c>
      <c r="BF58" s="190">
        <v>9636000000</v>
      </c>
      <c r="BG58" s="190">
        <v>10895000000</v>
      </c>
      <c r="BH58" s="190">
        <v>7264000000</v>
      </c>
      <c r="BI58" s="190">
        <v>8175000000</v>
      </c>
      <c r="BJ58" s="190">
        <v>10246000000</v>
      </c>
      <c r="BK58" s="190">
        <v>8795000000</v>
      </c>
      <c r="BL58" s="190">
        <v>7262000000</v>
      </c>
      <c r="BM58" s="190">
        <v>8573000000</v>
      </c>
      <c r="BN58" s="190">
        <v>8835000000</v>
      </c>
      <c r="BO58" s="190">
        <v>10018000000</v>
      </c>
      <c r="BP58" s="190">
        <v>11098000000</v>
      </c>
      <c r="BQ58" s="190">
        <v>11296000000</v>
      </c>
      <c r="BR58" s="190">
        <v>7960000000</v>
      </c>
      <c r="BS58" s="190">
        <v>8010000000</v>
      </c>
      <c r="BT58" s="190">
        <v>0</v>
      </c>
    </row>
    <row r="59" spans="1:72" x14ac:dyDescent="0.25">
      <c r="A59" s="190" t="s">
        <v>163</v>
      </c>
      <c r="B59" s="190">
        <v>0</v>
      </c>
      <c r="C59" s="190">
        <v>0</v>
      </c>
      <c r="D59" s="190">
        <v>0</v>
      </c>
      <c r="E59" s="190">
        <v>0</v>
      </c>
      <c r="F59" s="190">
        <v>0</v>
      </c>
      <c r="G59" s="190">
        <v>0</v>
      </c>
      <c r="H59" s="190">
        <v>0</v>
      </c>
      <c r="I59" s="190">
        <v>0</v>
      </c>
      <c r="J59" s="190">
        <v>0</v>
      </c>
      <c r="K59" s="190">
        <v>0</v>
      </c>
      <c r="L59" s="190">
        <v>0</v>
      </c>
      <c r="M59" s="190">
        <v>0</v>
      </c>
      <c r="N59" s="190">
        <v>0</v>
      </c>
      <c r="O59" s="190">
        <v>0</v>
      </c>
      <c r="P59" s="190">
        <v>0</v>
      </c>
      <c r="Q59" s="190">
        <v>0</v>
      </c>
      <c r="R59" s="190">
        <v>0</v>
      </c>
      <c r="S59" s="190">
        <v>0</v>
      </c>
      <c r="T59" s="190">
        <v>0</v>
      </c>
      <c r="U59" s="190">
        <v>0</v>
      </c>
      <c r="V59" s="190">
        <v>0</v>
      </c>
      <c r="W59" s="190">
        <v>0</v>
      </c>
      <c r="X59" s="190">
        <v>0</v>
      </c>
      <c r="Y59" s="190">
        <v>0</v>
      </c>
      <c r="Z59" s="190">
        <v>0</v>
      </c>
      <c r="AA59" s="190">
        <v>0</v>
      </c>
      <c r="AB59" s="190">
        <v>0</v>
      </c>
      <c r="AC59" s="190">
        <v>0</v>
      </c>
      <c r="AD59" s="190">
        <v>0</v>
      </c>
      <c r="AE59" s="190">
        <v>0</v>
      </c>
      <c r="AF59" s="190">
        <v>0</v>
      </c>
      <c r="AG59" s="190">
        <v>0</v>
      </c>
      <c r="AH59" s="190">
        <v>0</v>
      </c>
      <c r="AI59" s="190">
        <v>0</v>
      </c>
      <c r="AJ59" s="190">
        <v>0</v>
      </c>
      <c r="AK59" s="190">
        <v>0</v>
      </c>
      <c r="AL59" s="190">
        <v>0</v>
      </c>
      <c r="AM59" s="190">
        <v>0</v>
      </c>
      <c r="AN59" s="190">
        <v>0</v>
      </c>
      <c r="AO59" s="190">
        <v>0</v>
      </c>
      <c r="AP59" s="190">
        <v>0</v>
      </c>
      <c r="AQ59" s="190">
        <v>0</v>
      </c>
      <c r="AR59" s="190">
        <v>0</v>
      </c>
      <c r="AS59" s="190">
        <v>0</v>
      </c>
      <c r="AT59" s="190">
        <v>0</v>
      </c>
      <c r="AU59" s="190">
        <v>0</v>
      </c>
      <c r="AV59" s="190">
        <v>0</v>
      </c>
      <c r="AW59" s="190">
        <v>0</v>
      </c>
      <c r="AX59" s="190">
        <v>0</v>
      </c>
      <c r="AY59" s="190">
        <v>0</v>
      </c>
      <c r="AZ59" s="190">
        <v>0</v>
      </c>
      <c r="BA59" s="190">
        <v>0</v>
      </c>
      <c r="BB59" s="190">
        <v>0</v>
      </c>
      <c r="BC59" s="190">
        <v>0</v>
      </c>
      <c r="BD59" s="190">
        <v>0</v>
      </c>
      <c r="BE59" s="190">
        <v>0</v>
      </c>
      <c r="BF59" s="190">
        <v>0</v>
      </c>
      <c r="BG59" s="190">
        <v>0</v>
      </c>
      <c r="BH59" s="190">
        <v>0</v>
      </c>
      <c r="BI59" s="190">
        <v>0</v>
      </c>
      <c r="BJ59" s="190">
        <v>0</v>
      </c>
      <c r="BK59" s="190">
        <v>0</v>
      </c>
      <c r="BL59" s="190">
        <v>0</v>
      </c>
      <c r="BM59" s="190">
        <v>0</v>
      </c>
      <c r="BN59" s="190">
        <v>0</v>
      </c>
      <c r="BO59" s="190">
        <v>0</v>
      </c>
      <c r="BP59" s="190">
        <v>0</v>
      </c>
      <c r="BQ59" s="190">
        <v>0</v>
      </c>
      <c r="BR59" s="190">
        <v>0</v>
      </c>
      <c r="BS59" s="190">
        <v>0</v>
      </c>
      <c r="BT59" s="190">
        <v>0</v>
      </c>
    </row>
    <row r="60" spans="1:72" x14ac:dyDescent="0.25">
      <c r="A60" s="190" t="s">
        <v>164</v>
      </c>
      <c r="B60" s="190">
        <v>620553000000</v>
      </c>
      <c r="C60" s="190">
        <v>577065000000</v>
      </c>
      <c r="D60" s="190">
        <v>529753000000</v>
      </c>
      <c r="E60" s="190">
        <v>579446000000</v>
      </c>
      <c r="F60" s="190">
        <v>451576000000</v>
      </c>
      <c r="G60" s="190">
        <v>462409000000</v>
      </c>
      <c r="H60" s="190">
        <v>439975000000</v>
      </c>
      <c r="I60" s="190">
        <v>485543000000</v>
      </c>
      <c r="J60" s="190">
        <v>407997000000</v>
      </c>
      <c r="K60" s="190">
        <v>445396000000</v>
      </c>
      <c r="L60" s="190">
        <v>408642000000</v>
      </c>
      <c r="M60" s="190">
        <v>462642000000</v>
      </c>
      <c r="N60" s="190">
        <v>442679000000</v>
      </c>
      <c r="O60" s="190">
        <v>506913000000</v>
      </c>
      <c r="P60" s="190">
        <v>482644000000</v>
      </c>
      <c r="Q60" s="190">
        <v>604257000000</v>
      </c>
      <c r="R60" s="190">
        <v>592721000000</v>
      </c>
      <c r="S60" s="190">
        <v>604951000000</v>
      </c>
      <c r="T60" s="190">
        <v>578559000000</v>
      </c>
      <c r="U60" s="190">
        <v>571822000000</v>
      </c>
      <c r="V60" s="190">
        <v>542070000000</v>
      </c>
      <c r="W60" s="190">
        <v>510354000000</v>
      </c>
      <c r="X60" s="190">
        <v>527798000000</v>
      </c>
      <c r="Y60" s="190">
        <v>493109000000</v>
      </c>
      <c r="Z60" s="190">
        <v>443452000000</v>
      </c>
      <c r="AA60" s="190">
        <v>438220000000</v>
      </c>
      <c r="AB60" s="190">
        <v>482245000000</v>
      </c>
      <c r="AC60" s="190">
        <v>429073000000</v>
      </c>
      <c r="AD60" s="190">
        <v>384264000000</v>
      </c>
      <c r="AE60" s="190">
        <v>385626000000</v>
      </c>
      <c r="AF60" s="190">
        <v>347491000000</v>
      </c>
      <c r="AG60" s="190">
        <v>325627000000</v>
      </c>
      <c r="AH60" s="190">
        <v>300151000000</v>
      </c>
      <c r="AI60" s="190">
        <v>301687000000</v>
      </c>
      <c r="AJ60" s="190">
        <v>328897000000</v>
      </c>
      <c r="AK60" s="190">
        <v>301362000000</v>
      </c>
      <c r="AL60" s="190">
        <v>292236000000</v>
      </c>
      <c r="AM60" s="190">
        <v>271006000000</v>
      </c>
      <c r="AN60" s="190">
        <v>261000000000</v>
      </c>
      <c r="AO60" s="190">
        <v>258233000000</v>
      </c>
      <c r="AP60" s="190">
        <v>337228000000</v>
      </c>
      <c r="AQ60" s="190">
        <v>339726000000</v>
      </c>
      <c r="AR60" s="190">
        <v>286216000000</v>
      </c>
      <c r="AS60" s="190">
        <v>261757000000</v>
      </c>
      <c r="AT60" s="190">
        <v>226937000000</v>
      </c>
      <c r="AU60" s="190">
        <v>226153000000</v>
      </c>
      <c r="AV60" s="190">
        <v>219475000000</v>
      </c>
      <c r="AW60" s="190">
        <v>207830000000</v>
      </c>
      <c r="AX60" s="190">
        <v>218604000000</v>
      </c>
      <c r="AY60" s="190">
        <v>211744000000</v>
      </c>
      <c r="AZ60" s="190">
        <v>177008000000</v>
      </c>
      <c r="BA60" s="190">
        <v>167792000000</v>
      </c>
      <c r="BB60" s="190">
        <v>151863000000</v>
      </c>
      <c r="BC60" s="190">
        <v>151747000000</v>
      </c>
      <c r="BD60" s="190">
        <v>146508000000</v>
      </c>
      <c r="BE60" s="190">
        <v>143910000000</v>
      </c>
      <c r="BF60" s="190">
        <v>130237000000</v>
      </c>
      <c r="BG60" s="190">
        <v>136314000000</v>
      </c>
      <c r="BH60" s="190">
        <v>121748000000</v>
      </c>
      <c r="BI60" s="190">
        <v>120792000000</v>
      </c>
      <c r="BJ60" s="190">
        <v>112396000000</v>
      </c>
      <c r="BK60" s="190">
        <v>117291000000</v>
      </c>
      <c r="BL60" s="190">
        <v>120785000000</v>
      </c>
      <c r="BM60" s="190">
        <v>115923000000</v>
      </c>
      <c r="BN60" s="190">
        <v>128075000000</v>
      </c>
      <c r="BO60" s="190">
        <v>134081000000</v>
      </c>
      <c r="BP60" s="190">
        <v>132749000000</v>
      </c>
      <c r="BQ60" s="190">
        <v>129361000000</v>
      </c>
      <c r="BR60" s="190">
        <v>140949000000</v>
      </c>
      <c r="BS60" s="190">
        <v>128153000000</v>
      </c>
      <c r="BT60" s="190">
        <v>0</v>
      </c>
    </row>
    <row r="61" spans="1:72" x14ac:dyDescent="0.25">
      <c r="A61" s="190" t="s">
        <v>165</v>
      </c>
    </row>
    <row r="62" spans="1:72" x14ac:dyDescent="0.25">
      <c r="A62" s="190" t="s">
        <v>166</v>
      </c>
      <c r="B62" s="190">
        <v>70972000000</v>
      </c>
      <c r="C62" s="190">
        <v>79274000000</v>
      </c>
      <c r="D62" s="190">
        <v>71724000000</v>
      </c>
      <c r="E62" s="190">
        <v>67754000000</v>
      </c>
      <c r="F62" s="190">
        <v>68934000000</v>
      </c>
      <c r="G62" s="190">
        <v>68045000000</v>
      </c>
      <c r="H62" s="190">
        <v>67858000000</v>
      </c>
      <c r="I62" s="190">
        <v>62461000000</v>
      </c>
      <c r="J62" s="190">
        <v>66561000000</v>
      </c>
      <c r="K62" s="190">
        <v>54404000000</v>
      </c>
      <c r="L62" s="190">
        <v>54499000000</v>
      </c>
      <c r="M62" s="190">
        <v>56493000000</v>
      </c>
      <c r="N62" s="190">
        <v>57619000000</v>
      </c>
      <c r="O62" s="190">
        <v>59232000000</v>
      </c>
      <c r="P62" s="190">
        <v>62897000000</v>
      </c>
      <c r="Q62" s="190">
        <v>67426000000</v>
      </c>
      <c r="R62" s="190">
        <v>56990000000</v>
      </c>
      <c r="S62" s="190">
        <v>45717000000</v>
      </c>
      <c r="T62" s="190">
        <v>45940000000</v>
      </c>
      <c r="U62" s="190">
        <v>46452000000</v>
      </c>
      <c r="V62" s="190">
        <v>42839000000</v>
      </c>
      <c r="W62" s="190">
        <v>41433000000</v>
      </c>
      <c r="X62" s="190">
        <v>40812000000</v>
      </c>
      <c r="Y62" s="190">
        <v>40267000000</v>
      </c>
      <c r="Z62" s="190">
        <v>46766000000</v>
      </c>
      <c r="AA62" s="190">
        <v>51997000000</v>
      </c>
      <c r="AB62" s="190">
        <v>51810000000</v>
      </c>
      <c r="AC62" s="190">
        <v>54320000000</v>
      </c>
      <c r="AD62" s="190">
        <v>57006000000</v>
      </c>
      <c r="AE62" s="190">
        <v>58351000000</v>
      </c>
      <c r="AF62" s="190">
        <v>59139000000</v>
      </c>
      <c r="AG62" s="190">
        <v>58895000000</v>
      </c>
      <c r="AH62" s="190">
        <v>59774000000</v>
      </c>
      <c r="AI62" s="190">
        <v>54819000000</v>
      </c>
      <c r="AJ62" s="190">
        <v>54714000000</v>
      </c>
      <c r="AK62" s="190">
        <v>52065000000</v>
      </c>
      <c r="AL62" s="190">
        <v>53609000000</v>
      </c>
      <c r="AM62" s="190">
        <v>59174000000</v>
      </c>
      <c r="AN62" s="190">
        <v>61404000000</v>
      </c>
      <c r="AO62" s="190">
        <v>64937000000</v>
      </c>
      <c r="AP62" s="190">
        <v>68963000000</v>
      </c>
      <c r="AQ62" s="190">
        <v>75920000000</v>
      </c>
      <c r="AR62" s="190">
        <v>74769000000</v>
      </c>
      <c r="AS62" s="190">
        <v>77708000000</v>
      </c>
      <c r="AT62" s="190">
        <v>85347000000</v>
      </c>
      <c r="AU62" s="190">
        <v>87215000000</v>
      </c>
      <c r="AV62" s="190">
        <v>90851000000</v>
      </c>
      <c r="AW62" s="190">
        <v>105565000000</v>
      </c>
      <c r="AX62" s="190">
        <v>102580000000</v>
      </c>
      <c r="AY62" s="190">
        <v>104232000000</v>
      </c>
      <c r="AZ62" s="190">
        <v>104381000000</v>
      </c>
      <c r="BA62" s="190">
        <v>103492000000</v>
      </c>
      <c r="BB62" s="190">
        <v>112664000000</v>
      </c>
      <c r="BC62" s="190">
        <v>110099000000</v>
      </c>
      <c r="BD62" s="190">
        <v>102475000000</v>
      </c>
      <c r="BE62" s="190">
        <v>94087000000</v>
      </c>
      <c r="BF62" s="190">
        <v>88100000000</v>
      </c>
      <c r="BG62" s="190">
        <v>82038000000</v>
      </c>
      <c r="BH62" s="190">
        <v>82888000000</v>
      </c>
      <c r="BI62" s="190">
        <v>79221000000</v>
      </c>
      <c r="BJ62" s="190">
        <v>76993000000</v>
      </c>
      <c r="BK62" s="190">
        <v>79019000000</v>
      </c>
      <c r="BL62" s="190">
        <v>79509000000</v>
      </c>
      <c r="BM62" s="190">
        <v>73708000000</v>
      </c>
      <c r="BN62" s="190">
        <v>66330000000</v>
      </c>
      <c r="BO62" s="190">
        <v>68968000000</v>
      </c>
      <c r="BP62" s="190">
        <v>65819000000</v>
      </c>
      <c r="BQ62" s="190">
        <v>65501000000</v>
      </c>
      <c r="BR62" s="190">
        <v>68921000000</v>
      </c>
      <c r="BS62" s="190">
        <v>65904000000</v>
      </c>
      <c r="BT62" s="190">
        <v>0</v>
      </c>
    </row>
    <row r="63" spans="1:72" x14ac:dyDescent="0.25">
      <c r="A63" s="190" t="s">
        <v>167</v>
      </c>
      <c r="B63" s="190">
        <v>31977000000</v>
      </c>
      <c r="C63" s="190">
        <v>31518000000</v>
      </c>
      <c r="D63" s="190">
        <v>30944000000</v>
      </c>
      <c r="E63" s="190">
        <v>31370000000</v>
      </c>
      <c r="F63" s="190">
        <v>47547000000</v>
      </c>
      <c r="G63" s="190">
        <v>47784000000</v>
      </c>
      <c r="H63" s="190">
        <v>54887000000</v>
      </c>
      <c r="I63" s="190">
        <v>54985000000</v>
      </c>
      <c r="J63" s="190">
        <v>65771000000</v>
      </c>
      <c r="K63" s="190">
        <v>65638000000</v>
      </c>
      <c r="L63" s="190">
        <v>83169000000</v>
      </c>
      <c r="M63" s="190">
        <v>83253000000</v>
      </c>
      <c r="N63" s="190">
        <v>62886000000</v>
      </c>
      <c r="O63" s="190">
        <v>62205000000</v>
      </c>
      <c r="P63" s="190">
        <v>66926000000</v>
      </c>
      <c r="Q63" s="190">
        <v>83506000000</v>
      </c>
      <c r="R63" s="190">
        <v>89854000000</v>
      </c>
      <c r="S63" s="190">
        <v>89705000000</v>
      </c>
      <c r="T63" s="190">
        <v>99797000000</v>
      </c>
      <c r="U63" s="190">
        <v>99138000000</v>
      </c>
      <c r="V63" s="190">
        <v>99532000000</v>
      </c>
      <c r="W63" s="190">
        <v>100234000000</v>
      </c>
      <c r="X63" s="190">
        <v>91920000000</v>
      </c>
      <c r="Y63" s="190">
        <v>121849000000</v>
      </c>
      <c r="Z63" s="190">
        <v>120092000000</v>
      </c>
      <c r="AA63" s="190">
        <v>120074000000</v>
      </c>
      <c r="AB63" s="190">
        <v>100386000000</v>
      </c>
      <c r="AC63" s="190">
        <v>100137000000</v>
      </c>
      <c r="AD63" s="190">
        <v>105439000000</v>
      </c>
      <c r="AE63" s="190">
        <v>105096000000</v>
      </c>
      <c r="AF63" s="190">
        <v>134945000000</v>
      </c>
      <c r="AG63" s="190">
        <v>115180000000</v>
      </c>
      <c r="AH63" s="190">
        <v>114558000000</v>
      </c>
      <c r="AI63" s="190">
        <v>114262000000</v>
      </c>
      <c r="AJ63" s="190">
        <v>93894000000</v>
      </c>
      <c r="AK63" s="190">
        <v>93763000000</v>
      </c>
      <c r="AL63" s="190">
        <v>93498000000</v>
      </c>
      <c r="AM63" s="190">
        <v>92983000000</v>
      </c>
      <c r="AN63" s="190">
        <v>72522000000</v>
      </c>
      <c r="AO63" s="190">
        <v>62207000000</v>
      </c>
      <c r="AP63" s="190">
        <v>62033000000</v>
      </c>
      <c r="AQ63" s="190">
        <v>62479000000</v>
      </c>
      <c r="AR63" s="190">
        <v>62108000000</v>
      </c>
      <c r="AS63" s="190">
        <v>42606000000</v>
      </c>
      <c r="AT63" s="190">
        <v>21207000000</v>
      </c>
      <c r="AU63" s="190">
        <v>20667000000</v>
      </c>
      <c r="AV63" s="190">
        <v>3500000000</v>
      </c>
      <c r="AW63" s="190">
        <v>3500000000</v>
      </c>
      <c r="AX63" s="190">
        <v>3500000000</v>
      </c>
      <c r="AY63" s="190">
        <v>3500000000</v>
      </c>
      <c r="AZ63" s="190">
        <v>3500000000</v>
      </c>
      <c r="BA63" s="190">
        <v>3500000000</v>
      </c>
      <c r="BB63" s="190">
        <v>3500000000</v>
      </c>
      <c r="BC63" s="190">
        <v>3500000000</v>
      </c>
      <c r="BD63" s="190">
        <v>3500000000</v>
      </c>
      <c r="BE63" s="190">
        <v>3500000000</v>
      </c>
      <c r="BF63" s="190">
        <v>3500000000</v>
      </c>
      <c r="BG63" s="190">
        <v>3500000000</v>
      </c>
      <c r="BH63" s="190">
        <v>3500000000</v>
      </c>
      <c r="BI63" s="190">
        <v>0</v>
      </c>
      <c r="BJ63" s="190">
        <v>0</v>
      </c>
      <c r="BK63" s="190">
        <v>1500000000</v>
      </c>
      <c r="BL63" s="190">
        <v>1500000000</v>
      </c>
      <c r="BM63" s="190">
        <v>1500000000</v>
      </c>
      <c r="BN63" s="190">
        <v>1500000000</v>
      </c>
      <c r="BO63" s="190">
        <v>1500000000</v>
      </c>
      <c r="BP63" s="190">
        <v>1500000000</v>
      </c>
      <c r="BQ63" s="190">
        <v>1500000000</v>
      </c>
      <c r="BR63" s="190">
        <v>2770000000</v>
      </c>
      <c r="BS63" s="190">
        <v>2770000000</v>
      </c>
      <c r="BT63" s="190">
        <v>0</v>
      </c>
    </row>
    <row r="64" spans="1:72" x14ac:dyDescent="0.25">
      <c r="A64" s="190" t="s">
        <v>168</v>
      </c>
      <c r="B64" s="190">
        <v>0</v>
      </c>
      <c r="C64" s="190">
        <v>0</v>
      </c>
      <c r="D64" s="190">
        <v>0</v>
      </c>
      <c r="E64" s="190">
        <v>0</v>
      </c>
      <c r="F64" s="190">
        <v>0</v>
      </c>
      <c r="G64" s="190">
        <v>0</v>
      </c>
      <c r="H64" s="190">
        <v>0</v>
      </c>
      <c r="I64" s="190">
        <v>0</v>
      </c>
      <c r="J64" s="190">
        <v>0</v>
      </c>
      <c r="K64" s="190">
        <v>0</v>
      </c>
      <c r="L64" s="190">
        <v>0</v>
      </c>
      <c r="M64" s="190">
        <v>0</v>
      </c>
      <c r="N64" s="190">
        <v>0</v>
      </c>
      <c r="O64" s="190">
        <v>0</v>
      </c>
      <c r="P64" s="190">
        <v>0</v>
      </c>
      <c r="Q64" s="190">
        <v>0</v>
      </c>
      <c r="R64" s="190">
        <v>0</v>
      </c>
      <c r="S64" s="190">
        <v>0</v>
      </c>
      <c r="T64" s="190">
        <v>0</v>
      </c>
      <c r="U64" s="190">
        <v>0</v>
      </c>
      <c r="V64" s="190">
        <v>0</v>
      </c>
      <c r="W64" s="190">
        <v>0</v>
      </c>
      <c r="X64" s="190">
        <v>0</v>
      </c>
      <c r="Y64" s="190">
        <v>0</v>
      </c>
      <c r="Z64" s="190">
        <v>0</v>
      </c>
      <c r="AA64" s="190">
        <v>0</v>
      </c>
      <c r="AB64" s="190">
        <v>0</v>
      </c>
      <c r="AC64" s="190">
        <v>0</v>
      </c>
      <c r="AD64" s="190">
        <v>0</v>
      </c>
      <c r="AE64" s="190">
        <v>0</v>
      </c>
      <c r="AF64" s="190">
        <v>0</v>
      </c>
      <c r="AG64" s="190">
        <v>0</v>
      </c>
      <c r="AH64" s="190">
        <v>0</v>
      </c>
      <c r="AI64" s="190">
        <v>0</v>
      </c>
      <c r="AJ64" s="190">
        <v>0</v>
      </c>
      <c r="AK64" s="190">
        <v>0</v>
      </c>
      <c r="AL64" s="190">
        <v>0</v>
      </c>
      <c r="AM64" s="190">
        <v>0</v>
      </c>
      <c r="AN64" s="190">
        <v>0</v>
      </c>
      <c r="AO64" s="190">
        <v>0</v>
      </c>
      <c r="AP64" s="190">
        <v>0</v>
      </c>
      <c r="AQ64" s="190">
        <v>0</v>
      </c>
      <c r="AR64" s="190">
        <v>0</v>
      </c>
      <c r="AS64" s="190">
        <v>0</v>
      </c>
      <c r="AT64" s="190">
        <v>0</v>
      </c>
      <c r="AU64" s="190">
        <v>0</v>
      </c>
      <c r="AV64" s="190">
        <v>0</v>
      </c>
      <c r="AW64" s="190">
        <v>0</v>
      </c>
      <c r="AX64" s="190">
        <v>0</v>
      </c>
      <c r="AY64" s="190">
        <v>0</v>
      </c>
      <c r="AZ64" s="190">
        <v>0</v>
      </c>
      <c r="BA64" s="190">
        <v>0</v>
      </c>
      <c r="BB64" s="190">
        <v>0</v>
      </c>
      <c r="BC64" s="190">
        <v>0</v>
      </c>
      <c r="BD64" s="190">
        <v>0</v>
      </c>
      <c r="BE64" s="190">
        <v>0</v>
      </c>
      <c r="BF64" s="190">
        <v>0</v>
      </c>
      <c r="BG64" s="190">
        <v>0</v>
      </c>
      <c r="BH64" s="190">
        <v>0</v>
      </c>
      <c r="BI64" s="190">
        <v>0</v>
      </c>
      <c r="BJ64" s="190">
        <v>0</v>
      </c>
      <c r="BK64" s="190">
        <v>0</v>
      </c>
      <c r="BL64" s="190">
        <v>0</v>
      </c>
      <c r="BM64" s="190">
        <v>0</v>
      </c>
      <c r="BN64" s="190">
        <v>0</v>
      </c>
      <c r="BO64" s="190">
        <v>0</v>
      </c>
      <c r="BP64" s="190">
        <v>0</v>
      </c>
      <c r="BQ64" s="190">
        <v>0</v>
      </c>
      <c r="BR64" s="190">
        <v>0</v>
      </c>
      <c r="BS64" s="190">
        <v>0</v>
      </c>
      <c r="BT64" s="190">
        <v>0</v>
      </c>
    </row>
    <row r="65" spans="1:72" x14ac:dyDescent="0.25">
      <c r="A65" s="190" t="s">
        <v>169</v>
      </c>
      <c r="B65" s="190">
        <v>0</v>
      </c>
      <c r="C65" s="190">
        <v>0</v>
      </c>
      <c r="D65" s="190">
        <v>0</v>
      </c>
      <c r="E65" s="190">
        <v>0</v>
      </c>
      <c r="F65" s="190">
        <v>0</v>
      </c>
      <c r="G65" s="190">
        <v>0</v>
      </c>
      <c r="H65" s="190">
        <v>0</v>
      </c>
      <c r="I65" s="190">
        <v>0</v>
      </c>
      <c r="J65" s="190">
        <v>0</v>
      </c>
      <c r="K65" s="190">
        <v>0</v>
      </c>
      <c r="L65" s="190">
        <v>0</v>
      </c>
      <c r="M65" s="190">
        <v>0</v>
      </c>
      <c r="N65" s="190">
        <v>0</v>
      </c>
      <c r="O65" s="190">
        <v>0</v>
      </c>
      <c r="P65" s="190">
        <v>0</v>
      </c>
      <c r="Q65" s="190">
        <v>0</v>
      </c>
      <c r="R65" s="190">
        <v>0</v>
      </c>
      <c r="S65" s="190">
        <v>0</v>
      </c>
      <c r="T65" s="190">
        <v>0</v>
      </c>
      <c r="U65" s="190">
        <v>0</v>
      </c>
      <c r="V65" s="190">
        <v>0</v>
      </c>
      <c r="W65" s="190">
        <v>0</v>
      </c>
      <c r="X65" s="190">
        <v>0</v>
      </c>
      <c r="Y65" s="190">
        <v>0</v>
      </c>
      <c r="Z65" s="190">
        <v>0</v>
      </c>
      <c r="AA65" s="190">
        <v>0</v>
      </c>
      <c r="AB65" s="190">
        <v>0</v>
      </c>
      <c r="AC65" s="190">
        <v>0</v>
      </c>
      <c r="AD65" s="190">
        <v>0</v>
      </c>
      <c r="AE65" s="190">
        <v>0</v>
      </c>
      <c r="AF65" s="190">
        <v>0</v>
      </c>
      <c r="AG65" s="190">
        <v>0</v>
      </c>
      <c r="AH65" s="190">
        <v>0</v>
      </c>
      <c r="AI65" s="190">
        <v>0</v>
      </c>
      <c r="AJ65" s="190">
        <v>0</v>
      </c>
      <c r="AK65" s="190">
        <v>0</v>
      </c>
      <c r="AL65" s="190">
        <v>0</v>
      </c>
      <c r="AM65" s="190">
        <v>0</v>
      </c>
      <c r="AN65" s="190">
        <v>0</v>
      </c>
      <c r="AO65" s="190">
        <v>0</v>
      </c>
      <c r="AP65" s="190">
        <v>0</v>
      </c>
      <c r="AQ65" s="190">
        <v>0</v>
      </c>
      <c r="AR65" s="190">
        <v>0</v>
      </c>
      <c r="AS65" s="190">
        <v>0</v>
      </c>
      <c r="AT65" s="190">
        <v>0</v>
      </c>
      <c r="AU65" s="190">
        <v>0</v>
      </c>
      <c r="AV65" s="190">
        <v>0</v>
      </c>
      <c r="AW65" s="190">
        <v>0</v>
      </c>
      <c r="AX65" s="190">
        <v>0</v>
      </c>
      <c r="AY65" s="190">
        <v>0</v>
      </c>
      <c r="AZ65" s="190">
        <v>0</v>
      </c>
      <c r="BA65" s="190">
        <v>0</v>
      </c>
      <c r="BB65" s="190">
        <v>0</v>
      </c>
      <c r="BC65" s="190">
        <v>0</v>
      </c>
      <c r="BD65" s="190">
        <v>0</v>
      </c>
      <c r="BE65" s="190">
        <v>0</v>
      </c>
      <c r="BF65" s="190">
        <v>0</v>
      </c>
      <c r="BG65" s="190">
        <v>0</v>
      </c>
      <c r="BH65" s="190">
        <v>0</v>
      </c>
      <c r="BI65" s="190">
        <v>0</v>
      </c>
      <c r="BJ65" s="190">
        <v>0</v>
      </c>
      <c r="BK65" s="190">
        <v>0</v>
      </c>
      <c r="BL65" s="190">
        <v>0</v>
      </c>
      <c r="BM65" s="190">
        <v>0</v>
      </c>
      <c r="BN65" s="190">
        <v>0</v>
      </c>
      <c r="BO65" s="190">
        <v>0</v>
      </c>
      <c r="BP65" s="190">
        <v>0</v>
      </c>
      <c r="BQ65" s="190">
        <v>0</v>
      </c>
      <c r="BR65" s="190">
        <v>0</v>
      </c>
      <c r="BS65" s="190">
        <v>0</v>
      </c>
      <c r="BT65" s="190">
        <v>0</v>
      </c>
    </row>
    <row r="66" spans="1:72" x14ac:dyDescent="0.25">
      <c r="A66" s="190" t="s">
        <v>170</v>
      </c>
      <c r="B66" s="190">
        <v>0</v>
      </c>
      <c r="C66" s="190">
        <v>0</v>
      </c>
      <c r="D66" s="190">
        <v>0</v>
      </c>
      <c r="E66" s="190">
        <v>0</v>
      </c>
      <c r="F66" s="190">
        <v>0</v>
      </c>
      <c r="G66" s="190">
        <v>0</v>
      </c>
      <c r="H66" s="190">
        <v>0</v>
      </c>
      <c r="I66" s="190">
        <v>0</v>
      </c>
      <c r="J66" s="190">
        <v>0</v>
      </c>
      <c r="K66" s="190">
        <v>0</v>
      </c>
      <c r="L66" s="190">
        <v>0</v>
      </c>
      <c r="M66" s="190">
        <v>0</v>
      </c>
      <c r="N66" s="190">
        <v>0</v>
      </c>
      <c r="O66" s="190">
        <v>0</v>
      </c>
      <c r="P66" s="190">
        <v>0</v>
      </c>
      <c r="Q66" s="190">
        <v>0</v>
      </c>
      <c r="R66" s="190">
        <v>0</v>
      </c>
      <c r="S66" s="190">
        <v>0</v>
      </c>
      <c r="T66" s="190">
        <v>0</v>
      </c>
      <c r="U66" s="190">
        <v>0</v>
      </c>
      <c r="V66" s="190">
        <v>0</v>
      </c>
      <c r="W66" s="190">
        <v>0</v>
      </c>
      <c r="X66" s="190">
        <v>0</v>
      </c>
      <c r="Y66" s="190">
        <v>0</v>
      </c>
      <c r="Z66" s="190">
        <v>0</v>
      </c>
      <c r="AA66" s="190">
        <v>0</v>
      </c>
      <c r="AB66" s="190">
        <v>0</v>
      </c>
      <c r="AC66" s="190">
        <v>0</v>
      </c>
      <c r="AD66" s="190">
        <v>0</v>
      </c>
      <c r="AE66" s="190">
        <v>0</v>
      </c>
      <c r="AF66" s="190">
        <v>0</v>
      </c>
      <c r="AG66" s="190">
        <v>0</v>
      </c>
      <c r="AH66" s="190">
        <v>0</v>
      </c>
      <c r="AI66" s="190">
        <v>0</v>
      </c>
      <c r="AJ66" s="190">
        <v>0</v>
      </c>
      <c r="AK66" s="190">
        <v>0</v>
      </c>
      <c r="AL66" s="190">
        <v>0</v>
      </c>
      <c r="AM66" s="190">
        <v>0</v>
      </c>
      <c r="AN66" s="190">
        <v>0</v>
      </c>
      <c r="AO66" s="190">
        <v>0</v>
      </c>
      <c r="AP66" s="190">
        <v>0</v>
      </c>
      <c r="AQ66" s="190">
        <v>0</v>
      </c>
      <c r="AR66" s="190">
        <v>0</v>
      </c>
      <c r="AS66" s="190">
        <v>0</v>
      </c>
      <c r="AT66" s="190">
        <v>0</v>
      </c>
      <c r="AU66" s="190">
        <v>0</v>
      </c>
      <c r="AV66" s="190">
        <v>0</v>
      </c>
      <c r="AW66" s="190">
        <v>0</v>
      </c>
      <c r="AX66" s="190">
        <v>0</v>
      </c>
      <c r="AY66" s="190">
        <v>0</v>
      </c>
      <c r="AZ66" s="190">
        <v>0</v>
      </c>
      <c r="BA66" s="190">
        <v>0</v>
      </c>
      <c r="BB66" s="190">
        <v>0</v>
      </c>
      <c r="BC66" s="190">
        <v>0</v>
      </c>
      <c r="BD66" s="190">
        <v>0</v>
      </c>
      <c r="BE66" s="190">
        <v>0</v>
      </c>
      <c r="BF66" s="190">
        <v>0</v>
      </c>
      <c r="BG66" s="190">
        <v>0</v>
      </c>
      <c r="BH66" s="190">
        <v>0</v>
      </c>
      <c r="BI66" s="190">
        <v>0</v>
      </c>
      <c r="BJ66" s="190">
        <v>0</v>
      </c>
      <c r="BK66" s="190">
        <v>0</v>
      </c>
      <c r="BL66" s="190">
        <v>0</v>
      </c>
      <c r="BM66" s="190">
        <v>0</v>
      </c>
      <c r="BN66" s="190">
        <v>0</v>
      </c>
      <c r="BO66" s="190">
        <v>0</v>
      </c>
      <c r="BP66" s="190">
        <v>0</v>
      </c>
      <c r="BQ66" s="190">
        <v>0</v>
      </c>
      <c r="BR66" s="190">
        <v>0</v>
      </c>
      <c r="BS66" s="190">
        <v>0</v>
      </c>
      <c r="BT66" s="190">
        <v>0</v>
      </c>
    </row>
    <row r="67" spans="1:72" x14ac:dyDescent="0.25">
      <c r="A67" s="190" t="s">
        <v>171</v>
      </c>
      <c r="B67" s="190">
        <v>42147000000</v>
      </c>
      <c r="C67" s="190">
        <v>41423000000</v>
      </c>
      <c r="D67" s="190">
        <v>40295000000</v>
      </c>
      <c r="E67" s="190">
        <v>39958000000</v>
      </c>
      <c r="F67" s="190">
        <v>40533000000</v>
      </c>
      <c r="G67" s="190">
        <v>40207000000</v>
      </c>
      <c r="H67" s="190">
        <v>39706000000</v>
      </c>
      <c r="I67" s="190">
        <v>39298000000</v>
      </c>
      <c r="J67" s="190">
        <v>35819000000</v>
      </c>
      <c r="K67" s="190">
        <v>35233000000</v>
      </c>
      <c r="L67" s="190">
        <v>33646000000</v>
      </c>
      <c r="M67" s="190">
        <v>33186000000</v>
      </c>
      <c r="N67" s="190">
        <v>31572000000</v>
      </c>
      <c r="O67" s="190">
        <v>31165000000</v>
      </c>
      <c r="P67" s="190">
        <v>30301000000</v>
      </c>
      <c r="Q67" s="190">
        <v>29715000000</v>
      </c>
      <c r="R67" s="190">
        <v>27785000000</v>
      </c>
      <c r="S67" s="190">
        <v>27141000000</v>
      </c>
      <c r="T67" s="190">
        <v>26250000000</v>
      </c>
      <c r="U67" s="190">
        <v>26080000000</v>
      </c>
      <c r="V67" s="190">
        <v>23754000000</v>
      </c>
      <c r="W67" s="190">
        <v>23379000000</v>
      </c>
      <c r="X67" s="190">
        <v>21812000000</v>
      </c>
      <c r="Y67" s="190">
        <v>21591000000</v>
      </c>
      <c r="Z67" s="190">
        <v>19622000000</v>
      </c>
      <c r="AA67" s="190">
        <v>19304000000</v>
      </c>
      <c r="AB67" s="190">
        <v>18495000000</v>
      </c>
      <c r="AC67" s="190">
        <v>18381000000</v>
      </c>
      <c r="AD67" s="190">
        <v>16671000000</v>
      </c>
      <c r="AE67" s="190">
        <v>16339000000</v>
      </c>
      <c r="AF67" s="190">
        <v>15695000000</v>
      </c>
      <c r="AG67" s="190">
        <v>15573000000</v>
      </c>
      <c r="AH67" s="190">
        <v>13123000000</v>
      </c>
      <c r="AI67" s="190">
        <v>12570000000</v>
      </c>
      <c r="AJ67" s="190">
        <v>12180000000</v>
      </c>
      <c r="AK67" s="190">
        <v>11529000000</v>
      </c>
      <c r="AL67" s="190">
        <v>9914000000</v>
      </c>
      <c r="AM67" s="190">
        <v>9807000000</v>
      </c>
      <c r="AN67" s="190">
        <v>9329000000</v>
      </c>
      <c r="AO67" s="190">
        <v>9280000000</v>
      </c>
      <c r="AP67" s="190">
        <v>7958000000</v>
      </c>
      <c r="AQ67" s="190">
        <v>8168000000</v>
      </c>
      <c r="AR67" s="190">
        <v>7626000000</v>
      </c>
      <c r="AS67" s="190">
        <v>7613000000</v>
      </c>
      <c r="AT67" s="190">
        <v>5766000000</v>
      </c>
      <c r="AU67" s="190">
        <v>5648000000</v>
      </c>
      <c r="AV67" s="190">
        <v>5309000000</v>
      </c>
      <c r="AW67" s="190">
        <v>0</v>
      </c>
      <c r="AX67" s="190">
        <v>0</v>
      </c>
      <c r="AY67" s="190">
        <v>0</v>
      </c>
      <c r="AZ67" s="190">
        <v>0</v>
      </c>
      <c r="BA67" s="190">
        <v>0</v>
      </c>
      <c r="BB67" s="190">
        <v>0</v>
      </c>
      <c r="BC67" s="190">
        <v>0</v>
      </c>
      <c r="BD67" s="190">
        <v>0</v>
      </c>
      <c r="BE67" s="190">
        <v>0</v>
      </c>
      <c r="BF67" s="190">
        <v>0</v>
      </c>
      <c r="BG67" s="190">
        <v>0</v>
      </c>
      <c r="BH67" s="190">
        <v>0</v>
      </c>
      <c r="BI67" s="190">
        <v>0</v>
      </c>
      <c r="BJ67" s="190">
        <v>0</v>
      </c>
      <c r="BK67" s="190">
        <v>0</v>
      </c>
      <c r="BL67" s="190">
        <v>0</v>
      </c>
      <c r="BM67" s="190">
        <v>0</v>
      </c>
      <c r="BN67" s="190">
        <v>0</v>
      </c>
      <c r="BO67" s="190">
        <v>0</v>
      </c>
      <c r="BP67" s="190">
        <v>0</v>
      </c>
      <c r="BQ67" s="190">
        <v>0</v>
      </c>
      <c r="BR67" s="190">
        <v>0</v>
      </c>
      <c r="BS67" s="190">
        <v>0</v>
      </c>
      <c r="BT67" s="190">
        <v>0</v>
      </c>
    </row>
    <row r="68" spans="1:72" x14ac:dyDescent="0.25">
      <c r="A68" s="190" t="s">
        <v>172</v>
      </c>
      <c r="B68" s="190">
        <v>5906000000</v>
      </c>
      <c r="C68" s="190">
        <v>5814000000</v>
      </c>
      <c r="D68" s="190">
        <v>6322000000</v>
      </c>
      <c r="E68" s="190">
        <v>6466000000</v>
      </c>
      <c r="F68" s="190">
        <v>5375000000</v>
      </c>
      <c r="G68" s="190">
        <v>6146000000</v>
      </c>
      <c r="H68" s="190">
        <v>6967000000</v>
      </c>
      <c r="I68" s="190">
        <v>7661000000</v>
      </c>
      <c r="J68" s="190">
        <v>7954000000</v>
      </c>
      <c r="K68" s="190">
        <v>8431000000</v>
      </c>
      <c r="L68" s="190">
        <v>7962000000</v>
      </c>
      <c r="M68" s="190">
        <v>8259000000</v>
      </c>
      <c r="N68" s="190">
        <v>10129000000</v>
      </c>
      <c r="O68" s="190">
        <v>10071000000</v>
      </c>
      <c r="P68" s="190">
        <v>7174000000</v>
      </c>
      <c r="Q68" s="190">
        <v>7820000000</v>
      </c>
      <c r="R68" s="190">
        <v>8776000000</v>
      </c>
      <c r="S68" s="190">
        <v>9224000000</v>
      </c>
      <c r="T68" s="190">
        <v>7882000000</v>
      </c>
      <c r="U68" s="190">
        <v>7977000000</v>
      </c>
      <c r="V68" s="190">
        <v>6997000000</v>
      </c>
      <c r="W68" s="190">
        <v>7069000000</v>
      </c>
      <c r="X68" s="190">
        <v>15839000000</v>
      </c>
      <c r="Y68" s="190">
        <v>7294000000</v>
      </c>
      <c r="Z68" s="190">
        <v>15601000000</v>
      </c>
      <c r="AA68" s="190">
        <v>15423000000</v>
      </c>
      <c r="AB68" s="190">
        <v>15157000000</v>
      </c>
      <c r="AC68" s="190">
        <v>15181000000</v>
      </c>
      <c r="AD68" s="190">
        <v>14951000000</v>
      </c>
      <c r="AE68" s="190">
        <v>15266000000</v>
      </c>
      <c r="AF68" s="190">
        <v>15662000000</v>
      </c>
      <c r="AG68" s="190">
        <v>15017000000</v>
      </c>
      <c r="AH68" s="190">
        <v>13077000000</v>
      </c>
      <c r="AI68" s="190">
        <v>6607000000</v>
      </c>
      <c r="AJ68" s="190">
        <v>4990000000</v>
      </c>
      <c r="AK68" s="190">
        <v>4979000000</v>
      </c>
      <c r="AL68" s="190">
        <v>4958000000</v>
      </c>
      <c r="AM68" s="190">
        <v>5130000000</v>
      </c>
      <c r="AN68" s="190">
        <v>5101000000</v>
      </c>
      <c r="AO68" s="190">
        <v>5235000000</v>
      </c>
      <c r="AP68" s="190">
        <v>1651000000</v>
      </c>
      <c r="AQ68" s="190">
        <v>1471000000</v>
      </c>
      <c r="AR68" s="190">
        <v>1433000000</v>
      </c>
      <c r="AS68" s="190">
        <v>1492000000</v>
      </c>
      <c r="AT68" s="190">
        <v>2348000000</v>
      </c>
      <c r="AU68" s="190">
        <v>2285000000</v>
      </c>
      <c r="AV68" s="190">
        <v>2568000000</v>
      </c>
      <c r="AW68" s="190">
        <v>0</v>
      </c>
      <c r="AX68" s="190">
        <v>0</v>
      </c>
      <c r="AY68" s="190">
        <v>0</v>
      </c>
      <c r="AZ68" s="190">
        <v>0</v>
      </c>
      <c r="BA68" s="190">
        <v>0</v>
      </c>
      <c r="BB68" s="190">
        <v>3000000</v>
      </c>
      <c r="BC68" s="190">
        <v>3000000</v>
      </c>
      <c r="BD68" s="190">
        <v>188000000</v>
      </c>
      <c r="BE68" s="190">
        <v>198000000</v>
      </c>
      <c r="BF68" s="190">
        <v>223000000</v>
      </c>
      <c r="BG68" s="190">
        <v>238000000</v>
      </c>
      <c r="BH68" s="190">
        <v>275000000</v>
      </c>
      <c r="BI68" s="190">
        <v>289000000</v>
      </c>
      <c r="BJ68" s="190">
        <v>347000000</v>
      </c>
      <c r="BK68" s="190">
        <v>379000000</v>
      </c>
      <c r="BL68" s="190">
        <v>487000000</v>
      </c>
      <c r="BM68" s="190">
        <v>474000000</v>
      </c>
      <c r="BN68" s="190">
        <v>659000000</v>
      </c>
      <c r="BO68" s="190">
        <v>688000000</v>
      </c>
      <c r="BP68" s="190">
        <v>669000000</v>
      </c>
      <c r="BQ68" s="190">
        <v>679000000</v>
      </c>
      <c r="BR68" s="190">
        <v>329000000</v>
      </c>
      <c r="BS68" s="190">
        <v>427000000</v>
      </c>
      <c r="BT68" s="190">
        <v>0</v>
      </c>
    </row>
    <row r="69" spans="1:72" x14ac:dyDescent="0.25">
      <c r="A69" s="190" t="s">
        <v>173</v>
      </c>
      <c r="B69" s="190">
        <v>0</v>
      </c>
      <c r="C69" s="190">
        <v>0</v>
      </c>
      <c r="D69" s="190">
        <v>0</v>
      </c>
      <c r="E69" s="190">
        <v>0</v>
      </c>
      <c r="F69" s="190">
        <v>0</v>
      </c>
      <c r="G69" s="190">
        <v>0</v>
      </c>
      <c r="H69" s="190">
        <v>0</v>
      </c>
      <c r="I69" s="190">
        <v>0</v>
      </c>
      <c r="J69" s="190">
        <v>0</v>
      </c>
      <c r="K69" s="190">
        <v>0</v>
      </c>
      <c r="L69" s="190">
        <v>0</v>
      </c>
      <c r="M69" s="190">
        <v>0</v>
      </c>
      <c r="N69" s="190">
        <v>0</v>
      </c>
      <c r="O69" s="190">
        <v>0</v>
      </c>
      <c r="P69" s="190">
        <v>0</v>
      </c>
      <c r="Q69" s="190">
        <v>0</v>
      </c>
      <c r="R69" s="190">
        <v>0</v>
      </c>
      <c r="S69" s="190">
        <v>0</v>
      </c>
      <c r="T69" s="190">
        <v>0</v>
      </c>
      <c r="U69" s="190">
        <v>0</v>
      </c>
      <c r="V69" s="190">
        <v>0</v>
      </c>
      <c r="W69" s="190">
        <v>0</v>
      </c>
      <c r="X69" s="190">
        <v>0</v>
      </c>
      <c r="Y69" s="190">
        <v>0</v>
      </c>
      <c r="Z69" s="190">
        <v>0</v>
      </c>
      <c r="AA69" s="190">
        <v>0</v>
      </c>
      <c r="AB69" s="190">
        <v>0</v>
      </c>
      <c r="AC69" s="190">
        <v>0</v>
      </c>
      <c r="AD69" s="190">
        <v>0</v>
      </c>
      <c r="AE69" s="190">
        <v>0</v>
      </c>
      <c r="AF69" s="190">
        <v>0</v>
      </c>
      <c r="AG69" s="190">
        <v>0</v>
      </c>
      <c r="AH69" s="190">
        <v>0</v>
      </c>
      <c r="AI69" s="190">
        <v>0</v>
      </c>
      <c r="AJ69" s="190">
        <v>0</v>
      </c>
      <c r="AK69" s="190">
        <v>0</v>
      </c>
      <c r="AL69" s="190">
        <v>0</v>
      </c>
      <c r="AM69" s="190">
        <v>0</v>
      </c>
      <c r="AN69" s="190">
        <v>0</v>
      </c>
      <c r="AO69" s="190">
        <v>0</v>
      </c>
      <c r="AP69" s="190">
        <v>0</v>
      </c>
      <c r="AQ69" s="190">
        <v>0</v>
      </c>
      <c r="AR69" s="190">
        <v>0</v>
      </c>
      <c r="AS69" s="190">
        <v>0</v>
      </c>
      <c r="AT69" s="190">
        <v>0</v>
      </c>
      <c r="AU69" s="190">
        <v>0</v>
      </c>
      <c r="AV69" s="190">
        <v>0</v>
      </c>
      <c r="AW69" s="190">
        <v>0</v>
      </c>
      <c r="AX69" s="190">
        <v>0</v>
      </c>
      <c r="AY69" s="190">
        <v>0</v>
      </c>
      <c r="AZ69" s="190">
        <v>0</v>
      </c>
      <c r="BA69" s="190">
        <v>0</v>
      </c>
      <c r="BB69" s="190">
        <v>0</v>
      </c>
      <c r="BC69" s="190">
        <v>0</v>
      </c>
      <c r="BD69" s="190">
        <v>0</v>
      </c>
      <c r="BE69" s="190">
        <v>0</v>
      </c>
      <c r="BF69" s="190">
        <v>0</v>
      </c>
      <c r="BG69" s="190">
        <v>0</v>
      </c>
      <c r="BH69" s="190">
        <v>0</v>
      </c>
      <c r="BI69" s="190">
        <v>0</v>
      </c>
      <c r="BJ69" s="190">
        <v>0</v>
      </c>
      <c r="BK69" s="190">
        <v>0</v>
      </c>
      <c r="BL69" s="190">
        <v>0</v>
      </c>
      <c r="BM69" s="190">
        <v>0</v>
      </c>
      <c r="BN69" s="190">
        <v>0</v>
      </c>
      <c r="BO69" s="190">
        <v>0</v>
      </c>
      <c r="BP69" s="190">
        <v>0</v>
      </c>
      <c r="BQ69" s="190">
        <v>0</v>
      </c>
      <c r="BR69" s="190">
        <v>0</v>
      </c>
      <c r="BS69" s="190">
        <v>0</v>
      </c>
      <c r="BT69" s="190">
        <v>0</v>
      </c>
    </row>
    <row r="70" spans="1:72" x14ac:dyDescent="0.25">
      <c r="A70" s="190" t="s">
        <v>174</v>
      </c>
      <c r="B70" s="190">
        <v>28480000000</v>
      </c>
      <c r="C70" s="190">
        <v>24899000000</v>
      </c>
      <c r="D70" s="190">
        <v>16173000000</v>
      </c>
      <c r="E70" s="190">
        <v>16440000000</v>
      </c>
      <c r="F70" s="190">
        <v>17265000000</v>
      </c>
      <c r="G70" s="190">
        <v>17121000000</v>
      </c>
      <c r="H70" s="190">
        <v>15917000000</v>
      </c>
      <c r="I70" s="190">
        <v>16136000000</v>
      </c>
      <c r="J70" s="190">
        <v>15544000000</v>
      </c>
      <c r="K70" s="190">
        <v>13539000000</v>
      </c>
      <c r="L70" s="190">
        <v>13265000000</v>
      </c>
      <c r="M70" s="190">
        <v>13673000000</v>
      </c>
      <c r="N70" s="190">
        <v>14008000000</v>
      </c>
      <c r="O70" s="190">
        <v>12351000000</v>
      </c>
      <c r="P70" s="190">
        <v>12055000000</v>
      </c>
      <c r="Q70" s="190">
        <v>11549000000</v>
      </c>
      <c r="R70" s="190">
        <v>10484000000</v>
      </c>
      <c r="S70" s="190">
        <v>9684000000</v>
      </c>
      <c r="T70" s="190">
        <v>8880000000</v>
      </c>
      <c r="U70" s="190">
        <v>8187000000</v>
      </c>
      <c r="V70" s="190">
        <v>4410000000</v>
      </c>
      <c r="W70" s="190">
        <v>4387000000</v>
      </c>
      <c r="X70" s="190">
        <v>3824000000</v>
      </c>
      <c r="Y70" s="190">
        <v>3811000000</v>
      </c>
      <c r="Z70" s="190">
        <v>4160000000</v>
      </c>
      <c r="AA70" s="190">
        <v>3939000000</v>
      </c>
      <c r="AB70" s="190">
        <v>3713000000</v>
      </c>
      <c r="AC70" s="190">
        <v>3436000000</v>
      </c>
      <c r="AD70" s="190">
        <v>2727000000</v>
      </c>
      <c r="AE70" s="190">
        <v>2619000000</v>
      </c>
      <c r="AF70" s="190">
        <v>2642000000</v>
      </c>
      <c r="AG70" s="190">
        <v>2415000000</v>
      </c>
      <c r="AH70" s="190">
        <v>2924000000</v>
      </c>
      <c r="AI70" s="190">
        <v>2967000000</v>
      </c>
      <c r="AJ70" s="190">
        <v>2648000000</v>
      </c>
      <c r="AK70" s="190">
        <v>2192000000</v>
      </c>
      <c r="AL70" s="190">
        <v>1769000000</v>
      </c>
      <c r="AM70" s="190">
        <v>1482000000</v>
      </c>
      <c r="AN70" s="190">
        <v>1342000000</v>
      </c>
      <c r="AO70" s="190">
        <v>1397000000</v>
      </c>
      <c r="AP70" s="190">
        <v>1608000000</v>
      </c>
      <c r="AQ70" s="190">
        <v>1493000000</v>
      </c>
      <c r="AR70" s="190">
        <v>1277000000</v>
      </c>
      <c r="AS70" s="190">
        <v>1049000000</v>
      </c>
      <c r="AT70" s="190">
        <v>1564000000</v>
      </c>
      <c r="AU70" s="190">
        <v>1556000000</v>
      </c>
      <c r="AV70" s="190">
        <v>1172000000</v>
      </c>
      <c r="AW70" s="190">
        <v>795000000</v>
      </c>
      <c r="AX70" s="190">
        <v>804000000</v>
      </c>
      <c r="AY70" s="190">
        <v>784000000</v>
      </c>
      <c r="AZ70" s="190">
        <v>832000000</v>
      </c>
      <c r="BA70" s="190">
        <v>782000000</v>
      </c>
      <c r="BB70" s="190">
        <v>937000000</v>
      </c>
      <c r="BC70" s="190">
        <v>892000000</v>
      </c>
      <c r="BD70" s="190">
        <v>912000000</v>
      </c>
      <c r="BE70" s="190">
        <v>820000000</v>
      </c>
      <c r="BF70" s="190">
        <v>717000000</v>
      </c>
      <c r="BG70" s="190">
        <v>649000000</v>
      </c>
      <c r="BH70" s="190">
        <v>926000000</v>
      </c>
      <c r="BI70" s="190">
        <v>888000000</v>
      </c>
      <c r="BJ70" s="190">
        <v>965000000</v>
      </c>
      <c r="BK70" s="190">
        <v>1120000000</v>
      </c>
      <c r="BL70" s="190">
        <v>984000000</v>
      </c>
      <c r="BM70" s="190">
        <v>944000000</v>
      </c>
      <c r="BN70" s="190">
        <v>654000000</v>
      </c>
      <c r="BO70" s="190">
        <v>701000000</v>
      </c>
      <c r="BP70" s="190">
        <v>992000000</v>
      </c>
      <c r="BQ70" s="190">
        <v>806000000</v>
      </c>
      <c r="BR70" s="190">
        <v>565000000</v>
      </c>
      <c r="BS70" s="190">
        <v>434000000</v>
      </c>
      <c r="BT70" s="190">
        <v>0</v>
      </c>
    </row>
    <row r="71" spans="1:72" x14ac:dyDescent="0.25">
      <c r="A71" s="190" t="s">
        <v>175</v>
      </c>
      <c r="B71" s="190">
        <v>179482000000</v>
      </c>
      <c r="C71" s="190">
        <v>182928000000</v>
      </c>
      <c r="D71" s="190">
        <v>165458000000</v>
      </c>
      <c r="E71" s="190">
        <v>161988000000</v>
      </c>
      <c r="F71" s="190">
        <v>179654000000</v>
      </c>
      <c r="G71" s="190">
        <v>179303000000</v>
      </c>
      <c r="H71" s="190">
        <v>185335000000</v>
      </c>
      <c r="I71" s="190">
        <v>180541000000</v>
      </c>
      <c r="J71" s="190">
        <v>191649000000</v>
      </c>
      <c r="K71" s="190">
        <v>177245000000</v>
      </c>
      <c r="L71" s="190">
        <v>192541000000</v>
      </c>
      <c r="M71" s="190">
        <v>194864000000</v>
      </c>
      <c r="N71" s="190">
        <v>176214000000</v>
      </c>
      <c r="O71" s="190">
        <v>175024000000</v>
      </c>
      <c r="P71" s="190">
        <v>179353000000</v>
      </c>
      <c r="Q71" s="190">
        <v>200016000000</v>
      </c>
      <c r="R71" s="190">
        <v>193889000000</v>
      </c>
      <c r="S71" s="190">
        <v>181471000000</v>
      </c>
      <c r="T71" s="190">
        <v>188749000000</v>
      </c>
      <c r="U71" s="190">
        <v>187834000000</v>
      </c>
      <c r="V71" s="190">
        <v>177532000000</v>
      </c>
      <c r="W71" s="190">
        <v>176502000000</v>
      </c>
      <c r="X71" s="190">
        <v>174207000000</v>
      </c>
      <c r="Y71" s="190">
        <v>194812000000</v>
      </c>
      <c r="Z71" s="190">
        <v>206241000000</v>
      </c>
      <c r="AA71" s="190">
        <v>210737000000</v>
      </c>
      <c r="AB71" s="190">
        <v>189561000000</v>
      </c>
      <c r="AC71" s="190">
        <v>191455000000</v>
      </c>
      <c r="AD71" s="190">
        <v>196794000000</v>
      </c>
      <c r="AE71" s="190">
        <v>197671000000</v>
      </c>
      <c r="AF71" s="190">
        <v>228083000000</v>
      </c>
      <c r="AG71" s="190">
        <v>207080000000</v>
      </c>
      <c r="AH71" s="190">
        <v>203456000000</v>
      </c>
      <c r="AI71" s="190">
        <v>191225000000</v>
      </c>
      <c r="AJ71" s="190">
        <v>168426000000</v>
      </c>
      <c r="AK71" s="190">
        <v>164528000000</v>
      </c>
      <c r="AL71" s="190">
        <v>163748000000</v>
      </c>
      <c r="AM71" s="190">
        <v>168576000000</v>
      </c>
      <c r="AN71" s="190">
        <v>149698000000</v>
      </c>
      <c r="AO71" s="190">
        <v>143056000000</v>
      </c>
      <c r="AP71" s="190">
        <v>142213000000</v>
      </c>
      <c r="AQ71" s="190">
        <v>149531000000</v>
      </c>
      <c r="AR71" s="190">
        <v>147213000000</v>
      </c>
      <c r="AS71" s="190">
        <v>130468000000</v>
      </c>
      <c r="AT71" s="190">
        <v>116232000000</v>
      </c>
      <c r="AU71" s="190">
        <v>117371000000</v>
      </c>
      <c r="AV71" s="190">
        <v>103400000000</v>
      </c>
      <c r="AW71" s="190">
        <v>109860000000</v>
      </c>
      <c r="AX71" s="190">
        <v>106884000000</v>
      </c>
      <c r="AY71" s="190">
        <v>108516000000</v>
      </c>
      <c r="AZ71" s="190">
        <v>108713000000</v>
      </c>
      <c r="BA71" s="190">
        <v>107774000000</v>
      </c>
      <c r="BB71" s="190">
        <v>117104000000</v>
      </c>
      <c r="BC71" s="190">
        <v>114494000000</v>
      </c>
      <c r="BD71" s="190">
        <v>107075000000</v>
      </c>
      <c r="BE71" s="190">
        <v>98605000000</v>
      </c>
      <c r="BF71" s="190">
        <v>92540000000</v>
      </c>
      <c r="BG71" s="190">
        <v>86425000000</v>
      </c>
      <c r="BH71" s="190">
        <v>87589000000</v>
      </c>
      <c r="BI71" s="190">
        <v>80398000000</v>
      </c>
      <c r="BJ71" s="190">
        <v>78305000000</v>
      </c>
      <c r="BK71" s="190">
        <v>82018000000</v>
      </c>
      <c r="BL71" s="190">
        <v>82480000000</v>
      </c>
      <c r="BM71" s="190">
        <v>76626000000</v>
      </c>
      <c r="BN71" s="190">
        <v>69143000000</v>
      </c>
      <c r="BO71" s="190">
        <v>71857000000</v>
      </c>
      <c r="BP71" s="190">
        <v>68980000000</v>
      </c>
      <c r="BQ71" s="190">
        <v>68486000000</v>
      </c>
      <c r="BR71" s="190">
        <v>72585000000</v>
      </c>
      <c r="BS71" s="190">
        <v>68673000000</v>
      </c>
      <c r="BT71" s="190">
        <v>0</v>
      </c>
    </row>
    <row r="72" spans="1:72" x14ac:dyDescent="0.25">
      <c r="A72" s="190" t="s">
        <v>176</v>
      </c>
      <c r="B72" s="190">
        <v>800035000000</v>
      </c>
      <c r="C72" s="190">
        <v>759993000000</v>
      </c>
      <c r="D72" s="190">
        <v>695211000000</v>
      </c>
      <c r="E72" s="190">
        <v>741434000000</v>
      </c>
      <c r="F72" s="190">
        <v>631230000000</v>
      </c>
      <c r="G72" s="190">
        <v>641712000000</v>
      </c>
      <c r="H72" s="190">
        <v>625310000000</v>
      </c>
      <c r="I72" s="190">
        <v>666084000000</v>
      </c>
      <c r="J72" s="190">
        <v>599646000000</v>
      </c>
      <c r="K72" s="190">
        <v>622641000000</v>
      </c>
      <c r="L72" s="190">
        <v>601183000000</v>
      </c>
      <c r="M72" s="190">
        <v>657506000000</v>
      </c>
      <c r="N72" s="190">
        <v>618893000000</v>
      </c>
      <c r="O72" s="190">
        <v>681937000000</v>
      </c>
      <c r="P72" s="190">
        <v>661997000000</v>
      </c>
      <c r="Q72" s="190">
        <v>804273000000</v>
      </c>
      <c r="R72" s="190">
        <v>786610000000</v>
      </c>
      <c r="S72" s="190">
        <v>786422000000</v>
      </c>
      <c r="T72" s="190">
        <v>767308000000</v>
      </c>
      <c r="U72" s="190">
        <v>759656000000</v>
      </c>
      <c r="V72" s="190">
        <v>719602000000</v>
      </c>
      <c r="W72" s="190">
        <v>686856000000</v>
      </c>
      <c r="X72" s="190">
        <v>702005000000</v>
      </c>
      <c r="Y72" s="190">
        <v>687921000000</v>
      </c>
      <c r="Z72" s="190">
        <v>649693000000</v>
      </c>
      <c r="AA72" s="190">
        <v>648957000000</v>
      </c>
      <c r="AB72" s="190">
        <v>671806000000</v>
      </c>
      <c r="AC72" s="190">
        <v>620528000000</v>
      </c>
      <c r="AD72" s="190">
        <v>581058000000</v>
      </c>
      <c r="AE72" s="190">
        <v>583297000000</v>
      </c>
      <c r="AF72" s="190">
        <v>575574000000</v>
      </c>
      <c r="AG72" s="190">
        <v>532707000000</v>
      </c>
      <c r="AH72" s="190">
        <v>503607000000</v>
      </c>
      <c r="AI72" s="190">
        <v>492912000000</v>
      </c>
      <c r="AJ72" s="190">
        <v>497323000000</v>
      </c>
      <c r="AK72" s="190">
        <v>465890000000</v>
      </c>
      <c r="AL72" s="190">
        <v>455984000000</v>
      </c>
      <c r="AM72" s="190">
        <v>439582000000</v>
      </c>
      <c r="AN72" s="190">
        <v>410698000000</v>
      </c>
      <c r="AO72" s="190">
        <v>401289000000</v>
      </c>
      <c r="AP72" s="190">
        <v>479441000000</v>
      </c>
      <c r="AQ72" s="190">
        <v>489257000000</v>
      </c>
      <c r="AR72" s="190">
        <v>433429000000</v>
      </c>
      <c r="AS72" s="190">
        <v>392225000000</v>
      </c>
      <c r="AT72" s="190">
        <v>343169000000</v>
      </c>
      <c r="AU72" s="190">
        <v>343524000000</v>
      </c>
      <c r="AV72" s="190">
        <v>322875000000</v>
      </c>
      <c r="AW72" s="190">
        <v>317690000000</v>
      </c>
      <c r="AX72" s="190">
        <v>325488000000</v>
      </c>
      <c r="AY72" s="190">
        <v>320260000000</v>
      </c>
      <c r="AZ72" s="190">
        <v>285721000000</v>
      </c>
      <c r="BA72" s="190">
        <v>275566000000</v>
      </c>
      <c r="BB72" s="190">
        <v>268967000000</v>
      </c>
      <c r="BC72" s="190">
        <v>266241000000</v>
      </c>
      <c r="BD72" s="190">
        <v>253583000000</v>
      </c>
      <c r="BE72" s="190">
        <v>242515000000</v>
      </c>
      <c r="BF72" s="190">
        <v>222777000000</v>
      </c>
      <c r="BG72" s="190">
        <v>222739000000</v>
      </c>
      <c r="BH72" s="190">
        <v>209337000000</v>
      </c>
      <c r="BI72" s="190">
        <v>201190000000</v>
      </c>
      <c r="BJ72" s="190">
        <v>190701000000</v>
      </c>
      <c r="BK72" s="190">
        <v>199309000000</v>
      </c>
      <c r="BL72" s="190">
        <v>203265000000</v>
      </c>
      <c r="BM72" s="190">
        <v>192549000000</v>
      </c>
      <c r="BN72" s="190">
        <v>197218000000</v>
      </c>
      <c r="BO72" s="190">
        <v>205938000000</v>
      </c>
      <c r="BP72" s="190">
        <v>201729000000</v>
      </c>
      <c r="BQ72" s="190">
        <v>197847000000</v>
      </c>
      <c r="BR72" s="190">
        <v>213534000000</v>
      </c>
      <c r="BS72" s="190">
        <v>196826000000</v>
      </c>
      <c r="BT72" s="190">
        <v>0</v>
      </c>
    </row>
    <row r="73" spans="1:72" x14ac:dyDescent="0.25">
      <c r="A73" s="190" t="s">
        <v>177</v>
      </c>
    </row>
    <row r="74" spans="1:72" x14ac:dyDescent="0.25">
      <c r="A74" s="190" t="s">
        <v>178</v>
      </c>
      <c r="B74" s="190">
        <v>121071000000</v>
      </c>
      <c r="C74" s="190">
        <v>121071000000</v>
      </c>
      <c r="D74" s="190">
        <v>121071000000</v>
      </c>
      <c r="E74" s="190">
        <v>121071000000</v>
      </c>
      <c r="F74" s="190">
        <v>121071000000</v>
      </c>
      <c r="G74" s="190">
        <v>121071000000</v>
      </c>
      <c r="H74" s="190">
        <v>121071000000</v>
      </c>
      <c r="I74" s="190">
        <v>121071000000</v>
      </c>
      <c r="J74" s="190">
        <v>121071000000</v>
      </c>
      <c r="K74" s="190">
        <v>121071000000</v>
      </c>
      <c r="L74" s="190">
        <v>121071000000</v>
      </c>
      <c r="M74" s="190">
        <v>121071000000</v>
      </c>
      <c r="N74" s="190">
        <v>121071000000</v>
      </c>
      <c r="O74" s="190">
        <v>121071000000</v>
      </c>
      <c r="P74" s="190">
        <v>121071000000</v>
      </c>
      <c r="Q74" s="190">
        <v>118280000000</v>
      </c>
      <c r="R74" s="190">
        <v>116795000000</v>
      </c>
      <c r="S74" s="190">
        <v>116795000000</v>
      </c>
      <c r="T74" s="190">
        <v>116795000000</v>
      </c>
      <c r="U74" s="190">
        <v>116565000000</v>
      </c>
      <c r="V74" s="190">
        <v>116565000000</v>
      </c>
      <c r="W74" s="190">
        <v>116565000000</v>
      </c>
      <c r="X74" s="190">
        <v>89666000000</v>
      </c>
      <c r="Y74" s="190">
        <v>86820000000</v>
      </c>
      <c r="Z74" s="190">
        <v>86820000000</v>
      </c>
      <c r="AA74" s="190">
        <v>86820000000</v>
      </c>
      <c r="AB74" s="190">
        <v>86820000000</v>
      </c>
      <c r="AC74" s="190">
        <v>86702000000</v>
      </c>
      <c r="AD74" s="190">
        <v>86702000000</v>
      </c>
      <c r="AE74" s="190">
        <v>86702000000</v>
      </c>
      <c r="AF74" s="190">
        <v>86702000000</v>
      </c>
      <c r="AG74" s="190">
        <v>86702000000</v>
      </c>
      <c r="AH74" s="190">
        <v>86702000000</v>
      </c>
      <c r="AI74" s="190">
        <v>86702000000</v>
      </c>
      <c r="AJ74" s="190">
        <v>86703000000</v>
      </c>
      <c r="AK74" s="190">
        <v>86702000000</v>
      </c>
      <c r="AL74" s="190">
        <v>86702000000</v>
      </c>
      <c r="AM74" s="190">
        <v>86702000000</v>
      </c>
      <c r="AN74" s="190">
        <v>86702000000</v>
      </c>
      <c r="AO74" s="190">
        <v>86702000000</v>
      </c>
      <c r="AP74" s="190">
        <v>86702000000</v>
      </c>
      <c r="AQ74" s="190">
        <v>86702000000</v>
      </c>
      <c r="AR74" s="190">
        <v>86702000000</v>
      </c>
      <c r="AS74" s="190">
        <v>86702000000</v>
      </c>
      <c r="AT74" s="190">
        <v>86702000000</v>
      </c>
      <c r="AU74" s="190">
        <v>86702000000</v>
      </c>
      <c r="AV74" s="190">
        <v>86702000000</v>
      </c>
      <c r="AW74" s="190">
        <v>86702000000</v>
      </c>
      <c r="AX74" s="190">
        <v>86702000000</v>
      </c>
      <c r="AY74" s="190">
        <v>86702000000</v>
      </c>
      <c r="AZ74" s="190">
        <v>86702000000</v>
      </c>
      <c r="BA74" s="190">
        <v>86702000000</v>
      </c>
      <c r="BB74" s="190">
        <v>86702000000</v>
      </c>
      <c r="BC74" s="190">
        <v>86702000000</v>
      </c>
      <c r="BD74" s="190">
        <v>86702000000</v>
      </c>
      <c r="BE74" s="190">
        <v>86702000000</v>
      </c>
      <c r="BF74" s="190">
        <v>86702000000</v>
      </c>
      <c r="BG74" s="190">
        <v>86702000000</v>
      </c>
      <c r="BH74" s="190">
        <v>86702000000</v>
      </c>
      <c r="BI74" s="190">
        <v>86702000000</v>
      </c>
      <c r="BJ74" s="190">
        <v>86702000000</v>
      </c>
      <c r="BK74" s="190">
        <v>86702000000</v>
      </c>
      <c r="BL74" s="190">
        <v>86702000000</v>
      </c>
      <c r="BM74" s="190">
        <v>86702000000</v>
      </c>
      <c r="BN74" s="190">
        <v>86702000000</v>
      </c>
      <c r="BO74" s="190">
        <v>86702000000</v>
      </c>
      <c r="BP74" s="190">
        <v>86702000000</v>
      </c>
      <c r="BQ74" s="190">
        <v>86702000000</v>
      </c>
      <c r="BR74" s="190">
        <v>83902000000</v>
      </c>
      <c r="BS74" s="190">
        <v>83902000000</v>
      </c>
      <c r="BT74" s="190">
        <v>0</v>
      </c>
    </row>
    <row r="75" spans="1:72" x14ac:dyDescent="0.25">
      <c r="A75" s="190" t="s">
        <v>179</v>
      </c>
      <c r="B75" s="190">
        <v>119549000000</v>
      </c>
      <c r="C75" s="190">
        <v>119577000000</v>
      </c>
      <c r="D75" s="190">
        <v>119551000000</v>
      </c>
      <c r="E75" s="190">
        <v>119557000000</v>
      </c>
      <c r="F75" s="190">
        <v>119479000000</v>
      </c>
      <c r="G75" s="190">
        <v>119529000000</v>
      </c>
      <c r="H75" s="190">
        <v>119527000000</v>
      </c>
      <c r="I75" s="190">
        <v>119525000000</v>
      </c>
      <c r="J75" s="190">
        <v>119411000000</v>
      </c>
      <c r="K75" s="190">
        <v>119430000000</v>
      </c>
      <c r="L75" s="190">
        <v>119410000000</v>
      </c>
      <c r="M75" s="190">
        <v>119408000000</v>
      </c>
      <c r="N75" s="190">
        <v>119072000000</v>
      </c>
      <c r="O75" s="190">
        <v>119073000000</v>
      </c>
      <c r="P75" s="190">
        <v>117655000000</v>
      </c>
      <c r="Q75" s="190">
        <v>48703000000</v>
      </c>
      <c r="R75" s="190">
        <v>37803000000</v>
      </c>
      <c r="S75" s="190">
        <v>41242000000</v>
      </c>
      <c r="T75" s="190">
        <v>39744000000</v>
      </c>
      <c r="U75" s="190">
        <v>39413000000</v>
      </c>
      <c r="V75" s="190">
        <v>38440000000</v>
      </c>
      <c r="W75" s="190">
        <v>39504000000</v>
      </c>
      <c r="X75" s="190">
        <v>47061000000</v>
      </c>
      <c r="Y75" s="190">
        <v>30574000000</v>
      </c>
      <c r="Z75" s="190">
        <v>30275000000</v>
      </c>
      <c r="AA75" s="190">
        <v>30337000000</v>
      </c>
      <c r="AB75" s="190">
        <v>30600000000</v>
      </c>
      <c r="AC75" s="190">
        <v>29583000000</v>
      </c>
      <c r="AD75" s="190">
        <v>33072000000</v>
      </c>
      <c r="AE75" s="190">
        <v>33203000000</v>
      </c>
      <c r="AF75" s="190">
        <v>33329000000</v>
      </c>
      <c r="AG75" s="190">
        <v>29414000000</v>
      </c>
      <c r="AH75" s="190">
        <v>29760000000</v>
      </c>
      <c r="AI75" s="190">
        <v>37685000000</v>
      </c>
      <c r="AJ75" s="190">
        <v>31190000000</v>
      </c>
      <c r="AK75" s="190">
        <v>38202000000</v>
      </c>
      <c r="AL75" s="190">
        <v>37463000000</v>
      </c>
      <c r="AM75" s="190">
        <v>37545000000</v>
      </c>
      <c r="AN75" s="190">
        <v>38784000000</v>
      </c>
      <c r="AO75" s="190">
        <v>38518000000</v>
      </c>
      <c r="AP75" s="190">
        <v>43194000000</v>
      </c>
      <c r="AQ75" s="190">
        <v>43545000000</v>
      </c>
      <c r="AR75" s="190">
        <v>45270000000</v>
      </c>
      <c r="AS75" s="190">
        <v>38391000000</v>
      </c>
      <c r="AT75" s="190">
        <v>37216000000</v>
      </c>
      <c r="AU75" s="190">
        <v>37216000000</v>
      </c>
      <c r="AV75" s="190">
        <v>37046000000</v>
      </c>
      <c r="AW75" s="190">
        <v>37607000000</v>
      </c>
      <c r="AX75" s="190">
        <v>37121000000</v>
      </c>
      <c r="AY75" s="190">
        <v>37121000000</v>
      </c>
      <c r="AZ75" s="190">
        <v>37121000000</v>
      </c>
      <c r="BA75" s="190">
        <v>37121000000</v>
      </c>
      <c r="BB75" s="190">
        <v>37121000000</v>
      </c>
      <c r="BC75" s="190">
        <v>37121000000</v>
      </c>
      <c r="BD75" s="190">
        <v>37121000000</v>
      </c>
      <c r="BE75" s="190">
        <v>37121000000</v>
      </c>
      <c r="BF75" s="190">
        <v>36852000000</v>
      </c>
      <c r="BG75" s="190">
        <v>36852000000</v>
      </c>
      <c r="BH75" s="190">
        <v>36852000000</v>
      </c>
      <c r="BI75" s="190">
        <v>36852000000</v>
      </c>
      <c r="BJ75" s="190">
        <v>36588000000</v>
      </c>
      <c r="BK75" s="190">
        <v>36588000000</v>
      </c>
      <c r="BL75" s="190">
        <v>36588000000</v>
      </c>
      <c r="BM75" s="190">
        <v>36588000000</v>
      </c>
      <c r="BN75" s="190">
        <v>36297000000</v>
      </c>
      <c r="BO75" s="190">
        <v>36297000000</v>
      </c>
      <c r="BP75" s="190">
        <v>36297000000</v>
      </c>
      <c r="BQ75" s="190">
        <v>36297000000</v>
      </c>
      <c r="BR75" s="190">
        <v>27449000000</v>
      </c>
      <c r="BS75" s="190">
        <v>27449000000</v>
      </c>
      <c r="BT75" s="190">
        <v>0</v>
      </c>
    </row>
    <row r="76" spans="1:72" x14ac:dyDescent="0.25">
      <c r="A76" s="190" t="s">
        <v>180</v>
      </c>
      <c r="B76" s="190">
        <v>0</v>
      </c>
      <c r="C76" s="190">
        <v>0</v>
      </c>
      <c r="D76" s="190">
        <v>0</v>
      </c>
      <c r="E76" s="190">
        <v>0</v>
      </c>
      <c r="F76" s="190">
        <v>0</v>
      </c>
      <c r="G76" s="190">
        <v>0</v>
      </c>
      <c r="H76" s="190">
        <v>0</v>
      </c>
      <c r="I76" s="190">
        <v>0</v>
      </c>
      <c r="J76" s="190">
        <v>0</v>
      </c>
      <c r="K76" s="190">
        <v>0</v>
      </c>
      <c r="L76" s="190">
        <v>0</v>
      </c>
      <c r="M76" s="190">
        <v>0</v>
      </c>
      <c r="N76" s="190">
        <v>0</v>
      </c>
      <c r="O76" s="190">
        <v>0</v>
      </c>
      <c r="P76" s="190">
        <v>0</v>
      </c>
      <c r="Q76" s="190">
        <v>0</v>
      </c>
      <c r="R76" s="190">
        <v>0</v>
      </c>
      <c r="S76" s="190">
        <v>0</v>
      </c>
      <c r="T76" s="190">
        <v>0</v>
      </c>
      <c r="U76" s="190">
        <v>0</v>
      </c>
      <c r="V76" s="190">
        <v>0</v>
      </c>
      <c r="W76" s="190">
        <v>0</v>
      </c>
      <c r="X76" s="190">
        <v>0</v>
      </c>
      <c r="Y76" s="190">
        <v>0</v>
      </c>
      <c r="Z76" s="190">
        <v>0</v>
      </c>
      <c r="AA76" s="190">
        <v>0</v>
      </c>
      <c r="AB76" s="190">
        <v>0</v>
      </c>
      <c r="AC76" s="190">
        <v>0</v>
      </c>
      <c r="AD76" s="190">
        <v>0</v>
      </c>
      <c r="AE76" s="190">
        <v>0</v>
      </c>
      <c r="AF76" s="190">
        <v>0</v>
      </c>
      <c r="AG76" s="190">
        <v>0</v>
      </c>
      <c r="AH76" s="190">
        <v>0</v>
      </c>
      <c r="AI76" s="190">
        <v>0</v>
      </c>
      <c r="AJ76" s="190">
        <v>0</v>
      </c>
      <c r="AK76" s="190">
        <v>0</v>
      </c>
      <c r="AL76" s="190">
        <v>0</v>
      </c>
      <c r="AM76" s="190">
        <v>0</v>
      </c>
      <c r="AN76" s="190">
        <v>0</v>
      </c>
      <c r="AO76" s="190">
        <v>0</v>
      </c>
      <c r="AP76" s="190">
        <v>0</v>
      </c>
      <c r="AQ76" s="190">
        <v>0</v>
      </c>
      <c r="AR76" s="190">
        <v>0</v>
      </c>
      <c r="AS76" s="190">
        <v>0</v>
      </c>
      <c r="AT76" s="190">
        <v>0</v>
      </c>
      <c r="AU76" s="190">
        <v>0</v>
      </c>
      <c r="AV76" s="190">
        <v>0</v>
      </c>
      <c r="AW76" s="190">
        <v>0</v>
      </c>
      <c r="AX76" s="190">
        <v>0</v>
      </c>
      <c r="AY76" s="190">
        <v>0</v>
      </c>
      <c r="AZ76" s="190">
        <v>0</v>
      </c>
      <c r="BA76" s="190">
        <v>0</v>
      </c>
      <c r="BB76" s="190">
        <v>0</v>
      </c>
      <c r="BC76" s="190">
        <v>0</v>
      </c>
      <c r="BD76" s="190">
        <v>0</v>
      </c>
      <c r="BE76" s="190">
        <v>0</v>
      </c>
      <c r="BF76" s="190">
        <v>0</v>
      </c>
      <c r="BG76" s="190">
        <v>0</v>
      </c>
      <c r="BH76" s="190">
        <v>0</v>
      </c>
      <c r="BI76" s="190">
        <v>0</v>
      </c>
      <c r="BJ76" s="190">
        <v>0</v>
      </c>
      <c r="BK76" s="190">
        <v>0</v>
      </c>
      <c r="BL76" s="190">
        <v>0</v>
      </c>
      <c r="BM76" s="190">
        <v>0</v>
      </c>
      <c r="BN76" s="190">
        <v>0</v>
      </c>
      <c r="BO76" s="190">
        <v>0</v>
      </c>
      <c r="BP76" s="190">
        <v>0</v>
      </c>
      <c r="BQ76" s="190">
        <v>0</v>
      </c>
      <c r="BR76" s="190">
        <v>0</v>
      </c>
      <c r="BS76" s="190">
        <v>0</v>
      </c>
      <c r="BT76" s="190">
        <v>0</v>
      </c>
    </row>
    <row r="77" spans="1:72" x14ac:dyDescent="0.25">
      <c r="A77" s="190" t="s">
        <v>181</v>
      </c>
      <c r="B77" s="190">
        <v>-1677000000</v>
      </c>
      <c r="C77" s="190">
        <v>-4422000000</v>
      </c>
      <c r="D77" s="190">
        <v>-5228000000</v>
      </c>
      <c r="E77" s="190">
        <v>-4413000000</v>
      </c>
      <c r="F77" s="190">
        <v>-3247000000</v>
      </c>
      <c r="G77" s="190">
        <v>-1574000000</v>
      </c>
      <c r="H77" s="190">
        <v>-1661000000</v>
      </c>
      <c r="I77" s="190">
        <v>-932000000</v>
      </c>
      <c r="J77" s="190">
        <v>-3800000000</v>
      </c>
      <c r="K77" s="190">
        <v>-3001000000</v>
      </c>
      <c r="L77" s="190">
        <v>-3706000000</v>
      </c>
      <c r="M77" s="190">
        <v>-7984000000</v>
      </c>
      <c r="N77" s="190">
        <v>-2148000000</v>
      </c>
      <c r="O77" s="190">
        <v>-5454000000</v>
      </c>
      <c r="P77" s="190">
        <v>-4120000000</v>
      </c>
      <c r="Q77" s="190">
        <v>-7261000000</v>
      </c>
      <c r="R77" s="190">
        <v>-892000000</v>
      </c>
      <c r="S77" s="190">
        <v>0</v>
      </c>
      <c r="T77" s="190">
        <v>0</v>
      </c>
      <c r="U77" s="190">
        <v>0</v>
      </c>
      <c r="V77" s="190">
        <v>0</v>
      </c>
      <c r="W77" s="190">
        <v>0</v>
      </c>
      <c r="X77" s="190">
        <v>0</v>
      </c>
      <c r="Y77" s="190">
        <v>0</v>
      </c>
      <c r="Z77" s="190">
        <v>0</v>
      </c>
      <c r="AA77" s="190">
        <v>0</v>
      </c>
      <c r="AB77" s="190">
        <v>0</v>
      </c>
      <c r="AC77" s="190">
        <v>0</v>
      </c>
      <c r="AD77" s="190">
        <v>0</v>
      </c>
      <c r="AE77" s="190">
        <v>0</v>
      </c>
      <c r="AF77" s="190">
        <v>0</v>
      </c>
      <c r="AG77" s="190">
        <v>0</v>
      </c>
      <c r="AH77" s="190">
        <v>0</v>
      </c>
      <c r="AI77" s="190">
        <v>0</v>
      </c>
      <c r="AJ77" s="190">
        <v>0</v>
      </c>
      <c r="AK77" s="190">
        <v>0</v>
      </c>
      <c r="AL77" s="190">
        <v>0</v>
      </c>
      <c r="AM77" s="190">
        <v>0</v>
      </c>
      <c r="AN77" s="190">
        <v>0</v>
      </c>
      <c r="AO77" s="190">
        <v>0</v>
      </c>
      <c r="AP77" s="190">
        <v>0</v>
      </c>
      <c r="AQ77" s="190">
        <v>0</v>
      </c>
      <c r="AR77" s="190">
        <v>0</v>
      </c>
      <c r="AS77" s="190">
        <v>0</v>
      </c>
      <c r="AT77" s="190">
        <v>0</v>
      </c>
      <c r="AU77" s="190">
        <v>0</v>
      </c>
      <c r="AV77" s="190">
        <v>0</v>
      </c>
      <c r="AW77" s="190">
        <v>0</v>
      </c>
      <c r="AX77" s="190">
        <v>0</v>
      </c>
      <c r="AY77" s="190">
        <v>0</v>
      </c>
      <c r="AZ77" s="190">
        <v>0</v>
      </c>
      <c r="BA77" s="190">
        <v>0</v>
      </c>
      <c r="BB77" s="190">
        <v>0</v>
      </c>
      <c r="BC77" s="190">
        <v>0</v>
      </c>
      <c r="BD77" s="190">
        <v>0</v>
      </c>
      <c r="BE77" s="190">
        <v>0</v>
      </c>
      <c r="BF77" s="190">
        <v>0</v>
      </c>
      <c r="BG77" s="190">
        <v>0</v>
      </c>
      <c r="BH77" s="190">
        <v>0</v>
      </c>
      <c r="BI77" s="190">
        <v>0</v>
      </c>
      <c r="BJ77" s="190">
        <v>0</v>
      </c>
      <c r="BK77" s="190">
        <v>0</v>
      </c>
      <c r="BL77" s="190">
        <v>0</v>
      </c>
      <c r="BM77" s="190">
        <v>0</v>
      </c>
      <c r="BN77" s="190">
        <v>0</v>
      </c>
      <c r="BO77" s="190">
        <v>0</v>
      </c>
      <c r="BP77" s="190">
        <v>0</v>
      </c>
      <c r="BQ77" s="190">
        <v>0</v>
      </c>
      <c r="BR77" s="190">
        <v>0</v>
      </c>
      <c r="BS77" s="190">
        <v>0</v>
      </c>
      <c r="BT77" s="190">
        <v>0</v>
      </c>
    </row>
    <row r="78" spans="1:72" x14ac:dyDescent="0.25">
      <c r="A78" s="190" t="s">
        <v>182</v>
      </c>
      <c r="B78" s="190">
        <v>1889000000</v>
      </c>
      <c r="C78" s="190">
        <v>1752000000</v>
      </c>
      <c r="D78" s="190">
        <v>1411000000</v>
      </c>
      <c r="E78" s="190">
        <v>888000000</v>
      </c>
      <c r="F78" s="190">
        <v>1722000000</v>
      </c>
      <c r="G78" s="190">
        <v>1539000000</v>
      </c>
      <c r="H78" s="190">
        <v>1245000000</v>
      </c>
      <c r="I78" s="190">
        <v>765000000</v>
      </c>
      <c r="J78" s="190">
        <v>1476000000</v>
      </c>
      <c r="K78" s="190">
        <v>1232000000</v>
      </c>
      <c r="L78" s="190">
        <v>1063000000</v>
      </c>
      <c r="M78" s="190">
        <v>612000000</v>
      </c>
      <c r="N78" s="190">
        <v>1597000000</v>
      </c>
      <c r="O78" s="190">
        <v>1405000000</v>
      </c>
      <c r="P78" s="190">
        <v>953000000</v>
      </c>
      <c r="Q78" s="190">
        <v>491000000</v>
      </c>
      <c r="R78" s="190">
        <v>2108000000</v>
      </c>
      <c r="S78" s="190">
        <v>2620000000</v>
      </c>
      <c r="T78" s="190">
        <v>2176000000</v>
      </c>
      <c r="U78" s="190">
        <v>1556000000</v>
      </c>
      <c r="V78" s="190">
        <v>4283000000</v>
      </c>
      <c r="W78" s="190">
        <v>4623000000</v>
      </c>
      <c r="X78" s="190">
        <v>4487000000</v>
      </c>
      <c r="Y78" s="190">
        <v>3550000000</v>
      </c>
      <c r="Z78" s="190">
        <v>4218000000</v>
      </c>
      <c r="AA78" s="190">
        <v>4182000000</v>
      </c>
      <c r="AB78" s="190">
        <v>3868000000</v>
      </c>
      <c r="AC78" s="190">
        <v>3115000000</v>
      </c>
      <c r="AD78" s="190">
        <v>3197000000</v>
      </c>
      <c r="AE78" s="190">
        <v>2540000000</v>
      </c>
      <c r="AF78" s="190">
        <v>1494000000</v>
      </c>
      <c r="AG78" s="190">
        <v>1325000000</v>
      </c>
      <c r="AH78" s="190">
        <v>501000000</v>
      </c>
      <c r="AI78" s="190">
        <v>373000000</v>
      </c>
      <c r="AJ78" s="190">
        <v>0</v>
      </c>
      <c r="AK78" s="190">
        <v>0</v>
      </c>
      <c r="AL78" s="190">
        <v>0</v>
      </c>
      <c r="AM78" s="190">
        <v>0</v>
      </c>
      <c r="AN78" s="190">
        <v>0</v>
      </c>
      <c r="AO78" s="190">
        <v>0</v>
      </c>
      <c r="AP78" s="190">
        <v>0</v>
      </c>
      <c r="AQ78" s="190">
        <v>0</v>
      </c>
      <c r="AR78" s="190">
        <v>0</v>
      </c>
      <c r="AS78" s="190">
        <v>0</v>
      </c>
      <c r="AT78" s="190">
        <v>0</v>
      </c>
      <c r="AU78" s="190">
        <v>0</v>
      </c>
      <c r="AV78" s="190">
        <v>0</v>
      </c>
      <c r="AW78" s="190">
        <v>0</v>
      </c>
      <c r="AX78" s="190">
        <v>0</v>
      </c>
      <c r="AY78" s="190">
        <v>0</v>
      </c>
      <c r="AZ78" s="190">
        <v>0</v>
      </c>
      <c r="BA78" s="190">
        <v>0</v>
      </c>
      <c r="BB78" s="190">
        <v>0</v>
      </c>
      <c r="BC78" s="190">
        <v>0</v>
      </c>
      <c r="BD78" s="190">
        <v>0</v>
      </c>
      <c r="BE78" s="190">
        <v>0</v>
      </c>
      <c r="BF78" s="190">
        <v>0</v>
      </c>
      <c r="BG78" s="190">
        <v>0</v>
      </c>
      <c r="BH78" s="190">
        <v>0</v>
      </c>
      <c r="BI78" s="190">
        <v>0</v>
      </c>
      <c r="BJ78" s="190">
        <v>0</v>
      </c>
      <c r="BK78" s="190">
        <v>0</v>
      </c>
      <c r="BL78" s="190">
        <v>0</v>
      </c>
      <c r="BM78" s="190">
        <v>0</v>
      </c>
      <c r="BN78" s="190">
        <v>0</v>
      </c>
      <c r="BO78" s="190">
        <v>0</v>
      </c>
      <c r="BP78" s="190">
        <v>0</v>
      </c>
      <c r="BQ78" s="190">
        <v>0</v>
      </c>
      <c r="BR78" s="190">
        <v>0</v>
      </c>
      <c r="BS78" s="190">
        <v>0</v>
      </c>
      <c r="BT78" s="190">
        <v>0</v>
      </c>
    </row>
    <row r="79" spans="1:72" x14ac:dyDescent="0.25">
      <c r="A79" s="190" t="s">
        <v>183</v>
      </c>
      <c r="B79" s="190">
        <v>199682000000</v>
      </c>
      <c r="C79" s="190">
        <v>199682000000</v>
      </c>
      <c r="D79" s="190">
        <v>199682000000</v>
      </c>
      <c r="E79" s="190">
        <v>199682000000</v>
      </c>
      <c r="F79" s="190">
        <v>196640000000</v>
      </c>
      <c r="G79" s="190">
        <v>196640000000</v>
      </c>
      <c r="H79" s="190">
        <v>196640000000</v>
      </c>
      <c r="I79" s="190">
        <v>196640000000</v>
      </c>
      <c r="J79" s="190">
        <v>196640000000</v>
      </c>
      <c r="K79" s="190">
        <v>196640000000</v>
      </c>
      <c r="L79" s="190">
        <v>196640000000</v>
      </c>
      <c r="M79" s="190">
        <v>196640000000</v>
      </c>
      <c r="N79" s="190">
        <v>193552000000</v>
      </c>
      <c r="O79" s="190">
        <v>193552000000</v>
      </c>
      <c r="P79" s="190">
        <v>193552000000</v>
      </c>
      <c r="Q79" s="190">
        <v>193552000000</v>
      </c>
      <c r="R79" s="190">
        <v>190337000000</v>
      </c>
      <c r="S79" s="190">
        <v>190337000000</v>
      </c>
      <c r="T79" s="190">
        <v>190337000000</v>
      </c>
      <c r="U79" s="190">
        <v>190337000000</v>
      </c>
      <c r="V79" s="190">
        <v>187096000000</v>
      </c>
      <c r="W79" s="190">
        <v>187096000000</v>
      </c>
      <c r="X79" s="190">
        <v>184603000000</v>
      </c>
      <c r="Y79" s="190">
        <v>184603000000</v>
      </c>
      <c r="Z79" s="190">
        <v>180683000000</v>
      </c>
      <c r="AA79" s="190">
        <v>180683000000</v>
      </c>
      <c r="AB79" s="190">
        <v>178263000000</v>
      </c>
      <c r="AC79" s="190">
        <v>178263000000</v>
      </c>
      <c r="AD79" s="190">
        <v>145124000000</v>
      </c>
      <c r="AE79" s="190">
        <v>145124000000</v>
      </c>
      <c r="AF79" s="190">
        <v>141711000000</v>
      </c>
      <c r="AG79" s="190">
        <v>141711000000</v>
      </c>
      <c r="AH79" s="190">
        <v>115031000000</v>
      </c>
      <c r="AI79" s="190">
        <v>115031000000</v>
      </c>
      <c r="AJ79" s="190">
        <v>115031000000</v>
      </c>
      <c r="AK79" s="190">
        <v>115031000000</v>
      </c>
      <c r="AL79" s="190">
        <v>92712000000</v>
      </c>
      <c r="AM79" s="190">
        <v>92712000000</v>
      </c>
      <c r="AN79" s="190">
        <v>90078000000</v>
      </c>
      <c r="AO79" s="190">
        <v>90078000000</v>
      </c>
      <c r="AP79" s="190">
        <v>65392000000</v>
      </c>
      <c r="AQ79" s="190">
        <v>65392000000</v>
      </c>
      <c r="AR79" s="190">
        <v>64797000000</v>
      </c>
      <c r="AS79" s="190">
        <v>64797000000</v>
      </c>
      <c r="AT79" s="190">
        <v>61777000000</v>
      </c>
      <c r="AU79" s="190">
        <v>61777000000</v>
      </c>
      <c r="AV79" s="190">
        <v>59330000000</v>
      </c>
      <c r="AW79" s="190">
        <v>39094000000</v>
      </c>
      <c r="AX79" s="190">
        <v>36096000000</v>
      </c>
      <c r="AY79" s="190">
        <v>36096000000</v>
      </c>
      <c r="AZ79" s="190">
        <v>34028000000</v>
      </c>
      <c r="BA79" s="190">
        <v>34028000000</v>
      </c>
      <c r="BB79" s="190">
        <v>29724000000</v>
      </c>
      <c r="BC79" s="190">
        <v>29724000000</v>
      </c>
      <c r="BD79" s="190">
        <v>26116000000</v>
      </c>
      <c r="BE79" s="190">
        <v>26116000000</v>
      </c>
      <c r="BF79" s="190">
        <v>22668000000</v>
      </c>
      <c r="BG79" s="190">
        <v>22668000000</v>
      </c>
      <c r="BH79" s="190">
        <v>19660000000</v>
      </c>
      <c r="BI79" s="190">
        <v>19660000000</v>
      </c>
      <c r="BJ79" s="190">
        <v>17812000000</v>
      </c>
      <c r="BK79" s="190">
        <v>17812000000</v>
      </c>
      <c r="BL79" s="190">
        <v>15858000000</v>
      </c>
      <c r="BM79" s="190">
        <v>15858000000</v>
      </c>
      <c r="BN79" s="190">
        <v>6934000000</v>
      </c>
      <c r="BO79" s="190">
        <v>6934000000</v>
      </c>
      <c r="BP79" s="190">
        <v>6034000000</v>
      </c>
      <c r="BQ79" s="190">
        <v>6034000000</v>
      </c>
      <c r="BR79" s="190">
        <v>3230000000</v>
      </c>
      <c r="BS79" s="190">
        <v>3230000000</v>
      </c>
      <c r="BT79" s="190">
        <v>0</v>
      </c>
    </row>
    <row r="80" spans="1:72" x14ac:dyDescent="0.25">
      <c r="A80" s="190" t="s">
        <v>184</v>
      </c>
      <c r="B80" s="190">
        <v>0</v>
      </c>
      <c r="C80" s="190">
        <v>0</v>
      </c>
      <c r="D80" s="190">
        <v>0</v>
      </c>
      <c r="E80" s="190">
        <v>0</v>
      </c>
      <c r="F80" s="190">
        <v>0</v>
      </c>
      <c r="G80" s="190">
        <v>0</v>
      </c>
      <c r="H80" s="190">
        <v>0</v>
      </c>
      <c r="I80" s="190">
        <v>0</v>
      </c>
      <c r="J80" s="190">
        <v>0</v>
      </c>
      <c r="K80" s="190">
        <v>0</v>
      </c>
      <c r="L80" s="190">
        <v>0</v>
      </c>
      <c r="M80" s="190">
        <v>0</v>
      </c>
      <c r="N80" s="190">
        <v>0</v>
      </c>
      <c r="O80" s="190">
        <v>0</v>
      </c>
      <c r="P80" s="190">
        <v>0</v>
      </c>
      <c r="Q80" s="190">
        <v>0</v>
      </c>
      <c r="R80" s="190">
        <v>0</v>
      </c>
      <c r="S80" s="190">
        <v>0</v>
      </c>
      <c r="T80" s="190">
        <v>0</v>
      </c>
      <c r="U80" s="190">
        <v>0</v>
      </c>
      <c r="V80" s="190">
        <v>0</v>
      </c>
      <c r="W80" s="190">
        <v>0</v>
      </c>
      <c r="X80" s="190">
        <v>0</v>
      </c>
      <c r="Y80" s="190">
        <v>0</v>
      </c>
      <c r="Z80" s="190">
        <v>0</v>
      </c>
      <c r="AA80" s="190">
        <v>0</v>
      </c>
      <c r="AB80" s="190">
        <v>0</v>
      </c>
      <c r="AC80" s="190">
        <v>0</v>
      </c>
      <c r="AD80" s="190">
        <v>0</v>
      </c>
      <c r="AE80" s="190">
        <v>0</v>
      </c>
      <c r="AF80" s="190">
        <v>0</v>
      </c>
      <c r="AG80" s="190">
        <v>0</v>
      </c>
      <c r="AH80" s="190">
        <v>0</v>
      </c>
      <c r="AI80" s="190">
        <v>0</v>
      </c>
      <c r="AJ80" s="190">
        <v>0</v>
      </c>
      <c r="AK80" s="190">
        <v>0</v>
      </c>
      <c r="AL80" s="190">
        <v>0</v>
      </c>
      <c r="AM80" s="190">
        <v>0</v>
      </c>
      <c r="AN80" s="190">
        <v>0</v>
      </c>
      <c r="AO80" s="190">
        <v>0</v>
      </c>
      <c r="AP80" s="190">
        <v>0</v>
      </c>
      <c r="AQ80" s="190">
        <v>0</v>
      </c>
      <c r="AR80" s="190">
        <v>0</v>
      </c>
      <c r="AS80" s="190">
        <v>0</v>
      </c>
      <c r="AT80" s="190">
        <v>0</v>
      </c>
      <c r="AU80" s="190">
        <v>0</v>
      </c>
      <c r="AV80" s="190">
        <v>0</v>
      </c>
      <c r="AW80" s="190">
        <v>0</v>
      </c>
      <c r="AX80" s="190">
        <v>0</v>
      </c>
      <c r="AY80" s="190">
        <v>0</v>
      </c>
      <c r="AZ80" s="190">
        <v>0</v>
      </c>
      <c r="BA80" s="190">
        <v>0</v>
      </c>
      <c r="BB80" s="190">
        <v>0</v>
      </c>
      <c r="BC80" s="190">
        <v>0</v>
      </c>
      <c r="BD80" s="190">
        <v>0</v>
      </c>
      <c r="BE80" s="190">
        <v>0</v>
      </c>
      <c r="BF80" s="190">
        <v>0</v>
      </c>
      <c r="BG80" s="190">
        <v>0</v>
      </c>
      <c r="BH80" s="190">
        <v>0</v>
      </c>
      <c r="BI80" s="190">
        <v>0</v>
      </c>
      <c r="BJ80" s="190">
        <v>0</v>
      </c>
      <c r="BK80" s="190">
        <v>0</v>
      </c>
      <c r="BL80" s="190">
        <v>0</v>
      </c>
      <c r="BM80" s="190">
        <v>0</v>
      </c>
      <c r="BN80" s="190">
        <v>0</v>
      </c>
      <c r="BO80" s="190">
        <v>0</v>
      </c>
      <c r="BP80" s="190">
        <v>0</v>
      </c>
      <c r="BQ80" s="190">
        <v>0</v>
      </c>
      <c r="BR80" s="190">
        <v>0</v>
      </c>
      <c r="BS80" s="190">
        <v>0</v>
      </c>
      <c r="BT80" s="190">
        <v>0</v>
      </c>
    </row>
    <row r="81" spans="1:72" x14ac:dyDescent="0.25">
      <c r="A81" s="190" t="s">
        <v>185</v>
      </c>
      <c r="B81" s="190">
        <v>281803000000</v>
      </c>
      <c r="C81" s="190">
        <v>283533000000</v>
      </c>
      <c r="D81" s="190">
        <v>309312000000</v>
      </c>
      <c r="E81" s="190">
        <v>290459000000</v>
      </c>
      <c r="F81" s="190">
        <v>280846000000</v>
      </c>
      <c r="G81" s="190">
        <v>281673000000</v>
      </c>
      <c r="H81" s="190">
        <v>291796000000</v>
      </c>
      <c r="I81" s="190">
        <v>275163000000</v>
      </c>
      <c r="J81" s="190">
        <v>257913000000</v>
      </c>
      <c r="K81" s="190">
        <v>257562000000</v>
      </c>
      <c r="L81" s="190">
        <v>251808000000</v>
      </c>
      <c r="M81" s="190">
        <v>245623000000</v>
      </c>
      <c r="N81" s="190">
        <v>242352000000</v>
      </c>
      <c r="O81" s="190">
        <v>251827000000</v>
      </c>
      <c r="P81" s="190">
        <v>242403000000</v>
      </c>
      <c r="Q81" s="190">
        <v>240718000000</v>
      </c>
      <c r="R81" s="190">
        <v>247672000000</v>
      </c>
      <c r="S81" s="190">
        <v>238445000000</v>
      </c>
      <c r="T81" s="190">
        <v>238011000000</v>
      </c>
      <c r="U81" s="190">
        <v>224534000000</v>
      </c>
      <c r="V81" s="190">
        <v>212197000000</v>
      </c>
      <c r="W81" s="190">
        <v>200504000000</v>
      </c>
      <c r="X81" s="190">
        <v>225280000000</v>
      </c>
      <c r="Y81" s="190">
        <v>209446000000</v>
      </c>
      <c r="Z81" s="190">
        <v>191821000000</v>
      </c>
      <c r="AA81" s="190">
        <v>182249000000</v>
      </c>
      <c r="AB81" s="190">
        <v>191165000000</v>
      </c>
      <c r="AC81" s="190">
        <v>178336000000</v>
      </c>
      <c r="AD81" s="190">
        <v>199738000000</v>
      </c>
      <c r="AE81" s="190">
        <v>188687000000</v>
      </c>
      <c r="AF81" s="190">
        <v>183633000000</v>
      </c>
      <c r="AG81" s="190">
        <v>163132000000</v>
      </c>
      <c r="AH81" s="190">
        <v>175370000000</v>
      </c>
      <c r="AI81" s="190">
        <v>163139000000</v>
      </c>
      <c r="AJ81" s="190">
        <v>159892000000</v>
      </c>
      <c r="AK81" s="190">
        <v>137247000000</v>
      </c>
      <c r="AL81" s="190">
        <v>147990000000</v>
      </c>
      <c r="AM81" s="190">
        <v>137535000000</v>
      </c>
      <c r="AN81" s="190">
        <v>125972000000</v>
      </c>
      <c r="AO81" s="190">
        <v>114782000000</v>
      </c>
      <c r="AP81" s="190">
        <v>115534000000</v>
      </c>
      <c r="AQ81" s="190">
        <v>109832000000</v>
      </c>
      <c r="AR81" s="190">
        <v>117760000000</v>
      </c>
      <c r="AS81" s="190">
        <v>111059000000</v>
      </c>
      <c r="AT81" s="190">
        <v>107179000000</v>
      </c>
      <c r="AU81" s="190">
        <v>97756000000</v>
      </c>
      <c r="AV81" s="190">
        <v>94233000000</v>
      </c>
      <c r="AW81" s="190">
        <v>92693000000</v>
      </c>
      <c r="AX81" s="190">
        <v>78841000000</v>
      </c>
      <c r="AY81" s="190">
        <v>69174000000</v>
      </c>
      <c r="AZ81" s="190">
        <v>67496000000</v>
      </c>
      <c r="BA81" s="190">
        <v>58366000000</v>
      </c>
      <c r="BB81" s="190">
        <v>49588000000</v>
      </c>
      <c r="BC81" s="190">
        <v>44624000000</v>
      </c>
      <c r="BD81" s="190">
        <v>46128000000</v>
      </c>
      <c r="BE81" s="190">
        <v>37124000000</v>
      </c>
      <c r="BF81" s="190">
        <v>32339000000</v>
      </c>
      <c r="BG81" s="190">
        <v>26804000000</v>
      </c>
      <c r="BH81" s="190">
        <v>27405000000</v>
      </c>
      <c r="BI81" s="190">
        <v>19975000000</v>
      </c>
      <c r="BJ81" s="190">
        <v>17616000000</v>
      </c>
      <c r="BK81" s="190">
        <v>15178000000</v>
      </c>
      <c r="BL81" s="190">
        <v>13180000000</v>
      </c>
      <c r="BM81" s="190">
        <v>12569000000</v>
      </c>
      <c r="BN81" s="190">
        <v>16427000000</v>
      </c>
      <c r="BO81" s="190">
        <v>11876000000</v>
      </c>
      <c r="BP81" s="190">
        <v>10108000000</v>
      </c>
      <c r="BQ81" s="190">
        <v>10006000000</v>
      </c>
      <c r="BR81" s="190">
        <v>13835000000</v>
      </c>
      <c r="BS81" s="190">
        <v>6212000000</v>
      </c>
      <c r="BT81" s="190">
        <v>0</v>
      </c>
    </row>
    <row r="82" spans="1:72" x14ac:dyDescent="0.25">
      <c r="A82" s="190" t="s">
        <v>186</v>
      </c>
      <c r="B82" s="190">
        <v>722317000000</v>
      </c>
      <c r="C82" s="190">
        <v>721193000000</v>
      </c>
      <c r="D82" s="190">
        <v>745799000000</v>
      </c>
      <c r="E82" s="190">
        <v>727244000000</v>
      </c>
      <c r="F82" s="190">
        <v>716511000000</v>
      </c>
      <c r="G82" s="190">
        <v>718878000000</v>
      </c>
      <c r="H82" s="190">
        <v>728618000000</v>
      </c>
      <c r="I82" s="190">
        <v>712232000000</v>
      </c>
      <c r="J82" s="190">
        <v>692711000000</v>
      </c>
      <c r="K82" s="190">
        <v>692934000000</v>
      </c>
      <c r="L82" s="190">
        <v>686286000000</v>
      </c>
      <c r="M82" s="190">
        <v>675370000000</v>
      </c>
      <c r="N82" s="190">
        <v>675496000000</v>
      </c>
      <c r="O82" s="190">
        <v>681474000000</v>
      </c>
      <c r="P82" s="190">
        <v>671514000000</v>
      </c>
      <c r="Q82" s="190">
        <v>594483000000</v>
      </c>
      <c r="R82" s="190">
        <v>593823000000</v>
      </c>
      <c r="S82" s="190">
        <v>587604000000</v>
      </c>
      <c r="T82" s="190">
        <v>585225000000</v>
      </c>
      <c r="U82" s="190">
        <v>570346000000</v>
      </c>
      <c r="V82" s="190">
        <v>556623000000</v>
      </c>
      <c r="W82" s="190">
        <v>546386000000</v>
      </c>
      <c r="X82" s="190">
        <v>549425000000</v>
      </c>
      <c r="Y82" s="190">
        <v>513374000000</v>
      </c>
      <c r="Z82" s="190">
        <v>492307000000</v>
      </c>
      <c r="AA82" s="190">
        <v>482730000000</v>
      </c>
      <c r="AB82" s="190">
        <v>489103000000</v>
      </c>
      <c r="AC82" s="190">
        <v>474399000000</v>
      </c>
      <c r="AD82" s="190">
        <v>466575000000</v>
      </c>
      <c r="AE82" s="190">
        <v>454883000000</v>
      </c>
      <c r="AF82" s="190">
        <v>445664000000</v>
      </c>
      <c r="AG82" s="190">
        <v>421127000000</v>
      </c>
      <c r="AH82" s="190">
        <v>406266000000</v>
      </c>
      <c r="AI82" s="190">
        <v>402930000000</v>
      </c>
      <c r="AJ82" s="190">
        <v>392816000000</v>
      </c>
      <c r="AK82" s="190">
        <v>377182000000</v>
      </c>
      <c r="AL82" s="190">
        <v>364867000000</v>
      </c>
      <c r="AM82" s="190">
        <v>354494000000</v>
      </c>
      <c r="AN82" s="190">
        <v>341536000000</v>
      </c>
      <c r="AO82" s="190">
        <v>330080000000</v>
      </c>
      <c r="AP82" s="190">
        <v>310822000000</v>
      </c>
      <c r="AQ82" s="190">
        <v>305471000000</v>
      </c>
      <c r="AR82" s="190">
        <v>314529000000</v>
      </c>
      <c r="AS82" s="190">
        <v>300949000000</v>
      </c>
      <c r="AT82" s="190">
        <v>292874000000</v>
      </c>
      <c r="AU82" s="190">
        <v>283451000000</v>
      </c>
      <c r="AV82" s="190">
        <v>277311000000</v>
      </c>
      <c r="AW82" s="190">
        <v>254875000000</v>
      </c>
      <c r="AX82" s="190">
        <v>237468000000</v>
      </c>
      <c r="AY82" s="190">
        <v>228510000000</v>
      </c>
      <c r="AZ82" s="190">
        <v>224764000000</v>
      </c>
      <c r="BA82" s="190">
        <v>215623000000</v>
      </c>
      <c r="BB82" s="190">
        <v>202582000000</v>
      </c>
      <c r="BC82" s="190">
        <v>197571000000</v>
      </c>
      <c r="BD82" s="190">
        <v>195417000000</v>
      </c>
      <c r="BE82" s="190">
        <v>186350000000</v>
      </c>
      <c r="BF82" s="190">
        <v>177835000000</v>
      </c>
      <c r="BG82" s="190">
        <v>172276000000</v>
      </c>
      <c r="BH82" s="190">
        <v>170309000000</v>
      </c>
      <c r="BI82" s="190">
        <v>162946000000</v>
      </c>
      <c r="BJ82" s="190">
        <v>158718000000</v>
      </c>
      <c r="BK82" s="190">
        <v>156280000000</v>
      </c>
      <c r="BL82" s="190">
        <v>152328000000</v>
      </c>
      <c r="BM82" s="190">
        <v>151717000000</v>
      </c>
      <c r="BN82" s="190">
        <v>146360000000</v>
      </c>
      <c r="BO82" s="190">
        <v>141809000000</v>
      </c>
      <c r="BP82" s="190">
        <v>139141000000</v>
      </c>
      <c r="BQ82" s="190">
        <v>139039000000</v>
      </c>
      <c r="BR82" s="190">
        <v>128416000000</v>
      </c>
      <c r="BS82" s="190">
        <v>120793000000</v>
      </c>
      <c r="BT82" s="190">
        <v>0</v>
      </c>
    </row>
    <row r="83" spans="1:72" x14ac:dyDescent="0.25">
      <c r="A83" s="190" t="s">
        <v>187</v>
      </c>
      <c r="B83" s="190">
        <v>140408000000</v>
      </c>
      <c r="C83" s="190">
        <v>136118000000</v>
      </c>
      <c r="D83" s="190">
        <v>131517000000</v>
      </c>
      <c r="E83" s="190">
        <v>126826000000</v>
      </c>
      <c r="F83" s="190">
        <v>128914000000</v>
      </c>
      <c r="G83" s="190">
        <v>126948000000</v>
      </c>
      <c r="H83" s="190">
        <v>124989000000</v>
      </c>
      <c r="I83" s="190">
        <v>120293000000</v>
      </c>
      <c r="J83" s="190">
        <v>120791000000</v>
      </c>
      <c r="K83" s="190">
        <v>117049000000</v>
      </c>
      <c r="L83" s="190">
        <v>110219000000</v>
      </c>
      <c r="M83" s="190">
        <v>110253000000</v>
      </c>
      <c r="N83" s="190">
        <v>110025000000</v>
      </c>
      <c r="O83" s="190">
        <v>106944000000</v>
      </c>
      <c r="P83" s="190">
        <v>102540000000</v>
      </c>
      <c r="Q83" s="190">
        <v>52612000000</v>
      </c>
      <c r="R83" s="190">
        <v>57157000000</v>
      </c>
      <c r="S83" s="190">
        <v>55517000000</v>
      </c>
      <c r="T83" s="190">
        <v>55834000000</v>
      </c>
      <c r="U83" s="190">
        <v>52914000000</v>
      </c>
      <c r="V83" s="190">
        <v>43313000000</v>
      </c>
      <c r="W83" s="190">
        <v>40991000000</v>
      </c>
      <c r="X83" s="190">
        <v>38588000000</v>
      </c>
      <c r="Y83" s="190">
        <v>37227000000</v>
      </c>
      <c r="Z83" s="190">
        <v>37915000000</v>
      </c>
      <c r="AA83" s="190">
        <v>36491000000</v>
      </c>
      <c r="AB83" s="190">
        <v>36354000000</v>
      </c>
      <c r="AC83" s="190">
        <v>35126000000</v>
      </c>
      <c r="AD83" s="190">
        <v>34298000000</v>
      </c>
      <c r="AE83" s="190">
        <v>33732000000</v>
      </c>
      <c r="AF83" s="190">
        <v>33190000000</v>
      </c>
      <c r="AG83" s="190">
        <v>31555000000</v>
      </c>
      <c r="AH83" s="190">
        <v>29736000000</v>
      </c>
      <c r="AI83" s="190">
        <v>24953000000</v>
      </c>
      <c r="AJ83" s="190">
        <v>24137000000</v>
      </c>
      <c r="AK83" s="190">
        <v>23403000000</v>
      </c>
      <c r="AL83" s="190">
        <v>22883000000</v>
      </c>
      <c r="AM83" s="190">
        <v>22266000000</v>
      </c>
      <c r="AN83" s="190">
        <v>21344000000</v>
      </c>
      <c r="AO83" s="190">
        <v>20866000000</v>
      </c>
      <c r="AP83" s="190">
        <v>23494000000</v>
      </c>
      <c r="AQ83" s="190">
        <v>25828000000</v>
      </c>
      <c r="AR83" s="190">
        <v>25803000000</v>
      </c>
      <c r="AS83" s="190">
        <v>25398000000</v>
      </c>
      <c r="AT83" s="190">
        <v>24236000000</v>
      </c>
      <c r="AU83" s="190">
        <v>23572000000</v>
      </c>
      <c r="AV83" s="190">
        <v>22880000000</v>
      </c>
      <c r="AW83" s="190">
        <v>21985000000</v>
      </c>
      <c r="AX83" s="190">
        <v>19641000000</v>
      </c>
      <c r="AY83" s="190">
        <v>20118000000</v>
      </c>
      <c r="AZ83" s="190">
        <v>29442000000</v>
      </c>
      <c r="BA83" s="190">
        <v>29383000000</v>
      </c>
      <c r="BB83" s="190">
        <v>29147000000</v>
      </c>
      <c r="BC83" s="190">
        <v>29174000000</v>
      </c>
      <c r="BD83" s="190">
        <v>32785000000</v>
      </c>
      <c r="BE83" s="190">
        <v>31216000000</v>
      </c>
      <c r="BF83" s="190">
        <v>29692000000</v>
      </c>
      <c r="BG83" s="190">
        <v>27910000000</v>
      </c>
      <c r="BH83" s="190">
        <v>27254000000</v>
      </c>
      <c r="BI83" s="190">
        <v>26077000000</v>
      </c>
      <c r="BJ83" s="190">
        <v>25257000000</v>
      </c>
      <c r="BK83" s="190">
        <v>24525000000</v>
      </c>
      <c r="BL83" s="190">
        <v>24737000000</v>
      </c>
      <c r="BM83" s="190">
        <v>24109000000</v>
      </c>
      <c r="BN83" s="190">
        <v>23809000000</v>
      </c>
      <c r="BO83" s="190">
        <v>23918000000</v>
      </c>
      <c r="BP83" s="190">
        <v>23525000000</v>
      </c>
      <c r="BQ83" s="190">
        <v>23408000000</v>
      </c>
      <c r="BR83" s="190">
        <v>22974000000</v>
      </c>
      <c r="BS83" s="190">
        <v>23299000000</v>
      </c>
      <c r="BT83" s="190">
        <v>0</v>
      </c>
    </row>
    <row r="84" spans="1:72" x14ac:dyDescent="0.25">
      <c r="A84" s="190" t="s">
        <v>188</v>
      </c>
      <c r="B84" s="190">
        <v>862725000000</v>
      </c>
      <c r="C84" s="190">
        <v>857311000000</v>
      </c>
      <c r="D84" s="190">
        <v>877316000000</v>
      </c>
      <c r="E84" s="190">
        <v>854070000000</v>
      </c>
      <c r="F84" s="190">
        <v>845425000000</v>
      </c>
      <c r="G84" s="190">
        <v>845826000000</v>
      </c>
      <c r="H84" s="190">
        <v>853607000000</v>
      </c>
      <c r="I84" s="190">
        <v>832525000000</v>
      </c>
      <c r="J84" s="190">
        <v>813502000000</v>
      </c>
      <c r="K84" s="190">
        <v>809983000000</v>
      </c>
      <c r="L84" s="190">
        <v>796505000000</v>
      </c>
      <c r="M84" s="190">
        <v>785623000000</v>
      </c>
      <c r="N84" s="190">
        <v>785521000000</v>
      </c>
      <c r="O84" s="190">
        <v>788418000000</v>
      </c>
      <c r="P84" s="190">
        <v>774054000000</v>
      </c>
      <c r="Q84" s="190">
        <v>647095000000</v>
      </c>
      <c r="R84" s="190">
        <v>650980000000</v>
      </c>
      <c r="S84" s="190">
        <v>643121000000</v>
      </c>
      <c r="T84" s="190">
        <v>641059000000</v>
      </c>
      <c r="U84" s="190">
        <v>623260000000</v>
      </c>
      <c r="V84" s="190">
        <v>599936000000</v>
      </c>
      <c r="W84" s="190">
        <v>587377000000</v>
      </c>
      <c r="X84" s="190">
        <v>588013000000</v>
      </c>
      <c r="Y84" s="190">
        <v>550601000000</v>
      </c>
      <c r="Z84" s="190">
        <v>530222000000</v>
      </c>
      <c r="AA84" s="190">
        <v>519221000000</v>
      </c>
      <c r="AB84" s="190">
        <v>525457000000</v>
      </c>
      <c r="AC84" s="190">
        <v>509525000000</v>
      </c>
      <c r="AD84" s="190">
        <v>500873000000</v>
      </c>
      <c r="AE84" s="190">
        <v>488615000000</v>
      </c>
      <c r="AF84" s="190">
        <v>478854000000</v>
      </c>
      <c r="AG84" s="190">
        <v>452682000000</v>
      </c>
      <c r="AH84" s="190">
        <v>436002000000</v>
      </c>
      <c r="AI84" s="190">
        <v>427883000000</v>
      </c>
      <c r="AJ84" s="190">
        <v>416953000000</v>
      </c>
      <c r="AK84" s="190">
        <v>400585000000</v>
      </c>
      <c r="AL84" s="190">
        <v>387750000000</v>
      </c>
      <c r="AM84" s="190">
        <v>376760000000</v>
      </c>
      <c r="AN84" s="190">
        <v>362880000000</v>
      </c>
      <c r="AO84" s="190">
        <v>350946000000</v>
      </c>
      <c r="AP84" s="190">
        <v>334316000000</v>
      </c>
      <c r="AQ84" s="190">
        <v>331299000000</v>
      </c>
      <c r="AR84" s="190">
        <v>340332000000</v>
      </c>
      <c r="AS84" s="190">
        <v>326347000000</v>
      </c>
      <c r="AT84" s="190">
        <v>317110000000</v>
      </c>
      <c r="AU84" s="190">
        <v>307023000000</v>
      </c>
      <c r="AV84" s="190">
        <v>300191000000</v>
      </c>
      <c r="AW84" s="190">
        <v>276860000000</v>
      </c>
      <c r="AX84" s="190">
        <v>257109000000</v>
      </c>
      <c r="AY84" s="190">
        <v>248628000000</v>
      </c>
      <c r="AZ84" s="190">
        <v>254206000000</v>
      </c>
      <c r="BA84" s="190">
        <v>245006000000</v>
      </c>
      <c r="BB84" s="190">
        <v>231729000000</v>
      </c>
      <c r="BC84" s="190">
        <v>226745000000</v>
      </c>
      <c r="BD84" s="190">
        <v>228202000000</v>
      </c>
      <c r="BE84" s="190">
        <v>217566000000</v>
      </c>
      <c r="BF84" s="190">
        <v>207527000000</v>
      </c>
      <c r="BG84" s="190">
        <v>200186000000</v>
      </c>
      <c r="BH84" s="190">
        <v>197563000000</v>
      </c>
      <c r="BI84" s="190">
        <v>189023000000</v>
      </c>
      <c r="BJ84" s="190">
        <v>183975000000</v>
      </c>
      <c r="BK84" s="190">
        <v>180805000000</v>
      </c>
      <c r="BL84" s="190">
        <v>177065000000</v>
      </c>
      <c r="BM84" s="190">
        <v>175826000000</v>
      </c>
      <c r="BN84" s="190">
        <v>170169000000</v>
      </c>
      <c r="BO84" s="190">
        <v>165727000000</v>
      </c>
      <c r="BP84" s="190">
        <v>162666000000</v>
      </c>
      <c r="BQ84" s="190">
        <v>162447000000</v>
      </c>
      <c r="BR84" s="190">
        <v>151390000000</v>
      </c>
      <c r="BS84" s="190">
        <v>144092000000</v>
      </c>
      <c r="BT84" s="190">
        <v>0</v>
      </c>
    </row>
    <row r="85" spans="1:72" x14ac:dyDescent="0.25">
      <c r="A85" s="190" t="s">
        <v>189</v>
      </c>
      <c r="B85" s="190">
        <v>1662760000000</v>
      </c>
      <c r="C85" s="190">
        <v>1617304000000</v>
      </c>
      <c r="D85" s="190">
        <v>1572527000000</v>
      </c>
      <c r="E85" s="190">
        <v>1595504000000</v>
      </c>
      <c r="F85" s="190">
        <v>1476655000000</v>
      </c>
      <c r="G85" s="190">
        <v>1487538000000</v>
      </c>
      <c r="H85" s="190">
        <v>1478917000000</v>
      </c>
      <c r="I85" s="190">
        <v>1498609000000</v>
      </c>
      <c r="J85" s="190">
        <v>1413148000000</v>
      </c>
      <c r="K85" s="190">
        <v>1432624000000</v>
      </c>
      <c r="L85" s="190">
        <v>1397688000000</v>
      </c>
      <c r="M85" s="190">
        <v>1443129000000</v>
      </c>
      <c r="N85" s="190">
        <v>1404414000000</v>
      </c>
      <c r="O85" s="190">
        <v>1470355000000</v>
      </c>
      <c r="P85" s="190">
        <v>1436051000000</v>
      </c>
      <c r="Q85" s="190">
        <v>1451368000000</v>
      </c>
      <c r="R85" s="190">
        <v>1437590000000</v>
      </c>
      <c r="S85" s="190">
        <v>1429543000000</v>
      </c>
      <c r="T85" s="190">
        <v>1408367000000</v>
      </c>
      <c r="U85" s="190">
        <v>1382916000000</v>
      </c>
      <c r="V85" s="190">
        <v>1319538000000</v>
      </c>
      <c r="W85" s="190">
        <v>1274233000000</v>
      </c>
      <c r="X85" s="190">
        <v>1290018000000</v>
      </c>
      <c r="Y85" s="190">
        <v>1238522000000</v>
      </c>
      <c r="Z85" s="190">
        <v>1179915000000</v>
      </c>
      <c r="AA85" s="190">
        <v>1168178000000</v>
      </c>
      <c r="AB85" s="190">
        <v>1197263000000</v>
      </c>
      <c r="AC85" s="190">
        <v>1130053000000</v>
      </c>
      <c r="AD85" s="190">
        <v>1081931000000</v>
      </c>
      <c r="AE85" s="190">
        <v>1071912000000</v>
      </c>
      <c r="AF85" s="190">
        <v>1054428000000</v>
      </c>
      <c r="AG85" s="190">
        <v>985389000000</v>
      </c>
      <c r="AH85" s="190">
        <v>939609000000</v>
      </c>
      <c r="AI85" s="190">
        <v>920795000000</v>
      </c>
      <c r="AJ85" s="190">
        <v>914276000000</v>
      </c>
      <c r="AK85" s="190">
        <v>866475000000</v>
      </c>
      <c r="AL85" s="190">
        <v>843734000000</v>
      </c>
      <c r="AM85" s="190">
        <v>816342000000</v>
      </c>
      <c r="AN85" s="190">
        <v>773578000000</v>
      </c>
      <c r="AO85" s="190">
        <v>752235000000</v>
      </c>
      <c r="AP85" s="190">
        <v>813757000000</v>
      </c>
      <c r="AQ85" s="190">
        <v>820556000000</v>
      </c>
      <c r="AR85" s="190">
        <v>773761000000</v>
      </c>
      <c r="AS85" s="190">
        <v>718572000000</v>
      </c>
      <c r="AT85" s="190">
        <v>660279000000</v>
      </c>
      <c r="AU85" s="190">
        <v>650547000000</v>
      </c>
      <c r="AV85" s="190">
        <v>623066000000</v>
      </c>
      <c r="AW85" s="190">
        <v>594550000000</v>
      </c>
      <c r="AX85" s="190">
        <v>582597000000</v>
      </c>
      <c r="AY85" s="190">
        <v>568888000000</v>
      </c>
      <c r="AZ85" s="190">
        <v>539927000000</v>
      </c>
      <c r="BA85" s="190">
        <v>520572000000</v>
      </c>
      <c r="BB85" s="190">
        <v>500696000000</v>
      </c>
      <c r="BC85" s="190">
        <v>492986000000</v>
      </c>
      <c r="BD85" s="190">
        <v>481785000000</v>
      </c>
      <c r="BE85" s="190">
        <v>460081000000</v>
      </c>
      <c r="BF85" s="190">
        <v>430304000000</v>
      </c>
      <c r="BG85" s="190">
        <v>422925000000</v>
      </c>
      <c r="BH85" s="190">
        <v>406900000000</v>
      </c>
      <c r="BI85" s="190">
        <v>390213000000</v>
      </c>
      <c r="BJ85" s="190">
        <v>374676000000</v>
      </c>
      <c r="BK85" s="190">
        <v>380114000000</v>
      </c>
      <c r="BL85" s="190">
        <v>380330000000</v>
      </c>
      <c r="BM85" s="190">
        <v>368375000000</v>
      </c>
      <c r="BN85" s="190">
        <v>367387000000</v>
      </c>
      <c r="BO85" s="190">
        <v>371665000000</v>
      </c>
      <c r="BP85" s="190">
        <v>364395000000</v>
      </c>
      <c r="BQ85" s="190">
        <v>360294000000</v>
      </c>
      <c r="BR85" s="190">
        <v>364924000000</v>
      </c>
      <c r="BS85" s="190">
        <v>340918000000</v>
      </c>
      <c r="BT85" s="190">
        <v>0</v>
      </c>
    </row>
  </sheetData>
  <phoneticPr fontId="1"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利润表"/>
  <dimension ref="A1:BV31"/>
  <sheetViews>
    <sheetView workbookViewId="0">
      <selection activeCell="A2" sqref="A2"/>
    </sheetView>
  </sheetViews>
  <sheetFormatPr defaultRowHeight="14.4" x14ac:dyDescent="0.25"/>
  <cols>
    <col min="1" max="1" width="39.109375" style="190" bestFit="1" customWidth="1"/>
    <col min="2" max="4" width="12.77734375" style="190" hidden="1" customWidth="1"/>
    <col min="5" max="5" width="12.77734375" style="190" bestFit="1" customWidth="1"/>
    <col min="6" max="8" width="12.77734375" style="190" hidden="1" customWidth="1"/>
    <col min="9" max="9" width="12.77734375" style="190" bestFit="1" customWidth="1"/>
    <col min="10" max="12" width="12.77734375" style="190" hidden="1" customWidth="1"/>
    <col min="13" max="13" width="12.77734375" style="190" bestFit="1" customWidth="1"/>
    <col min="14" max="16" width="12.77734375" style="190" hidden="1" customWidth="1"/>
    <col min="17" max="17" width="12.77734375" style="190" bestFit="1" customWidth="1"/>
    <col min="18" max="20" width="12.77734375" style="190" hidden="1" customWidth="1"/>
    <col min="21" max="21" width="12.77734375" style="190" bestFit="1" customWidth="1"/>
    <col min="22" max="24" width="12.77734375" style="190" hidden="1" customWidth="1"/>
    <col min="25" max="25" width="12.77734375" style="190" bestFit="1" customWidth="1"/>
    <col min="26" max="28" width="12.77734375" style="190" hidden="1" customWidth="1"/>
    <col min="29" max="29" width="12.77734375" style="190" bestFit="1" customWidth="1"/>
    <col min="30" max="32" width="12.77734375" style="190" hidden="1" customWidth="1"/>
    <col min="33" max="33" width="12.77734375" style="190" bestFit="1" customWidth="1"/>
    <col min="34" max="36" width="12.77734375" style="190" hidden="1" customWidth="1"/>
    <col min="37" max="37" width="12.77734375" style="190" bestFit="1" customWidth="1"/>
    <col min="38" max="40" width="12.77734375" style="190" hidden="1" customWidth="1"/>
    <col min="41" max="41" width="13.88671875" style="190" bestFit="1" customWidth="1"/>
    <col min="42" max="43" width="13.88671875" style="190" hidden="1" customWidth="1"/>
    <col min="44" max="44" width="12.77734375" style="190" hidden="1" customWidth="1"/>
    <col min="45" max="45" width="12.77734375" style="190" bestFit="1" customWidth="1"/>
    <col min="46" max="48" width="12.77734375" style="190" hidden="1" customWidth="1"/>
    <col min="49" max="49" width="12.77734375" style="190" bestFit="1" customWidth="1"/>
    <col min="50" max="52" width="12.77734375" style="190" hidden="1" customWidth="1"/>
    <col min="53" max="53" width="12.77734375" style="190" bestFit="1" customWidth="1"/>
    <col min="54" max="56" width="12.77734375" style="190" hidden="1" customWidth="1"/>
    <col min="57" max="57" width="12.77734375" style="190" bestFit="1" customWidth="1"/>
    <col min="58" max="60" width="12.77734375" style="190" hidden="1" customWidth="1"/>
    <col min="61" max="61" width="12.77734375" style="190" bestFit="1" customWidth="1"/>
    <col min="62" max="64" width="12.77734375" style="190" hidden="1" customWidth="1"/>
    <col min="65" max="65" width="12.77734375" style="190" bestFit="1" customWidth="1"/>
    <col min="66" max="68" width="12.77734375" style="190" hidden="1" customWidth="1"/>
    <col min="69" max="69" width="12.77734375" style="190" bestFit="1" customWidth="1"/>
    <col min="70" max="70" width="12.77734375" style="190" hidden="1" customWidth="1"/>
    <col min="71" max="73" width="12.77734375" style="190" bestFit="1" customWidth="1"/>
    <col min="74" max="74" width="9.5546875" style="190" hidden="1" customWidth="1"/>
    <col min="75" max="16384" width="8.88671875" style="190"/>
  </cols>
  <sheetData>
    <row r="1" spans="1:74" x14ac:dyDescent="0.25">
      <c r="A1" s="190">
        <v>600028</v>
      </c>
      <c r="B1" s="190">
        <v>20180930</v>
      </c>
      <c r="C1" s="190">
        <v>20180630</v>
      </c>
      <c r="D1" s="190">
        <v>20180331</v>
      </c>
      <c r="E1" s="190">
        <v>20171231</v>
      </c>
      <c r="F1" s="190">
        <v>20170930</v>
      </c>
      <c r="G1" s="190">
        <v>20170630</v>
      </c>
      <c r="H1" s="190">
        <v>20170331</v>
      </c>
      <c r="I1" s="190">
        <v>20161231</v>
      </c>
      <c r="J1" s="190">
        <v>20160930</v>
      </c>
      <c r="K1" s="190">
        <v>20160630</v>
      </c>
      <c r="L1" s="190">
        <v>20160331</v>
      </c>
      <c r="M1" s="190">
        <v>20151231</v>
      </c>
      <c r="N1" s="190">
        <v>20150930</v>
      </c>
      <c r="O1" s="190">
        <v>20150630</v>
      </c>
      <c r="P1" s="190">
        <v>20150331</v>
      </c>
      <c r="Q1" s="190">
        <v>20141231</v>
      </c>
      <c r="R1" s="190">
        <v>20140930</v>
      </c>
      <c r="S1" s="190">
        <v>20140630</v>
      </c>
      <c r="T1" s="190">
        <v>20140331</v>
      </c>
      <c r="U1" s="190">
        <v>20131231</v>
      </c>
      <c r="V1" s="190">
        <v>20130930</v>
      </c>
      <c r="W1" s="190">
        <v>20130630</v>
      </c>
      <c r="X1" s="190">
        <v>20130331</v>
      </c>
      <c r="Y1" s="190">
        <v>20121231</v>
      </c>
      <c r="Z1" s="190">
        <v>20120930</v>
      </c>
      <c r="AA1" s="190">
        <v>20120630</v>
      </c>
      <c r="AB1" s="190">
        <v>20120331</v>
      </c>
      <c r="AC1" s="190">
        <v>20111231</v>
      </c>
      <c r="AD1" s="190">
        <v>20110930</v>
      </c>
      <c r="AE1" s="190">
        <v>20110630</v>
      </c>
      <c r="AF1" s="190">
        <v>20110331</v>
      </c>
      <c r="AG1" s="190">
        <v>20101231</v>
      </c>
      <c r="AH1" s="190">
        <v>20100930</v>
      </c>
      <c r="AI1" s="190">
        <v>20100630</v>
      </c>
      <c r="AJ1" s="190">
        <v>20100331</v>
      </c>
      <c r="AK1" s="190">
        <v>20091231</v>
      </c>
      <c r="AL1" s="190">
        <v>20090930</v>
      </c>
      <c r="AM1" s="190">
        <v>20090630</v>
      </c>
      <c r="AN1" s="190">
        <v>20090331</v>
      </c>
      <c r="AO1" s="190">
        <v>20081231</v>
      </c>
      <c r="AP1" s="190">
        <v>20080930</v>
      </c>
      <c r="AQ1" s="190">
        <v>20080630</v>
      </c>
      <c r="AR1" s="190">
        <v>20080331</v>
      </c>
      <c r="AS1" s="190">
        <v>20071231</v>
      </c>
      <c r="AT1" s="190">
        <v>20070930</v>
      </c>
      <c r="AU1" s="190">
        <v>20070630</v>
      </c>
      <c r="AV1" s="190">
        <v>20070331</v>
      </c>
      <c r="AW1" s="190">
        <v>20061231</v>
      </c>
      <c r="AX1" s="190">
        <v>20060930</v>
      </c>
      <c r="AY1" s="190">
        <v>20060630</v>
      </c>
      <c r="AZ1" s="190">
        <v>20060331</v>
      </c>
      <c r="BA1" s="190">
        <v>20051231</v>
      </c>
      <c r="BB1" s="190">
        <v>20050930</v>
      </c>
      <c r="BC1" s="190">
        <v>20050630</v>
      </c>
      <c r="BD1" s="190">
        <v>20050331</v>
      </c>
      <c r="BE1" s="190">
        <v>20041231</v>
      </c>
      <c r="BF1" s="190">
        <v>20040930</v>
      </c>
      <c r="BG1" s="190">
        <v>20040630</v>
      </c>
      <c r="BH1" s="190">
        <v>20040331</v>
      </c>
      <c r="BI1" s="190">
        <v>20031231</v>
      </c>
      <c r="BJ1" s="190">
        <v>20030930</v>
      </c>
      <c r="BK1" s="190">
        <v>20030630</v>
      </c>
      <c r="BL1" s="190">
        <v>20030331</v>
      </c>
      <c r="BM1" s="190">
        <v>20021231</v>
      </c>
      <c r="BN1" s="190">
        <v>20020930</v>
      </c>
      <c r="BO1" s="190">
        <v>20020630</v>
      </c>
      <c r="BP1" s="190">
        <v>20020331</v>
      </c>
      <c r="BQ1" s="190">
        <v>20011231</v>
      </c>
      <c r="BR1" s="190">
        <v>20010630</v>
      </c>
      <c r="BS1" s="190">
        <v>20001231</v>
      </c>
      <c r="BT1" s="190">
        <v>19991231</v>
      </c>
      <c r="BU1" s="190">
        <v>19981231</v>
      </c>
      <c r="BV1" s="190">
        <v>19700101</v>
      </c>
    </row>
    <row r="2" spans="1:74" x14ac:dyDescent="0.25">
      <c r="A2" s="190" t="s">
        <v>105</v>
      </c>
      <c r="B2" s="190" t="s">
        <v>106</v>
      </c>
      <c r="C2" s="190" t="s">
        <v>106</v>
      </c>
      <c r="D2" s="190" t="s">
        <v>106</v>
      </c>
      <c r="E2" s="190" t="s">
        <v>106</v>
      </c>
      <c r="F2" s="190" t="s">
        <v>106</v>
      </c>
      <c r="G2" s="190" t="s">
        <v>106</v>
      </c>
      <c r="H2" s="190" t="s">
        <v>106</v>
      </c>
      <c r="I2" s="190" t="s">
        <v>106</v>
      </c>
      <c r="J2" s="190" t="s">
        <v>106</v>
      </c>
      <c r="K2" s="190" t="s">
        <v>106</v>
      </c>
      <c r="L2" s="190" t="s">
        <v>106</v>
      </c>
      <c r="M2" s="190" t="s">
        <v>106</v>
      </c>
      <c r="N2" s="190" t="s">
        <v>106</v>
      </c>
      <c r="O2" s="190" t="s">
        <v>106</v>
      </c>
      <c r="P2" s="190" t="s">
        <v>106</v>
      </c>
      <c r="Q2" s="190" t="s">
        <v>106</v>
      </c>
      <c r="R2" s="190" t="s">
        <v>106</v>
      </c>
      <c r="S2" s="190" t="s">
        <v>106</v>
      </c>
      <c r="T2" s="190" t="s">
        <v>106</v>
      </c>
      <c r="U2" s="190" t="s">
        <v>106</v>
      </c>
      <c r="V2" s="190" t="s">
        <v>106</v>
      </c>
      <c r="W2" s="190" t="s">
        <v>106</v>
      </c>
      <c r="X2" s="190" t="s">
        <v>106</v>
      </c>
      <c r="Y2" s="190" t="s">
        <v>106</v>
      </c>
      <c r="Z2" s="190" t="s">
        <v>106</v>
      </c>
      <c r="AA2" s="190" t="s">
        <v>106</v>
      </c>
      <c r="AB2" s="190" t="s">
        <v>106</v>
      </c>
      <c r="AC2" s="190" t="s">
        <v>106</v>
      </c>
      <c r="AD2" s="190" t="s">
        <v>106</v>
      </c>
      <c r="AE2" s="190" t="s">
        <v>106</v>
      </c>
      <c r="AF2" s="190" t="s">
        <v>106</v>
      </c>
      <c r="AG2" s="190" t="s">
        <v>106</v>
      </c>
      <c r="AH2" s="190" t="s">
        <v>106</v>
      </c>
      <c r="AI2" s="190" t="s">
        <v>106</v>
      </c>
      <c r="AJ2" s="190" t="s">
        <v>106</v>
      </c>
      <c r="AK2" s="190" t="s">
        <v>106</v>
      </c>
      <c r="AL2" s="190" t="s">
        <v>106</v>
      </c>
      <c r="AM2" s="190" t="s">
        <v>106</v>
      </c>
      <c r="AN2" s="190" t="s">
        <v>106</v>
      </c>
      <c r="AO2" s="190" t="s">
        <v>106</v>
      </c>
      <c r="AP2" s="190" t="s">
        <v>106</v>
      </c>
      <c r="AQ2" s="190" t="s">
        <v>106</v>
      </c>
      <c r="AR2" s="190" t="s">
        <v>106</v>
      </c>
      <c r="AS2" s="190" t="s">
        <v>106</v>
      </c>
      <c r="AT2" s="190" t="s">
        <v>106</v>
      </c>
      <c r="AU2" s="190" t="s">
        <v>106</v>
      </c>
      <c r="AV2" s="190" t="s">
        <v>106</v>
      </c>
      <c r="AW2" s="190" t="s">
        <v>106</v>
      </c>
      <c r="AX2" s="190" t="s">
        <v>106</v>
      </c>
      <c r="AY2" s="190" t="s">
        <v>106</v>
      </c>
      <c r="AZ2" s="190" t="s">
        <v>106</v>
      </c>
      <c r="BA2" s="190" t="s">
        <v>106</v>
      </c>
      <c r="BB2" s="190" t="s">
        <v>106</v>
      </c>
      <c r="BC2" s="190" t="s">
        <v>106</v>
      </c>
      <c r="BD2" s="190" t="s">
        <v>106</v>
      </c>
      <c r="BE2" s="190" t="s">
        <v>106</v>
      </c>
      <c r="BF2" s="190" t="s">
        <v>106</v>
      </c>
      <c r="BG2" s="190" t="s">
        <v>106</v>
      </c>
      <c r="BH2" s="190" t="s">
        <v>106</v>
      </c>
      <c r="BI2" s="190" t="s">
        <v>106</v>
      </c>
      <c r="BJ2" s="190" t="s">
        <v>106</v>
      </c>
      <c r="BK2" s="190" t="s">
        <v>106</v>
      </c>
      <c r="BL2" s="190" t="s">
        <v>106</v>
      </c>
      <c r="BM2" s="190" t="s">
        <v>106</v>
      </c>
      <c r="BN2" s="190" t="s">
        <v>106</v>
      </c>
      <c r="BO2" s="190" t="s">
        <v>106</v>
      </c>
      <c r="BP2" s="190" t="s">
        <v>106</v>
      </c>
      <c r="BQ2" s="190" t="s">
        <v>106</v>
      </c>
      <c r="BR2" s="190" t="s">
        <v>106</v>
      </c>
      <c r="BS2" s="190" t="s">
        <v>106</v>
      </c>
      <c r="BT2" s="190" t="s">
        <v>106</v>
      </c>
      <c r="BU2" s="190" t="s">
        <v>106</v>
      </c>
    </row>
    <row r="3" spans="1:74" x14ac:dyDescent="0.25">
      <c r="A3" s="190" t="s">
        <v>190</v>
      </c>
      <c r="B3" s="190">
        <v>2072970000000</v>
      </c>
      <c r="C3" s="190">
        <v>1300252000000</v>
      </c>
      <c r="D3" s="190">
        <v>621251000000</v>
      </c>
      <c r="E3" s="190">
        <v>2360193000000</v>
      </c>
      <c r="F3" s="190">
        <v>1744955000000</v>
      </c>
      <c r="G3" s="190">
        <v>1165837000000</v>
      </c>
      <c r="H3" s="190">
        <v>582185000000</v>
      </c>
      <c r="I3" s="190">
        <v>1930911000000</v>
      </c>
      <c r="J3" s="190">
        <v>1363945000000</v>
      </c>
      <c r="K3" s="190">
        <v>879220000000</v>
      </c>
      <c r="L3" s="190">
        <v>413790000000</v>
      </c>
      <c r="M3" s="190">
        <v>2018883000000</v>
      </c>
      <c r="N3" s="190">
        <v>1536837000000</v>
      </c>
      <c r="O3" s="190">
        <v>1040362000000</v>
      </c>
      <c r="P3" s="190">
        <v>478241000000</v>
      </c>
      <c r="Q3" s="190">
        <v>2825914000000</v>
      </c>
      <c r="R3" s="190">
        <v>2115648000000</v>
      </c>
      <c r="S3" s="190">
        <v>1356172000000</v>
      </c>
      <c r="T3" s="190">
        <v>641065000000</v>
      </c>
      <c r="U3" s="190">
        <v>2880311000000</v>
      </c>
      <c r="V3" s="190">
        <v>2139924000000</v>
      </c>
      <c r="W3" s="190">
        <v>1415244000000</v>
      </c>
      <c r="X3" s="190">
        <v>695571000000</v>
      </c>
      <c r="Y3" s="190">
        <v>2786045000000</v>
      </c>
      <c r="Z3" s="190">
        <v>2024766000000</v>
      </c>
      <c r="AA3" s="190">
        <v>1348072000000</v>
      </c>
      <c r="AB3" s="190">
        <v>671365000000</v>
      </c>
      <c r="AC3" s="190">
        <v>2505683000000</v>
      </c>
      <c r="AD3" s="190">
        <v>1875102000000</v>
      </c>
      <c r="AE3" s="190">
        <v>1233272000000</v>
      </c>
      <c r="AF3" s="190">
        <v>588842000000</v>
      </c>
      <c r="AG3" s="190">
        <v>1913182000000</v>
      </c>
      <c r="AH3" s="190">
        <v>1427622000000</v>
      </c>
      <c r="AI3" s="190">
        <v>936523000000</v>
      </c>
      <c r="AJ3" s="190">
        <v>438209000000</v>
      </c>
      <c r="AK3" s="190">
        <v>1345052000000</v>
      </c>
      <c r="AL3" s="190">
        <v>893448000000</v>
      </c>
      <c r="AM3" s="190">
        <v>534025000000</v>
      </c>
      <c r="AN3" s="190">
        <v>228585000000</v>
      </c>
      <c r="AO3" s="190">
        <v>1452101000000</v>
      </c>
      <c r="AP3" s="190">
        <v>1147397000000</v>
      </c>
      <c r="AQ3" s="190">
        <v>734783000000</v>
      </c>
      <c r="AR3" s="190">
        <v>332010000000</v>
      </c>
      <c r="AS3" s="190">
        <v>1204843000000</v>
      </c>
      <c r="AT3" s="190">
        <v>875218000000</v>
      </c>
      <c r="AU3" s="190">
        <v>566830000000</v>
      </c>
      <c r="AV3" s="190">
        <v>278250000000</v>
      </c>
      <c r="AW3" s="190">
        <v>1045548000000</v>
      </c>
      <c r="AX3" s="190">
        <v>755744000000</v>
      </c>
      <c r="AY3" s="190">
        <v>482478000000</v>
      </c>
      <c r="AZ3" s="190">
        <v>222947000000</v>
      </c>
      <c r="BA3" s="190">
        <v>799954000000</v>
      </c>
      <c r="BB3" s="190">
        <v>577596000000</v>
      </c>
      <c r="BC3" s="190">
        <v>359695000000</v>
      </c>
      <c r="BD3" s="190">
        <v>169360000000</v>
      </c>
      <c r="BE3" s="190">
        <v>591734000000</v>
      </c>
      <c r="BF3" s="190">
        <v>418445000000</v>
      </c>
      <c r="BG3" s="190">
        <v>266325000000</v>
      </c>
      <c r="BH3" s="190">
        <v>123639000000</v>
      </c>
      <c r="BI3" s="190">
        <v>418047000000</v>
      </c>
      <c r="BJ3" s="190">
        <v>301483000000</v>
      </c>
      <c r="BK3" s="190">
        <v>195425000000</v>
      </c>
      <c r="BL3" s="190">
        <v>98638000000</v>
      </c>
      <c r="BM3" s="190">
        <v>325073000000</v>
      </c>
      <c r="BN3" s="190">
        <v>227034000000</v>
      </c>
      <c r="BO3" s="190">
        <v>141126000000</v>
      </c>
      <c r="BP3" s="190">
        <v>63161000000</v>
      </c>
      <c r="BQ3" s="190">
        <v>305882000000</v>
      </c>
      <c r="BR3" s="190">
        <v>160920000000</v>
      </c>
      <c r="BS3" s="190">
        <v>323960000000</v>
      </c>
      <c r="BT3" s="190">
        <v>231694000000</v>
      </c>
      <c r="BU3" s="190">
        <v>191066000000</v>
      </c>
      <c r="BV3" s="190">
        <v>0</v>
      </c>
    </row>
    <row r="4" spans="1:74" x14ac:dyDescent="0.25">
      <c r="A4" s="190" t="s">
        <v>191</v>
      </c>
      <c r="B4" s="190">
        <v>2072970000000</v>
      </c>
      <c r="C4" s="190">
        <v>1300252000000</v>
      </c>
      <c r="D4" s="190">
        <v>621251000000</v>
      </c>
      <c r="E4" s="190">
        <v>2360193000000</v>
      </c>
      <c r="F4" s="190">
        <v>1744955000000</v>
      </c>
      <c r="G4" s="190">
        <v>1165837000000</v>
      </c>
      <c r="H4" s="190">
        <v>582185000000</v>
      </c>
      <c r="I4" s="190">
        <v>1930911000000</v>
      </c>
      <c r="J4" s="190">
        <v>1363945000000</v>
      </c>
      <c r="K4" s="190">
        <v>879220000000</v>
      </c>
      <c r="L4" s="190">
        <v>413790000000</v>
      </c>
      <c r="M4" s="190">
        <v>2018883000000</v>
      </c>
      <c r="N4" s="190">
        <v>1536837000000</v>
      </c>
      <c r="O4" s="190">
        <v>1040362000000</v>
      </c>
      <c r="P4" s="190">
        <v>478241000000</v>
      </c>
      <c r="Q4" s="190">
        <v>2825914000000</v>
      </c>
      <c r="R4" s="190">
        <v>2115648000000</v>
      </c>
      <c r="S4" s="190">
        <v>1356172000000</v>
      </c>
      <c r="T4" s="190">
        <v>641065000000</v>
      </c>
      <c r="U4" s="190">
        <v>2880311000000</v>
      </c>
      <c r="V4" s="190">
        <v>2139924000000</v>
      </c>
      <c r="W4" s="190">
        <v>1415244000000</v>
      </c>
      <c r="X4" s="190">
        <v>695571000000</v>
      </c>
      <c r="Y4" s="190">
        <v>2786045000000</v>
      </c>
      <c r="Z4" s="190">
        <v>2024766000000</v>
      </c>
      <c r="AA4" s="190">
        <v>1348072000000</v>
      </c>
      <c r="AB4" s="190">
        <v>671365000000</v>
      </c>
      <c r="AC4" s="190">
        <v>2505683000000</v>
      </c>
      <c r="AD4" s="190">
        <v>1875102000000</v>
      </c>
      <c r="AE4" s="190">
        <v>1233272000000</v>
      </c>
      <c r="AF4" s="190">
        <v>588842000000</v>
      </c>
      <c r="AG4" s="190">
        <v>1913182000000</v>
      </c>
      <c r="AH4" s="190">
        <v>1427622000000</v>
      </c>
      <c r="AI4" s="190">
        <v>936523000000</v>
      </c>
      <c r="AJ4" s="190">
        <v>438209000000</v>
      </c>
      <c r="AK4" s="190">
        <v>1345052000000</v>
      </c>
      <c r="AL4" s="190">
        <v>893448000000</v>
      </c>
      <c r="AM4" s="190">
        <v>534025000000</v>
      </c>
      <c r="AN4" s="190">
        <v>228585000000</v>
      </c>
      <c r="AO4" s="190">
        <v>1452101000000</v>
      </c>
      <c r="AP4" s="190">
        <v>1147397000000</v>
      </c>
      <c r="AQ4" s="190">
        <v>734783000000</v>
      </c>
      <c r="AR4" s="190">
        <v>332010000000</v>
      </c>
      <c r="AS4" s="190">
        <v>1204843000000</v>
      </c>
      <c r="AT4" s="190">
        <v>875218000000</v>
      </c>
      <c r="AU4" s="190">
        <v>566830000000</v>
      </c>
      <c r="AV4" s="190">
        <v>272964000000</v>
      </c>
      <c r="AW4" s="190">
        <v>1044579000000</v>
      </c>
      <c r="AX4" s="190">
        <v>755219000000</v>
      </c>
      <c r="AY4" s="190">
        <v>481988000000</v>
      </c>
      <c r="AZ4" s="190">
        <v>222699000000</v>
      </c>
      <c r="BA4" s="190">
        <v>799115000000</v>
      </c>
      <c r="BB4" s="190">
        <v>576990000000</v>
      </c>
      <c r="BC4" s="190">
        <v>359248000000</v>
      </c>
      <c r="BD4" s="190">
        <v>169040000000</v>
      </c>
      <c r="BE4" s="190">
        <v>590632000000</v>
      </c>
      <c r="BF4" s="190">
        <v>417695000000</v>
      </c>
      <c r="BG4" s="190">
        <v>265709000000</v>
      </c>
      <c r="BH4" s="190">
        <v>123490000000</v>
      </c>
      <c r="BI4" s="190">
        <v>417191000000</v>
      </c>
      <c r="BJ4" s="190">
        <v>300662000000</v>
      </c>
      <c r="BK4" s="190">
        <v>194842000000</v>
      </c>
      <c r="BL4" s="190">
        <v>98519000000</v>
      </c>
      <c r="BM4" s="190">
        <v>324184000000</v>
      </c>
      <c r="BN4" s="190">
        <v>226183000000</v>
      </c>
      <c r="BO4" s="190">
        <v>140628000000</v>
      </c>
      <c r="BP4" s="190">
        <v>62995000000</v>
      </c>
      <c r="BQ4" s="190">
        <v>304347000000</v>
      </c>
      <c r="BR4" s="190">
        <v>160314000000</v>
      </c>
      <c r="BS4" s="190">
        <v>322932000000</v>
      </c>
      <c r="BT4" s="190">
        <v>231047000000</v>
      </c>
      <c r="BU4" s="190">
        <v>190220000000</v>
      </c>
      <c r="BV4" s="190">
        <v>0</v>
      </c>
    </row>
    <row r="5" spans="1:74" x14ac:dyDescent="0.25">
      <c r="A5" s="190" t="s">
        <v>192</v>
      </c>
      <c r="B5" s="190">
        <v>1989444000000</v>
      </c>
      <c r="C5" s="190">
        <v>1239813000000</v>
      </c>
      <c r="D5" s="190">
        <v>594063000000</v>
      </c>
      <c r="E5" s="190">
        <v>2295113000000</v>
      </c>
      <c r="F5" s="190">
        <v>1694797000000</v>
      </c>
      <c r="G5" s="190">
        <v>1130664000000</v>
      </c>
      <c r="H5" s="190">
        <v>558233000000</v>
      </c>
      <c r="I5" s="190">
        <v>1882598000000</v>
      </c>
      <c r="J5" s="190">
        <v>1319899000000</v>
      </c>
      <c r="K5" s="190">
        <v>850449000000</v>
      </c>
      <c r="L5" s="190">
        <v>402810000000</v>
      </c>
      <c r="M5" s="190">
        <v>1976110000000</v>
      </c>
      <c r="N5" s="190">
        <v>1498136000000</v>
      </c>
      <c r="O5" s="190">
        <v>1005650000000</v>
      </c>
      <c r="P5" s="190">
        <v>476589000000</v>
      </c>
      <c r="Q5" s="190">
        <v>2764419000000</v>
      </c>
      <c r="R5" s="190">
        <v>2048659000000</v>
      </c>
      <c r="S5" s="190">
        <v>1311518000000</v>
      </c>
      <c r="T5" s="190">
        <v>621163000000</v>
      </c>
      <c r="U5" s="190">
        <v>2788535000000</v>
      </c>
      <c r="V5" s="190">
        <v>2068317000000</v>
      </c>
      <c r="W5" s="190">
        <v>1373196000000</v>
      </c>
      <c r="X5" s="190">
        <v>671390000000</v>
      </c>
      <c r="Y5" s="190">
        <v>2699865000000</v>
      </c>
      <c r="Z5" s="190">
        <v>1967170000000</v>
      </c>
      <c r="AA5" s="190">
        <v>1315306000000</v>
      </c>
      <c r="AB5" s="190">
        <v>652879000000</v>
      </c>
      <c r="AC5" s="190">
        <v>2396985000000</v>
      </c>
      <c r="AD5" s="190">
        <v>1795166000000</v>
      </c>
      <c r="AE5" s="190">
        <v>1180162000000</v>
      </c>
      <c r="AF5" s="190">
        <v>560142000000</v>
      </c>
      <c r="AG5" s="190">
        <v>1817322000000</v>
      </c>
      <c r="AH5" s="190">
        <v>1351857000000</v>
      </c>
      <c r="AI5" s="190">
        <v>891071000000</v>
      </c>
      <c r="AJ5" s="190">
        <v>418393000000</v>
      </c>
      <c r="AK5" s="190">
        <v>1268074000000</v>
      </c>
      <c r="AL5" s="190">
        <v>829523000000</v>
      </c>
      <c r="AM5" s="190">
        <v>491436000000</v>
      </c>
      <c r="AN5" s="190">
        <v>214344000000</v>
      </c>
      <c r="AO5" s="190">
        <v>1483116000000</v>
      </c>
      <c r="AP5" s="190">
        <v>1179519000000</v>
      </c>
      <c r="AQ5" s="190">
        <v>763200000000</v>
      </c>
      <c r="AR5" s="190">
        <v>336220000000</v>
      </c>
      <c r="AS5" s="190">
        <v>1129246000000</v>
      </c>
      <c r="AT5" s="190">
        <v>804541000000</v>
      </c>
      <c r="AU5" s="190">
        <v>515706000000</v>
      </c>
      <c r="AV5" s="190">
        <v>251259000000</v>
      </c>
      <c r="AW5" s="190">
        <v>966269000000</v>
      </c>
      <c r="AX5" s="190">
        <v>701350000000</v>
      </c>
      <c r="AY5" s="190">
        <v>448220000000</v>
      </c>
      <c r="AZ5" s="190">
        <v>208071000000</v>
      </c>
      <c r="BA5" s="190">
        <v>736687000000</v>
      </c>
      <c r="BB5" s="190">
        <v>528907000000</v>
      </c>
      <c r="BC5" s="190">
        <v>325196000000</v>
      </c>
      <c r="BD5" s="190">
        <v>152702000000</v>
      </c>
      <c r="BE5" s="190">
        <v>522385000000</v>
      </c>
      <c r="BF5" s="190">
        <v>367875000000</v>
      </c>
      <c r="BG5" s="190">
        <v>235497000000</v>
      </c>
      <c r="BH5" s="190">
        <v>108848000000</v>
      </c>
      <c r="BI5" s="190">
        <v>376405000000</v>
      </c>
      <c r="BJ5" s="190">
        <v>271442000000</v>
      </c>
      <c r="BK5" s="190">
        <v>177016000000</v>
      </c>
      <c r="BL5" s="190">
        <v>88170000000</v>
      </c>
      <c r="BM5" s="190">
        <v>297893000000</v>
      </c>
      <c r="BN5" s="190">
        <v>209582000000</v>
      </c>
      <c r="BO5" s="190">
        <v>132085000000</v>
      </c>
      <c r="BP5" s="190">
        <v>62017000000</v>
      </c>
      <c r="BQ5" s="190">
        <v>278263000000</v>
      </c>
      <c r="BR5" s="190">
        <v>145176000000</v>
      </c>
      <c r="BS5" s="190">
        <v>294933000000</v>
      </c>
      <c r="BT5" s="190">
        <v>222614000000</v>
      </c>
      <c r="BU5" s="190">
        <v>190438000000</v>
      </c>
      <c r="BV5" s="190">
        <v>0</v>
      </c>
    </row>
    <row r="6" spans="1:74" x14ac:dyDescent="0.25">
      <c r="A6" s="190" t="s">
        <v>193</v>
      </c>
      <c r="B6" s="190">
        <v>1696680000000</v>
      </c>
      <c r="C6" s="190">
        <v>1050719000000</v>
      </c>
      <c r="D6" s="190">
        <v>501278000000</v>
      </c>
      <c r="E6" s="190">
        <v>1890398000000</v>
      </c>
      <c r="F6" s="190">
        <v>1405556000000</v>
      </c>
      <c r="G6" s="190">
        <v>942602000000</v>
      </c>
      <c r="H6" s="190">
        <v>466318000000</v>
      </c>
      <c r="I6" s="190">
        <v>1492165000000</v>
      </c>
      <c r="J6" s="190">
        <v>1042208000000</v>
      </c>
      <c r="K6" s="190">
        <v>665193000000</v>
      </c>
      <c r="L6" s="190">
        <v>313289000000</v>
      </c>
      <c r="M6" s="190">
        <v>1592771000000</v>
      </c>
      <c r="N6" s="190">
        <v>1217056000000</v>
      </c>
      <c r="O6" s="190">
        <v>819733000000</v>
      </c>
      <c r="P6" s="190">
        <v>385281000000</v>
      </c>
      <c r="Q6" s="190">
        <v>2429017000000</v>
      </c>
      <c r="R6" s="190">
        <v>1803729000000</v>
      </c>
      <c r="S6" s="190">
        <v>1148049000000</v>
      </c>
      <c r="T6" s="190">
        <v>540340000000</v>
      </c>
      <c r="U6" s="190">
        <v>2457041000000</v>
      </c>
      <c r="V6" s="190">
        <v>1827437000000</v>
      </c>
      <c r="W6" s="190">
        <v>1213550000000</v>
      </c>
      <c r="X6" s="190">
        <v>590055000000</v>
      </c>
      <c r="Y6" s="190">
        <v>2372235000000</v>
      </c>
      <c r="Z6" s="190">
        <v>1724711000000</v>
      </c>
      <c r="AA6" s="190">
        <v>1152431000000</v>
      </c>
      <c r="AB6" s="190">
        <v>574798000000</v>
      </c>
      <c r="AC6" s="190">
        <v>2093199000000</v>
      </c>
      <c r="AD6" s="190">
        <v>1564326000000</v>
      </c>
      <c r="AE6" s="190">
        <v>1029875000000</v>
      </c>
      <c r="AF6" s="190">
        <v>487346000000</v>
      </c>
      <c r="AG6" s="190">
        <v>1537131000000</v>
      </c>
      <c r="AH6" s="190">
        <v>1161324000000</v>
      </c>
      <c r="AI6" s="190">
        <v>767032000000</v>
      </c>
      <c r="AJ6" s="190">
        <v>358379000000</v>
      </c>
      <c r="AK6" s="190">
        <v>1035815000000</v>
      </c>
      <c r="AL6" s="190">
        <v>667113000000</v>
      </c>
      <c r="AM6" s="190">
        <v>389325000000</v>
      </c>
      <c r="AN6" s="190">
        <v>166444000000</v>
      </c>
      <c r="AO6" s="190">
        <v>1326783000000</v>
      </c>
      <c r="AP6" s="190">
        <v>1060029000000</v>
      </c>
      <c r="AQ6" s="190">
        <v>679678000000</v>
      </c>
      <c r="AR6" s="190">
        <v>295510000000</v>
      </c>
      <c r="AS6" s="190">
        <v>1012961000000</v>
      </c>
      <c r="AT6" s="190">
        <v>727637000000</v>
      </c>
      <c r="AU6" s="190">
        <v>465105000000</v>
      </c>
      <c r="AV6" s="190">
        <v>228232000000</v>
      </c>
      <c r="AW6" s="190">
        <v>880029000000</v>
      </c>
      <c r="AX6" s="190">
        <v>639519000000</v>
      </c>
      <c r="AY6" s="190">
        <v>409298000000</v>
      </c>
      <c r="AZ6" s="190">
        <v>191137000000</v>
      </c>
      <c r="BA6" s="190">
        <v>668249000000</v>
      </c>
      <c r="BB6" s="190">
        <v>479614000000</v>
      </c>
      <c r="BC6" s="190">
        <v>293181000000</v>
      </c>
      <c r="BD6" s="190">
        <v>136187000000</v>
      </c>
      <c r="BE6" s="190">
        <v>459207000000</v>
      </c>
      <c r="BF6" s="190">
        <v>323054000000</v>
      </c>
      <c r="BG6" s="190">
        <v>206098000000</v>
      </c>
      <c r="BH6" s="190">
        <v>94583000000</v>
      </c>
      <c r="BI6" s="190">
        <v>323104000000</v>
      </c>
      <c r="BJ6" s="190">
        <v>234209000000</v>
      </c>
      <c r="BK6" s="190">
        <v>152303000000</v>
      </c>
      <c r="BL6" s="190">
        <v>76178000000</v>
      </c>
      <c r="BM6" s="190">
        <v>251182000000</v>
      </c>
      <c r="BN6" s="190">
        <v>175233000000</v>
      </c>
      <c r="BO6" s="190">
        <v>109372000000</v>
      </c>
      <c r="BP6" s="190">
        <v>51667000000</v>
      </c>
      <c r="BQ6" s="190">
        <v>236135000000</v>
      </c>
      <c r="BR6" s="190">
        <v>124248000000</v>
      </c>
      <c r="BS6" s="190">
        <v>249234000000</v>
      </c>
      <c r="BT6" s="190">
        <v>175259000000</v>
      </c>
      <c r="BU6" s="190">
        <v>146753000000</v>
      </c>
      <c r="BV6" s="190">
        <v>0</v>
      </c>
    </row>
    <row r="7" spans="1:74" x14ac:dyDescent="0.25">
      <c r="A7" s="190" t="s">
        <v>194</v>
      </c>
      <c r="B7" s="190">
        <v>183545000000</v>
      </c>
      <c r="C7" s="190">
        <v>118721000000</v>
      </c>
      <c r="D7" s="190">
        <v>57719000000</v>
      </c>
      <c r="E7" s="190">
        <v>235292000000</v>
      </c>
      <c r="F7" s="190">
        <v>176329000000</v>
      </c>
      <c r="G7" s="190">
        <v>116297000000</v>
      </c>
      <c r="H7" s="190">
        <v>58169000000</v>
      </c>
      <c r="I7" s="190">
        <v>232006000000</v>
      </c>
      <c r="J7" s="190">
        <v>171073000000</v>
      </c>
      <c r="K7" s="190">
        <v>112831000000</v>
      </c>
      <c r="L7" s="190">
        <v>55099000000</v>
      </c>
      <c r="M7" s="190">
        <v>236343000000</v>
      </c>
      <c r="N7" s="190">
        <v>179260000000</v>
      </c>
      <c r="O7" s="190">
        <v>119886000000</v>
      </c>
      <c r="P7" s="190">
        <v>58830000000</v>
      </c>
      <c r="Q7" s="190">
        <v>191202000000</v>
      </c>
      <c r="R7" s="190">
        <v>141950000000</v>
      </c>
      <c r="S7" s="190">
        <v>93767000000</v>
      </c>
      <c r="T7" s="190">
        <v>46136000000</v>
      </c>
      <c r="U7" s="190">
        <v>190672000000</v>
      </c>
      <c r="V7" s="190">
        <v>142398000000</v>
      </c>
      <c r="W7" s="190">
        <v>94451000000</v>
      </c>
      <c r="X7" s="190">
        <v>48022000000</v>
      </c>
      <c r="Y7" s="190">
        <v>188483000000</v>
      </c>
      <c r="Z7" s="190">
        <v>140560000000</v>
      </c>
      <c r="AA7" s="190">
        <v>95267000000</v>
      </c>
      <c r="AB7" s="190">
        <v>47415000000</v>
      </c>
      <c r="AC7" s="190">
        <v>189949000000</v>
      </c>
      <c r="AD7" s="190">
        <v>141982000000</v>
      </c>
      <c r="AE7" s="190">
        <v>93285000000</v>
      </c>
      <c r="AF7" s="190">
        <v>43937000000</v>
      </c>
      <c r="AG7" s="190">
        <v>157189000000</v>
      </c>
      <c r="AH7" s="190">
        <v>115089000000</v>
      </c>
      <c r="AI7" s="190">
        <v>75410000000</v>
      </c>
      <c r="AJ7" s="190">
        <v>36291000000</v>
      </c>
      <c r="AK7" s="190">
        <v>132884000000</v>
      </c>
      <c r="AL7" s="190">
        <v>96911000000</v>
      </c>
      <c r="AM7" s="190">
        <v>61518000000</v>
      </c>
      <c r="AN7" s="190">
        <v>28358000000</v>
      </c>
      <c r="AO7" s="190">
        <v>56799000000</v>
      </c>
      <c r="AP7" s="190">
        <v>47161000000</v>
      </c>
      <c r="AQ7" s="190">
        <v>28451000000</v>
      </c>
      <c r="AR7" s="190">
        <v>13737000000</v>
      </c>
      <c r="AS7" s="190">
        <v>34304000000</v>
      </c>
      <c r="AT7" s="190">
        <v>23014000000</v>
      </c>
      <c r="AU7" s="190">
        <v>14144000000</v>
      </c>
      <c r="AV7" s="190">
        <v>6313000000</v>
      </c>
      <c r="AW7" s="190">
        <v>28286000000</v>
      </c>
      <c r="AX7" s="190">
        <v>21733000000</v>
      </c>
      <c r="AY7" s="190">
        <v>12918000000</v>
      </c>
      <c r="AZ7" s="190">
        <v>4419000000</v>
      </c>
      <c r="BA7" s="190">
        <v>17152000000</v>
      </c>
      <c r="BB7" s="190">
        <v>12709000000</v>
      </c>
      <c r="BC7" s="190">
        <v>8204000000</v>
      </c>
      <c r="BD7" s="190">
        <v>4207000000</v>
      </c>
      <c r="BE7" s="190">
        <v>16203000000</v>
      </c>
      <c r="BF7" s="190">
        <v>11998000000</v>
      </c>
      <c r="BG7" s="190">
        <v>7776000000</v>
      </c>
      <c r="BH7" s="190">
        <v>3835000000</v>
      </c>
      <c r="BI7" s="190">
        <v>13371000000</v>
      </c>
      <c r="BJ7" s="190">
        <v>9552000000</v>
      </c>
      <c r="BK7" s="190">
        <v>6141000000</v>
      </c>
      <c r="BL7" s="190">
        <v>3161000000</v>
      </c>
      <c r="BM7" s="190">
        <v>11852000000</v>
      </c>
      <c r="BN7" s="190">
        <v>8699000000</v>
      </c>
      <c r="BO7" s="190">
        <v>5776000000</v>
      </c>
      <c r="BP7" s="190">
        <v>2697000000</v>
      </c>
      <c r="BQ7" s="190">
        <v>11863000000</v>
      </c>
      <c r="BR7" s="190">
        <v>5926000000</v>
      </c>
      <c r="BS7" s="190">
        <v>12101000000</v>
      </c>
      <c r="BT7" s="190">
        <v>9381000000</v>
      </c>
      <c r="BU7" s="190">
        <v>8545000000</v>
      </c>
      <c r="BV7" s="190">
        <v>0</v>
      </c>
    </row>
    <row r="8" spans="1:74" x14ac:dyDescent="0.25">
      <c r="A8" s="190" t="s">
        <v>195</v>
      </c>
      <c r="B8" s="190">
        <v>42718000000</v>
      </c>
      <c r="C8" s="190">
        <v>27661000000</v>
      </c>
      <c r="D8" s="190">
        <v>13688000000</v>
      </c>
      <c r="E8" s="190">
        <v>56055000000</v>
      </c>
      <c r="F8" s="190">
        <v>40128000000</v>
      </c>
      <c r="G8" s="190">
        <v>25955000000</v>
      </c>
      <c r="H8" s="190">
        <v>12429000000</v>
      </c>
      <c r="I8" s="190">
        <v>49550000000</v>
      </c>
      <c r="J8" s="190">
        <v>35715000000</v>
      </c>
      <c r="K8" s="190">
        <v>23572000000</v>
      </c>
      <c r="L8" s="190">
        <v>11858000000</v>
      </c>
      <c r="M8" s="190">
        <v>46872000000</v>
      </c>
      <c r="N8" s="190">
        <v>34150000000</v>
      </c>
      <c r="O8" s="190">
        <v>22379000000</v>
      </c>
      <c r="P8" s="190">
        <v>10961000000</v>
      </c>
      <c r="Q8" s="190">
        <v>46274000000</v>
      </c>
      <c r="R8" s="190">
        <v>33732000000</v>
      </c>
      <c r="S8" s="190">
        <v>22060000000</v>
      </c>
      <c r="T8" s="190">
        <v>10720000000</v>
      </c>
      <c r="U8" s="190">
        <v>44359000000</v>
      </c>
      <c r="V8" s="190">
        <v>32172000000</v>
      </c>
      <c r="W8" s="190">
        <v>20811000000</v>
      </c>
      <c r="X8" s="190">
        <v>10410000000</v>
      </c>
      <c r="Y8" s="190">
        <v>40299000000</v>
      </c>
      <c r="Z8" s="190">
        <v>29756000000</v>
      </c>
      <c r="AA8" s="190">
        <v>18922000000</v>
      </c>
      <c r="AB8" s="190">
        <v>9301000000</v>
      </c>
      <c r="AC8" s="190">
        <v>38399000000</v>
      </c>
      <c r="AD8" s="190">
        <v>26908000000</v>
      </c>
      <c r="AE8" s="190">
        <v>16650000000</v>
      </c>
      <c r="AF8" s="190">
        <v>8108000000</v>
      </c>
      <c r="AG8" s="190">
        <v>31981000000</v>
      </c>
      <c r="AH8" s="190">
        <v>22194000000</v>
      </c>
      <c r="AI8" s="190">
        <v>14178000000</v>
      </c>
      <c r="AJ8" s="190">
        <v>6910000000</v>
      </c>
      <c r="AK8" s="190">
        <v>27635000000</v>
      </c>
      <c r="AL8" s="190">
        <v>19984000000</v>
      </c>
      <c r="AM8" s="190">
        <v>12055000000</v>
      </c>
      <c r="AN8" s="190">
        <v>5509000000</v>
      </c>
      <c r="AO8" s="190">
        <v>24967000000</v>
      </c>
      <c r="AP8" s="190">
        <v>18109000000</v>
      </c>
      <c r="AQ8" s="190">
        <v>11885000000</v>
      </c>
      <c r="AR8" s="190">
        <v>5632000000</v>
      </c>
      <c r="AS8" s="190">
        <v>22564000000</v>
      </c>
      <c r="AT8" s="190">
        <v>14614000000</v>
      </c>
      <c r="AU8" s="190">
        <v>9500000000</v>
      </c>
      <c r="AV8" s="190">
        <v>4550000000</v>
      </c>
      <c r="AW8" s="190">
        <v>24734000000</v>
      </c>
      <c r="AX8" s="190">
        <v>16770000000</v>
      </c>
      <c r="AY8" s="190">
        <v>10711000000</v>
      </c>
      <c r="AZ8" s="190">
        <v>5189000000</v>
      </c>
      <c r="BA8" s="190">
        <v>22690000000</v>
      </c>
      <c r="BB8" s="190">
        <v>15727000000</v>
      </c>
      <c r="BC8" s="190">
        <v>10359000000</v>
      </c>
      <c r="BD8" s="190">
        <v>4880000000</v>
      </c>
      <c r="BE8" s="190">
        <v>19477000000</v>
      </c>
      <c r="BF8" s="190">
        <v>13656000000</v>
      </c>
      <c r="BG8" s="190">
        <v>8664000000</v>
      </c>
      <c r="BH8" s="190">
        <v>4203000000</v>
      </c>
      <c r="BI8" s="190">
        <v>14582000000</v>
      </c>
      <c r="BJ8" s="190">
        <v>10492000000</v>
      </c>
      <c r="BK8" s="190">
        <v>6692000000</v>
      </c>
      <c r="BL8" s="190">
        <v>3393000000</v>
      </c>
      <c r="BM8" s="190">
        <v>13279000000</v>
      </c>
      <c r="BN8" s="190">
        <v>9847000000</v>
      </c>
      <c r="BO8" s="190">
        <v>6468000000</v>
      </c>
      <c r="BP8" s="190">
        <v>2941000000</v>
      </c>
      <c r="BQ8" s="190">
        <v>12300000000</v>
      </c>
      <c r="BR8" s="190">
        <v>5816000000</v>
      </c>
      <c r="BS8" s="190">
        <v>11583000000</v>
      </c>
      <c r="BT8" s="190">
        <v>6925000000</v>
      </c>
      <c r="BU8" s="190">
        <v>6827000000</v>
      </c>
      <c r="BV8" s="190">
        <v>0</v>
      </c>
    </row>
    <row r="9" spans="1:74" x14ac:dyDescent="0.25">
      <c r="A9" s="190" t="s">
        <v>196</v>
      </c>
      <c r="B9" s="190">
        <v>52725000000</v>
      </c>
      <c r="C9" s="190">
        <v>33908000000</v>
      </c>
      <c r="D9" s="190">
        <v>18706000000</v>
      </c>
      <c r="E9" s="190">
        <v>78928000000</v>
      </c>
      <c r="F9" s="190">
        <v>56989000000</v>
      </c>
      <c r="G9" s="190">
        <v>35903000000</v>
      </c>
      <c r="H9" s="190">
        <v>17911000000</v>
      </c>
      <c r="I9" s="190">
        <v>74155000000</v>
      </c>
      <c r="J9" s="190">
        <v>56711000000</v>
      </c>
      <c r="K9" s="190">
        <v>38416000000</v>
      </c>
      <c r="L9" s="190">
        <v>18539000000</v>
      </c>
      <c r="M9" s="190">
        <v>71881000000</v>
      </c>
      <c r="N9" s="190">
        <v>52102000000</v>
      </c>
      <c r="O9" s="190">
        <v>34271000000</v>
      </c>
      <c r="P9" s="190">
        <v>16846000000</v>
      </c>
      <c r="Q9" s="190">
        <v>70500000000</v>
      </c>
      <c r="R9" s="190">
        <v>51291000000</v>
      </c>
      <c r="S9" s="190">
        <v>34439000000</v>
      </c>
      <c r="T9" s="190">
        <v>16822000000</v>
      </c>
      <c r="U9" s="190">
        <v>73572000000</v>
      </c>
      <c r="V9" s="190">
        <v>51452000000</v>
      </c>
      <c r="W9" s="190">
        <v>33375000000</v>
      </c>
      <c r="X9" s="190">
        <v>16804000000</v>
      </c>
      <c r="Y9" s="190">
        <v>65590000000</v>
      </c>
      <c r="Z9" s="190">
        <v>44184000000</v>
      </c>
      <c r="AA9" s="190">
        <v>29223000000</v>
      </c>
      <c r="AB9" s="190">
        <v>14167000000</v>
      </c>
      <c r="AC9" s="190">
        <v>63083000000</v>
      </c>
      <c r="AD9" s="190">
        <v>44839000000</v>
      </c>
      <c r="AE9" s="190">
        <v>28502000000</v>
      </c>
      <c r="AF9" s="190">
        <v>14477000000</v>
      </c>
      <c r="AG9" s="190">
        <v>57774000000</v>
      </c>
      <c r="AH9" s="190">
        <v>38256000000</v>
      </c>
      <c r="AI9" s="190">
        <v>24314000000</v>
      </c>
      <c r="AJ9" s="190">
        <v>12060000000</v>
      </c>
      <c r="AK9" s="190">
        <v>46726000000</v>
      </c>
      <c r="AL9" s="190">
        <v>32968000000</v>
      </c>
      <c r="AM9" s="190">
        <v>20087000000</v>
      </c>
      <c r="AN9" s="190">
        <v>9565000000</v>
      </c>
      <c r="AO9" s="190">
        <v>40917000000</v>
      </c>
      <c r="AP9" s="190">
        <v>28939000000</v>
      </c>
      <c r="AQ9" s="190">
        <v>18721000000</v>
      </c>
      <c r="AR9" s="190">
        <v>9110000000</v>
      </c>
      <c r="AS9" s="190">
        <v>35964000000</v>
      </c>
      <c r="AT9" s="190">
        <v>25508000000</v>
      </c>
      <c r="AU9" s="190">
        <v>17009000000</v>
      </c>
      <c r="AV9" s="190">
        <v>8295000000</v>
      </c>
      <c r="AW9" s="190">
        <v>26491000000</v>
      </c>
      <c r="AX9" s="190">
        <v>18101000000</v>
      </c>
      <c r="AY9" s="190">
        <v>11771000000</v>
      </c>
      <c r="AZ9" s="190">
        <v>5720000000</v>
      </c>
      <c r="BA9" s="190">
        <v>23330000000</v>
      </c>
      <c r="BB9" s="190">
        <v>16941000000</v>
      </c>
      <c r="BC9" s="190">
        <v>10600000000</v>
      </c>
      <c r="BD9" s="190">
        <v>6056000000</v>
      </c>
      <c r="BE9" s="190">
        <v>23167000000</v>
      </c>
      <c r="BF9" s="190">
        <v>16006000000</v>
      </c>
      <c r="BG9" s="190">
        <v>10865000000</v>
      </c>
      <c r="BH9" s="190">
        <v>5065000000</v>
      </c>
      <c r="BI9" s="190">
        <v>21219000000</v>
      </c>
      <c r="BJ9" s="190">
        <v>13804000000</v>
      </c>
      <c r="BK9" s="190">
        <v>9646000000</v>
      </c>
      <c r="BL9" s="190">
        <v>4270000000</v>
      </c>
      <c r="BM9" s="190">
        <v>17253000000</v>
      </c>
      <c r="BN9" s="190">
        <v>12194000000</v>
      </c>
      <c r="BO9" s="190">
        <v>8017000000</v>
      </c>
      <c r="BP9" s="190">
        <v>3713000000</v>
      </c>
      <c r="BQ9" s="190">
        <v>14369000000</v>
      </c>
      <c r="BR9" s="190">
        <v>6889000000</v>
      </c>
      <c r="BS9" s="190">
        <v>17172000000</v>
      </c>
      <c r="BT9" s="190">
        <v>22964000000</v>
      </c>
      <c r="BU9" s="190">
        <v>19897000000</v>
      </c>
      <c r="BV9" s="190">
        <v>0</v>
      </c>
    </row>
    <row r="10" spans="1:74" x14ac:dyDescent="0.25">
      <c r="A10" s="190" t="s">
        <v>197</v>
      </c>
      <c r="B10" s="190">
        <v>632000000</v>
      </c>
      <c r="C10" s="190">
        <v>263000000</v>
      </c>
      <c r="D10" s="190">
        <v>455000000</v>
      </c>
      <c r="E10" s="190">
        <v>1560000000</v>
      </c>
      <c r="F10" s="190">
        <v>1790000000</v>
      </c>
      <c r="G10" s="190">
        <v>1289000000</v>
      </c>
      <c r="H10" s="190">
        <v>827000000</v>
      </c>
      <c r="I10" s="190">
        <v>6611000000</v>
      </c>
      <c r="J10" s="190">
        <v>5447000000</v>
      </c>
      <c r="K10" s="190">
        <v>4284000000</v>
      </c>
      <c r="L10" s="190">
        <v>1826000000</v>
      </c>
      <c r="M10" s="190">
        <v>9017000000</v>
      </c>
      <c r="N10" s="190">
        <v>7730000000</v>
      </c>
      <c r="O10" s="190">
        <v>3145000000</v>
      </c>
      <c r="P10" s="190">
        <v>2409000000</v>
      </c>
      <c r="Q10" s="190">
        <v>9618000000</v>
      </c>
      <c r="R10" s="190">
        <v>8539000000</v>
      </c>
      <c r="S10" s="190">
        <v>6539000000</v>
      </c>
      <c r="T10" s="190">
        <v>4188000000</v>
      </c>
      <c r="U10" s="190">
        <v>6274000000</v>
      </c>
      <c r="V10" s="190">
        <v>5463000000</v>
      </c>
      <c r="W10" s="190">
        <v>3292000000</v>
      </c>
      <c r="X10" s="190">
        <v>2511000000</v>
      </c>
      <c r="Y10" s="190">
        <v>9819000000</v>
      </c>
      <c r="Z10" s="190">
        <v>8284000000</v>
      </c>
      <c r="AA10" s="190">
        <v>5533000000</v>
      </c>
      <c r="AB10" s="190">
        <v>2613000000</v>
      </c>
      <c r="AC10" s="190">
        <v>6544000000</v>
      </c>
      <c r="AD10" s="190">
        <v>4946000000</v>
      </c>
      <c r="AE10" s="190">
        <v>3486000000</v>
      </c>
      <c r="AF10" s="190">
        <v>1874000000</v>
      </c>
      <c r="AG10" s="190">
        <v>6847000000</v>
      </c>
      <c r="AH10" s="190">
        <v>5285000000</v>
      </c>
      <c r="AI10" s="190">
        <v>3649000000</v>
      </c>
      <c r="AJ10" s="190">
        <v>1433000000</v>
      </c>
      <c r="AK10" s="190">
        <v>7016000000</v>
      </c>
      <c r="AL10" s="190">
        <v>5735000000</v>
      </c>
      <c r="AM10" s="190">
        <v>3881000000</v>
      </c>
      <c r="AN10" s="190">
        <v>2281000000</v>
      </c>
      <c r="AO10" s="190">
        <v>8723000000</v>
      </c>
      <c r="AP10" s="190">
        <v>6706000000</v>
      </c>
      <c r="AQ10" s="190">
        <v>3658000000</v>
      </c>
      <c r="AR10" s="190">
        <v>765000000</v>
      </c>
      <c r="AS10" s="190">
        <v>4890000000</v>
      </c>
      <c r="AT10" s="190">
        <v>4088000000</v>
      </c>
      <c r="AU10" s="190">
        <v>2696000000</v>
      </c>
      <c r="AV10" s="190">
        <v>1457000000</v>
      </c>
      <c r="AW10" s="190">
        <v>6729000000</v>
      </c>
      <c r="AX10" s="190">
        <v>5227000000</v>
      </c>
      <c r="AY10" s="190">
        <v>3522000000</v>
      </c>
      <c r="AZ10" s="190">
        <v>1606000000</v>
      </c>
      <c r="BA10" s="190">
        <v>5266000000</v>
      </c>
      <c r="BB10" s="190">
        <v>3916000000</v>
      </c>
      <c r="BC10" s="190">
        <v>2852000000</v>
      </c>
      <c r="BD10" s="190">
        <v>1372000000</v>
      </c>
      <c r="BE10" s="190">
        <v>4331000000</v>
      </c>
      <c r="BF10" s="190">
        <v>3161000000</v>
      </c>
      <c r="BG10" s="190">
        <v>2094000000</v>
      </c>
      <c r="BH10" s="190">
        <v>1162000000</v>
      </c>
      <c r="BI10" s="190">
        <v>4129000000</v>
      </c>
      <c r="BJ10" s="190">
        <v>3385000000</v>
      </c>
      <c r="BK10" s="190">
        <v>2234000000</v>
      </c>
      <c r="BL10" s="190">
        <v>1168000000</v>
      </c>
      <c r="BM10" s="190">
        <v>4327000000</v>
      </c>
      <c r="BN10" s="190">
        <v>3609000000</v>
      </c>
      <c r="BO10" s="190">
        <v>2452000000</v>
      </c>
      <c r="BP10" s="190">
        <v>999000000</v>
      </c>
      <c r="BQ10" s="190">
        <v>3596000000</v>
      </c>
      <c r="BR10" s="190">
        <v>2297000000</v>
      </c>
      <c r="BS10" s="190">
        <v>4843000000</v>
      </c>
      <c r="BT10" s="190">
        <v>8085000000</v>
      </c>
      <c r="BU10" s="190">
        <v>8416000000</v>
      </c>
      <c r="BV10" s="190">
        <v>0</v>
      </c>
    </row>
    <row r="11" spans="1:74" x14ac:dyDescent="0.25">
      <c r="A11" s="190" t="s">
        <v>198</v>
      </c>
      <c r="B11" s="190">
        <v>728000000</v>
      </c>
      <c r="C11" s="190">
        <v>137000000</v>
      </c>
      <c r="D11" s="190">
        <v>-13000000</v>
      </c>
      <c r="E11" s="190">
        <v>21791000000</v>
      </c>
      <c r="F11" s="190">
        <v>7090000000</v>
      </c>
      <c r="G11" s="190">
        <v>4076000000</v>
      </c>
      <c r="H11" s="190">
        <v>303000000</v>
      </c>
      <c r="I11" s="190">
        <v>17076000000</v>
      </c>
      <c r="J11" s="190">
        <v>1528000000</v>
      </c>
      <c r="K11" s="190">
        <v>1423000000</v>
      </c>
      <c r="L11" s="190">
        <v>47000000</v>
      </c>
      <c r="M11" s="190">
        <v>8767000000</v>
      </c>
      <c r="N11" s="190">
        <v>327000000</v>
      </c>
      <c r="O11" s="190">
        <v>205000000</v>
      </c>
      <c r="P11" s="190">
        <v>-513000000</v>
      </c>
      <c r="Q11" s="190">
        <v>6839000000</v>
      </c>
      <c r="R11" s="190">
        <v>1130000000</v>
      </c>
      <c r="S11" s="190">
        <v>1112000000</v>
      </c>
      <c r="T11" s="190">
        <v>-49000000</v>
      </c>
      <c r="U11" s="190">
        <v>4044000000</v>
      </c>
      <c r="V11" s="190">
        <v>34000000</v>
      </c>
      <c r="W11" s="190">
        <v>73000000</v>
      </c>
      <c r="X11" s="190">
        <v>-12000000</v>
      </c>
      <c r="Y11" s="190">
        <v>7906000000</v>
      </c>
      <c r="Z11" s="190">
        <v>7518000000</v>
      </c>
      <c r="AA11" s="190">
        <v>7048000000</v>
      </c>
      <c r="AB11" s="190">
        <v>425000000</v>
      </c>
      <c r="AC11" s="190">
        <v>5811000000</v>
      </c>
      <c r="AD11" s="190">
        <v>2841000000</v>
      </c>
      <c r="AE11" s="190">
        <v>2712000000</v>
      </c>
      <c r="AF11" s="190">
        <v>1027000000</v>
      </c>
      <c r="AG11" s="190">
        <v>15445000000</v>
      </c>
      <c r="AH11" s="190">
        <v>2187000000</v>
      </c>
      <c r="AI11" s="190">
        <v>741000000</v>
      </c>
      <c r="AJ11" s="190">
        <v>480000000</v>
      </c>
      <c r="AK11" s="190">
        <v>7453000000</v>
      </c>
      <c r="AL11" s="190">
        <v>599000000</v>
      </c>
      <c r="AM11" s="190">
        <v>178000000</v>
      </c>
      <c r="AN11" s="190">
        <v>-38000000</v>
      </c>
      <c r="AO11" s="190">
        <v>16617000000</v>
      </c>
      <c r="AP11" s="190">
        <v>11952000000</v>
      </c>
      <c r="AQ11" s="190">
        <v>16079000000</v>
      </c>
      <c r="AR11" s="190">
        <v>9012000000</v>
      </c>
      <c r="AS11" s="190">
        <v>7458000000</v>
      </c>
      <c r="AT11" s="190">
        <v>1593000000</v>
      </c>
      <c r="AU11" s="190">
        <v>1535000000</v>
      </c>
      <c r="AV11" s="190">
        <v>0</v>
      </c>
      <c r="AW11" s="190">
        <v>0</v>
      </c>
      <c r="AX11" s="190">
        <v>0</v>
      </c>
      <c r="AY11" s="190">
        <v>0</v>
      </c>
      <c r="AZ11" s="190">
        <v>0</v>
      </c>
      <c r="BA11" s="190">
        <v>0</v>
      </c>
      <c r="BB11" s="190">
        <v>0</v>
      </c>
      <c r="BC11" s="190">
        <v>0</v>
      </c>
      <c r="BD11" s="190">
        <v>0</v>
      </c>
      <c r="BE11" s="190">
        <v>0</v>
      </c>
      <c r="BF11" s="190">
        <v>0</v>
      </c>
      <c r="BG11" s="190">
        <v>0</v>
      </c>
      <c r="BH11" s="190">
        <v>0</v>
      </c>
      <c r="BI11" s="190">
        <v>0</v>
      </c>
      <c r="BJ11" s="190">
        <v>0</v>
      </c>
      <c r="BK11" s="190">
        <v>0</v>
      </c>
      <c r="BL11" s="190">
        <v>0</v>
      </c>
      <c r="BM11" s="190">
        <v>0</v>
      </c>
      <c r="BN11" s="190">
        <v>0</v>
      </c>
      <c r="BO11" s="190">
        <v>0</v>
      </c>
      <c r="BP11" s="190">
        <v>0</v>
      </c>
      <c r="BQ11" s="190">
        <v>0</v>
      </c>
      <c r="BR11" s="190">
        <v>0</v>
      </c>
      <c r="BS11" s="190">
        <v>0</v>
      </c>
      <c r="BT11" s="190">
        <v>0</v>
      </c>
      <c r="BU11" s="190">
        <v>0</v>
      </c>
      <c r="BV11" s="190">
        <v>0</v>
      </c>
    </row>
    <row r="12" spans="1:74" x14ac:dyDescent="0.25">
      <c r="A12" s="190" t="s">
        <v>199</v>
      </c>
      <c r="B12" s="190">
        <v>476000000</v>
      </c>
      <c r="C12" s="190">
        <v>-450000000</v>
      </c>
      <c r="D12" s="190">
        <v>126000000</v>
      </c>
      <c r="E12" s="190">
        <v>-13000000</v>
      </c>
      <c r="F12" s="190">
        <v>531000000</v>
      </c>
      <c r="G12" s="190">
        <v>369000000</v>
      </c>
      <c r="H12" s="190">
        <v>0</v>
      </c>
      <c r="I12" s="190">
        <v>-216000000</v>
      </c>
      <c r="J12" s="190">
        <v>-117000000</v>
      </c>
      <c r="K12" s="190">
        <v>113000000</v>
      </c>
      <c r="L12" s="190">
        <v>-2000000</v>
      </c>
      <c r="M12" s="190">
        <v>735000000</v>
      </c>
      <c r="N12" s="190">
        <v>-25000000</v>
      </c>
      <c r="O12" s="190">
        <v>111000000</v>
      </c>
      <c r="P12" s="190">
        <v>-259000000</v>
      </c>
      <c r="Q12" s="190">
        <v>-4151000000</v>
      </c>
      <c r="R12" s="190">
        <v>-2032000000</v>
      </c>
      <c r="S12" s="190">
        <v>-2074000000</v>
      </c>
      <c r="T12" s="190">
        <v>-1433000000</v>
      </c>
      <c r="U12" s="190">
        <v>2167000000</v>
      </c>
      <c r="V12" s="190">
        <v>1567000000</v>
      </c>
      <c r="W12" s="190">
        <v>737000000</v>
      </c>
      <c r="X12" s="190">
        <v>-1627000000</v>
      </c>
      <c r="Y12" s="190">
        <v>206000000</v>
      </c>
      <c r="Z12" s="190">
        <v>1175000000</v>
      </c>
      <c r="AA12" s="190">
        <v>510000000</v>
      </c>
      <c r="AB12" s="190">
        <v>-539000000</v>
      </c>
      <c r="AC12" s="190">
        <v>1423000000</v>
      </c>
      <c r="AD12" s="190">
        <v>274000000</v>
      </c>
      <c r="AE12" s="190">
        <v>305000000</v>
      </c>
      <c r="AF12" s="190">
        <v>-118000000</v>
      </c>
      <c r="AG12" s="190">
        <v>-179000000</v>
      </c>
      <c r="AH12" s="190">
        <v>540000000</v>
      </c>
      <c r="AI12" s="190">
        <v>540000000</v>
      </c>
      <c r="AJ12" s="190">
        <v>170000000</v>
      </c>
      <c r="AK12" s="190">
        <v>-365000000</v>
      </c>
      <c r="AL12" s="190">
        <v>-409000000</v>
      </c>
      <c r="AM12" s="190">
        <v>-389000000</v>
      </c>
      <c r="AN12" s="190">
        <v>-51000000</v>
      </c>
      <c r="AO12" s="190">
        <v>3969000000</v>
      </c>
      <c r="AP12" s="190">
        <v>3753000000</v>
      </c>
      <c r="AQ12" s="190">
        <v>2956000000</v>
      </c>
      <c r="AR12" s="190">
        <v>2996000000</v>
      </c>
      <c r="AS12" s="190">
        <v>-3211000000</v>
      </c>
      <c r="AT12" s="190">
        <v>-1523000000</v>
      </c>
      <c r="AU12" s="190">
        <v>-897000000</v>
      </c>
      <c r="AV12" s="190">
        <v>0</v>
      </c>
      <c r="AW12" s="190">
        <v>0</v>
      </c>
      <c r="AX12" s="190">
        <v>0</v>
      </c>
      <c r="AY12" s="190">
        <v>0</v>
      </c>
      <c r="AZ12" s="190">
        <v>0</v>
      </c>
      <c r="BA12" s="190">
        <v>0</v>
      </c>
      <c r="BB12" s="190">
        <v>0</v>
      </c>
      <c r="BC12" s="190">
        <v>0</v>
      </c>
      <c r="BD12" s="190">
        <v>0</v>
      </c>
      <c r="BE12" s="190">
        <v>0</v>
      </c>
      <c r="BF12" s="190">
        <v>0</v>
      </c>
      <c r="BG12" s="190">
        <v>0</v>
      </c>
      <c r="BH12" s="190">
        <v>0</v>
      </c>
      <c r="BI12" s="190">
        <v>0</v>
      </c>
      <c r="BJ12" s="190">
        <v>0</v>
      </c>
      <c r="BK12" s="190">
        <v>0</v>
      </c>
      <c r="BL12" s="190">
        <v>0</v>
      </c>
      <c r="BM12" s="190">
        <v>0</v>
      </c>
      <c r="BN12" s="190">
        <v>0</v>
      </c>
      <c r="BO12" s="190">
        <v>0</v>
      </c>
      <c r="BP12" s="190">
        <v>0</v>
      </c>
      <c r="BQ12" s="190">
        <v>0</v>
      </c>
      <c r="BR12" s="190">
        <v>0</v>
      </c>
      <c r="BS12" s="190">
        <v>0</v>
      </c>
      <c r="BT12" s="190">
        <v>0</v>
      </c>
      <c r="BU12" s="190">
        <v>0</v>
      </c>
      <c r="BV12" s="190">
        <v>0</v>
      </c>
    </row>
    <row r="13" spans="1:74" x14ac:dyDescent="0.25">
      <c r="A13" s="190" t="s">
        <v>200</v>
      </c>
      <c r="B13" s="190">
        <v>9703000000</v>
      </c>
      <c r="C13" s="190">
        <v>5884000000</v>
      </c>
      <c r="D13" s="190">
        <v>3355000000</v>
      </c>
      <c r="E13" s="190">
        <v>19060000000</v>
      </c>
      <c r="F13" s="190">
        <v>12020000000</v>
      </c>
      <c r="G13" s="190">
        <v>8152000000</v>
      </c>
      <c r="H13" s="190">
        <v>3944000000</v>
      </c>
      <c r="I13" s="190">
        <v>30779000000</v>
      </c>
      <c r="J13" s="190">
        <v>7253000000</v>
      </c>
      <c r="K13" s="190">
        <v>5394000000</v>
      </c>
      <c r="L13" s="190">
        <v>1336000000</v>
      </c>
      <c r="M13" s="190">
        <v>8573000000</v>
      </c>
      <c r="N13" s="190">
        <v>4650000000</v>
      </c>
      <c r="O13" s="190">
        <v>4461000000</v>
      </c>
      <c r="P13" s="190">
        <v>1065000000</v>
      </c>
      <c r="Q13" s="190">
        <v>8137000000</v>
      </c>
      <c r="R13" s="190">
        <v>6252000000</v>
      </c>
      <c r="S13" s="190">
        <v>2252000000</v>
      </c>
      <c r="T13" s="190">
        <v>854000000</v>
      </c>
      <c r="U13" s="190">
        <v>2510000000</v>
      </c>
      <c r="V13" s="190">
        <v>1538000000</v>
      </c>
      <c r="W13" s="190">
        <v>908000000</v>
      </c>
      <c r="X13" s="190">
        <v>549000000</v>
      </c>
      <c r="Y13" s="190">
        <v>1540000000</v>
      </c>
      <c r="Z13" s="190">
        <v>635000000</v>
      </c>
      <c r="AA13" s="190">
        <v>232000000</v>
      </c>
      <c r="AB13" s="190">
        <v>678000000</v>
      </c>
      <c r="AC13" s="190">
        <v>4186000000</v>
      </c>
      <c r="AD13" s="190">
        <v>3992000000</v>
      </c>
      <c r="AE13" s="190">
        <v>2822000000</v>
      </c>
      <c r="AF13" s="190">
        <v>1493000000</v>
      </c>
      <c r="AG13" s="190">
        <v>5671000000</v>
      </c>
      <c r="AH13" s="190">
        <v>2969000000</v>
      </c>
      <c r="AI13" s="190">
        <v>1994000000</v>
      </c>
      <c r="AJ13" s="190">
        <v>1026000000</v>
      </c>
      <c r="AK13" s="190">
        <v>3589000000</v>
      </c>
      <c r="AL13" s="190">
        <v>2714000000</v>
      </c>
      <c r="AM13" s="190">
        <v>1799000000</v>
      </c>
      <c r="AN13" s="190">
        <v>564000000</v>
      </c>
      <c r="AO13" s="190">
        <v>980000000</v>
      </c>
      <c r="AP13" s="190">
        <v>2125000000</v>
      </c>
      <c r="AQ13" s="190">
        <v>1677000000</v>
      </c>
      <c r="AR13" s="190">
        <v>779000000</v>
      </c>
      <c r="AS13" s="190">
        <v>5756000000</v>
      </c>
      <c r="AT13" s="190">
        <v>4117000000</v>
      </c>
      <c r="AU13" s="190">
        <v>2817000000</v>
      </c>
      <c r="AV13" s="190">
        <v>1175000000</v>
      </c>
      <c r="AW13" s="190">
        <v>43000000</v>
      </c>
      <c r="AX13" s="190">
        <v>27000000</v>
      </c>
      <c r="AY13" s="190">
        <v>184000000</v>
      </c>
      <c r="AZ13" s="190">
        <v>172000000</v>
      </c>
      <c r="BA13" s="190">
        <v>813000000</v>
      </c>
      <c r="BB13" s="190">
        <v>-524000000</v>
      </c>
      <c r="BC13" s="190">
        <v>-742000000</v>
      </c>
      <c r="BD13" s="190">
        <v>143000000</v>
      </c>
      <c r="BE13" s="190">
        <v>1088000000</v>
      </c>
      <c r="BF13" s="190">
        <v>788000000</v>
      </c>
      <c r="BG13" s="190">
        <v>516000000</v>
      </c>
      <c r="BH13" s="190">
        <v>141000000</v>
      </c>
      <c r="BI13" s="190">
        <v>548000000</v>
      </c>
      <c r="BJ13" s="190">
        <v>397000000</v>
      </c>
      <c r="BK13" s="190">
        <v>341000000</v>
      </c>
      <c r="BL13" s="190">
        <v>70000000</v>
      </c>
      <c r="BM13" s="190">
        <v>505000000</v>
      </c>
      <c r="BN13" s="190">
        <v>342000000</v>
      </c>
      <c r="BO13" s="190">
        <v>186000000</v>
      </c>
      <c r="BP13" s="190">
        <v>64000000</v>
      </c>
      <c r="BQ13" s="190">
        <v>546000000</v>
      </c>
      <c r="BR13" s="190">
        <v>303000000</v>
      </c>
      <c r="BS13" s="190">
        <v>235000000</v>
      </c>
      <c r="BT13" s="190">
        <v>854000000</v>
      </c>
      <c r="BU13" s="190">
        <v>954000000</v>
      </c>
      <c r="BV13" s="190">
        <v>0</v>
      </c>
    </row>
    <row r="14" spans="1:74" x14ac:dyDescent="0.25">
      <c r="A14" s="190" t="s">
        <v>201</v>
      </c>
      <c r="B14" s="190">
        <v>0</v>
      </c>
      <c r="C14" s="190">
        <v>0</v>
      </c>
      <c r="D14" s="190">
        <v>0</v>
      </c>
      <c r="E14" s="190">
        <v>0</v>
      </c>
      <c r="F14" s="190">
        <v>0</v>
      </c>
      <c r="G14" s="190">
        <v>0</v>
      </c>
      <c r="H14" s="190">
        <v>0</v>
      </c>
      <c r="I14" s="190">
        <v>0</v>
      </c>
      <c r="J14" s="190">
        <v>0</v>
      </c>
      <c r="K14" s="190">
        <v>0</v>
      </c>
      <c r="L14" s="190">
        <v>0</v>
      </c>
      <c r="M14" s="190">
        <v>0</v>
      </c>
      <c r="N14" s="190">
        <v>0</v>
      </c>
      <c r="O14" s="190">
        <v>0</v>
      </c>
      <c r="P14" s="190">
        <v>0</v>
      </c>
      <c r="Q14" s="190">
        <v>0</v>
      </c>
      <c r="R14" s="190">
        <v>0</v>
      </c>
      <c r="S14" s="190">
        <v>0</v>
      </c>
      <c r="T14" s="190">
        <v>0</v>
      </c>
      <c r="U14" s="190">
        <v>0</v>
      </c>
      <c r="V14" s="190">
        <v>0</v>
      </c>
      <c r="W14" s="190">
        <v>0</v>
      </c>
      <c r="X14" s="190">
        <v>0</v>
      </c>
      <c r="Y14" s="190">
        <v>0</v>
      </c>
      <c r="Z14" s="190">
        <v>0</v>
      </c>
      <c r="AA14" s="190">
        <v>0</v>
      </c>
      <c r="AB14" s="190">
        <v>0</v>
      </c>
      <c r="AC14" s="190">
        <v>0</v>
      </c>
      <c r="AD14" s="190">
        <v>0</v>
      </c>
      <c r="AE14" s="190">
        <v>0</v>
      </c>
      <c r="AF14" s="190">
        <v>0</v>
      </c>
      <c r="AG14" s="190">
        <v>0</v>
      </c>
      <c r="AH14" s="190">
        <v>0</v>
      </c>
      <c r="AI14" s="190">
        <v>0</v>
      </c>
      <c r="AJ14" s="190">
        <v>0</v>
      </c>
      <c r="AK14" s="190">
        <v>0</v>
      </c>
      <c r="AL14" s="190">
        <v>0</v>
      </c>
      <c r="AM14" s="190">
        <v>0</v>
      </c>
      <c r="AN14" s="190">
        <v>463000000</v>
      </c>
      <c r="AO14" s="190">
        <v>0</v>
      </c>
      <c r="AP14" s="190">
        <v>0</v>
      </c>
      <c r="AQ14" s="190">
        <v>0</v>
      </c>
      <c r="AR14" s="190">
        <v>0</v>
      </c>
      <c r="AS14" s="190">
        <v>0</v>
      </c>
      <c r="AT14" s="190">
        <v>0</v>
      </c>
      <c r="AU14" s="190">
        <v>0</v>
      </c>
      <c r="AV14" s="190">
        <v>0</v>
      </c>
      <c r="AW14" s="190">
        <v>0</v>
      </c>
      <c r="AX14" s="190">
        <v>0</v>
      </c>
      <c r="AY14" s="190">
        <v>0</v>
      </c>
      <c r="AZ14" s="190">
        <v>0</v>
      </c>
      <c r="BA14" s="190">
        <v>0</v>
      </c>
      <c r="BB14" s="190">
        <v>0</v>
      </c>
      <c r="BC14" s="190">
        <v>0</v>
      </c>
      <c r="BD14" s="190">
        <v>0</v>
      </c>
      <c r="BE14" s="190">
        <v>0</v>
      </c>
      <c r="BF14" s="190">
        <v>0</v>
      </c>
      <c r="BG14" s="190">
        <v>0</v>
      </c>
      <c r="BH14" s="190">
        <v>0</v>
      </c>
      <c r="BI14" s="190">
        <v>0</v>
      </c>
      <c r="BJ14" s="190">
        <v>0</v>
      </c>
      <c r="BK14" s="190">
        <v>0</v>
      </c>
      <c r="BL14" s="190">
        <v>0</v>
      </c>
      <c r="BM14" s="190">
        <v>0</v>
      </c>
      <c r="BN14" s="190">
        <v>0</v>
      </c>
      <c r="BO14" s="190">
        <v>0</v>
      </c>
      <c r="BP14" s="190">
        <v>0</v>
      </c>
      <c r="BQ14" s="190">
        <v>0</v>
      </c>
      <c r="BR14" s="190">
        <v>0</v>
      </c>
      <c r="BS14" s="190">
        <v>0</v>
      </c>
      <c r="BT14" s="190">
        <v>0</v>
      </c>
      <c r="BU14" s="190">
        <v>0</v>
      </c>
      <c r="BV14" s="190">
        <v>0</v>
      </c>
    </row>
    <row r="15" spans="1:74" x14ac:dyDescent="0.25">
      <c r="A15" s="190" t="s">
        <v>202</v>
      </c>
      <c r="B15" s="190">
        <v>0</v>
      </c>
      <c r="C15" s="190">
        <v>0</v>
      </c>
      <c r="D15" s="190">
        <v>0</v>
      </c>
      <c r="E15" s="190">
        <v>0</v>
      </c>
      <c r="F15" s="190">
        <v>0</v>
      </c>
      <c r="G15" s="190">
        <v>0</v>
      </c>
      <c r="H15" s="190">
        <v>0</v>
      </c>
      <c r="I15" s="190">
        <v>0</v>
      </c>
      <c r="J15" s="190">
        <v>0</v>
      </c>
      <c r="K15" s="190">
        <v>0</v>
      </c>
      <c r="L15" s="190">
        <v>0</v>
      </c>
      <c r="M15" s="190">
        <v>0</v>
      </c>
      <c r="N15" s="190">
        <v>0</v>
      </c>
      <c r="O15" s="190">
        <v>0</v>
      </c>
      <c r="P15" s="190">
        <v>0</v>
      </c>
      <c r="Q15" s="190">
        <v>0</v>
      </c>
      <c r="R15" s="190">
        <v>0</v>
      </c>
      <c r="S15" s="190">
        <v>0</v>
      </c>
      <c r="T15" s="190">
        <v>0</v>
      </c>
      <c r="U15" s="190">
        <v>0</v>
      </c>
      <c r="V15" s="190">
        <v>0</v>
      </c>
      <c r="W15" s="190">
        <v>0</v>
      </c>
      <c r="X15" s="190">
        <v>0</v>
      </c>
      <c r="Y15" s="190">
        <v>0</v>
      </c>
      <c r="Z15" s="190">
        <v>0</v>
      </c>
      <c r="AA15" s="190">
        <v>0</v>
      </c>
      <c r="AB15" s="190">
        <v>0</v>
      </c>
      <c r="AC15" s="190">
        <v>0</v>
      </c>
      <c r="AD15" s="190">
        <v>0</v>
      </c>
      <c r="AE15" s="190">
        <v>0</v>
      </c>
      <c r="AF15" s="190">
        <v>0</v>
      </c>
      <c r="AG15" s="190">
        <v>0</v>
      </c>
      <c r="AH15" s="190">
        <v>0</v>
      </c>
      <c r="AI15" s="190">
        <v>0</v>
      </c>
      <c r="AJ15" s="190">
        <v>0</v>
      </c>
      <c r="AK15" s="190">
        <v>0</v>
      </c>
      <c r="AL15" s="190">
        <v>0</v>
      </c>
      <c r="AM15" s="190">
        <v>0</v>
      </c>
      <c r="AN15" s="190">
        <v>0</v>
      </c>
      <c r="AO15" s="190">
        <v>0</v>
      </c>
      <c r="AP15" s="190">
        <v>0</v>
      </c>
      <c r="AQ15" s="190">
        <v>0</v>
      </c>
      <c r="AR15" s="190">
        <v>0</v>
      </c>
      <c r="AS15" s="190">
        <v>0</v>
      </c>
      <c r="AT15" s="190">
        <v>0</v>
      </c>
      <c r="AU15" s="190">
        <v>0</v>
      </c>
      <c r="AV15" s="190">
        <v>0</v>
      </c>
      <c r="AW15" s="190">
        <v>0</v>
      </c>
      <c r="AX15" s="190">
        <v>0</v>
      </c>
      <c r="AY15" s="190">
        <v>0</v>
      </c>
      <c r="AZ15" s="190">
        <v>0</v>
      </c>
      <c r="BA15" s="190">
        <v>0</v>
      </c>
      <c r="BB15" s="190">
        <v>0</v>
      </c>
      <c r="BC15" s="190">
        <v>0</v>
      </c>
      <c r="BD15" s="190">
        <v>0</v>
      </c>
      <c r="BE15" s="190">
        <v>0</v>
      </c>
      <c r="BF15" s="190">
        <v>0</v>
      </c>
      <c r="BG15" s="190">
        <v>0</v>
      </c>
      <c r="BH15" s="190">
        <v>0</v>
      </c>
      <c r="BI15" s="190">
        <v>0</v>
      </c>
      <c r="BJ15" s="190">
        <v>0</v>
      </c>
      <c r="BK15" s="190">
        <v>0</v>
      </c>
      <c r="BL15" s="190">
        <v>0</v>
      </c>
      <c r="BM15" s="190">
        <v>0</v>
      </c>
      <c r="BN15" s="190">
        <v>0</v>
      </c>
      <c r="BO15" s="190">
        <v>0</v>
      </c>
      <c r="BP15" s="190">
        <v>0</v>
      </c>
      <c r="BQ15" s="190">
        <v>0</v>
      </c>
      <c r="BR15" s="190">
        <v>0</v>
      </c>
      <c r="BS15" s="190">
        <v>0</v>
      </c>
      <c r="BT15" s="190">
        <v>0</v>
      </c>
      <c r="BU15" s="190">
        <v>0</v>
      </c>
      <c r="BV15" s="190">
        <v>0</v>
      </c>
    </row>
    <row r="16" spans="1:74" x14ac:dyDescent="0.25">
      <c r="A16" s="190" t="s">
        <v>203</v>
      </c>
      <c r="B16" s="190">
        <v>97257000000</v>
      </c>
      <c r="C16" s="190">
        <v>67940000000</v>
      </c>
      <c r="D16" s="190">
        <v>31490000000</v>
      </c>
      <c r="E16" s="190">
        <v>86965000000</v>
      </c>
      <c r="F16" s="190">
        <v>65322000000</v>
      </c>
      <c r="G16" s="190">
        <v>45015000000</v>
      </c>
      <c r="H16" s="190">
        <v>27896000000</v>
      </c>
      <c r="I16" s="190">
        <v>78876000000</v>
      </c>
      <c r="J16" s="190">
        <v>51182000000</v>
      </c>
      <c r="K16" s="190">
        <v>34278000000</v>
      </c>
      <c r="L16" s="190">
        <v>12314000000</v>
      </c>
      <c r="M16" s="190">
        <v>52081000000</v>
      </c>
      <c r="N16" s="190">
        <v>43326000000</v>
      </c>
      <c r="O16" s="190">
        <v>39284000000</v>
      </c>
      <c r="P16" s="190">
        <v>2458000000</v>
      </c>
      <c r="Q16" s="190">
        <v>65481000000</v>
      </c>
      <c r="R16" s="190">
        <v>71209000000</v>
      </c>
      <c r="S16" s="190">
        <v>44832000000</v>
      </c>
      <c r="T16" s="190">
        <v>19323000000</v>
      </c>
      <c r="U16" s="190">
        <v>96453000000</v>
      </c>
      <c r="V16" s="190">
        <v>74712000000</v>
      </c>
      <c r="W16" s="190">
        <v>43693000000</v>
      </c>
      <c r="X16" s="190">
        <v>23103000000</v>
      </c>
      <c r="Y16" s="190">
        <v>87926000000</v>
      </c>
      <c r="Z16" s="190">
        <v>59406000000</v>
      </c>
      <c r="AA16" s="190">
        <v>33508000000</v>
      </c>
      <c r="AB16" s="190">
        <v>18625000000</v>
      </c>
      <c r="AC16" s="190">
        <v>100966000000</v>
      </c>
      <c r="AD16" s="190">
        <v>84202000000</v>
      </c>
      <c r="AE16" s="190">
        <v>56237000000</v>
      </c>
      <c r="AF16" s="190">
        <v>30075000000</v>
      </c>
      <c r="AG16" s="190">
        <v>101352000000</v>
      </c>
      <c r="AH16" s="190">
        <v>79274000000</v>
      </c>
      <c r="AI16" s="190">
        <v>47986000000</v>
      </c>
      <c r="AJ16" s="190">
        <v>21012000000</v>
      </c>
      <c r="AK16" s="190">
        <v>80202000000</v>
      </c>
      <c r="AL16" s="190">
        <v>66230000000</v>
      </c>
      <c r="AM16" s="190">
        <v>43999000000</v>
      </c>
      <c r="AN16" s="190">
        <v>14754000000</v>
      </c>
      <c r="AO16" s="190">
        <v>-26066000000</v>
      </c>
      <c r="AP16" s="190">
        <v>-26244000000</v>
      </c>
      <c r="AQ16" s="190">
        <v>-23784000000</v>
      </c>
      <c r="AR16" s="190">
        <v>-435000000</v>
      </c>
      <c r="AS16" s="190">
        <v>78142000000</v>
      </c>
      <c r="AT16" s="190">
        <v>73271000000</v>
      </c>
      <c r="AU16" s="190">
        <v>53044000000</v>
      </c>
      <c r="AV16" s="190">
        <v>28166000000</v>
      </c>
      <c r="AW16" s="190">
        <v>76339000000</v>
      </c>
      <c r="AX16" s="190">
        <v>49533000000</v>
      </c>
      <c r="AY16" s="190">
        <v>31357000000</v>
      </c>
      <c r="AZ16" s="190">
        <v>13555000000</v>
      </c>
      <c r="BA16" s="190">
        <v>67084000000</v>
      </c>
      <c r="BB16" s="190">
        <v>43581000000</v>
      </c>
      <c r="BC16" s="190">
        <v>30402000000</v>
      </c>
      <c r="BD16" s="190">
        <v>15431000000</v>
      </c>
      <c r="BE16" s="190">
        <v>64041000000</v>
      </c>
      <c r="BF16" s="190">
        <v>47254000000</v>
      </c>
      <c r="BG16" s="190">
        <v>28869000000</v>
      </c>
      <c r="BH16" s="190">
        <v>13478000000</v>
      </c>
      <c r="BI16" s="190">
        <v>36057000000</v>
      </c>
      <c r="BJ16" s="190">
        <v>26441000000</v>
      </c>
      <c r="BK16" s="190">
        <v>15966000000</v>
      </c>
      <c r="BL16" s="190">
        <v>9327000000</v>
      </c>
      <c r="BM16" s="190">
        <v>23322000000</v>
      </c>
      <c r="BN16" s="190">
        <v>14667000000</v>
      </c>
      <c r="BO16" s="190">
        <v>7318000000</v>
      </c>
      <c r="BP16" s="190">
        <v>218000000</v>
      </c>
      <c r="BQ16" s="190">
        <v>24390000000</v>
      </c>
      <c r="BR16" s="190">
        <v>14168000000</v>
      </c>
      <c r="BS16" s="190">
        <v>26379000000</v>
      </c>
      <c r="BT16" s="190">
        <v>8661000000</v>
      </c>
      <c r="BU16" s="190">
        <v>275000000</v>
      </c>
      <c r="BV16" s="190">
        <v>0</v>
      </c>
    </row>
    <row r="17" spans="1:74" x14ac:dyDescent="0.25">
      <c r="A17" s="190" t="s">
        <v>204</v>
      </c>
      <c r="B17" s="190">
        <v>900000000</v>
      </c>
      <c r="C17" s="190">
        <v>630000000</v>
      </c>
      <c r="D17" s="190">
        <v>378000000</v>
      </c>
      <c r="E17" s="190">
        <v>1317000000</v>
      </c>
      <c r="F17" s="190">
        <v>1206000000</v>
      </c>
      <c r="G17" s="190">
        <v>833000000</v>
      </c>
      <c r="H17" s="190">
        <v>416000000</v>
      </c>
      <c r="I17" s="190">
        <v>4964000000</v>
      </c>
      <c r="J17" s="190">
        <v>2276000000</v>
      </c>
      <c r="K17" s="190">
        <v>1357000000</v>
      </c>
      <c r="L17" s="190">
        <v>371000000</v>
      </c>
      <c r="M17" s="190">
        <v>6945000000</v>
      </c>
      <c r="N17" s="190">
        <v>3282000000</v>
      </c>
      <c r="O17" s="190">
        <v>1865000000</v>
      </c>
      <c r="P17" s="190">
        <v>876000000</v>
      </c>
      <c r="Q17" s="190">
        <v>4710000000</v>
      </c>
      <c r="R17" s="190">
        <v>2207000000</v>
      </c>
      <c r="S17" s="190">
        <v>1371000000</v>
      </c>
      <c r="T17" s="190">
        <v>445000000</v>
      </c>
      <c r="U17" s="190">
        <v>3481000000</v>
      </c>
      <c r="V17" s="190">
        <v>1845000000</v>
      </c>
      <c r="W17" s="190">
        <v>1157000000</v>
      </c>
      <c r="X17" s="190">
        <v>350000000</v>
      </c>
      <c r="Y17" s="190">
        <v>4573000000</v>
      </c>
      <c r="Z17" s="190">
        <v>2122000000</v>
      </c>
      <c r="AA17" s="190">
        <v>1362000000</v>
      </c>
      <c r="AB17" s="190">
        <v>179000000</v>
      </c>
      <c r="AC17" s="190">
        <v>3411000000</v>
      </c>
      <c r="AD17" s="190">
        <v>1551000000</v>
      </c>
      <c r="AE17" s="190">
        <v>1108000000</v>
      </c>
      <c r="AF17" s="190">
        <v>136000000</v>
      </c>
      <c r="AG17" s="190">
        <v>2108000000</v>
      </c>
      <c r="AH17" s="190">
        <v>1084000000</v>
      </c>
      <c r="AI17" s="190">
        <v>666000000</v>
      </c>
      <c r="AJ17" s="190">
        <v>416000000</v>
      </c>
      <c r="AK17" s="190">
        <v>1275000000</v>
      </c>
      <c r="AL17" s="190">
        <v>569000000</v>
      </c>
      <c r="AM17" s="190">
        <v>424000000</v>
      </c>
      <c r="AN17" s="190">
        <v>154000000</v>
      </c>
      <c r="AO17" s="190">
        <v>51391000000</v>
      </c>
      <c r="AP17" s="190">
        <v>45693000000</v>
      </c>
      <c r="AQ17" s="190">
        <v>33765000000</v>
      </c>
      <c r="AR17" s="190">
        <v>7452000000</v>
      </c>
      <c r="AS17" s="190">
        <v>6828000000</v>
      </c>
      <c r="AT17" s="190">
        <v>302000000</v>
      </c>
      <c r="AU17" s="190">
        <v>169000000</v>
      </c>
      <c r="AV17" s="190">
        <v>62000000</v>
      </c>
      <c r="AW17" s="190">
        <v>372000000</v>
      </c>
      <c r="AX17" s="190">
        <v>191000000</v>
      </c>
      <c r="AY17" s="190">
        <v>132000000</v>
      </c>
      <c r="AZ17" s="190">
        <v>52000000</v>
      </c>
      <c r="BA17" s="190">
        <v>367000000</v>
      </c>
      <c r="BB17" s="190">
        <v>250000000</v>
      </c>
      <c r="BC17" s="190">
        <v>133000000</v>
      </c>
      <c r="BD17" s="190">
        <v>90000000</v>
      </c>
      <c r="BE17" s="190">
        <v>665000000</v>
      </c>
      <c r="BF17" s="190">
        <v>269000000</v>
      </c>
      <c r="BG17" s="190">
        <v>181000000</v>
      </c>
      <c r="BH17" s="190">
        <v>72000000</v>
      </c>
      <c r="BI17" s="190">
        <v>292000000</v>
      </c>
      <c r="BJ17" s="190">
        <v>165000000</v>
      </c>
      <c r="BK17" s="190">
        <v>88000000</v>
      </c>
      <c r="BL17" s="190">
        <v>26000000</v>
      </c>
      <c r="BM17" s="190">
        <v>333000000</v>
      </c>
      <c r="BN17" s="190">
        <v>178000000</v>
      </c>
      <c r="BO17" s="190">
        <v>144000000</v>
      </c>
      <c r="BP17" s="190">
        <v>67000000</v>
      </c>
      <c r="BQ17" s="190">
        <v>769000000</v>
      </c>
      <c r="BR17" s="190">
        <v>111000000</v>
      </c>
      <c r="BS17" s="190">
        <v>215000000</v>
      </c>
      <c r="BT17" s="190">
        <v>436000000</v>
      </c>
      <c r="BU17" s="190">
        <v>559000000</v>
      </c>
      <c r="BV17" s="190">
        <v>0</v>
      </c>
    </row>
    <row r="18" spans="1:74" x14ac:dyDescent="0.25">
      <c r="A18" s="190" t="s">
        <v>205</v>
      </c>
      <c r="B18" s="190">
        <v>1455000000</v>
      </c>
      <c r="C18" s="190">
        <v>703000000</v>
      </c>
      <c r="D18" s="190">
        <v>353000000</v>
      </c>
      <c r="E18" s="190">
        <v>1709000000</v>
      </c>
      <c r="F18" s="190">
        <v>1703000000</v>
      </c>
      <c r="G18" s="190">
        <v>816000000</v>
      </c>
      <c r="H18" s="190">
        <v>332000000</v>
      </c>
      <c r="I18" s="190">
        <v>3963000000</v>
      </c>
      <c r="J18" s="190">
        <v>1523000000</v>
      </c>
      <c r="K18" s="190">
        <v>875000000</v>
      </c>
      <c r="L18" s="190">
        <v>479000000</v>
      </c>
      <c r="M18" s="190">
        <v>3067000000</v>
      </c>
      <c r="N18" s="190">
        <v>1595000000</v>
      </c>
      <c r="O18" s="190">
        <v>933000000</v>
      </c>
      <c r="P18" s="190">
        <v>404000000</v>
      </c>
      <c r="Q18" s="190">
        <v>3710000000</v>
      </c>
      <c r="R18" s="190">
        <v>2189000000</v>
      </c>
      <c r="S18" s="190">
        <v>1601000000</v>
      </c>
      <c r="T18" s="190">
        <v>468000000</v>
      </c>
      <c r="U18" s="190">
        <v>2952000000</v>
      </c>
      <c r="V18" s="190">
        <v>1486000000</v>
      </c>
      <c r="W18" s="190">
        <v>878000000</v>
      </c>
      <c r="X18" s="190">
        <v>447000000</v>
      </c>
      <c r="Y18" s="190">
        <v>2392000000</v>
      </c>
      <c r="Z18" s="190">
        <v>964000000</v>
      </c>
      <c r="AA18" s="190">
        <v>587000000</v>
      </c>
      <c r="AB18" s="190">
        <v>263000000</v>
      </c>
      <c r="AC18" s="190">
        <v>1739000000</v>
      </c>
      <c r="AD18" s="190">
        <v>923000000</v>
      </c>
      <c r="AE18" s="190">
        <v>590000000</v>
      </c>
      <c r="AF18" s="190">
        <v>209000000</v>
      </c>
      <c r="AG18" s="190">
        <v>1282000000</v>
      </c>
      <c r="AH18" s="190">
        <v>620000000</v>
      </c>
      <c r="AI18" s="190">
        <v>317000000</v>
      </c>
      <c r="AJ18" s="190">
        <v>170000000</v>
      </c>
      <c r="AK18" s="190">
        <v>1401000000</v>
      </c>
      <c r="AL18" s="190">
        <v>882000000</v>
      </c>
      <c r="AM18" s="190">
        <v>655000000</v>
      </c>
      <c r="AN18" s="190">
        <v>201000000</v>
      </c>
      <c r="AO18" s="190">
        <v>1099000000</v>
      </c>
      <c r="AP18" s="190">
        <v>715000000</v>
      </c>
      <c r="AQ18" s="190">
        <v>465000000</v>
      </c>
      <c r="AR18" s="190">
        <v>183000000</v>
      </c>
      <c r="AS18" s="190">
        <v>2059000000</v>
      </c>
      <c r="AT18" s="190">
        <v>986000000</v>
      </c>
      <c r="AU18" s="190">
        <v>749000000</v>
      </c>
      <c r="AV18" s="190">
        <v>178000000</v>
      </c>
      <c r="AW18" s="190">
        <v>3459000000</v>
      </c>
      <c r="AX18" s="190">
        <v>1015000000</v>
      </c>
      <c r="AY18" s="190">
        <v>674000000</v>
      </c>
      <c r="AZ18" s="190">
        <v>251000000</v>
      </c>
      <c r="BA18" s="190">
        <v>5969000000</v>
      </c>
      <c r="BB18" s="190">
        <v>1905000000</v>
      </c>
      <c r="BC18" s="190">
        <v>1109000000</v>
      </c>
      <c r="BD18" s="190">
        <v>427000000</v>
      </c>
      <c r="BE18" s="190">
        <v>11171000000</v>
      </c>
      <c r="BF18" s="190">
        <v>8837000000</v>
      </c>
      <c r="BG18" s="190">
        <v>4952000000</v>
      </c>
      <c r="BH18" s="190">
        <v>1590000000</v>
      </c>
      <c r="BI18" s="190">
        <v>6334000000</v>
      </c>
      <c r="BJ18" s="190">
        <v>3409000000</v>
      </c>
      <c r="BK18" s="190">
        <v>768000000</v>
      </c>
      <c r="BL18" s="190">
        <v>264000000</v>
      </c>
      <c r="BM18" s="190">
        <v>1643000000</v>
      </c>
      <c r="BN18" s="190">
        <v>504000000</v>
      </c>
      <c r="BO18" s="190">
        <v>345000000</v>
      </c>
      <c r="BP18" s="190">
        <v>180000000</v>
      </c>
      <c r="BQ18" s="190">
        <v>3508000000</v>
      </c>
      <c r="BR18" s="190">
        <v>1759000000</v>
      </c>
      <c r="BS18" s="190">
        <v>657000000</v>
      </c>
      <c r="BT18" s="190">
        <v>765000000</v>
      </c>
      <c r="BU18" s="190">
        <v>2116000000</v>
      </c>
      <c r="BV18" s="190">
        <v>0</v>
      </c>
    </row>
    <row r="19" spans="1:74" x14ac:dyDescent="0.25">
      <c r="A19" s="190" t="s">
        <v>206</v>
      </c>
      <c r="B19" s="190">
        <v>0</v>
      </c>
      <c r="C19" s="190">
        <v>0</v>
      </c>
      <c r="D19" s="190">
        <v>0</v>
      </c>
      <c r="E19" s="190">
        <v>0</v>
      </c>
      <c r="F19" s="190">
        <v>0</v>
      </c>
      <c r="G19" s="190">
        <v>0</v>
      </c>
      <c r="H19" s="190">
        <v>0</v>
      </c>
      <c r="I19" s="190">
        <v>0</v>
      </c>
      <c r="J19" s="190">
        <v>0</v>
      </c>
      <c r="K19" s="190">
        <v>0</v>
      </c>
      <c r="L19" s="190">
        <v>0</v>
      </c>
      <c r="M19" s="190">
        <v>0</v>
      </c>
      <c r="N19" s="190">
        <v>0</v>
      </c>
      <c r="O19" s="190">
        <v>0</v>
      </c>
      <c r="P19" s="190">
        <v>0</v>
      </c>
      <c r="Q19" s="190">
        <v>0</v>
      </c>
      <c r="R19" s="190">
        <v>0</v>
      </c>
      <c r="S19" s="190">
        <v>0</v>
      </c>
      <c r="T19" s="190">
        <v>0</v>
      </c>
      <c r="U19" s="190">
        <v>0</v>
      </c>
      <c r="V19" s="190">
        <v>0</v>
      </c>
      <c r="W19" s="190">
        <v>0</v>
      </c>
      <c r="X19" s="190">
        <v>0</v>
      </c>
      <c r="Y19" s="190">
        <v>0</v>
      </c>
      <c r="Z19" s="190">
        <v>0</v>
      </c>
      <c r="AA19" s="190">
        <v>0</v>
      </c>
      <c r="AB19" s="190">
        <v>0</v>
      </c>
      <c r="AC19" s="190">
        <v>0</v>
      </c>
      <c r="AD19" s="190">
        <v>0</v>
      </c>
      <c r="AE19" s="190">
        <v>0</v>
      </c>
      <c r="AF19" s="190">
        <v>0</v>
      </c>
      <c r="AG19" s="190">
        <v>0</v>
      </c>
      <c r="AH19" s="190">
        <v>0</v>
      </c>
      <c r="AI19" s="190">
        <v>0</v>
      </c>
      <c r="AJ19" s="190">
        <v>0</v>
      </c>
      <c r="AK19" s="190">
        <v>0</v>
      </c>
      <c r="AL19" s="190">
        <v>0</v>
      </c>
      <c r="AM19" s="190">
        <v>0</v>
      </c>
      <c r="AN19" s="190">
        <v>0</v>
      </c>
      <c r="AO19" s="190">
        <v>0</v>
      </c>
      <c r="AP19" s="190">
        <v>0</v>
      </c>
      <c r="AQ19" s="190">
        <v>0</v>
      </c>
      <c r="AR19" s="190">
        <v>0</v>
      </c>
      <c r="AS19" s="190">
        <v>0</v>
      </c>
      <c r="AT19" s="190">
        <v>0</v>
      </c>
      <c r="AU19" s="190">
        <v>0</v>
      </c>
      <c r="AV19" s="190">
        <v>0</v>
      </c>
      <c r="AW19" s="190">
        <v>0</v>
      </c>
      <c r="AX19" s="190">
        <v>0</v>
      </c>
      <c r="AY19" s="190">
        <v>0</v>
      </c>
      <c r="AZ19" s="190">
        <v>0</v>
      </c>
      <c r="BA19" s="190">
        <v>0</v>
      </c>
      <c r="BB19" s="190">
        <v>0</v>
      </c>
      <c r="BC19" s="190">
        <v>0</v>
      </c>
      <c r="BD19" s="190">
        <v>0</v>
      </c>
      <c r="BE19" s="190">
        <v>0</v>
      </c>
      <c r="BF19" s="190">
        <v>0</v>
      </c>
      <c r="BG19" s="190">
        <v>0</v>
      </c>
      <c r="BH19" s="190">
        <v>0</v>
      </c>
      <c r="BI19" s="190">
        <v>0</v>
      </c>
      <c r="BJ19" s="190">
        <v>0</v>
      </c>
      <c r="BK19" s="190">
        <v>0</v>
      </c>
      <c r="BL19" s="190">
        <v>0</v>
      </c>
      <c r="BM19" s="190">
        <v>0</v>
      </c>
      <c r="BN19" s="190">
        <v>0</v>
      </c>
      <c r="BO19" s="190">
        <v>0</v>
      </c>
      <c r="BP19" s="190">
        <v>0</v>
      </c>
      <c r="BQ19" s="190">
        <v>0</v>
      </c>
      <c r="BR19" s="190">
        <v>0</v>
      </c>
      <c r="BS19" s="190">
        <v>0</v>
      </c>
      <c r="BT19" s="190">
        <v>0</v>
      </c>
      <c r="BU19" s="190">
        <v>0</v>
      </c>
      <c r="BV19" s="190">
        <v>0</v>
      </c>
    </row>
    <row r="20" spans="1:74" x14ac:dyDescent="0.25">
      <c r="A20" s="190" t="s">
        <v>207</v>
      </c>
      <c r="B20" s="190">
        <v>96702000000</v>
      </c>
      <c r="C20" s="190">
        <v>67867000000</v>
      </c>
      <c r="D20" s="190">
        <v>31515000000</v>
      </c>
      <c r="E20" s="190">
        <v>86573000000</v>
      </c>
      <c r="F20" s="190">
        <v>64825000000</v>
      </c>
      <c r="G20" s="190">
        <v>45032000000</v>
      </c>
      <c r="H20" s="190">
        <v>27980000000</v>
      </c>
      <c r="I20" s="190">
        <v>79877000000</v>
      </c>
      <c r="J20" s="190">
        <v>51935000000</v>
      </c>
      <c r="K20" s="190">
        <v>34760000000</v>
      </c>
      <c r="L20" s="190">
        <v>12206000000</v>
      </c>
      <c r="M20" s="190">
        <v>55959000000</v>
      </c>
      <c r="N20" s="190">
        <v>45013000000</v>
      </c>
      <c r="O20" s="190">
        <v>40216000000</v>
      </c>
      <c r="P20" s="190">
        <v>2930000000</v>
      </c>
      <c r="Q20" s="190">
        <v>66481000000</v>
      </c>
      <c r="R20" s="190">
        <v>71227000000</v>
      </c>
      <c r="S20" s="190">
        <v>44602000000</v>
      </c>
      <c r="T20" s="190">
        <v>19300000000</v>
      </c>
      <c r="U20" s="190">
        <v>96982000000</v>
      </c>
      <c r="V20" s="190">
        <v>75071000000</v>
      </c>
      <c r="W20" s="190">
        <v>43972000000</v>
      </c>
      <c r="X20" s="190">
        <v>23006000000</v>
      </c>
      <c r="Y20" s="190">
        <v>90107000000</v>
      </c>
      <c r="Z20" s="190">
        <v>60564000000</v>
      </c>
      <c r="AA20" s="190">
        <v>34283000000</v>
      </c>
      <c r="AB20" s="190">
        <v>18541000000</v>
      </c>
      <c r="AC20" s="190">
        <v>102638000000</v>
      </c>
      <c r="AD20" s="190">
        <v>84830000000</v>
      </c>
      <c r="AE20" s="190">
        <v>56755000000</v>
      </c>
      <c r="AF20" s="190">
        <v>30002000000</v>
      </c>
      <c r="AG20" s="190">
        <v>102178000000</v>
      </c>
      <c r="AH20" s="190">
        <v>79738000000</v>
      </c>
      <c r="AI20" s="190">
        <v>48335000000</v>
      </c>
      <c r="AJ20" s="190">
        <v>21258000000</v>
      </c>
      <c r="AK20" s="190">
        <v>80076000000</v>
      </c>
      <c r="AL20" s="190">
        <v>65917000000</v>
      </c>
      <c r="AM20" s="190">
        <v>43768000000</v>
      </c>
      <c r="AN20" s="190">
        <v>14707000000</v>
      </c>
      <c r="AO20" s="190">
        <v>24226000000</v>
      </c>
      <c r="AP20" s="190">
        <v>18734000000</v>
      </c>
      <c r="AQ20" s="190">
        <v>9516000000</v>
      </c>
      <c r="AR20" s="190">
        <v>6834000000</v>
      </c>
      <c r="AS20" s="190">
        <v>82911000000</v>
      </c>
      <c r="AT20" s="190">
        <v>72587000000</v>
      </c>
      <c r="AU20" s="190">
        <v>52464000000</v>
      </c>
      <c r="AV20" s="190">
        <v>28050000000</v>
      </c>
      <c r="AW20" s="190">
        <v>73252000000</v>
      </c>
      <c r="AX20" s="190">
        <v>48709000000</v>
      </c>
      <c r="AY20" s="190">
        <v>30815000000</v>
      </c>
      <c r="AZ20" s="190">
        <v>13356000000</v>
      </c>
      <c r="BA20" s="190">
        <v>61482000000</v>
      </c>
      <c r="BB20" s="190">
        <v>41926000000</v>
      </c>
      <c r="BC20" s="190">
        <v>29426000000</v>
      </c>
      <c r="BD20" s="190">
        <v>15094000000</v>
      </c>
      <c r="BE20" s="190">
        <v>53535000000</v>
      </c>
      <c r="BF20" s="190">
        <v>38686000000</v>
      </c>
      <c r="BG20" s="190">
        <v>24098000000</v>
      </c>
      <c r="BH20" s="190">
        <v>11960000000</v>
      </c>
      <c r="BI20" s="190">
        <v>30015000000</v>
      </c>
      <c r="BJ20" s="190">
        <v>23197000000</v>
      </c>
      <c r="BK20" s="190">
        <v>15286000000</v>
      </c>
      <c r="BL20" s="190">
        <v>9089000000</v>
      </c>
      <c r="BM20" s="190">
        <v>22012000000</v>
      </c>
      <c r="BN20" s="190">
        <v>14341000000</v>
      </c>
      <c r="BO20" s="190">
        <v>7117000000</v>
      </c>
      <c r="BP20" s="190">
        <v>105000000</v>
      </c>
      <c r="BQ20" s="190">
        <v>21651000000</v>
      </c>
      <c r="BR20" s="190">
        <v>12520000000</v>
      </c>
      <c r="BS20" s="190">
        <v>25937000000</v>
      </c>
      <c r="BT20" s="190">
        <v>8332000000</v>
      </c>
      <c r="BU20" s="190">
        <v>-1282000000</v>
      </c>
      <c r="BV20" s="190">
        <v>0</v>
      </c>
    </row>
    <row r="21" spans="1:74" x14ac:dyDescent="0.25">
      <c r="A21" s="190" t="s">
        <v>208</v>
      </c>
      <c r="B21" s="190">
        <v>20923000000</v>
      </c>
      <c r="C21" s="190">
        <v>14586000000</v>
      </c>
      <c r="D21" s="190">
        <v>6993000000</v>
      </c>
      <c r="E21" s="190">
        <v>16279000000</v>
      </c>
      <c r="F21" s="190">
        <v>12996000000</v>
      </c>
      <c r="G21" s="190">
        <v>8915000000</v>
      </c>
      <c r="H21" s="190">
        <v>6297000000</v>
      </c>
      <c r="I21" s="190">
        <v>20707000000</v>
      </c>
      <c r="J21" s="190">
        <v>11865000000</v>
      </c>
      <c r="K21" s="190">
        <v>8379000000</v>
      </c>
      <c r="L21" s="190">
        <v>3181000000</v>
      </c>
      <c r="M21" s="190">
        <v>12613000000</v>
      </c>
      <c r="N21" s="190">
        <v>10464000000</v>
      </c>
      <c r="O21" s="190">
        <v>9674000000</v>
      </c>
      <c r="P21" s="190">
        <v>950000000</v>
      </c>
      <c r="Q21" s="190">
        <v>17571000000</v>
      </c>
      <c r="R21" s="190">
        <v>17624000000</v>
      </c>
      <c r="S21" s="190">
        <v>11908000000</v>
      </c>
      <c r="T21" s="190">
        <v>4818000000</v>
      </c>
      <c r="U21" s="190">
        <v>25605000000</v>
      </c>
      <c r="V21" s="190">
        <v>20102000000</v>
      </c>
      <c r="W21" s="190">
        <v>12468000000</v>
      </c>
      <c r="X21" s="190">
        <v>6175000000</v>
      </c>
      <c r="Y21" s="190">
        <v>23696000000</v>
      </c>
      <c r="Z21" s="190">
        <v>16752000000</v>
      </c>
      <c r="AA21" s="190">
        <v>9337000000</v>
      </c>
      <c r="AB21" s="190">
        <v>4437000000</v>
      </c>
      <c r="AC21" s="190">
        <v>25774000000</v>
      </c>
      <c r="AD21" s="190">
        <v>20272000000</v>
      </c>
      <c r="AE21" s="190">
        <v>13543000000</v>
      </c>
      <c r="AF21" s="190">
        <v>7738000000</v>
      </c>
      <c r="AG21" s="190">
        <v>25335000000</v>
      </c>
      <c r="AH21" s="190">
        <v>19148000000</v>
      </c>
      <c r="AI21" s="190">
        <v>11024000000</v>
      </c>
      <c r="AJ21" s="190">
        <v>4658000000</v>
      </c>
      <c r="AK21" s="190">
        <v>16076000000</v>
      </c>
      <c r="AL21" s="190">
        <v>14082000000</v>
      </c>
      <c r="AM21" s="190">
        <v>9118000000</v>
      </c>
      <c r="AN21" s="190">
        <v>3050000000</v>
      </c>
      <c r="AO21" s="190">
        <v>-1889000000</v>
      </c>
      <c r="AP21" s="190">
        <v>2678000000</v>
      </c>
      <c r="AQ21" s="190">
        <v>101000000</v>
      </c>
      <c r="AR21" s="190">
        <v>190000000</v>
      </c>
      <c r="AS21" s="190">
        <v>25758000000</v>
      </c>
      <c r="AT21" s="190">
        <v>22114000000</v>
      </c>
      <c r="AU21" s="190">
        <v>16107000000</v>
      </c>
      <c r="AV21" s="190">
        <v>7793000000</v>
      </c>
      <c r="AW21" s="190">
        <v>22519000000</v>
      </c>
      <c r="AX21" s="190">
        <v>15339000000</v>
      </c>
      <c r="AY21" s="190">
        <v>9964000000</v>
      </c>
      <c r="AZ21" s="190">
        <v>4156000000</v>
      </c>
      <c r="BA21" s="190">
        <v>18903000000</v>
      </c>
      <c r="BB21" s="190">
        <v>12927000000</v>
      </c>
      <c r="BC21" s="190">
        <v>9168000000</v>
      </c>
      <c r="BD21" s="190">
        <v>4629000000</v>
      </c>
      <c r="BE21" s="190">
        <v>16060000000</v>
      </c>
      <c r="BF21" s="190">
        <v>11316000000</v>
      </c>
      <c r="BG21" s="190">
        <v>7154000000</v>
      </c>
      <c r="BH21" s="190">
        <v>3456000000</v>
      </c>
      <c r="BI21" s="190">
        <v>9361000000</v>
      </c>
      <c r="BJ21" s="190">
        <v>6995000000</v>
      </c>
      <c r="BK21" s="190">
        <v>4762000000</v>
      </c>
      <c r="BL21" s="190">
        <v>2788000000</v>
      </c>
      <c r="BM21" s="190">
        <v>6809000000</v>
      </c>
      <c r="BN21" s="190">
        <v>4499000000</v>
      </c>
      <c r="BO21" s="190">
        <v>2174000000</v>
      </c>
      <c r="BP21" s="190">
        <v>35000000</v>
      </c>
      <c r="BQ21" s="190">
        <v>7092000000</v>
      </c>
      <c r="BR21" s="190">
        <v>3411000000</v>
      </c>
      <c r="BS21" s="190">
        <v>7954000000</v>
      </c>
      <c r="BT21" s="190">
        <v>1166000000</v>
      </c>
      <c r="BU21" s="190">
        <v>-1636000000</v>
      </c>
      <c r="BV21" s="190">
        <v>0</v>
      </c>
    </row>
    <row r="22" spans="1:74" x14ac:dyDescent="0.25">
      <c r="A22" s="190" t="s">
        <v>209</v>
      </c>
      <c r="B22" s="190">
        <v>75779000000</v>
      </c>
      <c r="C22" s="190">
        <v>53281000000</v>
      </c>
      <c r="D22" s="190">
        <v>24522000000</v>
      </c>
      <c r="E22" s="190">
        <v>70294000000</v>
      </c>
      <c r="F22" s="190">
        <v>51829000000</v>
      </c>
      <c r="G22" s="190">
        <v>36117000000</v>
      </c>
      <c r="H22" s="190">
        <v>21683000000</v>
      </c>
      <c r="I22" s="190">
        <v>59170000000</v>
      </c>
      <c r="J22" s="190">
        <v>40070000000</v>
      </c>
      <c r="K22" s="190">
        <v>26381000000</v>
      </c>
      <c r="L22" s="190">
        <v>9025000000</v>
      </c>
      <c r="M22" s="190">
        <v>43346000000</v>
      </c>
      <c r="N22" s="190">
        <v>34549000000</v>
      </c>
      <c r="O22" s="190">
        <v>30542000000</v>
      </c>
      <c r="P22" s="190">
        <v>1980000000</v>
      </c>
      <c r="Q22" s="190">
        <v>48910000000</v>
      </c>
      <c r="R22" s="190">
        <v>53603000000</v>
      </c>
      <c r="S22" s="190">
        <v>32694000000</v>
      </c>
      <c r="T22" s="190">
        <v>14482000000</v>
      </c>
      <c r="U22" s="190">
        <v>71377000000</v>
      </c>
      <c r="V22" s="190">
        <v>54969000000</v>
      </c>
      <c r="W22" s="190">
        <v>31504000000</v>
      </c>
      <c r="X22" s="190">
        <v>16831000000</v>
      </c>
      <c r="Y22" s="190">
        <v>66411000000</v>
      </c>
      <c r="Z22" s="190">
        <v>43812000000</v>
      </c>
      <c r="AA22" s="190">
        <v>24946000000</v>
      </c>
      <c r="AB22" s="190">
        <v>14104000000</v>
      </c>
      <c r="AC22" s="190">
        <v>76864000000</v>
      </c>
      <c r="AD22" s="190">
        <v>64558000000</v>
      </c>
      <c r="AE22" s="190">
        <v>43212000000</v>
      </c>
      <c r="AF22" s="190">
        <v>22264000000</v>
      </c>
      <c r="AG22" s="190">
        <v>76843000000</v>
      </c>
      <c r="AH22" s="190">
        <v>60590000000</v>
      </c>
      <c r="AI22" s="190">
        <v>37311000000</v>
      </c>
      <c r="AJ22" s="190">
        <v>16600000000</v>
      </c>
      <c r="AK22" s="190">
        <v>64000000000</v>
      </c>
      <c r="AL22" s="190">
        <v>51835000000</v>
      </c>
      <c r="AM22" s="190">
        <v>34650000000</v>
      </c>
      <c r="AN22" s="190">
        <v>11657000000</v>
      </c>
      <c r="AO22" s="190">
        <v>26115000000</v>
      </c>
      <c r="AP22" s="190">
        <v>16056000000</v>
      </c>
      <c r="AQ22" s="190">
        <v>9415000000</v>
      </c>
      <c r="AR22" s="190">
        <v>6644000000</v>
      </c>
      <c r="AS22" s="190">
        <v>57153000000</v>
      </c>
      <c r="AT22" s="190">
        <v>50473000000</v>
      </c>
      <c r="AU22" s="190">
        <v>36357000000</v>
      </c>
      <c r="AV22" s="190">
        <v>20257000000</v>
      </c>
      <c r="AW22" s="190">
        <v>51360000000</v>
      </c>
      <c r="AX22" s="190">
        <v>34068000000</v>
      </c>
      <c r="AY22" s="190">
        <v>20840000000</v>
      </c>
      <c r="AZ22" s="190">
        <v>9189000000</v>
      </c>
      <c r="BA22" s="190">
        <v>42460000000</v>
      </c>
      <c r="BB22" s="190">
        <v>28839000000</v>
      </c>
      <c r="BC22" s="190">
        <v>20145000000</v>
      </c>
      <c r="BD22" s="190">
        <v>10402000000</v>
      </c>
      <c r="BE22" s="190">
        <v>37945000000</v>
      </c>
      <c r="BF22" s="190">
        <v>27853000000</v>
      </c>
      <c r="BG22" s="190">
        <v>17451000000</v>
      </c>
      <c r="BH22" s="190">
        <v>8571000000</v>
      </c>
      <c r="BI22" s="190">
        <v>20897000000</v>
      </c>
      <c r="BJ22" s="190">
        <v>16202000000</v>
      </c>
      <c r="BK22" s="190">
        <v>10524000000</v>
      </c>
      <c r="BL22" s="190">
        <v>6301000000</v>
      </c>
      <c r="BM22" s="190">
        <v>15203000000</v>
      </c>
      <c r="BN22" s="190">
        <v>9842000000</v>
      </c>
      <c r="BO22" s="190">
        <v>4943000000</v>
      </c>
      <c r="BP22" s="190">
        <v>70000000</v>
      </c>
      <c r="BQ22" s="190">
        <v>14559000000</v>
      </c>
      <c r="BR22" s="190">
        <v>9109000000</v>
      </c>
      <c r="BS22" s="190">
        <v>17983000000</v>
      </c>
      <c r="BT22" s="190">
        <v>7166000000</v>
      </c>
      <c r="BU22" s="190">
        <v>354000000</v>
      </c>
      <c r="BV22" s="190">
        <v>0</v>
      </c>
    </row>
    <row r="23" spans="1:74" x14ac:dyDescent="0.25">
      <c r="A23" s="190" t="s">
        <v>210</v>
      </c>
      <c r="B23" s="190">
        <v>59980000000</v>
      </c>
      <c r="C23" s="190">
        <v>41600000000</v>
      </c>
      <c r="D23" s="190">
        <v>18770000000</v>
      </c>
      <c r="E23" s="190">
        <v>51119000000</v>
      </c>
      <c r="F23" s="190">
        <v>38373000000</v>
      </c>
      <c r="G23" s="190">
        <v>27092000000</v>
      </c>
      <c r="H23" s="190">
        <v>16633000000</v>
      </c>
      <c r="I23" s="190">
        <v>46416000000</v>
      </c>
      <c r="J23" s="190">
        <v>29166000000</v>
      </c>
      <c r="K23" s="190">
        <v>19250000000</v>
      </c>
      <c r="L23" s="190">
        <v>6185000000</v>
      </c>
      <c r="M23" s="190">
        <v>32207000000</v>
      </c>
      <c r="N23" s="190">
        <v>25848000000</v>
      </c>
      <c r="O23" s="190">
        <v>24427000000</v>
      </c>
      <c r="P23" s="190">
        <v>1685000000</v>
      </c>
      <c r="Q23" s="190">
        <v>47430000000</v>
      </c>
      <c r="R23" s="190">
        <v>51169000000</v>
      </c>
      <c r="S23" s="190">
        <v>31430000000</v>
      </c>
      <c r="T23" s="190">
        <v>13477000000</v>
      </c>
      <c r="U23" s="190">
        <v>67179000000</v>
      </c>
      <c r="V23" s="190">
        <v>51600000000</v>
      </c>
      <c r="W23" s="190">
        <v>29417000000</v>
      </c>
      <c r="X23" s="190">
        <v>15834000000</v>
      </c>
      <c r="Y23" s="190">
        <v>63496000000</v>
      </c>
      <c r="Z23" s="190">
        <v>41946000000</v>
      </c>
      <c r="AA23" s="190">
        <v>23697000000</v>
      </c>
      <c r="AB23" s="190">
        <v>12829000000</v>
      </c>
      <c r="AC23" s="190">
        <v>71697000000</v>
      </c>
      <c r="AD23" s="190">
        <v>59960000000</v>
      </c>
      <c r="AE23" s="190">
        <v>40239000000</v>
      </c>
      <c r="AF23" s="190">
        <v>20501000000</v>
      </c>
      <c r="AG23" s="190">
        <v>70713000000</v>
      </c>
      <c r="AH23" s="190">
        <v>56397000000</v>
      </c>
      <c r="AI23" s="190">
        <v>35429000000</v>
      </c>
      <c r="AJ23" s="190">
        <v>15768000000</v>
      </c>
      <c r="AK23" s="190">
        <v>61290000000</v>
      </c>
      <c r="AL23" s="190">
        <v>49714000000</v>
      </c>
      <c r="AM23" s="190">
        <v>33190000000</v>
      </c>
      <c r="AN23" s="190">
        <v>11190000000</v>
      </c>
      <c r="AO23" s="190">
        <v>29689000000</v>
      </c>
      <c r="AP23" s="190">
        <v>17642000000</v>
      </c>
      <c r="AQ23" s="190">
        <v>9339000000</v>
      </c>
      <c r="AR23" s="190">
        <v>6701000000</v>
      </c>
      <c r="AS23" s="190">
        <v>54947000000</v>
      </c>
      <c r="AT23" s="190">
        <v>48683000000</v>
      </c>
      <c r="AU23" s="190">
        <v>34925000000</v>
      </c>
      <c r="AV23" s="190">
        <v>19418000000</v>
      </c>
      <c r="AW23" s="190">
        <v>50664000000</v>
      </c>
      <c r="AX23" s="190">
        <v>33814000000</v>
      </c>
      <c r="AY23" s="190">
        <v>20679000000</v>
      </c>
      <c r="AZ23" s="190">
        <v>9130000000</v>
      </c>
      <c r="BA23" s="190">
        <v>39558000000</v>
      </c>
      <c r="BB23" s="190">
        <v>26476000000</v>
      </c>
      <c r="BC23" s="190">
        <v>18044000000</v>
      </c>
      <c r="BD23" s="190">
        <v>9004000000</v>
      </c>
      <c r="BE23" s="190">
        <v>32275000000</v>
      </c>
      <c r="BF23" s="190">
        <v>24042000000</v>
      </c>
      <c r="BG23" s="190">
        <v>15039000000</v>
      </c>
      <c r="BH23" s="190">
        <v>7430000000</v>
      </c>
      <c r="BI23" s="190">
        <v>19011000000</v>
      </c>
      <c r="BJ23" s="190">
        <v>14804000000</v>
      </c>
      <c r="BK23" s="190">
        <v>9765000000</v>
      </c>
      <c r="BL23" s="190">
        <v>5813000000</v>
      </c>
      <c r="BM23" s="190">
        <v>14121000000</v>
      </c>
      <c r="BN23" s="190">
        <v>9055000000</v>
      </c>
      <c r="BO23" s="190">
        <v>4504000000</v>
      </c>
      <c r="BP23" s="190">
        <v>102000000</v>
      </c>
      <c r="BQ23" s="190">
        <v>14018000000</v>
      </c>
      <c r="BR23" s="190">
        <v>8511000000</v>
      </c>
      <c r="BS23" s="190">
        <v>16154000000</v>
      </c>
      <c r="BT23" s="190">
        <v>5665000000</v>
      </c>
      <c r="BU23" s="190">
        <v>37000000</v>
      </c>
      <c r="BV23" s="190">
        <v>0</v>
      </c>
    </row>
    <row r="24" spans="1:74" x14ac:dyDescent="0.25">
      <c r="A24" s="190" t="s">
        <v>211</v>
      </c>
      <c r="B24" s="190">
        <v>15799000000</v>
      </c>
      <c r="C24" s="190">
        <v>11681000000</v>
      </c>
      <c r="D24" s="190">
        <v>5752000000</v>
      </c>
      <c r="E24" s="190">
        <v>19175000000</v>
      </c>
      <c r="F24" s="190">
        <v>13456000000</v>
      </c>
      <c r="G24" s="190">
        <v>9025000000</v>
      </c>
      <c r="H24" s="190">
        <v>5050000000</v>
      </c>
      <c r="I24" s="190">
        <v>12754000000</v>
      </c>
      <c r="J24" s="190">
        <v>10904000000</v>
      </c>
      <c r="K24" s="190">
        <v>7131000000</v>
      </c>
      <c r="L24" s="190">
        <v>2840000000</v>
      </c>
      <c r="M24" s="190">
        <v>11139000000</v>
      </c>
      <c r="N24" s="190">
        <v>8701000000</v>
      </c>
      <c r="O24" s="190">
        <v>6115000000</v>
      </c>
      <c r="P24" s="190">
        <v>295000000</v>
      </c>
      <c r="Q24" s="190">
        <v>1480000000</v>
      </c>
      <c r="R24" s="190">
        <v>2434000000</v>
      </c>
      <c r="S24" s="190">
        <v>1264000000</v>
      </c>
      <c r="T24" s="190">
        <v>1005000000</v>
      </c>
      <c r="U24" s="190">
        <v>4198000000</v>
      </c>
      <c r="V24" s="190">
        <v>3369000000</v>
      </c>
      <c r="W24" s="190">
        <v>2087000000</v>
      </c>
      <c r="X24" s="190">
        <v>997000000</v>
      </c>
      <c r="Y24" s="190">
        <v>2915000000</v>
      </c>
      <c r="Z24" s="190">
        <v>1866000000</v>
      </c>
      <c r="AA24" s="190">
        <v>1249000000</v>
      </c>
      <c r="AB24" s="190">
        <v>1275000000</v>
      </c>
      <c r="AC24" s="190">
        <v>5167000000</v>
      </c>
      <c r="AD24" s="190">
        <v>4598000000</v>
      </c>
      <c r="AE24" s="190">
        <v>2973000000</v>
      </c>
      <c r="AF24" s="190">
        <v>1763000000</v>
      </c>
      <c r="AG24" s="190">
        <v>6130000000</v>
      </c>
      <c r="AH24" s="190">
        <v>4193000000</v>
      </c>
      <c r="AI24" s="190">
        <v>1882000000</v>
      </c>
      <c r="AJ24" s="190">
        <v>832000000</v>
      </c>
      <c r="AK24" s="190">
        <v>2710000000</v>
      </c>
      <c r="AL24" s="190">
        <v>2121000000</v>
      </c>
      <c r="AM24" s="190">
        <v>1460000000</v>
      </c>
      <c r="AN24" s="190">
        <v>467000000</v>
      </c>
      <c r="AO24" s="190">
        <v>-3574000000</v>
      </c>
      <c r="AP24" s="190">
        <v>-1586000000</v>
      </c>
      <c r="AQ24" s="190">
        <v>76000000</v>
      </c>
      <c r="AR24" s="190">
        <v>-57000000</v>
      </c>
      <c r="AS24" s="190">
        <v>2206000000</v>
      </c>
      <c r="AT24" s="190">
        <v>1790000000</v>
      </c>
      <c r="AU24" s="190">
        <v>1432000000</v>
      </c>
      <c r="AV24" s="190">
        <v>839000000</v>
      </c>
      <c r="AW24" s="190">
        <v>696000000</v>
      </c>
      <c r="AX24" s="190">
        <v>254000000</v>
      </c>
      <c r="AY24" s="190">
        <v>161000000</v>
      </c>
      <c r="AZ24" s="190">
        <v>59000000</v>
      </c>
      <c r="BA24" s="190">
        <v>2902000000</v>
      </c>
      <c r="BB24" s="190">
        <v>2363000000</v>
      </c>
      <c r="BC24" s="190">
        <v>2101000000</v>
      </c>
      <c r="BD24" s="190">
        <v>1398000000</v>
      </c>
      <c r="BE24" s="190">
        <v>5670000000</v>
      </c>
      <c r="BF24" s="190">
        <v>3811000000</v>
      </c>
      <c r="BG24" s="190">
        <v>2412000000</v>
      </c>
      <c r="BH24" s="190">
        <v>1141000000</v>
      </c>
      <c r="BI24" s="190">
        <v>1886000000</v>
      </c>
      <c r="BJ24" s="190">
        <v>1398000000</v>
      </c>
      <c r="BK24" s="190">
        <v>759000000</v>
      </c>
      <c r="BL24" s="190">
        <v>488000000</v>
      </c>
      <c r="BM24" s="190">
        <v>1082000000</v>
      </c>
      <c r="BN24" s="190">
        <v>787000000</v>
      </c>
      <c r="BO24" s="190">
        <v>439000000</v>
      </c>
      <c r="BP24" s="190">
        <v>-32000000</v>
      </c>
      <c r="BQ24" s="190">
        <v>541000000</v>
      </c>
      <c r="BR24" s="190">
        <v>598000000</v>
      </c>
      <c r="BS24" s="190">
        <v>1829000000</v>
      </c>
      <c r="BT24" s="190">
        <v>1501000000</v>
      </c>
      <c r="BU24" s="190">
        <v>317000000</v>
      </c>
      <c r="BV24" s="190">
        <v>0</v>
      </c>
    </row>
    <row r="25" spans="1:74" x14ac:dyDescent="0.25">
      <c r="A25" s="190" t="s">
        <v>212</v>
      </c>
    </row>
    <row r="26" spans="1:74" x14ac:dyDescent="0.25">
      <c r="A26" s="190" t="s">
        <v>213</v>
      </c>
      <c r="B26" s="190">
        <v>0.495</v>
      </c>
      <c r="C26" s="190">
        <v>0.34399999999999997</v>
      </c>
      <c r="D26" s="190">
        <v>0.155</v>
      </c>
      <c r="E26" s="190">
        <v>0.42199999999999999</v>
      </c>
      <c r="F26" s="190">
        <v>0.317</v>
      </c>
      <c r="G26" s="190">
        <v>0.224</v>
      </c>
      <c r="H26" s="190">
        <v>0.13700000000000001</v>
      </c>
      <c r="I26" s="190">
        <v>0.38300000000000001</v>
      </c>
      <c r="J26" s="190">
        <v>0.24099999999999999</v>
      </c>
      <c r="K26" s="190">
        <v>0.159</v>
      </c>
      <c r="L26" s="190">
        <v>5.0999999999999997E-2</v>
      </c>
      <c r="M26" s="190">
        <v>0.26600000000000001</v>
      </c>
      <c r="N26" s="190">
        <v>0.214</v>
      </c>
      <c r="O26" s="190">
        <v>0.20200000000000001</v>
      </c>
      <c r="P26" s="190">
        <v>1.4E-2</v>
      </c>
      <c r="Q26" s="190">
        <v>0.40600000000000003</v>
      </c>
      <c r="R26" s="190">
        <v>0.438</v>
      </c>
      <c r="S26" s="190">
        <v>0.26900000000000002</v>
      </c>
      <c r="T26" s="190">
        <v>0.11600000000000001</v>
      </c>
      <c r="U26" s="190">
        <v>0.57899999999999996</v>
      </c>
      <c r="V26" s="190">
        <v>0.44500000000000001</v>
      </c>
      <c r="W26" s="190">
        <v>0.254</v>
      </c>
      <c r="X26" s="190">
        <v>0.17899999999999999</v>
      </c>
      <c r="Y26" s="190">
        <v>0.73099999999999998</v>
      </c>
      <c r="Z26" s="190">
        <v>0.48299999999999998</v>
      </c>
      <c r="AA26" s="190">
        <v>0.27300000000000002</v>
      </c>
      <c r="AB26" s="190">
        <v>0.14799999999999999</v>
      </c>
      <c r="AC26" s="190">
        <v>0.82699999999999996</v>
      </c>
      <c r="AD26" s="190">
        <v>0.69199999999999995</v>
      </c>
      <c r="AE26" s="190">
        <v>0.46400000000000002</v>
      </c>
      <c r="AF26" s="190">
        <v>0.23599999999999999</v>
      </c>
      <c r="AG26" s="190">
        <v>0.81599999999999995</v>
      </c>
      <c r="AH26" s="190">
        <v>0.65</v>
      </c>
      <c r="AI26" s="190">
        <v>0.40899999999999997</v>
      </c>
      <c r="AJ26" s="190">
        <v>0.182</v>
      </c>
      <c r="AK26" s="190">
        <v>0.70699999999999996</v>
      </c>
      <c r="AL26" s="190">
        <v>0.57299999999999995</v>
      </c>
      <c r="AM26" s="190">
        <v>0.38300000000000001</v>
      </c>
      <c r="AN26" s="190">
        <v>0.13</v>
      </c>
      <c r="AO26" s="190">
        <v>0.30199999999999999</v>
      </c>
      <c r="AP26" s="190">
        <v>0.20300000000000001</v>
      </c>
      <c r="AQ26" s="190">
        <v>0.11</v>
      </c>
      <c r="AR26" s="190">
        <v>0.08</v>
      </c>
      <c r="AS26" s="190">
        <v>0.63</v>
      </c>
      <c r="AT26" s="190">
        <v>0.56000000000000005</v>
      </c>
      <c r="AU26" s="190">
        <v>0.4</v>
      </c>
      <c r="AV26" s="190">
        <v>0.224</v>
      </c>
      <c r="AW26" s="190">
        <v>0</v>
      </c>
      <c r="AX26" s="190">
        <v>0</v>
      </c>
      <c r="AY26" s="190">
        <v>0</v>
      </c>
      <c r="AZ26" s="190">
        <v>0</v>
      </c>
      <c r="BA26" s="190">
        <v>0</v>
      </c>
      <c r="BB26" s="190">
        <v>0</v>
      </c>
      <c r="BC26" s="190">
        <v>0.20799999999999999</v>
      </c>
      <c r="BD26" s="190">
        <v>0</v>
      </c>
      <c r="BE26" s="190">
        <v>0.372</v>
      </c>
      <c r="BF26" s="190">
        <v>0</v>
      </c>
      <c r="BG26" s="190">
        <v>0</v>
      </c>
      <c r="BH26" s="190">
        <v>0</v>
      </c>
      <c r="BI26" s="190">
        <v>0</v>
      </c>
      <c r="BJ26" s="190">
        <v>0</v>
      </c>
      <c r="BK26" s="190">
        <v>0</v>
      </c>
      <c r="BL26" s="190">
        <v>0</v>
      </c>
      <c r="BM26" s="190">
        <v>0</v>
      </c>
      <c r="BN26" s="190">
        <v>0</v>
      </c>
      <c r="BO26" s="190">
        <v>0</v>
      </c>
      <c r="BP26" s="190">
        <v>0</v>
      </c>
      <c r="BQ26" s="190">
        <v>0</v>
      </c>
      <c r="BR26" s="190">
        <v>0</v>
      </c>
      <c r="BS26" s="190">
        <v>0</v>
      </c>
      <c r="BT26" s="190">
        <v>0</v>
      </c>
      <c r="BU26" s="190">
        <v>0</v>
      </c>
      <c r="BV26" s="190">
        <v>0</v>
      </c>
    </row>
    <row r="27" spans="1:74" x14ac:dyDescent="0.25">
      <c r="A27" s="190" t="s">
        <v>214</v>
      </c>
      <c r="B27" s="190">
        <v>0.495</v>
      </c>
      <c r="C27" s="190">
        <v>0.34399999999999997</v>
      </c>
      <c r="D27" s="190">
        <v>0.155</v>
      </c>
      <c r="E27" s="190">
        <v>0.42199999999999999</v>
      </c>
      <c r="F27" s="190">
        <v>0.317</v>
      </c>
      <c r="G27" s="190">
        <v>0.224</v>
      </c>
      <c r="H27" s="190">
        <v>0.13700000000000001</v>
      </c>
      <c r="I27" s="190">
        <v>0.38300000000000001</v>
      </c>
      <c r="J27" s="190">
        <v>0.24099999999999999</v>
      </c>
      <c r="K27" s="190">
        <v>0.159</v>
      </c>
      <c r="L27" s="190">
        <v>5.0999999999999997E-2</v>
      </c>
      <c r="M27" s="190">
        <v>0.26600000000000001</v>
      </c>
      <c r="N27" s="190">
        <v>0.214</v>
      </c>
      <c r="O27" s="190">
        <v>0.20200000000000001</v>
      </c>
      <c r="P27" s="190">
        <v>1.4E-2</v>
      </c>
      <c r="Q27" s="190">
        <v>0.40600000000000003</v>
      </c>
      <c r="R27" s="190">
        <v>0.437</v>
      </c>
      <c r="S27" s="190">
        <v>0.26800000000000002</v>
      </c>
      <c r="T27" s="190">
        <v>0.115</v>
      </c>
      <c r="U27" s="190">
        <v>0.54300000000000004</v>
      </c>
      <c r="V27" s="190">
        <v>0.41599999999999998</v>
      </c>
      <c r="W27" s="190">
        <v>0.23899999999999999</v>
      </c>
      <c r="X27" s="190">
        <v>0.17799999999999999</v>
      </c>
      <c r="Y27" s="190">
        <v>0.70399999999999996</v>
      </c>
      <c r="Z27" s="190">
        <v>0.46100000000000002</v>
      </c>
      <c r="AA27" s="190">
        <v>0.26300000000000001</v>
      </c>
      <c r="AB27" s="190">
        <v>0.14699999999999999</v>
      </c>
      <c r="AC27" s="190">
        <v>0.79500000000000004</v>
      </c>
      <c r="AD27" s="190">
        <v>0.67200000000000004</v>
      </c>
      <c r="AE27" s="190">
        <v>0.45200000000000001</v>
      </c>
      <c r="AF27" s="190">
        <v>0.23400000000000001</v>
      </c>
      <c r="AG27" s="190">
        <v>0.80800000000000005</v>
      </c>
      <c r="AH27" s="190">
        <v>0.64200000000000002</v>
      </c>
      <c r="AI27" s="190">
        <v>0.40300000000000002</v>
      </c>
      <c r="AJ27" s="190">
        <v>0.17899999999999999</v>
      </c>
      <c r="AK27" s="190">
        <v>0.70199999999999996</v>
      </c>
      <c r="AL27" s="190">
        <v>0.56999999999999995</v>
      </c>
      <c r="AM27" s="190">
        <v>0.38</v>
      </c>
      <c r="AN27" s="190">
        <v>0.13</v>
      </c>
      <c r="AO27" s="190">
        <v>0.34200000000000003</v>
      </c>
      <c r="AP27" s="190">
        <v>0.16400000000000001</v>
      </c>
      <c r="AQ27" s="190">
        <v>0.08</v>
      </c>
      <c r="AR27" s="190">
        <v>0.05</v>
      </c>
      <c r="AS27" s="190">
        <v>0.63</v>
      </c>
      <c r="AT27" s="190">
        <v>0.56000000000000005</v>
      </c>
      <c r="AU27" s="190">
        <v>0.4</v>
      </c>
      <c r="AV27" s="190">
        <v>0.224</v>
      </c>
      <c r="AW27" s="190">
        <v>0</v>
      </c>
      <c r="AX27" s="190">
        <v>0</v>
      </c>
      <c r="AY27" s="190">
        <v>0</v>
      </c>
      <c r="AZ27" s="190">
        <v>0</v>
      </c>
      <c r="BA27" s="190">
        <v>0</v>
      </c>
      <c r="BB27" s="190">
        <v>0</v>
      </c>
      <c r="BC27" s="190">
        <v>0</v>
      </c>
      <c r="BD27" s="190">
        <v>0</v>
      </c>
      <c r="BE27" s="190">
        <v>0</v>
      </c>
      <c r="BF27" s="190">
        <v>0</v>
      </c>
      <c r="BG27" s="190">
        <v>0</v>
      </c>
      <c r="BH27" s="190">
        <v>0</v>
      </c>
      <c r="BI27" s="190">
        <v>0</v>
      </c>
      <c r="BJ27" s="190">
        <v>0</v>
      </c>
      <c r="BK27" s="190">
        <v>0</v>
      </c>
      <c r="BL27" s="190">
        <v>0</v>
      </c>
      <c r="BM27" s="190">
        <v>0</v>
      </c>
      <c r="BN27" s="190">
        <v>0</v>
      </c>
      <c r="BO27" s="190">
        <v>0</v>
      </c>
      <c r="BP27" s="190">
        <v>0</v>
      </c>
      <c r="BQ27" s="190">
        <v>0</v>
      </c>
      <c r="BR27" s="190">
        <v>0</v>
      </c>
      <c r="BS27" s="190">
        <v>0</v>
      </c>
      <c r="BT27" s="190">
        <v>0</v>
      </c>
      <c r="BU27" s="190">
        <v>0</v>
      </c>
      <c r="BV27" s="190">
        <v>0</v>
      </c>
    </row>
    <row r="28" spans="1:74" x14ac:dyDescent="0.25">
      <c r="A28" s="190" t="s">
        <v>215</v>
      </c>
      <c r="B28" s="190">
        <v>3877000000</v>
      </c>
      <c r="C28" s="190">
        <v>258000000</v>
      </c>
      <c r="D28" s="190">
        <v>-1485000000</v>
      </c>
      <c r="E28" s="190">
        <v>-4376000000</v>
      </c>
      <c r="F28" s="190">
        <v>-3193000000</v>
      </c>
      <c r="G28" s="190">
        <v>-1110000000</v>
      </c>
      <c r="H28" s="190">
        <v>-901000000</v>
      </c>
      <c r="I28" s="190">
        <v>6333000000</v>
      </c>
      <c r="J28" s="190">
        <v>2193000000</v>
      </c>
      <c r="K28" s="190">
        <v>2820000000</v>
      </c>
      <c r="L28" s="190">
        <v>1424000000</v>
      </c>
      <c r="M28" s="190">
        <v>137000000</v>
      </c>
      <c r="N28" s="190">
        <v>5542000000</v>
      </c>
      <c r="O28" s="190">
        <v>1355000000</v>
      </c>
      <c r="P28" s="190">
        <v>2714000000</v>
      </c>
      <c r="Q28" s="190">
        <v>-9266000000</v>
      </c>
      <c r="R28" s="190">
        <v>-1299000000</v>
      </c>
      <c r="S28" s="190">
        <v>1190000000</v>
      </c>
      <c r="T28" s="190">
        <v>0</v>
      </c>
      <c r="U28" s="190">
        <v>932000000</v>
      </c>
      <c r="V28" s="190">
        <v>0</v>
      </c>
      <c r="W28" s="190">
        <v>343000000</v>
      </c>
      <c r="X28" s="190">
        <v>0</v>
      </c>
      <c r="Y28" s="190">
        <v>-89000000</v>
      </c>
      <c r="Z28" s="190">
        <v>0</v>
      </c>
      <c r="AA28" s="190">
        <v>117000000</v>
      </c>
      <c r="AB28" s="190">
        <v>0</v>
      </c>
      <c r="AC28" s="190">
        <v>-728000000</v>
      </c>
      <c r="AD28" s="190">
        <v>0</v>
      </c>
      <c r="AE28" s="190">
        <v>-157000000</v>
      </c>
      <c r="AF28" s="190">
        <v>0</v>
      </c>
      <c r="AG28" s="190">
        <v>-2123000000</v>
      </c>
      <c r="AH28" s="190">
        <v>0</v>
      </c>
      <c r="AI28" s="190">
        <v>-501000000</v>
      </c>
      <c r="AJ28" s="190">
        <v>0</v>
      </c>
      <c r="AK28" s="190">
        <v>685000000</v>
      </c>
      <c r="AL28" s="190">
        <v>0</v>
      </c>
      <c r="AM28" s="190">
        <v>596000000</v>
      </c>
      <c r="AN28" s="190">
        <v>0</v>
      </c>
      <c r="AO28" s="190">
        <v>0</v>
      </c>
      <c r="AP28" s="190">
        <v>0</v>
      </c>
      <c r="AQ28" s="190">
        <v>0</v>
      </c>
      <c r="AR28" s="190">
        <v>0</v>
      </c>
      <c r="AS28" s="190">
        <v>0</v>
      </c>
      <c r="AT28" s="190">
        <v>0</v>
      </c>
      <c r="AU28" s="190">
        <v>0</v>
      </c>
      <c r="AV28" s="190">
        <v>0</v>
      </c>
      <c r="AW28" s="190">
        <v>0</v>
      </c>
      <c r="AX28" s="190">
        <v>0</v>
      </c>
      <c r="AY28" s="190">
        <v>0</v>
      </c>
      <c r="AZ28" s="190">
        <v>0</v>
      </c>
      <c r="BA28" s="190">
        <v>0</v>
      </c>
      <c r="BB28" s="190">
        <v>0</v>
      </c>
      <c r="BC28" s="190">
        <v>0</v>
      </c>
      <c r="BD28" s="190">
        <v>0</v>
      </c>
      <c r="BE28" s="190">
        <v>0</v>
      </c>
      <c r="BF28" s="190">
        <v>0</v>
      </c>
      <c r="BG28" s="190">
        <v>0</v>
      </c>
      <c r="BH28" s="190">
        <v>0</v>
      </c>
      <c r="BI28" s="190">
        <v>0</v>
      </c>
      <c r="BJ28" s="190">
        <v>0</v>
      </c>
      <c r="BK28" s="190">
        <v>0</v>
      </c>
      <c r="BL28" s="190">
        <v>0</v>
      </c>
      <c r="BM28" s="190">
        <v>0</v>
      </c>
      <c r="BN28" s="190">
        <v>0</v>
      </c>
      <c r="BO28" s="190">
        <v>0</v>
      </c>
      <c r="BP28" s="190">
        <v>0</v>
      </c>
      <c r="BQ28" s="190">
        <v>0</v>
      </c>
      <c r="BR28" s="190">
        <v>0</v>
      </c>
      <c r="BS28" s="190">
        <v>0</v>
      </c>
      <c r="BT28" s="190">
        <v>0</v>
      </c>
      <c r="BU28" s="190">
        <v>0</v>
      </c>
      <c r="BV28" s="190">
        <v>0</v>
      </c>
    </row>
    <row r="29" spans="1:74" x14ac:dyDescent="0.25">
      <c r="A29" s="190" t="s">
        <v>216</v>
      </c>
      <c r="B29" s="190">
        <v>79656000000</v>
      </c>
      <c r="C29" s="190">
        <v>53539000000</v>
      </c>
      <c r="D29" s="190">
        <v>23037000000</v>
      </c>
      <c r="E29" s="190">
        <v>65918000000</v>
      </c>
      <c r="F29" s="190">
        <v>48636000000</v>
      </c>
      <c r="G29" s="190">
        <v>35007000000</v>
      </c>
      <c r="H29" s="190">
        <v>20782000000</v>
      </c>
      <c r="I29" s="190">
        <v>65503000000</v>
      </c>
      <c r="J29" s="190">
        <v>42263000000</v>
      </c>
      <c r="K29" s="190">
        <v>29201000000</v>
      </c>
      <c r="L29" s="190">
        <v>10449000000</v>
      </c>
      <c r="M29" s="190">
        <v>43483000000</v>
      </c>
      <c r="N29" s="190">
        <v>40091000000</v>
      </c>
      <c r="O29" s="190">
        <v>31897000000</v>
      </c>
      <c r="P29" s="190">
        <v>4694000000</v>
      </c>
      <c r="Q29" s="190">
        <v>39644000000</v>
      </c>
      <c r="R29" s="190">
        <v>52304000000</v>
      </c>
      <c r="S29" s="190">
        <v>33884000000</v>
      </c>
      <c r="T29" s="190">
        <v>0</v>
      </c>
      <c r="U29" s="190">
        <v>72309000000</v>
      </c>
      <c r="V29" s="190">
        <v>0</v>
      </c>
      <c r="W29" s="190">
        <v>31847000000</v>
      </c>
      <c r="X29" s="190">
        <v>0</v>
      </c>
      <c r="Y29" s="190">
        <v>66322000000</v>
      </c>
      <c r="Z29" s="190">
        <v>0</v>
      </c>
      <c r="AA29" s="190">
        <v>25063000000</v>
      </c>
      <c r="AB29" s="190">
        <v>0</v>
      </c>
      <c r="AC29" s="190">
        <v>76136000000</v>
      </c>
      <c r="AD29" s="190">
        <v>0</v>
      </c>
      <c r="AE29" s="190">
        <v>43055000000</v>
      </c>
      <c r="AF29" s="190">
        <v>0</v>
      </c>
      <c r="AG29" s="190">
        <v>74720000000</v>
      </c>
      <c r="AH29" s="190">
        <v>0</v>
      </c>
      <c r="AI29" s="190">
        <v>36810000000</v>
      </c>
      <c r="AJ29" s="190">
        <v>0</v>
      </c>
      <c r="AK29" s="190">
        <v>64685000000</v>
      </c>
      <c r="AL29" s="190">
        <v>0</v>
      </c>
      <c r="AM29" s="190">
        <v>35246000000</v>
      </c>
      <c r="AN29" s="190">
        <v>0</v>
      </c>
      <c r="AO29" s="190">
        <v>0</v>
      </c>
      <c r="AP29" s="190">
        <v>0</v>
      </c>
      <c r="AQ29" s="190">
        <v>0</v>
      </c>
      <c r="AR29" s="190">
        <v>0</v>
      </c>
      <c r="AS29" s="190">
        <v>57153000000</v>
      </c>
      <c r="AT29" s="190">
        <v>0</v>
      </c>
      <c r="AU29" s="190">
        <v>0</v>
      </c>
      <c r="AV29" s="190">
        <v>0</v>
      </c>
      <c r="AW29" s="190">
        <v>0</v>
      </c>
      <c r="AX29" s="190">
        <v>0</v>
      </c>
      <c r="AY29" s="190">
        <v>0</v>
      </c>
      <c r="AZ29" s="190">
        <v>0</v>
      </c>
      <c r="BA29" s="190">
        <v>0</v>
      </c>
      <c r="BB29" s="190">
        <v>0</v>
      </c>
      <c r="BC29" s="190">
        <v>0</v>
      </c>
      <c r="BD29" s="190">
        <v>0</v>
      </c>
      <c r="BE29" s="190">
        <v>0</v>
      </c>
      <c r="BF29" s="190">
        <v>0</v>
      </c>
      <c r="BG29" s="190">
        <v>0</v>
      </c>
      <c r="BH29" s="190">
        <v>0</v>
      </c>
      <c r="BI29" s="190">
        <v>0</v>
      </c>
      <c r="BJ29" s="190">
        <v>0</v>
      </c>
      <c r="BK29" s="190">
        <v>0</v>
      </c>
      <c r="BL29" s="190">
        <v>0</v>
      </c>
      <c r="BM29" s="190">
        <v>0</v>
      </c>
      <c r="BN29" s="190">
        <v>0</v>
      </c>
      <c r="BO29" s="190">
        <v>0</v>
      </c>
      <c r="BP29" s="190">
        <v>0</v>
      </c>
      <c r="BQ29" s="190">
        <v>0</v>
      </c>
      <c r="BR29" s="190">
        <v>0</v>
      </c>
      <c r="BS29" s="190">
        <v>0</v>
      </c>
      <c r="BT29" s="190">
        <v>0</v>
      </c>
      <c r="BU29" s="190">
        <v>0</v>
      </c>
      <c r="BV29" s="190">
        <v>0</v>
      </c>
    </row>
    <row r="30" spans="1:74" x14ac:dyDescent="0.25">
      <c r="A30" s="190" t="s">
        <v>217</v>
      </c>
      <c r="B30" s="190">
        <v>62728000000</v>
      </c>
      <c r="C30" s="190">
        <v>41603000000</v>
      </c>
      <c r="D30" s="190">
        <v>17990000000</v>
      </c>
      <c r="E30" s="190">
        <v>47638000000</v>
      </c>
      <c r="F30" s="190">
        <v>36058000000</v>
      </c>
      <c r="G30" s="190">
        <v>26450000000</v>
      </c>
      <c r="H30" s="190">
        <v>15904000000</v>
      </c>
      <c r="I30" s="190">
        <v>53468000000</v>
      </c>
      <c r="J30" s="190">
        <v>33350000000</v>
      </c>
      <c r="K30" s="190">
        <v>24233000000</v>
      </c>
      <c r="L30" s="190">
        <v>10463000000</v>
      </c>
      <c r="M30" s="190">
        <v>31484000000</v>
      </c>
      <c r="N30" s="190">
        <v>30961000000</v>
      </c>
      <c r="O30" s="190">
        <v>26234000000</v>
      </c>
      <c r="P30" s="190">
        <v>4826000000</v>
      </c>
      <c r="Q30" s="190">
        <v>39762000000</v>
      </c>
      <c r="R30" s="190">
        <v>49695000000</v>
      </c>
      <c r="S30" s="190">
        <v>32452000000</v>
      </c>
      <c r="T30" s="190">
        <v>0</v>
      </c>
      <c r="U30" s="190">
        <v>68359000000</v>
      </c>
      <c r="V30" s="190">
        <v>0</v>
      </c>
      <c r="W30" s="190">
        <v>29861000000</v>
      </c>
      <c r="X30" s="190">
        <v>0</v>
      </c>
      <c r="Y30" s="190">
        <v>63431000000</v>
      </c>
      <c r="Z30" s="190">
        <v>0</v>
      </c>
      <c r="AA30" s="190">
        <v>23784000000</v>
      </c>
      <c r="AB30" s="190">
        <v>0</v>
      </c>
      <c r="AC30" s="190">
        <v>71207000000</v>
      </c>
      <c r="AD30" s="190">
        <v>0</v>
      </c>
      <c r="AE30" s="190">
        <v>40100000000</v>
      </c>
      <c r="AF30" s="190">
        <v>0</v>
      </c>
      <c r="AG30" s="190">
        <v>68706000000</v>
      </c>
      <c r="AH30" s="190">
        <v>0</v>
      </c>
      <c r="AI30" s="190">
        <v>34928000000</v>
      </c>
      <c r="AJ30" s="190">
        <v>0</v>
      </c>
      <c r="AK30" s="190">
        <v>62012000000</v>
      </c>
      <c r="AL30" s="190">
        <v>0</v>
      </c>
      <c r="AM30" s="190">
        <v>33772000000</v>
      </c>
      <c r="AN30" s="190">
        <v>0</v>
      </c>
      <c r="AO30" s="190">
        <v>0</v>
      </c>
      <c r="AP30" s="190">
        <v>0</v>
      </c>
      <c r="AQ30" s="190">
        <v>0</v>
      </c>
      <c r="AR30" s="190">
        <v>0</v>
      </c>
      <c r="AS30" s="190">
        <v>0</v>
      </c>
      <c r="AT30" s="190">
        <v>0</v>
      </c>
      <c r="AU30" s="190">
        <v>0</v>
      </c>
      <c r="AV30" s="190">
        <v>0</v>
      </c>
      <c r="AW30" s="190">
        <v>0</v>
      </c>
      <c r="AX30" s="190">
        <v>0</v>
      </c>
      <c r="AY30" s="190">
        <v>0</v>
      </c>
      <c r="AZ30" s="190">
        <v>0</v>
      </c>
      <c r="BA30" s="190">
        <v>0</v>
      </c>
      <c r="BB30" s="190">
        <v>0</v>
      </c>
      <c r="BC30" s="190">
        <v>0</v>
      </c>
      <c r="BD30" s="190">
        <v>0</v>
      </c>
      <c r="BE30" s="190">
        <v>0</v>
      </c>
      <c r="BF30" s="190">
        <v>0</v>
      </c>
      <c r="BG30" s="190">
        <v>0</v>
      </c>
      <c r="BH30" s="190">
        <v>0</v>
      </c>
      <c r="BI30" s="190">
        <v>0</v>
      </c>
      <c r="BJ30" s="190">
        <v>0</v>
      </c>
      <c r="BK30" s="190">
        <v>0</v>
      </c>
      <c r="BL30" s="190">
        <v>0</v>
      </c>
      <c r="BM30" s="190">
        <v>0</v>
      </c>
      <c r="BN30" s="190">
        <v>0</v>
      </c>
      <c r="BO30" s="190">
        <v>0</v>
      </c>
      <c r="BP30" s="190">
        <v>0</v>
      </c>
      <c r="BQ30" s="190">
        <v>0</v>
      </c>
      <c r="BR30" s="190">
        <v>0</v>
      </c>
      <c r="BS30" s="190">
        <v>0</v>
      </c>
      <c r="BT30" s="190">
        <v>0</v>
      </c>
      <c r="BU30" s="190">
        <v>0</v>
      </c>
      <c r="BV30" s="190">
        <v>0</v>
      </c>
    </row>
    <row r="31" spans="1:74" x14ac:dyDescent="0.25">
      <c r="A31" s="190" t="s">
        <v>218</v>
      </c>
      <c r="B31" s="190">
        <v>16928000000</v>
      </c>
      <c r="C31" s="190">
        <v>11936000000</v>
      </c>
      <c r="D31" s="190">
        <v>5047000000</v>
      </c>
      <c r="E31" s="190">
        <v>18280000000</v>
      </c>
      <c r="F31" s="190">
        <v>12578000000</v>
      </c>
      <c r="G31" s="190">
        <v>8557000000</v>
      </c>
      <c r="H31" s="190">
        <v>4878000000</v>
      </c>
      <c r="I31" s="190">
        <v>12035000000</v>
      </c>
      <c r="J31" s="190">
        <v>8913000000</v>
      </c>
      <c r="K31" s="190">
        <v>4968000000</v>
      </c>
      <c r="L31" s="190">
        <v>-14000000</v>
      </c>
      <c r="M31" s="190">
        <v>11999000000</v>
      </c>
      <c r="N31" s="190">
        <v>9130000000</v>
      </c>
      <c r="O31" s="190">
        <v>5663000000</v>
      </c>
      <c r="P31" s="190">
        <v>-132000000</v>
      </c>
      <c r="Q31" s="190">
        <v>-118000000</v>
      </c>
      <c r="R31" s="190">
        <v>2609000000</v>
      </c>
      <c r="S31" s="190">
        <v>1432000000</v>
      </c>
      <c r="T31" s="190">
        <v>0</v>
      </c>
      <c r="U31" s="190">
        <v>3950000000</v>
      </c>
      <c r="V31" s="190">
        <v>0</v>
      </c>
      <c r="W31" s="190">
        <v>1986000000</v>
      </c>
      <c r="X31" s="190">
        <v>0</v>
      </c>
      <c r="Y31" s="190">
        <v>2891000000</v>
      </c>
      <c r="Z31" s="190">
        <v>0</v>
      </c>
      <c r="AA31" s="190">
        <v>1279000000</v>
      </c>
      <c r="AB31" s="190">
        <v>0</v>
      </c>
      <c r="AC31" s="190">
        <v>4929000000</v>
      </c>
      <c r="AD31" s="190">
        <v>0</v>
      </c>
      <c r="AE31" s="190">
        <v>2955000000</v>
      </c>
      <c r="AF31" s="190">
        <v>0</v>
      </c>
      <c r="AG31" s="190">
        <v>6014000000</v>
      </c>
      <c r="AH31" s="190">
        <v>0</v>
      </c>
      <c r="AI31" s="190">
        <v>1882000000</v>
      </c>
      <c r="AJ31" s="190">
        <v>0</v>
      </c>
      <c r="AK31" s="190">
        <v>2673000000</v>
      </c>
      <c r="AL31" s="190">
        <v>0</v>
      </c>
      <c r="AM31" s="190">
        <v>1474000000</v>
      </c>
      <c r="AN31" s="190">
        <v>0</v>
      </c>
      <c r="AO31" s="190">
        <v>0</v>
      </c>
      <c r="AP31" s="190">
        <v>0</v>
      </c>
      <c r="AQ31" s="190">
        <v>0</v>
      </c>
      <c r="AR31" s="190">
        <v>0</v>
      </c>
      <c r="AS31" s="190">
        <v>0</v>
      </c>
      <c r="AT31" s="190">
        <v>0</v>
      </c>
      <c r="AU31" s="190">
        <v>0</v>
      </c>
      <c r="AV31" s="190">
        <v>0</v>
      </c>
      <c r="AW31" s="190">
        <v>0</v>
      </c>
      <c r="AX31" s="190">
        <v>0</v>
      </c>
      <c r="AY31" s="190">
        <v>0</v>
      </c>
      <c r="AZ31" s="190">
        <v>0</v>
      </c>
      <c r="BA31" s="190">
        <v>0</v>
      </c>
      <c r="BB31" s="190">
        <v>0</v>
      </c>
      <c r="BC31" s="190">
        <v>0</v>
      </c>
      <c r="BD31" s="190">
        <v>0</v>
      </c>
      <c r="BE31" s="190">
        <v>0</v>
      </c>
      <c r="BF31" s="190">
        <v>0</v>
      </c>
      <c r="BG31" s="190">
        <v>0</v>
      </c>
      <c r="BH31" s="190">
        <v>0</v>
      </c>
      <c r="BI31" s="190">
        <v>0</v>
      </c>
      <c r="BJ31" s="190">
        <v>0</v>
      </c>
      <c r="BK31" s="190">
        <v>0</v>
      </c>
      <c r="BL31" s="190">
        <v>0</v>
      </c>
      <c r="BM31" s="190">
        <v>0</v>
      </c>
      <c r="BN31" s="190">
        <v>0</v>
      </c>
      <c r="BO31" s="190">
        <v>0</v>
      </c>
      <c r="BP31" s="190">
        <v>0</v>
      </c>
      <c r="BQ31" s="190">
        <v>0</v>
      </c>
      <c r="BR31" s="190">
        <v>0</v>
      </c>
      <c r="BS31" s="190">
        <v>0</v>
      </c>
      <c r="BT31" s="190">
        <v>0</v>
      </c>
      <c r="BU31" s="190">
        <v>0</v>
      </c>
      <c r="BV31" s="190">
        <v>0</v>
      </c>
    </row>
  </sheetData>
  <phoneticPr fontId="1"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现金流量表"/>
  <dimension ref="A1:BR77"/>
  <sheetViews>
    <sheetView workbookViewId="0">
      <selection activeCell="A31" sqref="A31"/>
    </sheetView>
  </sheetViews>
  <sheetFormatPr defaultRowHeight="14.4" x14ac:dyDescent="0.25"/>
  <cols>
    <col min="1" max="1" width="57.77734375" style="190" bestFit="1" customWidth="1"/>
    <col min="2" max="3" width="13.88671875" style="190" hidden="1" customWidth="1"/>
    <col min="4" max="4" width="12.77734375" style="190" hidden="1" customWidth="1"/>
    <col min="5" max="5" width="13.88671875" style="190" bestFit="1" customWidth="1"/>
    <col min="6" max="8" width="13.88671875" style="190" hidden="1" customWidth="1"/>
    <col min="9" max="9" width="13.88671875" style="190" bestFit="1" customWidth="1"/>
    <col min="10" max="12" width="13.88671875" style="190" hidden="1" customWidth="1"/>
    <col min="13" max="13" width="13.88671875" style="190" bestFit="1" customWidth="1"/>
    <col min="14" max="16" width="13.88671875" style="190" hidden="1" customWidth="1"/>
    <col min="17" max="17" width="13.88671875" style="190" bestFit="1" customWidth="1"/>
    <col min="18" max="20" width="13.88671875" style="190" hidden="1" customWidth="1"/>
    <col min="21" max="21" width="12.77734375" style="190" bestFit="1" customWidth="1"/>
    <col min="22" max="24" width="13.88671875" style="190" hidden="1" customWidth="1"/>
    <col min="25" max="25" width="13.88671875" style="190" bestFit="1" customWidth="1"/>
    <col min="26" max="28" width="13.88671875" style="190" hidden="1" customWidth="1"/>
    <col min="29" max="29" width="13.88671875" style="190" bestFit="1" customWidth="1"/>
    <col min="30" max="32" width="13.88671875" style="190" hidden="1" customWidth="1"/>
    <col min="33" max="33" width="13.88671875" style="190" bestFit="1" customWidth="1"/>
    <col min="34" max="36" width="13.88671875" style="190" hidden="1" customWidth="1"/>
    <col min="37" max="37" width="13.88671875" style="190" bestFit="1" customWidth="1"/>
    <col min="38" max="40" width="13.88671875" style="190" hidden="1" customWidth="1"/>
    <col min="41" max="41" width="13.88671875" style="190" bestFit="1" customWidth="1"/>
    <col min="42" max="44" width="13.88671875" style="190" hidden="1" customWidth="1"/>
    <col min="45" max="45" width="13.88671875" style="190" bestFit="1" customWidth="1"/>
    <col min="46" max="48" width="13.88671875" style="190" hidden="1" customWidth="1"/>
    <col min="49" max="49" width="13.88671875" style="190" bestFit="1" customWidth="1"/>
    <col min="50" max="52" width="13.88671875" style="190" hidden="1" customWidth="1"/>
    <col min="53" max="53" width="13.88671875" style="190" bestFit="1" customWidth="1"/>
    <col min="54" max="56" width="13.88671875" style="190" hidden="1" customWidth="1"/>
    <col min="57" max="57" width="13.88671875" style="190" bestFit="1" customWidth="1"/>
    <col min="58" max="60" width="13.88671875" style="190" hidden="1" customWidth="1"/>
    <col min="61" max="61" width="13.88671875" style="190" bestFit="1" customWidth="1"/>
    <col min="62" max="63" width="13.88671875" style="190" hidden="1" customWidth="1"/>
    <col min="64" max="64" width="12.77734375" style="190" hidden="1" customWidth="1"/>
    <col min="65" max="65" width="13.88671875" style="190" bestFit="1" customWidth="1"/>
    <col min="66" max="66" width="13.88671875" style="190" hidden="1" customWidth="1"/>
    <col min="67" max="67" width="13.88671875" style="190" bestFit="1" customWidth="1"/>
    <col min="68" max="68" width="13.88671875" style="190" hidden="1" customWidth="1"/>
    <col min="69" max="69" width="13.88671875" style="190" bestFit="1" customWidth="1"/>
    <col min="70" max="70" width="9.5546875" style="190" hidden="1" customWidth="1"/>
    <col min="71" max="16384" width="8.88671875" style="190"/>
  </cols>
  <sheetData>
    <row r="1" spans="1:70" x14ac:dyDescent="0.25">
      <c r="A1" s="190">
        <v>600028</v>
      </c>
      <c r="B1" s="190">
        <v>20180930</v>
      </c>
      <c r="C1" s="190">
        <v>20180630</v>
      </c>
      <c r="D1" s="190">
        <v>20180331</v>
      </c>
      <c r="E1" s="190">
        <v>20171231</v>
      </c>
      <c r="F1" s="190">
        <v>20170930</v>
      </c>
      <c r="G1" s="190">
        <v>20170630</v>
      </c>
      <c r="H1" s="190">
        <v>20170331</v>
      </c>
      <c r="I1" s="190">
        <v>20161231</v>
      </c>
      <c r="J1" s="190">
        <v>20160930</v>
      </c>
      <c r="K1" s="190">
        <v>20160630</v>
      </c>
      <c r="L1" s="190">
        <v>20160331</v>
      </c>
      <c r="M1" s="190">
        <v>20151231</v>
      </c>
      <c r="N1" s="190">
        <v>20150930</v>
      </c>
      <c r="O1" s="190">
        <v>20150630</v>
      </c>
      <c r="P1" s="190">
        <v>20150331</v>
      </c>
      <c r="Q1" s="190">
        <v>20141231</v>
      </c>
      <c r="R1" s="190">
        <v>20140930</v>
      </c>
      <c r="S1" s="190">
        <v>20140630</v>
      </c>
      <c r="T1" s="190">
        <v>20140331</v>
      </c>
      <c r="U1" s="190">
        <v>20131231</v>
      </c>
      <c r="V1" s="190">
        <v>20130930</v>
      </c>
      <c r="W1" s="190">
        <v>20130630</v>
      </c>
      <c r="X1" s="190">
        <v>20130331</v>
      </c>
      <c r="Y1" s="190">
        <v>20121231</v>
      </c>
      <c r="Z1" s="190">
        <v>20120930</v>
      </c>
      <c r="AA1" s="190">
        <v>20120630</v>
      </c>
      <c r="AB1" s="190">
        <v>20120331</v>
      </c>
      <c r="AC1" s="190">
        <v>20111231</v>
      </c>
      <c r="AD1" s="190">
        <v>20110930</v>
      </c>
      <c r="AE1" s="190">
        <v>20110630</v>
      </c>
      <c r="AF1" s="190">
        <v>20110331</v>
      </c>
      <c r="AG1" s="190">
        <v>20101231</v>
      </c>
      <c r="AH1" s="190">
        <v>20100930</v>
      </c>
      <c r="AI1" s="190">
        <v>20100630</v>
      </c>
      <c r="AJ1" s="190">
        <v>20100331</v>
      </c>
      <c r="AK1" s="190">
        <v>20091231</v>
      </c>
      <c r="AL1" s="190">
        <v>20090930</v>
      </c>
      <c r="AM1" s="190">
        <v>20090630</v>
      </c>
      <c r="AN1" s="190">
        <v>20090331</v>
      </c>
      <c r="AO1" s="190">
        <v>20081231</v>
      </c>
      <c r="AP1" s="190">
        <v>20080930</v>
      </c>
      <c r="AQ1" s="190">
        <v>20080630</v>
      </c>
      <c r="AR1" s="190">
        <v>20080331</v>
      </c>
      <c r="AS1" s="190">
        <v>20071231</v>
      </c>
      <c r="AT1" s="190">
        <v>20070930</v>
      </c>
      <c r="AU1" s="190">
        <v>20070630</v>
      </c>
      <c r="AV1" s="190">
        <v>20070331</v>
      </c>
      <c r="AW1" s="190">
        <v>20061231</v>
      </c>
      <c r="AX1" s="190">
        <v>20060930</v>
      </c>
      <c r="AY1" s="190">
        <v>20060630</v>
      </c>
      <c r="AZ1" s="190">
        <v>20060331</v>
      </c>
      <c r="BA1" s="190">
        <v>20051231</v>
      </c>
      <c r="BB1" s="190">
        <v>20050930</v>
      </c>
      <c r="BC1" s="190">
        <v>20050630</v>
      </c>
      <c r="BD1" s="190">
        <v>20050331</v>
      </c>
      <c r="BE1" s="190">
        <v>20041231</v>
      </c>
      <c r="BF1" s="190">
        <v>20040930</v>
      </c>
      <c r="BG1" s="190">
        <v>20040630</v>
      </c>
      <c r="BH1" s="190">
        <v>20040331</v>
      </c>
      <c r="BI1" s="190">
        <v>20031231</v>
      </c>
      <c r="BJ1" s="190">
        <v>20030930</v>
      </c>
      <c r="BK1" s="190">
        <v>20030630</v>
      </c>
      <c r="BL1" s="190">
        <v>20030331</v>
      </c>
      <c r="BM1" s="190">
        <v>20021231</v>
      </c>
      <c r="BN1" s="190">
        <v>20020630</v>
      </c>
      <c r="BO1" s="190">
        <v>20011231</v>
      </c>
      <c r="BP1" s="190">
        <v>20010630</v>
      </c>
      <c r="BQ1" s="190">
        <v>20001231</v>
      </c>
      <c r="BR1" s="190">
        <v>19700101</v>
      </c>
    </row>
    <row r="2" spans="1:70" x14ac:dyDescent="0.25">
      <c r="A2" s="190" t="s">
        <v>105</v>
      </c>
      <c r="B2" s="190" t="s">
        <v>106</v>
      </c>
      <c r="C2" s="190" t="s">
        <v>106</v>
      </c>
      <c r="D2" s="190" t="s">
        <v>106</v>
      </c>
      <c r="E2" s="190" t="s">
        <v>106</v>
      </c>
      <c r="F2" s="190" t="s">
        <v>106</v>
      </c>
      <c r="G2" s="190" t="s">
        <v>106</v>
      </c>
      <c r="H2" s="190" t="s">
        <v>106</v>
      </c>
      <c r="I2" s="190" t="s">
        <v>106</v>
      </c>
      <c r="J2" s="190" t="s">
        <v>106</v>
      </c>
      <c r="K2" s="190" t="s">
        <v>106</v>
      </c>
      <c r="L2" s="190" t="s">
        <v>106</v>
      </c>
      <c r="M2" s="190" t="s">
        <v>106</v>
      </c>
      <c r="N2" s="190" t="s">
        <v>106</v>
      </c>
      <c r="O2" s="190" t="s">
        <v>106</v>
      </c>
      <c r="P2" s="190" t="s">
        <v>106</v>
      </c>
      <c r="Q2" s="190" t="s">
        <v>106</v>
      </c>
      <c r="R2" s="190" t="s">
        <v>106</v>
      </c>
      <c r="S2" s="190" t="s">
        <v>106</v>
      </c>
      <c r="T2" s="190" t="s">
        <v>106</v>
      </c>
      <c r="U2" s="190" t="s">
        <v>106</v>
      </c>
      <c r="V2" s="190" t="s">
        <v>106</v>
      </c>
      <c r="W2" s="190" t="s">
        <v>106</v>
      </c>
      <c r="X2" s="190" t="s">
        <v>106</v>
      </c>
      <c r="Y2" s="190" t="s">
        <v>106</v>
      </c>
      <c r="Z2" s="190" t="s">
        <v>106</v>
      </c>
      <c r="AA2" s="190" t="s">
        <v>106</v>
      </c>
      <c r="AB2" s="190" t="s">
        <v>106</v>
      </c>
      <c r="AC2" s="190" t="s">
        <v>106</v>
      </c>
      <c r="AD2" s="190" t="s">
        <v>106</v>
      </c>
      <c r="AE2" s="190" t="s">
        <v>106</v>
      </c>
      <c r="AF2" s="190" t="s">
        <v>106</v>
      </c>
      <c r="AG2" s="190" t="s">
        <v>106</v>
      </c>
      <c r="AH2" s="190" t="s">
        <v>106</v>
      </c>
      <c r="AI2" s="190" t="s">
        <v>106</v>
      </c>
      <c r="AJ2" s="190" t="s">
        <v>106</v>
      </c>
      <c r="AK2" s="190" t="s">
        <v>106</v>
      </c>
      <c r="AL2" s="190" t="s">
        <v>106</v>
      </c>
      <c r="AM2" s="190" t="s">
        <v>106</v>
      </c>
      <c r="AN2" s="190" t="s">
        <v>106</v>
      </c>
      <c r="AO2" s="190" t="s">
        <v>106</v>
      </c>
      <c r="AP2" s="190" t="s">
        <v>106</v>
      </c>
      <c r="AQ2" s="190" t="s">
        <v>106</v>
      </c>
      <c r="AR2" s="190" t="s">
        <v>106</v>
      </c>
      <c r="AS2" s="190" t="s">
        <v>106</v>
      </c>
      <c r="AT2" s="190" t="s">
        <v>106</v>
      </c>
      <c r="AU2" s="190" t="s">
        <v>106</v>
      </c>
      <c r="AV2" s="190" t="s">
        <v>106</v>
      </c>
      <c r="AW2" s="190" t="s">
        <v>106</v>
      </c>
      <c r="AX2" s="190" t="s">
        <v>106</v>
      </c>
      <c r="AY2" s="190" t="s">
        <v>106</v>
      </c>
      <c r="AZ2" s="190" t="s">
        <v>106</v>
      </c>
      <c r="BA2" s="190" t="s">
        <v>106</v>
      </c>
      <c r="BB2" s="190" t="s">
        <v>106</v>
      </c>
      <c r="BC2" s="190" t="s">
        <v>106</v>
      </c>
      <c r="BD2" s="190" t="s">
        <v>106</v>
      </c>
      <c r="BE2" s="190" t="s">
        <v>106</v>
      </c>
      <c r="BF2" s="190" t="s">
        <v>106</v>
      </c>
      <c r="BG2" s="190" t="s">
        <v>106</v>
      </c>
      <c r="BH2" s="190" t="s">
        <v>106</v>
      </c>
      <c r="BI2" s="190" t="s">
        <v>106</v>
      </c>
      <c r="BJ2" s="190" t="s">
        <v>106</v>
      </c>
      <c r="BK2" s="190" t="s">
        <v>106</v>
      </c>
      <c r="BL2" s="190" t="s">
        <v>106</v>
      </c>
      <c r="BM2" s="190" t="s">
        <v>106</v>
      </c>
      <c r="BN2" s="190" t="s">
        <v>106</v>
      </c>
      <c r="BO2" s="190" t="s">
        <v>106</v>
      </c>
      <c r="BP2" s="190" t="s">
        <v>106</v>
      </c>
      <c r="BQ2" s="190" t="s">
        <v>106</v>
      </c>
    </row>
    <row r="3" spans="1:70" x14ac:dyDescent="0.25">
      <c r="A3" s="190" t="s">
        <v>219</v>
      </c>
    </row>
    <row r="4" spans="1:70" x14ac:dyDescent="0.25">
      <c r="A4" s="190" t="s">
        <v>220</v>
      </c>
      <c r="B4" s="190">
        <v>2310756000000</v>
      </c>
      <c r="C4" s="190">
        <v>1464593000000</v>
      </c>
      <c r="D4" s="190">
        <v>707017000000</v>
      </c>
      <c r="E4" s="190">
        <v>2644126000000</v>
      </c>
      <c r="F4" s="190">
        <v>1976601000000</v>
      </c>
      <c r="G4" s="190">
        <v>1310796000000</v>
      </c>
      <c r="H4" s="190">
        <v>662996000000</v>
      </c>
      <c r="I4" s="190">
        <v>2163695000000</v>
      </c>
      <c r="J4" s="190">
        <v>1615777000000</v>
      </c>
      <c r="K4" s="190">
        <v>1024105000000</v>
      </c>
      <c r="L4" s="190">
        <v>493549000000</v>
      </c>
      <c r="M4" s="190">
        <v>2305183000000</v>
      </c>
      <c r="N4" s="190">
        <v>1757763000000</v>
      </c>
      <c r="O4" s="190">
        <v>1152775000000</v>
      </c>
      <c r="P4" s="190">
        <v>550150000000</v>
      </c>
      <c r="Q4" s="190">
        <v>3129123000000</v>
      </c>
      <c r="R4" s="190">
        <v>2322186000000</v>
      </c>
      <c r="S4" s="190">
        <v>1474655000000</v>
      </c>
      <c r="T4" s="190">
        <v>709912000000</v>
      </c>
      <c r="U4" s="190">
        <v>3214962000000</v>
      </c>
      <c r="V4" s="190">
        <v>2358855000000</v>
      </c>
      <c r="W4" s="190">
        <v>1558641000000</v>
      </c>
      <c r="X4" s="190">
        <v>748248000000</v>
      </c>
      <c r="Y4" s="190">
        <v>3220178000000</v>
      </c>
      <c r="Z4" s="190">
        <v>2325350000000</v>
      </c>
      <c r="AA4" s="190">
        <v>1543118000000</v>
      </c>
      <c r="AB4" s="190">
        <v>747045000000</v>
      </c>
      <c r="AC4" s="190">
        <v>2889482000000</v>
      </c>
      <c r="AD4" s="190">
        <v>2142492000000</v>
      </c>
      <c r="AE4" s="190">
        <v>1393347000000</v>
      </c>
      <c r="AF4" s="190">
        <v>652872000000</v>
      </c>
      <c r="AG4" s="190">
        <v>2215212000000</v>
      </c>
      <c r="AH4" s="190">
        <v>1642110000000</v>
      </c>
      <c r="AI4" s="190">
        <v>1065596000000</v>
      </c>
      <c r="AJ4" s="190">
        <v>485462000000</v>
      </c>
      <c r="AK4" s="190">
        <v>1552647000000</v>
      </c>
      <c r="AL4" s="190">
        <v>1020380000000</v>
      </c>
      <c r="AM4" s="190">
        <v>598160000000</v>
      </c>
      <c r="AN4" s="190">
        <v>257520000000</v>
      </c>
      <c r="AO4" s="190">
        <v>1717060000000</v>
      </c>
      <c r="AP4" s="190">
        <v>1327945000000</v>
      </c>
      <c r="AQ4" s="190">
        <v>872048000000</v>
      </c>
      <c r="AR4" s="190">
        <v>387565000000</v>
      </c>
      <c r="AS4" s="190">
        <v>1400718000000</v>
      </c>
      <c r="AT4" s="190">
        <v>1020287000000</v>
      </c>
      <c r="AU4" s="190">
        <v>648798000000</v>
      </c>
      <c r="AV4" s="190">
        <v>315583000000</v>
      </c>
      <c r="AW4" s="190">
        <v>1252217000000</v>
      </c>
      <c r="AX4" s="190">
        <v>901390000000</v>
      </c>
      <c r="AY4" s="190">
        <v>571855000000</v>
      </c>
      <c r="AZ4" s="190">
        <v>264156000000</v>
      </c>
      <c r="BA4" s="190">
        <v>965892000000</v>
      </c>
      <c r="BB4" s="190">
        <v>693407000000</v>
      </c>
      <c r="BC4" s="190">
        <v>423708000000</v>
      </c>
      <c r="BD4" s="190">
        <v>195811000000</v>
      </c>
      <c r="BE4" s="190">
        <v>713050000000</v>
      </c>
      <c r="BF4" s="190">
        <v>502839000000</v>
      </c>
      <c r="BG4" s="190">
        <v>313614000000</v>
      </c>
      <c r="BH4" s="190">
        <v>143854000000</v>
      </c>
      <c r="BI4" s="190">
        <v>505489000000</v>
      </c>
      <c r="BJ4" s="190">
        <v>362229000000</v>
      </c>
      <c r="BK4" s="190">
        <v>233461000000</v>
      </c>
      <c r="BL4" s="190">
        <v>114121000000</v>
      </c>
      <c r="BM4" s="190">
        <v>392486000000</v>
      </c>
      <c r="BN4" s="190">
        <v>166676000000</v>
      </c>
      <c r="BO4" s="190">
        <v>457366000000</v>
      </c>
      <c r="BP4" s="190">
        <v>180781000000</v>
      </c>
      <c r="BQ4" s="190">
        <v>370649000000</v>
      </c>
      <c r="BR4" s="190">
        <v>0</v>
      </c>
    </row>
    <row r="5" spans="1:70" x14ac:dyDescent="0.25">
      <c r="A5" s="190" t="s">
        <v>221</v>
      </c>
      <c r="B5" s="190">
        <v>1208000000</v>
      </c>
      <c r="C5" s="190">
        <v>905000000</v>
      </c>
      <c r="D5" s="190">
        <v>593000000</v>
      </c>
      <c r="E5" s="190">
        <v>2158000000</v>
      </c>
      <c r="F5" s="190">
        <v>1475000000</v>
      </c>
      <c r="G5" s="190">
        <v>788000000</v>
      </c>
      <c r="H5" s="190">
        <v>228000000</v>
      </c>
      <c r="I5" s="190">
        <v>2434000000</v>
      </c>
      <c r="J5" s="190">
        <v>1653000000</v>
      </c>
      <c r="K5" s="190">
        <v>1079000000</v>
      </c>
      <c r="L5" s="190">
        <v>403000000</v>
      </c>
      <c r="M5" s="190">
        <v>3500000000</v>
      </c>
      <c r="N5" s="190">
        <v>2483000000</v>
      </c>
      <c r="O5" s="190">
        <v>1814000000</v>
      </c>
      <c r="P5" s="190">
        <v>220000000</v>
      </c>
      <c r="Q5" s="190">
        <v>1600000000</v>
      </c>
      <c r="R5" s="190">
        <v>1156000000</v>
      </c>
      <c r="S5" s="190">
        <v>581000000</v>
      </c>
      <c r="T5" s="190">
        <v>325000000</v>
      </c>
      <c r="U5" s="190">
        <v>1747000000</v>
      </c>
      <c r="V5" s="190">
        <v>1189000000</v>
      </c>
      <c r="W5" s="190">
        <v>860000000</v>
      </c>
      <c r="X5" s="190">
        <v>0</v>
      </c>
      <c r="Y5" s="190">
        <v>0</v>
      </c>
      <c r="Z5" s="190">
        <v>0</v>
      </c>
      <c r="AA5" s="190">
        <v>0</v>
      </c>
      <c r="AB5" s="190">
        <v>0</v>
      </c>
      <c r="AC5" s="190">
        <v>0</v>
      </c>
      <c r="AD5" s="190">
        <v>0</v>
      </c>
      <c r="AE5" s="190">
        <v>0</v>
      </c>
      <c r="AF5" s="190">
        <v>0</v>
      </c>
      <c r="AG5" s="190">
        <v>0</v>
      </c>
      <c r="AH5" s="190">
        <v>0</v>
      </c>
      <c r="AI5" s="190">
        <v>0</v>
      </c>
      <c r="AJ5" s="190">
        <v>0</v>
      </c>
      <c r="AK5" s="190">
        <v>0</v>
      </c>
      <c r="AL5" s="190">
        <v>1699000000</v>
      </c>
      <c r="AM5" s="190">
        <v>0</v>
      </c>
      <c r="AN5" s="190">
        <v>0</v>
      </c>
      <c r="AO5" s="190">
        <v>0</v>
      </c>
      <c r="AP5" s="190">
        <v>0</v>
      </c>
      <c r="AQ5" s="190">
        <v>0</v>
      </c>
      <c r="AR5" s="190">
        <v>0</v>
      </c>
      <c r="AS5" s="190">
        <v>0</v>
      </c>
      <c r="AT5" s="190">
        <v>0</v>
      </c>
      <c r="AU5" s="190">
        <v>0</v>
      </c>
      <c r="AV5" s="190">
        <v>0</v>
      </c>
      <c r="AW5" s="190">
        <v>0</v>
      </c>
      <c r="AX5" s="190">
        <v>0</v>
      </c>
      <c r="AY5" s="190">
        <v>0</v>
      </c>
      <c r="AZ5" s="190">
        <v>0</v>
      </c>
      <c r="BA5" s="190">
        <v>0</v>
      </c>
      <c r="BB5" s="190">
        <v>0</v>
      </c>
      <c r="BC5" s="190">
        <v>89000000</v>
      </c>
      <c r="BD5" s="190">
        <v>0</v>
      </c>
      <c r="BE5" s="190">
        <v>0</v>
      </c>
      <c r="BF5" s="190">
        <v>0</v>
      </c>
      <c r="BG5" s="190">
        <v>0</v>
      </c>
      <c r="BH5" s="190">
        <v>93000000</v>
      </c>
      <c r="BI5" s="190">
        <v>370000000</v>
      </c>
      <c r="BJ5" s="190">
        <v>0</v>
      </c>
      <c r="BK5" s="190">
        <v>0</v>
      </c>
      <c r="BL5" s="190">
        <v>0</v>
      </c>
      <c r="BM5" s="190">
        <v>0</v>
      </c>
      <c r="BN5" s="190">
        <v>0</v>
      </c>
      <c r="BO5" s="190">
        <v>0</v>
      </c>
      <c r="BP5" s="190">
        <v>0</v>
      </c>
      <c r="BQ5" s="190">
        <v>0</v>
      </c>
      <c r="BR5" s="190">
        <v>0</v>
      </c>
    </row>
    <row r="6" spans="1:70" x14ac:dyDescent="0.25">
      <c r="A6" s="190" t="s">
        <v>222</v>
      </c>
      <c r="B6" s="190">
        <v>57437000000</v>
      </c>
      <c r="C6" s="190">
        <v>33582000000</v>
      </c>
      <c r="D6" s="190">
        <v>16695000000</v>
      </c>
      <c r="E6" s="190">
        <v>57287000000</v>
      </c>
      <c r="F6" s="190">
        <v>45260000000</v>
      </c>
      <c r="G6" s="190">
        <v>33601000000</v>
      </c>
      <c r="H6" s="190">
        <v>16280000000</v>
      </c>
      <c r="I6" s="190">
        <v>77436000000</v>
      </c>
      <c r="J6" s="190">
        <v>62036000000</v>
      </c>
      <c r="K6" s="190">
        <v>39148000000</v>
      </c>
      <c r="L6" s="190">
        <v>17858000000</v>
      </c>
      <c r="M6" s="190">
        <v>85635000000</v>
      </c>
      <c r="N6" s="190">
        <v>76745000000</v>
      </c>
      <c r="O6" s="190">
        <v>54228000000</v>
      </c>
      <c r="P6" s="190">
        <v>30228000000</v>
      </c>
      <c r="Q6" s="190">
        <v>44214000000</v>
      </c>
      <c r="R6" s="190">
        <v>25128000000</v>
      </c>
      <c r="S6" s="190">
        <v>15829000000</v>
      </c>
      <c r="T6" s="190">
        <v>7452000000</v>
      </c>
      <c r="U6" s="190">
        <v>22396000000</v>
      </c>
      <c r="V6" s="190">
        <v>12909000000</v>
      </c>
      <c r="W6" s="190">
        <v>9153000000</v>
      </c>
      <c r="X6" s="190">
        <v>0</v>
      </c>
      <c r="Y6" s="190">
        <v>17864000000</v>
      </c>
      <c r="Z6" s="190">
        <v>11084000000</v>
      </c>
      <c r="AA6" s="190">
        <v>6662000000</v>
      </c>
      <c r="AB6" s="190">
        <v>3048000000</v>
      </c>
      <c r="AC6" s="190">
        <v>12316000000</v>
      </c>
      <c r="AD6" s="190">
        <v>7036000000</v>
      </c>
      <c r="AE6" s="190">
        <v>4206000000</v>
      </c>
      <c r="AF6" s="190">
        <v>0</v>
      </c>
      <c r="AG6" s="190">
        <v>8279000000</v>
      </c>
      <c r="AH6" s="190">
        <v>5697000000</v>
      </c>
      <c r="AI6" s="190">
        <v>2838000000</v>
      </c>
      <c r="AJ6" s="190">
        <v>1544000000</v>
      </c>
      <c r="AK6" s="190">
        <v>6008000000</v>
      </c>
      <c r="AL6" s="190">
        <v>3570000000</v>
      </c>
      <c r="AM6" s="190">
        <v>3988000000</v>
      </c>
      <c r="AN6" s="190">
        <v>909000000</v>
      </c>
      <c r="AO6" s="190">
        <v>58934000000</v>
      </c>
      <c r="AP6" s="190">
        <v>49555000000</v>
      </c>
      <c r="AQ6" s="190">
        <v>2399000000</v>
      </c>
      <c r="AR6" s="190">
        <v>455000000</v>
      </c>
      <c r="AS6" s="190">
        <v>2793000000</v>
      </c>
      <c r="AT6" s="190">
        <v>2278000000</v>
      </c>
      <c r="AU6" s="190">
        <v>1675000000</v>
      </c>
      <c r="AV6" s="190">
        <v>512000000</v>
      </c>
      <c r="AW6" s="190">
        <v>3756000000</v>
      </c>
      <c r="AX6" s="190">
        <v>2780000000</v>
      </c>
      <c r="AY6" s="190">
        <v>1728000000</v>
      </c>
      <c r="AZ6" s="190">
        <v>216000000</v>
      </c>
      <c r="BA6" s="190">
        <v>3572000000</v>
      </c>
      <c r="BB6" s="190">
        <v>2714000000</v>
      </c>
      <c r="BC6" s="190">
        <v>1787000000</v>
      </c>
      <c r="BD6" s="190">
        <v>898000000</v>
      </c>
      <c r="BE6" s="190">
        <v>3640000000</v>
      </c>
      <c r="BF6" s="190">
        <v>2046000000</v>
      </c>
      <c r="BG6" s="190">
        <v>1105000000</v>
      </c>
      <c r="BH6" s="190">
        <v>741000000</v>
      </c>
      <c r="BI6" s="190">
        <v>2925000000</v>
      </c>
      <c r="BJ6" s="190">
        <v>930000000</v>
      </c>
      <c r="BK6" s="190">
        <v>548000000</v>
      </c>
      <c r="BL6" s="190">
        <v>607000000</v>
      </c>
      <c r="BM6" s="190">
        <v>2481000000</v>
      </c>
      <c r="BN6" s="190">
        <v>459000000</v>
      </c>
      <c r="BO6" s="190">
        <v>1007000000</v>
      </c>
      <c r="BP6" s="190">
        <v>605000000</v>
      </c>
      <c r="BQ6" s="190">
        <v>1025000000</v>
      </c>
      <c r="BR6" s="190">
        <v>0</v>
      </c>
    </row>
    <row r="7" spans="1:70" x14ac:dyDescent="0.25">
      <c r="A7" s="190" t="s">
        <v>223</v>
      </c>
      <c r="B7" s="190">
        <v>2369401000000</v>
      </c>
      <c r="C7" s="190">
        <v>1499080000000</v>
      </c>
      <c r="D7" s="190">
        <v>724305000000</v>
      </c>
      <c r="E7" s="190">
        <v>2703571000000</v>
      </c>
      <c r="F7" s="190">
        <v>2023336000000</v>
      </c>
      <c r="G7" s="190">
        <v>1345185000000</v>
      </c>
      <c r="H7" s="190">
        <v>679504000000</v>
      </c>
      <c r="I7" s="190">
        <v>2243565000000</v>
      </c>
      <c r="J7" s="190">
        <v>1679466000000</v>
      </c>
      <c r="K7" s="190">
        <v>1064332000000</v>
      </c>
      <c r="L7" s="190">
        <v>511810000000</v>
      </c>
      <c r="M7" s="190">
        <v>2394318000000</v>
      </c>
      <c r="N7" s="190">
        <v>1836991000000</v>
      </c>
      <c r="O7" s="190">
        <v>1208817000000</v>
      </c>
      <c r="P7" s="190">
        <v>580598000000</v>
      </c>
      <c r="Q7" s="190">
        <v>3174937000000</v>
      </c>
      <c r="R7" s="190">
        <v>2348470000000</v>
      </c>
      <c r="S7" s="190">
        <v>1491065000000</v>
      </c>
      <c r="T7" s="190">
        <v>717689000000</v>
      </c>
      <c r="U7" s="190">
        <v>3239105000000</v>
      </c>
      <c r="V7" s="190">
        <v>2372953000000</v>
      </c>
      <c r="W7" s="190">
        <v>1568654000000</v>
      </c>
      <c r="X7" s="190">
        <v>755109000000</v>
      </c>
      <c r="Y7" s="190">
        <v>3238551000000</v>
      </c>
      <c r="Z7" s="190">
        <v>2336742000000</v>
      </c>
      <c r="AA7" s="190">
        <v>1550026000000</v>
      </c>
      <c r="AB7" s="190">
        <v>750169000000</v>
      </c>
      <c r="AC7" s="190">
        <v>2902235000000</v>
      </c>
      <c r="AD7" s="190">
        <v>2149760000000</v>
      </c>
      <c r="AE7" s="190">
        <v>1397755000000</v>
      </c>
      <c r="AF7" s="190">
        <v>655187000000</v>
      </c>
      <c r="AG7" s="190">
        <v>2223883000000</v>
      </c>
      <c r="AH7" s="190">
        <v>1648020000000</v>
      </c>
      <c r="AI7" s="190">
        <v>1068434000000</v>
      </c>
      <c r="AJ7" s="190">
        <v>487006000000</v>
      </c>
      <c r="AK7" s="190">
        <v>1558655000000</v>
      </c>
      <c r="AL7" s="190">
        <v>1025649000000</v>
      </c>
      <c r="AM7" s="190">
        <v>602148000000</v>
      </c>
      <c r="AN7" s="190">
        <v>258429000000</v>
      </c>
      <c r="AO7" s="190">
        <v>1775994000000</v>
      </c>
      <c r="AP7" s="190">
        <v>1377500000000</v>
      </c>
      <c r="AQ7" s="190">
        <v>874447000000</v>
      </c>
      <c r="AR7" s="190">
        <v>400220000000</v>
      </c>
      <c r="AS7" s="190">
        <v>1403511000000</v>
      </c>
      <c r="AT7" s="190">
        <v>1022565000000</v>
      </c>
      <c r="AU7" s="190">
        <v>650473000000</v>
      </c>
      <c r="AV7" s="190">
        <v>316147000000</v>
      </c>
      <c r="AW7" s="190">
        <v>1261357000000</v>
      </c>
      <c r="AX7" s="190">
        <v>904170000000</v>
      </c>
      <c r="AY7" s="190">
        <v>573583000000</v>
      </c>
      <c r="AZ7" s="190">
        <v>264372000000</v>
      </c>
      <c r="BA7" s="190">
        <v>978879000000</v>
      </c>
      <c r="BB7" s="190">
        <v>696121000000</v>
      </c>
      <c r="BC7" s="190">
        <v>425584000000</v>
      </c>
      <c r="BD7" s="190">
        <v>196709000000</v>
      </c>
      <c r="BE7" s="190">
        <v>716690000000</v>
      </c>
      <c r="BF7" s="190">
        <v>504885000000</v>
      </c>
      <c r="BG7" s="190">
        <v>314719000000</v>
      </c>
      <c r="BH7" s="190">
        <v>144688000000</v>
      </c>
      <c r="BI7" s="190">
        <v>508784000000</v>
      </c>
      <c r="BJ7" s="190">
        <v>363159000000</v>
      </c>
      <c r="BK7" s="190">
        <v>234117000000</v>
      </c>
      <c r="BL7" s="190">
        <v>114728000000</v>
      </c>
      <c r="BM7" s="190">
        <v>395311000000</v>
      </c>
      <c r="BN7" s="190">
        <v>167135000000</v>
      </c>
      <c r="BO7" s="190">
        <v>458373000000</v>
      </c>
      <c r="BP7" s="190">
        <v>181386000000</v>
      </c>
      <c r="BQ7" s="190">
        <v>371674000000</v>
      </c>
      <c r="BR7" s="190">
        <v>0</v>
      </c>
    </row>
    <row r="8" spans="1:70" x14ac:dyDescent="0.25">
      <c r="A8" s="190" t="s">
        <v>224</v>
      </c>
      <c r="B8" s="190">
        <v>1810925000000</v>
      </c>
      <c r="C8" s="190">
        <v>1145090000000</v>
      </c>
      <c r="D8" s="190">
        <v>561416000000</v>
      </c>
      <c r="E8" s="190">
        <v>2041977000000</v>
      </c>
      <c r="F8" s="190">
        <v>1534680000000</v>
      </c>
      <c r="G8" s="190">
        <v>1021990000000</v>
      </c>
      <c r="H8" s="190">
        <v>532989000000</v>
      </c>
      <c r="I8" s="190">
        <v>1547868000000</v>
      </c>
      <c r="J8" s="190">
        <v>1171618000000</v>
      </c>
      <c r="K8" s="190">
        <v>732307000000</v>
      </c>
      <c r="L8" s="190">
        <v>355115000000</v>
      </c>
      <c r="M8" s="190">
        <v>1730839000000</v>
      </c>
      <c r="N8" s="190">
        <v>1331547000000</v>
      </c>
      <c r="O8" s="190">
        <v>873396000000</v>
      </c>
      <c r="P8" s="190">
        <v>444929000000</v>
      </c>
      <c r="Q8" s="190">
        <v>2589649000000</v>
      </c>
      <c r="R8" s="190">
        <v>1934384000000</v>
      </c>
      <c r="S8" s="190">
        <v>1227836000000</v>
      </c>
      <c r="T8" s="190">
        <v>604230000000</v>
      </c>
      <c r="U8" s="190">
        <v>2691495000000</v>
      </c>
      <c r="V8" s="190">
        <v>1987858000000</v>
      </c>
      <c r="W8" s="190">
        <v>1333780000000</v>
      </c>
      <c r="X8" s="190">
        <v>638914000000</v>
      </c>
      <c r="Y8" s="190">
        <v>2725034000000</v>
      </c>
      <c r="Z8" s="190">
        <v>1980757000000</v>
      </c>
      <c r="AA8" s="190">
        <v>1335797000000</v>
      </c>
      <c r="AB8" s="190">
        <v>683955000000</v>
      </c>
      <c r="AC8" s="190">
        <v>2398623000000</v>
      </c>
      <c r="AD8" s="190">
        <v>1802182000000</v>
      </c>
      <c r="AE8" s="190">
        <v>1187767000000</v>
      </c>
      <c r="AF8" s="190">
        <v>553711000000</v>
      </c>
      <c r="AG8" s="190">
        <v>1758556000000</v>
      </c>
      <c r="AH8" s="190">
        <v>1337091000000</v>
      </c>
      <c r="AI8" s="190">
        <v>883350000000</v>
      </c>
      <c r="AJ8" s="190">
        <v>389728000000</v>
      </c>
      <c r="AK8" s="190">
        <v>1173933000000</v>
      </c>
      <c r="AL8" s="190">
        <v>747245000000</v>
      </c>
      <c r="AM8" s="190">
        <v>414835000000</v>
      </c>
      <c r="AN8" s="190">
        <v>165178000000</v>
      </c>
      <c r="AO8" s="190">
        <v>1544176000000</v>
      </c>
      <c r="AP8" s="190">
        <v>1261387000000</v>
      </c>
      <c r="AQ8" s="190">
        <v>791804000000</v>
      </c>
      <c r="AR8" s="190">
        <v>360836000000</v>
      </c>
      <c r="AS8" s="190">
        <v>1142351000000</v>
      </c>
      <c r="AT8" s="190">
        <v>822921000000</v>
      </c>
      <c r="AU8" s="190">
        <v>520682000000</v>
      </c>
      <c r="AV8" s="190">
        <v>252325000000</v>
      </c>
      <c r="AW8" s="190">
        <v>1039625000000</v>
      </c>
      <c r="AX8" s="190">
        <v>774595000000</v>
      </c>
      <c r="AY8" s="190">
        <v>497285000000</v>
      </c>
      <c r="AZ8" s="190">
        <v>236138000000</v>
      </c>
      <c r="BA8" s="190">
        <v>796058000000</v>
      </c>
      <c r="BB8" s="190">
        <v>575339000000</v>
      </c>
      <c r="BC8" s="190">
        <v>351712000000</v>
      </c>
      <c r="BD8" s="190">
        <v>158199000000</v>
      </c>
      <c r="BE8" s="190">
        <v>556279000000</v>
      </c>
      <c r="BF8" s="190">
        <v>392580000000</v>
      </c>
      <c r="BG8" s="190">
        <v>248152000000</v>
      </c>
      <c r="BH8" s="190">
        <v>113938000000</v>
      </c>
      <c r="BI8" s="190">
        <v>371086000000</v>
      </c>
      <c r="BJ8" s="190">
        <v>269632000000</v>
      </c>
      <c r="BK8" s="190">
        <v>169367000000</v>
      </c>
      <c r="BL8" s="190">
        <v>81690000000</v>
      </c>
      <c r="BM8" s="190">
        <v>276520000000</v>
      </c>
      <c r="BN8" s="190">
        <v>111505000000</v>
      </c>
      <c r="BO8" s="190">
        <v>332207000000</v>
      </c>
      <c r="BP8" s="190">
        <v>140060000000</v>
      </c>
      <c r="BQ8" s="190">
        <v>271186000000</v>
      </c>
      <c r="BR8" s="190">
        <v>0</v>
      </c>
    </row>
    <row r="9" spans="1:70" x14ac:dyDescent="0.25">
      <c r="A9" s="190" t="s">
        <v>225</v>
      </c>
      <c r="B9" s="190">
        <v>49995000000</v>
      </c>
      <c r="C9" s="190">
        <v>32167000000</v>
      </c>
      <c r="D9" s="190">
        <v>16056000000</v>
      </c>
      <c r="E9" s="190">
        <v>68260000000</v>
      </c>
      <c r="F9" s="190">
        <v>44390000000</v>
      </c>
      <c r="G9" s="190">
        <v>28759000000</v>
      </c>
      <c r="H9" s="190">
        <v>13802000000</v>
      </c>
      <c r="I9" s="190">
        <v>62602000000</v>
      </c>
      <c r="J9" s="190">
        <v>41556000000</v>
      </c>
      <c r="K9" s="190">
        <v>27480000000</v>
      </c>
      <c r="L9" s="190">
        <v>13296000000</v>
      </c>
      <c r="M9" s="190">
        <v>55137000000</v>
      </c>
      <c r="N9" s="190">
        <v>37946000000</v>
      </c>
      <c r="O9" s="190">
        <v>24976000000</v>
      </c>
      <c r="P9" s="190">
        <v>12612000000</v>
      </c>
      <c r="Q9" s="190">
        <v>56396000000</v>
      </c>
      <c r="R9" s="190">
        <v>38619000000</v>
      </c>
      <c r="S9" s="190">
        <v>25294000000</v>
      </c>
      <c r="T9" s="190">
        <v>12487000000</v>
      </c>
      <c r="U9" s="190">
        <v>55731000000</v>
      </c>
      <c r="V9" s="190">
        <v>37282000000</v>
      </c>
      <c r="W9" s="190">
        <v>23996000000</v>
      </c>
      <c r="X9" s="190">
        <v>11633000000</v>
      </c>
      <c r="Y9" s="190">
        <v>51724000000</v>
      </c>
      <c r="Z9" s="190">
        <v>33360000000</v>
      </c>
      <c r="AA9" s="190">
        <v>19830000000</v>
      </c>
      <c r="AB9" s="190">
        <v>7525000000</v>
      </c>
      <c r="AC9" s="190">
        <v>41718000000</v>
      </c>
      <c r="AD9" s="190">
        <v>22309000000</v>
      </c>
      <c r="AE9" s="190">
        <v>12800000000</v>
      </c>
      <c r="AF9" s="190">
        <v>6254000000</v>
      </c>
      <c r="AG9" s="190">
        <v>30754000000</v>
      </c>
      <c r="AH9" s="190">
        <v>18347000000</v>
      </c>
      <c r="AI9" s="190">
        <v>10831000000</v>
      </c>
      <c r="AJ9" s="190">
        <v>5585000000</v>
      </c>
      <c r="AK9" s="190">
        <v>28656000000</v>
      </c>
      <c r="AL9" s="190">
        <v>17243000000</v>
      </c>
      <c r="AM9" s="190">
        <v>10765000000</v>
      </c>
      <c r="AN9" s="190">
        <v>5257000000</v>
      </c>
      <c r="AO9" s="190">
        <v>27773000000</v>
      </c>
      <c r="AP9" s="190">
        <v>17817000000</v>
      </c>
      <c r="AQ9" s="190">
        <v>11694000000</v>
      </c>
      <c r="AR9" s="190">
        <v>6460000000</v>
      </c>
      <c r="AS9" s="190">
        <v>22255000000</v>
      </c>
      <c r="AT9" s="190">
        <v>13761000000</v>
      </c>
      <c r="AU9" s="190">
        <v>9453000000</v>
      </c>
      <c r="AV9" s="190">
        <v>3847000000</v>
      </c>
      <c r="AW9" s="190">
        <v>20323000000</v>
      </c>
      <c r="AX9" s="190">
        <v>13651000000</v>
      </c>
      <c r="AY9" s="190">
        <v>9310000000</v>
      </c>
      <c r="AZ9" s="190">
        <v>4765000000</v>
      </c>
      <c r="BA9" s="190">
        <v>18710000000</v>
      </c>
      <c r="BB9" s="190">
        <v>12111000000</v>
      </c>
      <c r="BC9" s="190">
        <v>8272000000</v>
      </c>
      <c r="BD9" s="190">
        <v>4135000000</v>
      </c>
      <c r="BE9" s="190">
        <v>16304000000</v>
      </c>
      <c r="BF9" s="190">
        <v>12431000000</v>
      </c>
      <c r="BG9" s="190">
        <v>8282000000</v>
      </c>
      <c r="BH9" s="190">
        <v>4076000000</v>
      </c>
      <c r="BI9" s="190">
        <v>15964000000</v>
      </c>
      <c r="BJ9" s="190">
        <v>9419000000</v>
      </c>
      <c r="BK9" s="190">
        <v>6491000000</v>
      </c>
      <c r="BL9" s="190">
        <v>3289000000</v>
      </c>
      <c r="BM9" s="190">
        <v>13020000000</v>
      </c>
      <c r="BN9" s="190">
        <v>5920000000</v>
      </c>
      <c r="BO9" s="190">
        <v>12319000000</v>
      </c>
      <c r="BP9" s="190">
        <v>5471000000</v>
      </c>
      <c r="BQ9" s="190">
        <v>12310000000</v>
      </c>
      <c r="BR9" s="190">
        <v>0</v>
      </c>
    </row>
    <row r="10" spans="1:70" x14ac:dyDescent="0.25">
      <c r="A10" s="190" t="s">
        <v>226</v>
      </c>
      <c r="B10" s="190">
        <v>288801000000</v>
      </c>
      <c r="C10" s="190">
        <v>204541000000</v>
      </c>
      <c r="D10" s="190">
        <v>109547000000</v>
      </c>
      <c r="E10" s="190">
        <v>328304000000</v>
      </c>
      <c r="F10" s="190">
        <v>267888000000</v>
      </c>
      <c r="G10" s="190">
        <v>190325000000</v>
      </c>
      <c r="H10" s="190">
        <v>95096000000</v>
      </c>
      <c r="I10" s="190">
        <v>316062000000</v>
      </c>
      <c r="J10" s="190">
        <v>251394000000</v>
      </c>
      <c r="K10" s="190">
        <v>169094000000</v>
      </c>
      <c r="L10" s="190">
        <v>84447000000</v>
      </c>
      <c r="M10" s="190">
        <v>327355000000</v>
      </c>
      <c r="N10" s="190">
        <v>250477000000</v>
      </c>
      <c r="O10" s="190">
        <v>165686000000</v>
      </c>
      <c r="P10" s="190">
        <v>78133000000</v>
      </c>
      <c r="Q10" s="190">
        <v>292259000000</v>
      </c>
      <c r="R10" s="190">
        <v>219233000000</v>
      </c>
      <c r="S10" s="190">
        <v>145928000000</v>
      </c>
      <c r="T10" s="190">
        <v>72786000000</v>
      </c>
      <c r="U10" s="190">
        <v>296896000000</v>
      </c>
      <c r="V10" s="190">
        <v>230593000000</v>
      </c>
      <c r="W10" s="190">
        <v>153343000000</v>
      </c>
      <c r="X10" s="190">
        <v>78982000000</v>
      </c>
      <c r="Y10" s="190">
        <v>292480000000</v>
      </c>
      <c r="Z10" s="190">
        <v>227270000000</v>
      </c>
      <c r="AA10" s="190">
        <v>159122000000</v>
      </c>
      <c r="AB10" s="190">
        <v>82731000000</v>
      </c>
      <c r="AC10" s="190">
        <v>277583000000</v>
      </c>
      <c r="AD10" s="190">
        <v>225538000000</v>
      </c>
      <c r="AE10" s="190">
        <v>151684000000</v>
      </c>
      <c r="AF10" s="190">
        <v>75791000000</v>
      </c>
      <c r="AG10" s="190">
        <v>231999000000</v>
      </c>
      <c r="AH10" s="190">
        <v>179099000000</v>
      </c>
      <c r="AI10" s="190">
        <v>115883000000</v>
      </c>
      <c r="AJ10" s="190">
        <v>57980000000</v>
      </c>
      <c r="AK10" s="190">
        <v>179052000000</v>
      </c>
      <c r="AL10" s="190">
        <v>139603000000</v>
      </c>
      <c r="AM10" s="190">
        <v>83983000000</v>
      </c>
      <c r="AN10" s="190">
        <v>28781000000</v>
      </c>
      <c r="AO10" s="190">
        <v>104856000000</v>
      </c>
      <c r="AP10" s="190">
        <v>86101000000</v>
      </c>
      <c r="AQ10" s="190">
        <v>57867000000</v>
      </c>
      <c r="AR10" s="190">
        <v>21262000000</v>
      </c>
      <c r="AS10" s="190">
        <v>99650000000</v>
      </c>
      <c r="AT10" s="190">
        <v>76173000000</v>
      </c>
      <c r="AU10" s="190">
        <v>51550000000</v>
      </c>
      <c r="AV10" s="190">
        <v>23709000000</v>
      </c>
      <c r="AW10" s="190">
        <v>77845000000</v>
      </c>
      <c r="AX10" s="190">
        <v>57804000000</v>
      </c>
      <c r="AY10" s="190">
        <v>35680000000</v>
      </c>
      <c r="AZ10" s="190">
        <v>14846000000</v>
      </c>
      <c r="BA10" s="190">
        <v>66214000000</v>
      </c>
      <c r="BB10" s="190">
        <v>51352000000</v>
      </c>
      <c r="BC10" s="190">
        <v>35627000000</v>
      </c>
      <c r="BD10" s="190">
        <v>15833000000</v>
      </c>
      <c r="BE10" s="190">
        <v>58864000000</v>
      </c>
      <c r="BF10" s="190">
        <v>44094000000</v>
      </c>
      <c r="BG10" s="190">
        <v>29475000000</v>
      </c>
      <c r="BH10" s="190">
        <v>13348000000</v>
      </c>
      <c r="BI10" s="190">
        <v>46043000000</v>
      </c>
      <c r="BJ10" s="190">
        <v>29316000000</v>
      </c>
      <c r="BK10" s="190">
        <v>19665000000</v>
      </c>
      <c r="BL10" s="190">
        <v>13646000000</v>
      </c>
      <c r="BM10" s="190">
        <v>33820000000</v>
      </c>
      <c r="BN10" s="190">
        <v>16104000000</v>
      </c>
      <c r="BO10" s="190">
        <v>33684000000</v>
      </c>
      <c r="BP10" s="190">
        <v>16160000000</v>
      </c>
      <c r="BQ10" s="190">
        <v>33541000000</v>
      </c>
      <c r="BR10" s="190">
        <v>0</v>
      </c>
    </row>
    <row r="11" spans="1:70" x14ac:dyDescent="0.25">
      <c r="A11" s="190" t="s">
        <v>227</v>
      </c>
      <c r="B11" s="190">
        <v>81761000000</v>
      </c>
      <c r="C11" s="190">
        <v>45662000000</v>
      </c>
      <c r="D11" s="190">
        <v>25234000000</v>
      </c>
      <c r="E11" s="190">
        <v>74095000000</v>
      </c>
      <c r="F11" s="190">
        <v>65185000000</v>
      </c>
      <c r="G11" s="190">
        <v>43264000000</v>
      </c>
      <c r="H11" s="190">
        <v>24341000000</v>
      </c>
      <c r="I11" s="190">
        <v>102490000000</v>
      </c>
      <c r="J11" s="190">
        <v>83198000000</v>
      </c>
      <c r="K11" s="190">
        <v>59339000000</v>
      </c>
      <c r="L11" s="190">
        <v>24604000000</v>
      </c>
      <c r="M11" s="190">
        <v>115169000000</v>
      </c>
      <c r="N11" s="190">
        <v>100428000000</v>
      </c>
      <c r="O11" s="190">
        <v>77317000000</v>
      </c>
      <c r="P11" s="190">
        <v>38242000000</v>
      </c>
      <c r="Q11" s="190">
        <v>88286000000</v>
      </c>
      <c r="R11" s="190">
        <v>47987000000</v>
      </c>
      <c r="S11" s="190">
        <v>33793000000</v>
      </c>
      <c r="T11" s="190">
        <v>15565000000</v>
      </c>
      <c r="U11" s="190">
        <v>43090000000</v>
      </c>
      <c r="V11" s="190">
        <v>37608000000</v>
      </c>
      <c r="W11" s="190">
        <v>24632000000</v>
      </c>
      <c r="X11" s="190">
        <v>17360000000</v>
      </c>
      <c r="Y11" s="190">
        <v>13490000000</v>
      </c>
      <c r="Z11" s="190">
        <v>13784000000</v>
      </c>
      <c r="AA11" s="190">
        <v>8734000000</v>
      </c>
      <c r="AB11" s="190">
        <v>4090000000</v>
      </c>
      <c r="AC11" s="190">
        <v>20519000000</v>
      </c>
      <c r="AD11" s="190">
        <v>12582000000</v>
      </c>
      <c r="AE11" s="190">
        <v>8300000000</v>
      </c>
      <c r="AF11" s="190">
        <v>3324000000</v>
      </c>
      <c r="AG11" s="190">
        <v>18898000000</v>
      </c>
      <c r="AH11" s="190">
        <v>9976000000</v>
      </c>
      <c r="AI11" s="190">
        <v>8315000000</v>
      </c>
      <c r="AJ11" s="190">
        <v>3564000000</v>
      </c>
      <c r="AK11" s="190">
        <v>18218000000</v>
      </c>
      <c r="AL11" s="190">
        <v>11374000000</v>
      </c>
      <c r="AM11" s="190">
        <v>10195000000</v>
      </c>
      <c r="AN11" s="190">
        <v>3558000000</v>
      </c>
      <c r="AO11" s="190">
        <v>24306000000</v>
      </c>
      <c r="AP11" s="190">
        <v>15622000000</v>
      </c>
      <c r="AQ11" s="190">
        <v>7096000000</v>
      </c>
      <c r="AR11" s="190">
        <v>6407000000</v>
      </c>
      <c r="AS11" s="190">
        <v>15005000000</v>
      </c>
      <c r="AT11" s="190">
        <v>7433000000</v>
      </c>
      <c r="AU11" s="190">
        <v>4791000000</v>
      </c>
      <c r="AV11" s="190">
        <v>2942000000</v>
      </c>
      <c r="AW11" s="190">
        <v>14890000000</v>
      </c>
      <c r="AX11" s="190">
        <v>8001000000</v>
      </c>
      <c r="AY11" s="190">
        <v>6142000000</v>
      </c>
      <c r="AZ11" s="190">
        <v>5160000000</v>
      </c>
      <c r="BA11" s="190">
        <v>12934000000</v>
      </c>
      <c r="BB11" s="190">
        <v>10074000000</v>
      </c>
      <c r="BC11" s="190">
        <v>4929000000</v>
      </c>
      <c r="BD11" s="190">
        <v>3688000000</v>
      </c>
      <c r="BE11" s="190">
        <v>15104000000</v>
      </c>
      <c r="BF11" s="190">
        <v>10543000000</v>
      </c>
      <c r="BG11" s="190">
        <v>7116000000</v>
      </c>
      <c r="BH11" s="190">
        <v>2118000000</v>
      </c>
      <c r="BI11" s="190">
        <v>11243000000</v>
      </c>
      <c r="BJ11" s="190">
        <v>8823000000</v>
      </c>
      <c r="BK11" s="190">
        <v>6826000000</v>
      </c>
      <c r="BL11" s="190">
        <v>2498000000</v>
      </c>
      <c r="BM11" s="190">
        <v>8441000000</v>
      </c>
      <c r="BN11" s="190">
        <v>11947000000</v>
      </c>
      <c r="BO11" s="190">
        <v>20471000000</v>
      </c>
      <c r="BP11" s="190">
        <v>11538000000</v>
      </c>
      <c r="BQ11" s="190">
        <v>20165000000</v>
      </c>
      <c r="BR11" s="190">
        <v>0</v>
      </c>
    </row>
    <row r="12" spans="1:70" x14ac:dyDescent="0.25">
      <c r="A12" s="190" t="s">
        <v>228</v>
      </c>
      <c r="B12" s="190">
        <v>2231482000000</v>
      </c>
      <c r="C12" s="190">
        <v>1427460000000</v>
      </c>
      <c r="D12" s="190">
        <v>712253000000</v>
      </c>
      <c r="E12" s="190">
        <v>2512636000000</v>
      </c>
      <c r="F12" s="190">
        <v>1912143000000</v>
      </c>
      <c r="G12" s="190">
        <v>1284338000000</v>
      </c>
      <c r="H12" s="190">
        <v>666228000000</v>
      </c>
      <c r="I12" s="190">
        <v>2029022000000</v>
      </c>
      <c r="J12" s="190">
        <v>1547766000000</v>
      </c>
      <c r="K12" s="190">
        <v>988220000000</v>
      </c>
      <c r="L12" s="190">
        <v>477462000000</v>
      </c>
      <c r="M12" s="190">
        <v>2228500000000</v>
      </c>
      <c r="N12" s="190">
        <v>1720398000000</v>
      </c>
      <c r="O12" s="190">
        <v>1141375000000</v>
      </c>
      <c r="P12" s="190">
        <v>573916000000</v>
      </c>
      <c r="Q12" s="190">
        <v>3026590000000</v>
      </c>
      <c r="R12" s="190">
        <v>2240223000000</v>
      </c>
      <c r="S12" s="190">
        <v>1432851000000</v>
      </c>
      <c r="T12" s="190">
        <v>705068000000</v>
      </c>
      <c r="U12" s="190">
        <v>3087212000000</v>
      </c>
      <c r="V12" s="190">
        <v>2293341000000</v>
      </c>
      <c r="W12" s="190">
        <v>1535751000000</v>
      </c>
      <c r="X12" s="190">
        <v>746889000000</v>
      </c>
      <c r="Y12" s="190">
        <v>3095089000000</v>
      </c>
      <c r="Z12" s="190">
        <v>2263183000000</v>
      </c>
      <c r="AA12" s="190">
        <v>1529472000000</v>
      </c>
      <c r="AB12" s="190">
        <v>781085000000</v>
      </c>
      <c r="AC12" s="190">
        <v>2751054000000</v>
      </c>
      <c r="AD12" s="190">
        <v>2071311000000</v>
      </c>
      <c r="AE12" s="190">
        <v>1366892000000</v>
      </c>
      <c r="AF12" s="190">
        <v>642183000000</v>
      </c>
      <c r="AG12" s="190">
        <v>2052621000000</v>
      </c>
      <c r="AH12" s="190">
        <v>1552780000000</v>
      </c>
      <c r="AI12" s="190">
        <v>1018379000000</v>
      </c>
      <c r="AJ12" s="190">
        <v>456857000000</v>
      </c>
      <c r="AK12" s="190">
        <v>1399859000000</v>
      </c>
      <c r="AL12" s="190">
        <v>920789000000</v>
      </c>
      <c r="AM12" s="190">
        <v>519778000000</v>
      </c>
      <c r="AN12" s="190">
        <v>202774000000</v>
      </c>
      <c r="AO12" s="190">
        <v>1701111000000</v>
      </c>
      <c r="AP12" s="190">
        <v>1380927000000</v>
      </c>
      <c r="AQ12" s="190">
        <v>868461000000</v>
      </c>
      <c r="AR12" s="190">
        <v>394965000000</v>
      </c>
      <c r="AS12" s="190">
        <v>1279261000000</v>
      </c>
      <c r="AT12" s="190">
        <v>920288000000</v>
      </c>
      <c r="AU12" s="190">
        <v>586476000000</v>
      </c>
      <c r="AV12" s="190">
        <v>284256000000</v>
      </c>
      <c r="AW12" s="190">
        <v>1158770000000</v>
      </c>
      <c r="AX12" s="190">
        <v>854051000000</v>
      </c>
      <c r="AY12" s="190">
        <v>548417000000</v>
      </c>
      <c r="AZ12" s="190">
        <v>260909000000</v>
      </c>
      <c r="BA12" s="190">
        <v>893916000000</v>
      </c>
      <c r="BB12" s="190">
        <v>648876000000</v>
      </c>
      <c r="BC12" s="190">
        <v>400540000000</v>
      </c>
      <c r="BD12" s="190">
        <v>181855000000</v>
      </c>
      <c r="BE12" s="190">
        <v>646551000000</v>
      </c>
      <c r="BF12" s="190">
        <v>459648000000</v>
      </c>
      <c r="BG12" s="190">
        <v>293025000000</v>
      </c>
      <c r="BH12" s="190">
        <v>133480000000</v>
      </c>
      <c r="BI12" s="190">
        <v>444336000000</v>
      </c>
      <c r="BJ12" s="190">
        <v>317190000000</v>
      </c>
      <c r="BK12" s="190">
        <v>204135000000</v>
      </c>
      <c r="BL12" s="190">
        <v>101123000000</v>
      </c>
      <c r="BM12" s="190">
        <v>335242000000</v>
      </c>
      <c r="BN12" s="190">
        <v>145476000000</v>
      </c>
      <c r="BO12" s="190">
        <v>398681000000</v>
      </c>
      <c r="BP12" s="190">
        <v>173229000000</v>
      </c>
      <c r="BQ12" s="190">
        <v>337202000000</v>
      </c>
      <c r="BR12" s="190">
        <v>0</v>
      </c>
    </row>
    <row r="13" spans="1:70" x14ac:dyDescent="0.25">
      <c r="A13" s="190" t="s">
        <v>229</v>
      </c>
      <c r="B13" s="190">
        <v>137919000000</v>
      </c>
      <c r="C13" s="190">
        <v>71620000000</v>
      </c>
      <c r="D13" s="190">
        <v>12052000000</v>
      </c>
      <c r="E13" s="190">
        <v>190935000000</v>
      </c>
      <c r="F13" s="190">
        <v>111193000000</v>
      </c>
      <c r="G13" s="190">
        <v>60847000000</v>
      </c>
      <c r="H13" s="190">
        <v>13276000000</v>
      </c>
      <c r="I13" s="190">
        <v>214543000000</v>
      </c>
      <c r="J13" s="190">
        <v>131700000000</v>
      </c>
      <c r="K13" s="190">
        <v>76112000000</v>
      </c>
      <c r="L13" s="190">
        <v>34348000000</v>
      </c>
      <c r="M13" s="190">
        <v>165818000000</v>
      </c>
      <c r="N13" s="190">
        <v>116593000000</v>
      </c>
      <c r="O13" s="190">
        <v>67442000000</v>
      </c>
      <c r="P13" s="190">
        <v>6682000000</v>
      </c>
      <c r="Q13" s="190">
        <v>148347000000</v>
      </c>
      <c r="R13" s="190">
        <v>108247000000</v>
      </c>
      <c r="S13" s="190">
        <v>58214000000</v>
      </c>
      <c r="T13" s="190">
        <v>12621000000</v>
      </c>
      <c r="U13" s="190">
        <v>151893000000</v>
      </c>
      <c r="V13" s="190">
        <v>79612000000</v>
      </c>
      <c r="W13" s="190">
        <v>32903000000</v>
      </c>
      <c r="X13" s="190">
        <v>8220000000</v>
      </c>
      <c r="Y13" s="190">
        <v>143462000000</v>
      </c>
      <c r="Z13" s="190">
        <v>73559000000</v>
      </c>
      <c r="AA13" s="190">
        <v>20554000000</v>
      </c>
      <c r="AB13" s="190">
        <v>-30916000000</v>
      </c>
      <c r="AC13" s="190">
        <v>151181000000</v>
      </c>
      <c r="AD13" s="190">
        <v>78449000000</v>
      </c>
      <c r="AE13" s="190">
        <v>30863000000</v>
      </c>
      <c r="AF13" s="190">
        <v>13004000000</v>
      </c>
      <c r="AG13" s="190">
        <v>171262000000</v>
      </c>
      <c r="AH13" s="190">
        <v>95240000000</v>
      </c>
      <c r="AI13" s="190">
        <v>50055000000</v>
      </c>
      <c r="AJ13" s="190">
        <v>30149000000</v>
      </c>
      <c r="AK13" s="190">
        <v>158796000000</v>
      </c>
      <c r="AL13" s="190">
        <v>104860000000</v>
      </c>
      <c r="AM13" s="190">
        <v>82370000000</v>
      </c>
      <c r="AN13" s="190">
        <v>55655000000</v>
      </c>
      <c r="AO13" s="190">
        <v>74883000000</v>
      </c>
      <c r="AP13" s="190">
        <v>-3427000000</v>
      </c>
      <c r="AQ13" s="190">
        <v>5986000000</v>
      </c>
      <c r="AR13" s="190">
        <v>5255000000</v>
      </c>
      <c r="AS13" s="190">
        <v>124250000000</v>
      </c>
      <c r="AT13" s="190">
        <v>102277000000</v>
      </c>
      <c r="AU13" s="190">
        <v>63997000000</v>
      </c>
      <c r="AV13" s="190">
        <v>31891000000</v>
      </c>
      <c r="AW13" s="190">
        <v>102587000000</v>
      </c>
      <c r="AX13" s="190">
        <v>50119000000</v>
      </c>
      <c r="AY13" s="190">
        <v>25166000000</v>
      </c>
      <c r="AZ13" s="190">
        <v>3463000000</v>
      </c>
      <c r="BA13" s="190">
        <v>84963000000</v>
      </c>
      <c r="BB13" s="190">
        <v>47245000000</v>
      </c>
      <c r="BC13" s="190">
        <v>25044000000</v>
      </c>
      <c r="BD13" s="190">
        <v>14854000000</v>
      </c>
      <c r="BE13" s="190">
        <v>70139000000</v>
      </c>
      <c r="BF13" s="190">
        <v>45237000000</v>
      </c>
      <c r="BG13" s="190">
        <v>21694000000</v>
      </c>
      <c r="BH13" s="190">
        <v>11208000000</v>
      </c>
      <c r="BI13" s="190">
        <v>64448000000</v>
      </c>
      <c r="BJ13" s="190">
        <v>45969000000</v>
      </c>
      <c r="BK13" s="190">
        <v>29982000000</v>
      </c>
      <c r="BL13" s="190">
        <v>13605000000</v>
      </c>
      <c r="BM13" s="190">
        <v>60069000000</v>
      </c>
      <c r="BN13" s="190">
        <v>21659000000</v>
      </c>
      <c r="BO13" s="190">
        <v>59692000000</v>
      </c>
      <c r="BP13" s="190">
        <v>8157000000</v>
      </c>
      <c r="BQ13" s="190">
        <v>34472000000</v>
      </c>
      <c r="BR13" s="190">
        <v>0</v>
      </c>
    </row>
    <row r="14" spans="1:70" x14ac:dyDescent="0.25">
      <c r="A14" s="190" t="s">
        <v>230</v>
      </c>
    </row>
    <row r="15" spans="1:70" x14ac:dyDescent="0.25">
      <c r="A15" s="190" t="s">
        <v>231</v>
      </c>
      <c r="B15" s="190">
        <v>49695000000</v>
      </c>
      <c r="C15" s="190">
        <v>49244000000</v>
      </c>
      <c r="D15" s="190">
        <v>13342000000</v>
      </c>
      <c r="E15" s="190">
        <v>4729000000</v>
      </c>
      <c r="F15" s="190">
        <v>894000000</v>
      </c>
      <c r="G15" s="190">
        <v>717000000</v>
      </c>
      <c r="H15" s="190">
        <v>357000000</v>
      </c>
      <c r="I15" s="190">
        <v>31489000000</v>
      </c>
      <c r="J15" s="190">
        <v>17930000000</v>
      </c>
      <c r="K15" s="190">
        <v>17911000000</v>
      </c>
      <c r="L15" s="190">
        <v>3120000000</v>
      </c>
      <c r="M15" s="190">
        <v>3353000000</v>
      </c>
      <c r="N15" s="190">
        <v>1253000000</v>
      </c>
      <c r="O15" s="190">
        <v>493000000</v>
      </c>
      <c r="P15" s="190">
        <v>388000000</v>
      </c>
      <c r="Q15" s="190">
        <v>3874000000</v>
      </c>
      <c r="R15" s="190">
        <v>3564000000</v>
      </c>
      <c r="S15" s="190">
        <v>435000000</v>
      </c>
      <c r="T15" s="190">
        <v>474000000</v>
      </c>
      <c r="U15" s="190">
        <v>4198000000</v>
      </c>
      <c r="V15" s="190">
        <v>186000000</v>
      </c>
      <c r="W15" s="190">
        <v>156000000</v>
      </c>
      <c r="X15" s="190">
        <v>85000000</v>
      </c>
      <c r="Y15" s="190">
        <v>1384000000</v>
      </c>
      <c r="Z15" s="190">
        <v>1459000000</v>
      </c>
      <c r="AA15" s="190">
        <v>1315000000</v>
      </c>
      <c r="AB15" s="190">
        <v>16000000</v>
      </c>
      <c r="AC15" s="190">
        <v>3039000000</v>
      </c>
      <c r="AD15" s="190">
        <v>2551000000</v>
      </c>
      <c r="AE15" s="190">
        <v>2482000000</v>
      </c>
      <c r="AF15" s="190">
        <v>0</v>
      </c>
      <c r="AG15" s="190">
        <v>1687000000</v>
      </c>
      <c r="AH15" s="190">
        <v>1997000000</v>
      </c>
      <c r="AI15" s="190">
        <v>733000000</v>
      </c>
      <c r="AJ15" s="190">
        <v>650000000</v>
      </c>
      <c r="AK15" s="190">
        <v>504000000</v>
      </c>
      <c r="AL15" s="190">
        <v>260000000</v>
      </c>
      <c r="AM15" s="190">
        <v>260000000</v>
      </c>
      <c r="AN15" s="190">
        <v>72000000</v>
      </c>
      <c r="AO15" s="190">
        <v>1366000000</v>
      </c>
      <c r="AP15" s="190">
        <v>1326000000</v>
      </c>
      <c r="AQ15" s="190">
        <v>1049000000</v>
      </c>
      <c r="AR15" s="190">
        <v>788000000</v>
      </c>
      <c r="AS15" s="190">
        <v>1441000000</v>
      </c>
      <c r="AT15" s="190">
        <v>999000000</v>
      </c>
      <c r="AU15" s="190">
        <v>752000000</v>
      </c>
      <c r="AV15" s="190">
        <v>0</v>
      </c>
      <c r="AW15" s="190">
        <v>510000000</v>
      </c>
      <c r="AX15" s="190">
        <v>306000000</v>
      </c>
      <c r="AY15" s="190">
        <v>163000000</v>
      </c>
      <c r="AZ15" s="190">
        <v>63000000</v>
      </c>
      <c r="BA15" s="190">
        <v>1879000000</v>
      </c>
      <c r="BB15" s="190">
        <v>93000000</v>
      </c>
      <c r="BC15" s="190">
        <v>63000000</v>
      </c>
      <c r="BD15" s="190">
        <v>33000000</v>
      </c>
      <c r="BE15" s="190">
        <v>186000000</v>
      </c>
      <c r="BF15" s="190">
        <v>31000000</v>
      </c>
      <c r="BG15" s="190">
        <v>31000000</v>
      </c>
      <c r="BH15" s="190">
        <v>31000000</v>
      </c>
      <c r="BI15" s="190">
        <v>107000000</v>
      </c>
      <c r="BJ15" s="190">
        <v>101000000</v>
      </c>
      <c r="BK15" s="190">
        <v>95000000</v>
      </c>
      <c r="BL15" s="190">
        <v>5000000</v>
      </c>
      <c r="BM15" s="190">
        <v>150000000</v>
      </c>
      <c r="BN15" s="190">
        <v>84000000</v>
      </c>
      <c r="BO15" s="190">
        <v>307000000</v>
      </c>
      <c r="BP15" s="190">
        <v>156000000</v>
      </c>
      <c r="BQ15" s="190">
        <v>86000000</v>
      </c>
      <c r="BR15" s="190">
        <v>0</v>
      </c>
    </row>
    <row r="16" spans="1:70" x14ac:dyDescent="0.25">
      <c r="A16" s="190" t="s">
        <v>232</v>
      </c>
      <c r="B16" s="190">
        <v>7338000000</v>
      </c>
      <c r="C16" s="190">
        <v>3609000000</v>
      </c>
      <c r="D16" s="190">
        <v>674000000</v>
      </c>
      <c r="E16" s="190">
        <v>8506000000</v>
      </c>
      <c r="F16" s="190">
        <v>4922000000</v>
      </c>
      <c r="G16" s="190">
        <v>3395000000</v>
      </c>
      <c r="H16" s="190">
        <v>285000000</v>
      </c>
      <c r="I16" s="190">
        <v>4028000000</v>
      </c>
      <c r="J16" s="190">
        <v>2806000000</v>
      </c>
      <c r="K16" s="190">
        <v>1459000000</v>
      </c>
      <c r="L16" s="190">
        <v>360000000</v>
      </c>
      <c r="M16" s="190">
        <v>3111000000</v>
      </c>
      <c r="N16" s="190">
        <v>2289000000</v>
      </c>
      <c r="O16" s="190">
        <v>1242000000</v>
      </c>
      <c r="P16" s="190">
        <v>274000000</v>
      </c>
      <c r="Q16" s="190">
        <v>2312000000</v>
      </c>
      <c r="R16" s="190">
        <v>1443000000</v>
      </c>
      <c r="S16" s="190">
        <v>979000000</v>
      </c>
      <c r="T16" s="190">
        <v>107000000</v>
      </c>
      <c r="U16" s="190">
        <v>1496000000</v>
      </c>
      <c r="V16" s="190">
        <v>1233000000</v>
      </c>
      <c r="W16" s="190">
        <v>447000000</v>
      </c>
      <c r="X16" s="190">
        <v>100000000</v>
      </c>
      <c r="Y16" s="190">
        <v>2429000000</v>
      </c>
      <c r="Z16" s="190">
        <v>2235000000</v>
      </c>
      <c r="AA16" s="190">
        <v>1250000000</v>
      </c>
      <c r="AB16" s="190">
        <v>33000000</v>
      </c>
      <c r="AC16" s="190">
        <v>2961000000</v>
      </c>
      <c r="AD16" s="190">
        <v>2119000000</v>
      </c>
      <c r="AE16" s="190">
        <v>1997000000</v>
      </c>
      <c r="AF16" s="190">
        <v>19000000</v>
      </c>
      <c r="AG16" s="190">
        <v>1335000000</v>
      </c>
      <c r="AH16" s="190">
        <v>0</v>
      </c>
      <c r="AI16" s="190">
        <v>874000000</v>
      </c>
      <c r="AJ16" s="190">
        <v>23000000</v>
      </c>
      <c r="AK16" s="190">
        <v>1133000000</v>
      </c>
      <c r="AL16" s="190">
        <v>3639000000</v>
      </c>
      <c r="AM16" s="190">
        <v>704000000</v>
      </c>
      <c r="AN16" s="190">
        <v>30000000</v>
      </c>
      <c r="AO16" s="190">
        <v>3682000000</v>
      </c>
      <c r="AP16" s="190">
        <v>1716000000</v>
      </c>
      <c r="AQ16" s="190">
        <v>1192000000</v>
      </c>
      <c r="AR16" s="190">
        <v>0</v>
      </c>
      <c r="AS16" s="190">
        <v>2657000000</v>
      </c>
      <c r="AT16" s="190">
        <v>2287000000</v>
      </c>
      <c r="AU16" s="190">
        <v>1624000000</v>
      </c>
      <c r="AV16" s="190">
        <v>64000000</v>
      </c>
      <c r="AW16" s="190">
        <v>617000000</v>
      </c>
      <c r="AX16" s="190">
        <v>467000000</v>
      </c>
      <c r="AY16" s="190">
        <v>380000000</v>
      </c>
      <c r="AZ16" s="190">
        <v>27000000</v>
      </c>
      <c r="BA16" s="190">
        <v>668000000</v>
      </c>
      <c r="BB16" s="190">
        <v>0</v>
      </c>
      <c r="BC16" s="190">
        <v>362000000</v>
      </c>
      <c r="BD16" s="190">
        <v>0</v>
      </c>
      <c r="BE16" s="190">
        <v>322000000</v>
      </c>
      <c r="BF16" s="190">
        <v>252000000</v>
      </c>
      <c r="BG16" s="190">
        <v>0</v>
      </c>
      <c r="BH16" s="190">
        <v>0</v>
      </c>
      <c r="BI16" s="190">
        <v>442000000</v>
      </c>
      <c r="BJ16" s="190">
        <v>345000000</v>
      </c>
      <c r="BK16" s="190">
        <v>231000000</v>
      </c>
      <c r="BL16" s="190">
        <v>0</v>
      </c>
      <c r="BM16" s="190">
        <v>0</v>
      </c>
      <c r="BN16" s="190">
        <v>33000000</v>
      </c>
      <c r="BO16" s="190">
        <v>0</v>
      </c>
      <c r="BP16" s="190">
        <v>0</v>
      </c>
      <c r="BQ16" s="190">
        <v>0</v>
      </c>
      <c r="BR16" s="190">
        <v>0</v>
      </c>
    </row>
    <row r="17" spans="1:70" x14ac:dyDescent="0.25">
      <c r="A17" s="190" t="s">
        <v>233</v>
      </c>
      <c r="B17" s="190">
        <v>8490000000</v>
      </c>
      <c r="C17" s="190">
        <v>7480000000</v>
      </c>
      <c r="D17" s="190">
        <v>0</v>
      </c>
      <c r="E17" s="190">
        <v>1313000000</v>
      </c>
      <c r="F17" s="190">
        <v>530000000</v>
      </c>
      <c r="G17" s="190">
        <v>216000000</v>
      </c>
      <c r="H17" s="190">
        <v>106000000</v>
      </c>
      <c r="I17" s="190">
        <v>440000000</v>
      </c>
      <c r="J17" s="190">
        <v>375000000</v>
      </c>
      <c r="K17" s="190">
        <v>306000000</v>
      </c>
      <c r="L17" s="190">
        <v>63000000</v>
      </c>
      <c r="M17" s="190">
        <v>454000000</v>
      </c>
      <c r="N17" s="190">
        <v>413000000</v>
      </c>
      <c r="O17" s="190">
        <v>222000000</v>
      </c>
      <c r="P17" s="190">
        <v>57000000</v>
      </c>
      <c r="Q17" s="190">
        <v>1020000000</v>
      </c>
      <c r="R17" s="190">
        <v>547000000</v>
      </c>
      <c r="S17" s="190">
        <v>494000000</v>
      </c>
      <c r="T17" s="190">
        <v>222000000</v>
      </c>
      <c r="U17" s="190">
        <v>1550000000</v>
      </c>
      <c r="V17" s="190">
        <v>980000000</v>
      </c>
      <c r="W17" s="190">
        <v>902000000</v>
      </c>
      <c r="X17" s="190">
        <v>58000000</v>
      </c>
      <c r="Y17" s="190">
        <v>325000000</v>
      </c>
      <c r="Z17" s="190">
        <v>240000000</v>
      </c>
      <c r="AA17" s="190">
        <v>166000000</v>
      </c>
      <c r="AB17" s="190">
        <v>14000000</v>
      </c>
      <c r="AC17" s="190">
        <v>1216000000</v>
      </c>
      <c r="AD17" s="190">
        <v>243000000</v>
      </c>
      <c r="AE17" s="190">
        <v>168000000</v>
      </c>
      <c r="AF17" s="190">
        <v>13000000</v>
      </c>
      <c r="AG17" s="190">
        <v>16145000000</v>
      </c>
      <c r="AH17" s="190">
        <v>15736000000</v>
      </c>
      <c r="AI17" s="190">
        <v>13082000000</v>
      </c>
      <c r="AJ17" s="190">
        <v>12000000</v>
      </c>
      <c r="AK17" s="190">
        <v>692000000</v>
      </c>
      <c r="AL17" s="190">
        <v>458000000</v>
      </c>
      <c r="AM17" s="190">
        <v>430000000</v>
      </c>
      <c r="AN17" s="190">
        <v>90000000</v>
      </c>
      <c r="AO17" s="190">
        <v>602000000</v>
      </c>
      <c r="AP17" s="190">
        <v>165000000</v>
      </c>
      <c r="AQ17" s="190">
        <v>109000000</v>
      </c>
      <c r="AR17" s="190">
        <v>44000000</v>
      </c>
      <c r="AS17" s="190">
        <v>446000000</v>
      </c>
      <c r="AT17" s="190">
        <v>178000000</v>
      </c>
      <c r="AU17" s="190">
        <v>156000000</v>
      </c>
      <c r="AV17" s="190">
        <v>21000000</v>
      </c>
      <c r="AW17" s="190">
        <v>349000000</v>
      </c>
      <c r="AX17" s="190">
        <v>312000000</v>
      </c>
      <c r="AY17" s="190">
        <v>166000000</v>
      </c>
      <c r="AZ17" s="190">
        <v>20000000</v>
      </c>
      <c r="BA17" s="190">
        <v>510000000</v>
      </c>
      <c r="BB17" s="190">
        <v>332000000</v>
      </c>
      <c r="BC17" s="190">
        <v>201000000</v>
      </c>
      <c r="BD17" s="190">
        <v>0</v>
      </c>
      <c r="BE17" s="190">
        <v>315000000</v>
      </c>
      <c r="BF17" s="190">
        <v>234000000</v>
      </c>
      <c r="BG17" s="190">
        <v>187000000</v>
      </c>
      <c r="BH17" s="190">
        <v>26000000</v>
      </c>
      <c r="BI17" s="190">
        <v>380000000</v>
      </c>
      <c r="BJ17" s="190">
        <v>346000000</v>
      </c>
      <c r="BK17" s="190">
        <v>279000000</v>
      </c>
      <c r="BL17" s="190">
        <v>137000000</v>
      </c>
      <c r="BM17" s="190">
        <v>579000000</v>
      </c>
      <c r="BN17" s="190">
        <v>360000000</v>
      </c>
      <c r="BO17" s="190">
        <v>374000000</v>
      </c>
      <c r="BP17" s="190">
        <v>70000000</v>
      </c>
      <c r="BQ17" s="190">
        <v>151000000</v>
      </c>
      <c r="BR17" s="190">
        <v>0</v>
      </c>
    </row>
    <row r="18" spans="1:70" x14ac:dyDescent="0.25">
      <c r="A18" s="190" t="s">
        <v>234</v>
      </c>
      <c r="B18" s="190">
        <v>0</v>
      </c>
      <c r="C18" s="190">
        <v>0</v>
      </c>
      <c r="D18" s="190">
        <v>0</v>
      </c>
      <c r="E18" s="190">
        <v>80000000</v>
      </c>
      <c r="F18" s="190">
        <v>1000000</v>
      </c>
      <c r="G18" s="190">
        <v>1000000</v>
      </c>
      <c r="H18" s="190">
        <v>0</v>
      </c>
      <c r="I18" s="190">
        <v>2027000000</v>
      </c>
      <c r="J18" s="190">
        <v>2027000000</v>
      </c>
      <c r="K18" s="190">
        <v>2027000000</v>
      </c>
      <c r="L18" s="190">
        <v>2027000000</v>
      </c>
      <c r="M18" s="190">
        <v>0</v>
      </c>
      <c r="N18" s="190">
        <v>0</v>
      </c>
      <c r="O18" s="190">
        <v>0</v>
      </c>
      <c r="P18" s="190">
        <v>0</v>
      </c>
      <c r="Q18" s="190">
        <v>0</v>
      </c>
      <c r="R18" s="190">
        <v>0</v>
      </c>
      <c r="S18" s="190">
        <v>0</v>
      </c>
      <c r="T18" s="190">
        <v>0</v>
      </c>
      <c r="U18" s="190">
        <v>0</v>
      </c>
      <c r="V18" s="190">
        <v>0</v>
      </c>
      <c r="W18" s="190">
        <v>0</v>
      </c>
      <c r="X18" s="190">
        <v>0</v>
      </c>
      <c r="Y18" s="190">
        <v>0</v>
      </c>
      <c r="Z18" s="190">
        <v>0</v>
      </c>
      <c r="AA18" s="190">
        <v>0</v>
      </c>
      <c r="AB18" s="190">
        <v>0</v>
      </c>
      <c r="AC18" s="190">
        <v>0</v>
      </c>
      <c r="AD18" s="190">
        <v>0</v>
      </c>
      <c r="AE18" s="190">
        <v>0</v>
      </c>
      <c r="AF18" s="190">
        <v>0</v>
      </c>
      <c r="AG18" s="190">
        <v>0</v>
      </c>
      <c r="AH18" s="190">
        <v>0</v>
      </c>
      <c r="AI18" s="190">
        <v>0</v>
      </c>
      <c r="AJ18" s="190">
        <v>0</v>
      </c>
      <c r="AK18" s="190">
        <v>0</v>
      </c>
      <c r="AL18" s="190">
        <v>0</v>
      </c>
      <c r="AM18" s="190">
        <v>0</v>
      </c>
      <c r="AN18" s="190">
        <v>0</v>
      </c>
      <c r="AO18" s="190">
        <v>0</v>
      </c>
      <c r="AP18" s="190">
        <v>0</v>
      </c>
      <c r="AQ18" s="190">
        <v>0</v>
      </c>
      <c r="AR18" s="190">
        <v>39000000</v>
      </c>
      <c r="AS18" s="190">
        <v>0</v>
      </c>
      <c r="AT18" s="190">
        <v>0</v>
      </c>
      <c r="AU18" s="190">
        <v>0</v>
      </c>
      <c r="AV18" s="190">
        <v>0</v>
      </c>
      <c r="AW18" s="190">
        <v>0</v>
      </c>
      <c r="AX18" s="190">
        <v>0</v>
      </c>
      <c r="AY18" s="190">
        <v>0</v>
      </c>
      <c r="AZ18" s="190">
        <v>0</v>
      </c>
      <c r="BA18" s="190">
        <v>0</v>
      </c>
      <c r="BB18" s="190">
        <v>0</v>
      </c>
      <c r="BC18" s="190">
        <v>0</v>
      </c>
      <c r="BD18" s="190">
        <v>0</v>
      </c>
      <c r="BE18" s="190">
        <v>0</v>
      </c>
      <c r="BF18" s="190">
        <v>0</v>
      </c>
      <c r="BG18" s="190">
        <v>0</v>
      </c>
      <c r="BH18" s="190">
        <v>0</v>
      </c>
      <c r="BI18" s="190">
        <v>0</v>
      </c>
      <c r="BJ18" s="190">
        <v>0</v>
      </c>
      <c r="BK18" s="190">
        <v>0</v>
      </c>
      <c r="BL18" s="190">
        <v>0</v>
      </c>
      <c r="BM18" s="190">
        <v>0</v>
      </c>
      <c r="BN18" s="190">
        <v>0</v>
      </c>
      <c r="BO18" s="190">
        <v>0</v>
      </c>
      <c r="BP18" s="190">
        <v>0</v>
      </c>
      <c r="BQ18" s="190">
        <v>0</v>
      </c>
      <c r="BR18" s="190">
        <v>0</v>
      </c>
    </row>
    <row r="19" spans="1:70" x14ac:dyDescent="0.25">
      <c r="A19" s="190" t="s">
        <v>235</v>
      </c>
      <c r="B19" s="190">
        <v>55003000000</v>
      </c>
      <c r="C19" s="190">
        <v>42408000000</v>
      </c>
      <c r="D19" s="190">
        <v>21325000000</v>
      </c>
      <c r="E19" s="190">
        <v>52304000000</v>
      </c>
      <c r="F19" s="190">
        <v>31589000000</v>
      </c>
      <c r="G19" s="190">
        <v>20595000000</v>
      </c>
      <c r="H19" s="190">
        <v>1455000000</v>
      </c>
      <c r="I19" s="190">
        <v>2914000000</v>
      </c>
      <c r="J19" s="190">
        <v>1850000000</v>
      </c>
      <c r="K19" s="190">
        <v>987000000</v>
      </c>
      <c r="L19" s="190">
        <v>487000000</v>
      </c>
      <c r="M19" s="190">
        <v>6126000000</v>
      </c>
      <c r="N19" s="190">
        <v>4685000000</v>
      </c>
      <c r="O19" s="190">
        <v>2156000000</v>
      </c>
      <c r="P19" s="190">
        <v>929000000</v>
      </c>
      <c r="Q19" s="190">
        <v>2066000000</v>
      </c>
      <c r="R19" s="190">
        <v>1367000000</v>
      </c>
      <c r="S19" s="190">
        <v>872000000</v>
      </c>
      <c r="T19" s="190">
        <v>487000000</v>
      </c>
      <c r="U19" s="190">
        <v>2499000000</v>
      </c>
      <c r="V19" s="190">
        <v>3007000000</v>
      </c>
      <c r="W19" s="190">
        <v>2343000000</v>
      </c>
      <c r="X19" s="190">
        <v>865000000</v>
      </c>
      <c r="Y19" s="190">
        <v>1254000000</v>
      </c>
      <c r="Z19" s="190">
        <v>1073000000</v>
      </c>
      <c r="AA19" s="190">
        <v>563000000</v>
      </c>
      <c r="AB19" s="190">
        <v>286000000</v>
      </c>
      <c r="AC19" s="190">
        <v>1584000000</v>
      </c>
      <c r="AD19" s="190">
        <v>878000000</v>
      </c>
      <c r="AE19" s="190">
        <v>541000000</v>
      </c>
      <c r="AF19" s="190">
        <v>287000000</v>
      </c>
      <c r="AG19" s="190">
        <v>660000000</v>
      </c>
      <c r="AH19" s="190">
        <v>341000000</v>
      </c>
      <c r="AI19" s="190">
        <v>162000000</v>
      </c>
      <c r="AJ19" s="190">
        <v>26000000</v>
      </c>
      <c r="AK19" s="190">
        <v>277000000</v>
      </c>
      <c r="AL19" s="190">
        <v>164000000</v>
      </c>
      <c r="AM19" s="190">
        <v>2317000000</v>
      </c>
      <c r="AN19" s="190">
        <v>52000000</v>
      </c>
      <c r="AO19" s="190">
        <v>1804000000</v>
      </c>
      <c r="AP19" s="190">
        <v>976000000</v>
      </c>
      <c r="AQ19" s="190">
        <v>197000000</v>
      </c>
      <c r="AR19" s="190">
        <v>416000000</v>
      </c>
      <c r="AS19" s="190">
        <v>404000000</v>
      </c>
      <c r="AT19" s="190">
        <v>605000000</v>
      </c>
      <c r="AU19" s="190">
        <v>366000000</v>
      </c>
      <c r="AV19" s="190">
        <v>144000000</v>
      </c>
      <c r="AW19" s="190">
        <v>557000000</v>
      </c>
      <c r="AX19" s="190">
        <v>362000000</v>
      </c>
      <c r="AY19" s="190">
        <v>251000000</v>
      </c>
      <c r="AZ19" s="190">
        <v>98000000</v>
      </c>
      <c r="BA19" s="190">
        <v>386000000</v>
      </c>
      <c r="BB19" s="190">
        <v>275000000</v>
      </c>
      <c r="BC19" s="190">
        <v>168000000</v>
      </c>
      <c r="BD19" s="190">
        <v>78000000</v>
      </c>
      <c r="BE19" s="190">
        <v>359000000</v>
      </c>
      <c r="BF19" s="190">
        <v>2325000000</v>
      </c>
      <c r="BG19" s="190">
        <v>170000000</v>
      </c>
      <c r="BH19" s="190">
        <v>71000000</v>
      </c>
      <c r="BI19" s="190">
        <v>300000000</v>
      </c>
      <c r="BJ19" s="190">
        <v>209000000</v>
      </c>
      <c r="BK19" s="190">
        <v>140000000</v>
      </c>
      <c r="BL19" s="190">
        <v>62000000</v>
      </c>
      <c r="BM19" s="190">
        <v>353000000</v>
      </c>
      <c r="BN19" s="190">
        <v>218000000</v>
      </c>
      <c r="BO19" s="190">
        <v>40257000000</v>
      </c>
      <c r="BP19" s="190">
        <v>12945000000</v>
      </c>
      <c r="BQ19" s="190">
        <v>7145000000</v>
      </c>
      <c r="BR19" s="190">
        <v>0</v>
      </c>
    </row>
    <row r="20" spans="1:70" x14ac:dyDescent="0.25">
      <c r="A20" s="190" t="s">
        <v>236</v>
      </c>
      <c r="B20" s="190">
        <v>120526000000</v>
      </c>
      <c r="C20" s="190">
        <v>102741000000</v>
      </c>
      <c r="D20" s="190">
        <v>35341000000</v>
      </c>
      <c r="E20" s="190">
        <v>66932000000</v>
      </c>
      <c r="F20" s="190">
        <v>37936000000</v>
      </c>
      <c r="G20" s="190">
        <v>24924000000</v>
      </c>
      <c r="H20" s="190">
        <v>2203000000</v>
      </c>
      <c r="I20" s="190">
        <v>40898000000</v>
      </c>
      <c r="J20" s="190">
        <v>24988000000</v>
      </c>
      <c r="K20" s="190">
        <v>22690000000</v>
      </c>
      <c r="L20" s="190">
        <v>6057000000</v>
      </c>
      <c r="M20" s="190">
        <v>13044000000</v>
      </c>
      <c r="N20" s="190">
        <v>8640000000</v>
      </c>
      <c r="O20" s="190">
        <v>4113000000</v>
      </c>
      <c r="P20" s="190">
        <v>1648000000</v>
      </c>
      <c r="Q20" s="190">
        <v>9272000000</v>
      </c>
      <c r="R20" s="190">
        <v>6921000000</v>
      </c>
      <c r="S20" s="190">
        <v>2780000000</v>
      </c>
      <c r="T20" s="190">
        <v>1290000000</v>
      </c>
      <c r="U20" s="190">
        <v>9743000000</v>
      </c>
      <c r="V20" s="190">
        <v>5406000000</v>
      </c>
      <c r="W20" s="190">
        <v>3848000000</v>
      </c>
      <c r="X20" s="190">
        <v>1108000000</v>
      </c>
      <c r="Y20" s="190">
        <v>10262000000</v>
      </c>
      <c r="Z20" s="190">
        <v>8301000000</v>
      </c>
      <c r="AA20" s="190">
        <v>5209000000</v>
      </c>
      <c r="AB20" s="190">
        <v>593000000</v>
      </c>
      <c r="AC20" s="190">
        <v>18862000000</v>
      </c>
      <c r="AD20" s="190">
        <v>11703000000</v>
      </c>
      <c r="AE20" s="190">
        <v>9224000000</v>
      </c>
      <c r="AF20" s="190">
        <v>2502000000</v>
      </c>
      <c r="AG20" s="190">
        <v>28099000000</v>
      </c>
      <c r="AH20" s="190">
        <v>22858000000</v>
      </c>
      <c r="AI20" s="190">
        <v>17347000000</v>
      </c>
      <c r="AJ20" s="190">
        <v>1844000000</v>
      </c>
      <c r="AK20" s="190">
        <v>7679000000</v>
      </c>
      <c r="AL20" s="190">
        <v>5558000000</v>
      </c>
      <c r="AM20" s="190">
        <v>3711000000</v>
      </c>
      <c r="AN20" s="190">
        <v>700000000</v>
      </c>
      <c r="AO20" s="190">
        <v>7454000000</v>
      </c>
      <c r="AP20" s="190">
        <v>4183000000</v>
      </c>
      <c r="AQ20" s="190">
        <v>3013000000</v>
      </c>
      <c r="AR20" s="190">
        <v>1287000000</v>
      </c>
      <c r="AS20" s="190">
        <v>8288000000</v>
      </c>
      <c r="AT20" s="190">
        <v>7317000000</v>
      </c>
      <c r="AU20" s="190">
        <v>3408000000</v>
      </c>
      <c r="AV20" s="190">
        <v>614000000</v>
      </c>
      <c r="AW20" s="190">
        <v>3316000000</v>
      </c>
      <c r="AX20" s="190">
        <v>2707000000</v>
      </c>
      <c r="AY20" s="190">
        <v>1589000000</v>
      </c>
      <c r="AZ20" s="190">
        <v>399000000</v>
      </c>
      <c r="BA20" s="190">
        <v>3443000000</v>
      </c>
      <c r="BB20" s="190">
        <v>2131000000</v>
      </c>
      <c r="BC20" s="190">
        <v>1321000000</v>
      </c>
      <c r="BD20" s="190">
        <v>342000000</v>
      </c>
      <c r="BE20" s="190">
        <v>3399000000</v>
      </c>
      <c r="BF20" s="190">
        <v>2842000000</v>
      </c>
      <c r="BG20" s="190">
        <v>1410000000</v>
      </c>
      <c r="BH20" s="190">
        <v>708000000</v>
      </c>
      <c r="BI20" s="190">
        <v>2929000000</v>
      </c>
      <c r="BJ20" s="190">
        <v>2408000000</v>
      </c>
      <c r="BK20" s="190">
        <v>1187000000</v>
      </c>
      <c r="BL20" s="190">
        <v>614000000</v>
      </c>
      <c r="BM20" s="190">
        <v>3520000000</v>
      </c>
      <c r="BN20" s="190">
        <v>1588000000</v>
      </c>
      <c r="BO20" s="190">
        <v>40938000000</v>
      </c>
      <c r="BP20" s="190">
        <v>13171000000</v>
      </c>
      <c r="BQ20" s="190">
        <v>7382000000</v>
      </c>
      <c r="BR20" s="190">
        <v>0</v>
      </c>
    </row>
    <row r="21" spans="1:70" x14ac:dyDescent="0.25">
      <c r="A21" s="190" t="s">
        <v>237</v>
      </c>
      <c r="B21" s="190">
        <v>54464000000</v>
      </c>
      <c r="C21" s="190">
        <v>35084000000</v>
      </c>
      <c r="D21" s="190">
        <v>17901000000</v>
      </c>
      <c r="E21" s="190">
        <v>70948000000</v>
      </c>
      <c r="F21" s="190">
        <v>43992000000</v>
      </c>
      <c r="G21" s="190">
        <v>28742000000</v>
      </c>
      <c r="H21" s="190">
        <v>15184000000</v>
      </c>
      <c r="I21" s="190">
        <v>72847000000</v>
      </c>
      <c r="J21" s="190">
        <v>45909000000</v>
      </c>
      <c r="K21" s="190">
        <v>31353000000</v>
      </c>
      <c r="L21" s="190">
        <v>18961000000</v>
      </c>
      <c r="M21" s="190">
        <v>102657000000</v>
      </c>
      <c r="N21" s="190">
        <v>71363000000</v>
      </c>
      <c r="O21" s="190">
        <v>52911000000</v>
      </c>
      <c r="P21" s="190">
        <v>33417000000</v>
      </c>
      <c r="Q21" s="190">
        <v>124381000000</v>
      </c>
      <c r="R21" s="190">
        <v>84649000000</v>
      </c>
      <c r="S21" s="190">
        <v>59266000000</v>
      </c>
      <c r="T21" s="190">
        <v>34663000000</v>
      </c>
      <c r="U21" s="190">
        <v>154946000000</v>
      </c>
      <c r="V21" s="190">
        <v>98012000000</v>
      </c>
      <c r="W21" s="190">
        <v>62870000000</v>
      </c>
      <c r="X21" s="190">
        <v>48240000000</v>
      </c>
      <c r="Y21" s="190">
        <v>158148000000</v>
      </c>
      <c r="Z21" s="190">
        <v>95421000000</v>
      </c>
      <c r="AA21" s="190">
        <v>77126000000</v>
      </c>
      <c r="AB21" s="190">
        <v>34385000000</v>
      </c>
      <c r="AC21" s="190">
        <v>142813000000</v>
      </c>
      <c r="AD21" s="190">
        <v>70023000000</v>
      </c>
      <c r="AE21" s="190">
        <v>53782000000</v>
      </c>
      <c r="AF21" s="190">
        <v>28298000000</v>
      </c>
      <c r="AG21" s="190">
        <v>114711000000</v>
      </c>
      <c r="AH21" s="190">
        <v>65449000000</v>
      </c>
      <c r="AI21" s="190">
        <v>48239000000</v>
      </c>
      <c r="AJ21" s="190">
        <v>29287000000</v>
      </c>
      <c r="AK21" s="190">
        <v>114063000000</v>
      </c>
      <c r="AL21" s="190">
        <v>68758000000</v>
      </c>
      <c r="AM21" s="190">
        <v>43668000000</v>
      </c>
      <c r="AN21" s="190">
        <v>16915000000</v>
      </c>
      <c r="AO21" s="190">
        <v>108575000000</v>
      </c>
      <c r="AP21" s="190">
        <v>70645000000</v>
      </c>
      <c r="AQ21" s="190">
        <v>44880000000</v>
      </c>
      <c r="AR21" s="190">
        <v>15457000000</v>
      </c>
      <c r="AS21" s="190">
        <v>110638000000</v>
      </c>
      <c r="AT21" s="190">
        <v>66629000000</v>
      </c>
      <c r="AU21" s="190">
        <v>40599000000</v>
      </c>
      <c r="AV21" s="190">
        <v>16274000000</v>
      </c>
      <c r="AW21" s="190">
        <v>77083000000</v>
      </c>
      <c r="AX21" s="190">
        <v>46817000000</v>
      </c>
      <c r="AY21" s="190">
        <v>30953000000</v>
      </c>
      <c r="AZ21" s="190">
        <v>15047000000</v>
      </c>
      <c r="BA21" s="190">
        <v>67505000000</v>
      </c>
      <c r="BB21" s="190">
        <v>41096000000</v>
      </c>
      <c r="BC21" s="190">
        <v>28235000000</v>
      </c>
      <c r="BD21" s="190">
        <v>13019000000</v>
      </c>
      <c r="BE21" s="190">
        <v>66693000000</v>
      </c>
      <c r="BF21" s="190">
        <v>43781000000</v>
      </c>
      <c r="BG21" s="190">
        <v>29792000000</v>
      </c>
      <c r="BH21" s="190">
        <v>11458000000</v>
      </c>
      <c r="BI21" s="190">
        <v>48073000000</v>
      </c>
      <c r="BJ21" s="190">
        <v>27132000000</v>
      </c>
      <c r="BK21" s="190">
        <v>20814000000</v>
      </c>
      <c r="BL21" s="190">
        <v>8960000000</v>
      </c>
      <c r="BM21" s="190">
        <v>43066000000</v>
      </c>
      <c r="BN21" s="190">
        <v>15596000000</v>
      </c>
      <c r="BO21" s="190">
        <v>56300000000</v>
      </c>
      <c r="BP21" s="190">
        <v>20795000000</v>
      </c>
      <c r="BQ21" s="190">
        <v>43090000000</v>
      </c>
      <c r="BR21" s="190">
        <v>0</v>
      </c>
    </row>
    <row r="22" spans="1:70" x14ac:dyDescent="0.25">
      <c r="A22" s="190" t="s">
        <v>238</v>
      </c>
      <c r="B22" s="190">
        <v>10551000000</v>
      </c>
      <c r="C22" s="190">
        <v>6840000000</v>
      </c>
      <c r="D22" s="190">
        <v>2241000000</v>
      </c>
      <c r="E22" s="190">
        <v>57627000000</v>
      </c>
      <c r="F22" s="190">
        <v>4914000000</v>
      </c>
      <c r="G22" s="190">
        <v>3253000000</v>
      </c>
      <c r="H22" s="190">
        <v>1668000000</v>
      </c>
      <c r="I22" s="190">
        <v>16389000000</v>
      </c>
      <c r="J22" s="190">
        <v>15197000000</v>
      </c>
      <c r="K22" s="190">
        <v>14393000000</v>
      </c>
      <c r="L22" s="190">
        <v>11934000000</v>
      </c>
      <c r="M22" s="190">
        <v>23332000000</v>
      </c>
      <c r="N22" s="190">
        <v>8382000000</v>
      </c>
      <c r="O22" s="190">
        <v>3556000000</v>
      </c>
      <c r="P22" s="190">
        <v>2822000000</v>
      </c>
      <c r="Q22" s="190">
        <v>13855000000</v>
      </c>
      <c r="R22" s="190">
        <v>8276000000</v>
      </c>
      <c r="S22" s="190">
        <v>5030000000</v>
      </c>
      <c r="T22" s="190">
        <v>4044000000</v>
      </c>
      <c r="U22" s="190">
        <v>33487000000</v>
      </c>
      <c r="V22" s="190">
        <v>28109000000</v>
      </c>
      <c r="W22" s="190">
        <v>6450000000</v>
      </c>
      <c r="X22" s="190">
        <v>2924000000</v>
      </c>
      <c r="Y22" s="190">
        <v>10246000000</v>
      </c>
      <c r="Z22" s="190">
        <v>5609000000</v>
      </c>
      <c r="AA22" s="190">
        <v>4825000000</v>
      </c>
      <c r="AB22" s="190">
        <v>741000000</v>
      </c>
      <c r="AC22" s="190">
        <v>7488000000</v>
      </c>
      <c r="AD22" s="190">
        <v>3185000000</v>
      </c>
      <c r="AE22" s="190">
        <v>2692000000</v>
      </c>
      <c r="AF22" s="190">
        <v>764000000</v>
      </c>
      <c r="AG22" s="190">
        <v>11310000000</v>
      </c>
      <c r="AH22" s="190">
        <v>5014000000</v>
      </c>
      <c r="AI22" s="190">
        <v>4300000000</v>
      </c>
      <c r="AJ22" s="190">
        <v>2803000000</v>
      </c>
      <c r="AK22" s="190">
        <v>3240000000</v>
      </c>
      <c r="AL22" s="190">
        <v>1750000000</v>
      </c>
      <c r="AM22" s="190">
        <v>792000000</v>
      </c>
      <c r="AN22" s="190">
        <v>388000000</v>
      </c>
      <c r="AO22" s="190">
        <v>3089000000</v>
      </c>
      <c r="AP22" s="190">
        <v>3021000000</v>
      </c>
      <c r="AQ22" s="190">
        <v>2675000000</v>
      </c>
      <c r="AR22" s="190">
        <v>1201000000</v>
      </c>
      <c r="AS22" s="190">
        <v>1581000000</v>
      </c>
      <c r="AT22" s="190">
        <v>1214000000</v>
      </c>
      <c r="AU22" s="190">
        <v>1037000000</v>
      </c>
      <c r="AV22" s="190">
        <v>470000000</v>
      </c>
      <c r="AW22" s="190">
        <v>3569000000</v>
      </c>
      <c r="AX22" s="190">
        <v>3037000000</v>
      </c>
      <c r="AY22" s="190">
        <v>2180000000</v>
      </c>
      <c r="AZ22" s="190">
        <v>362000000</v>
      </c>
      <c r="BA22" s="190">
        <v>4170000000</v>
      </c>
      <c r="BB22" s="190">
        <v>1947000000</v>
      </c>
      <c r="BC22" s="190">
        <v>706000000</v>
      </c>
      <c r="BD22" s="190">
        <v>812000000</v>
      </c>
      <c r="BE22" s="190">
        <v>1225000000</v>
      </c>
      <c r="BF22" s="190">
        <v>1151000000</v>
      </c>
      <c r="BG22" s="190">
        <v>919000000</v>
      </c>
      <c r="BH22" s="190">
        <v>264000000</v>
      </c>
      <c r="BI22" s="190">
        <v>1545000000</v>
      </c>
      <c r="BJ22" s="190">
        <v>468000000</v>
      </c>
      <c r="BK22" s="190">
        <v>89000000</v>
      </c>
      <c r="BL22" s="190">
        <v>503000000</v>
      </c>
      <c r="BM22" s="190">
        <v>2357000000</v>
      </c>
      <c r="BN22" s="190">
        <v>1085000000</v>
      </c>
      <c r="BO22" s="190">
        <v>3779000000</v>
      </c>
      <c r="BP22" s="190">
        <v>2046000000</v>
      </c>
      <c r="BQ22" s="190">
        <v>1546000000</v>
      </c>
      <c r="BR22" s="190">
        <v>0</v>
      </c>
    </row>
    <row r="23" spans="1:70" x14ac:dyDescent="0.25">
      <c r="A23" s="190" t="s">
        <v>239</v>
      </c>
      <c r="B23" s="190">
        <v>3188000000</v>
      </c>
      <c r="C23" s="190">
        <v>3188000000</v>
      </c>
      <c r="D23" s="190">
        <v>3188000000</v>
      </c>
      <c r="E23" s="190">
        <v>1288000000</v>
      </c>
      <c r="F23" s="190">
        <v>44000000</v>
      </c>
      <c r="G23" s="190">
        <v>17000000</v>
      </c>
      <c r="H23" s="190">
        <v>0</v>
      </c>
      <c r="I23" s="190">
        <v>0</v>
      </c>
      <c r="J23" s="190">
        <v>0</v>
      </c>
      <c r="K23" s="190">
        <v>0</v>
      </c>
      <c r="L23" s="190">
        <v>0</v>
      </c>
      <c r="M23" s="190">
        <v>89000000</v>
      </c>
      <c r="N23" s="190">
        <v>0</v>
      </c>
      <c r="O23" s="190">
        <v>0</v>
      </c>
      <c r="P23" s="190">
        <v>0</v>
      </c>
      <c r="Q23" s="190">
        <v>2532000000</v>
      </c>
      <c r="R23" s="190">
        <v>0</v>
      </c>
      <c r="S23" s="190">
        <v>0</v>
      </c>
      <c r="T23" s="190">
        <v>0</v>
      </c>
      <c r="U23" s="190">
        <v>0</v>
      </c>
      <c r="V23" s="190">
        <v>0</v>
      </c>
      <c r="W23" s="190">
        <v>0</v>
      </c>
      <c r="X23" s="190">
        <v>0</v>
      </c>
      <c r="Y23" s="190">
        <v>0</v>
      </c>
      <c r="Z23" s="190">
        <v>0</v>
      </c>
      <c r="AA23" s="190">
        <v>0</v>
      </c>
      <c r="AB23" s="190">
        <v>0</v>
      </c>
      <c r="AC23" s="190">
        <v>0</v>
      </c>
      <c r="AD23" s="190">
        <v>0</v>
      </c>
      <c r="AE23" s="190">
        <v>0</v>
      </c>
      <c r="AF23" s="190">
        <v>0</v>
      </c>
      <c r="AG23" s="190">
        <v>0</v>
      </c>
      <c r="AH23" s="190">
        <v>0</v>
      </c>
      <c r="AI23" s="190">
        <v>0</v>
      </c>
      <c r="AJ23" s="190">
        <v>0</v>
      </c>
      <c r="AK23" s="190">
        <v>0</v>
      </c>
      <c r="AL23" s="190">
        <v>0</v>
      </c>
      <c r="AM23" s="190">
        <v>0</v>
      </c>
      <c r="AN23" s="190">
        <v>208000000</v>
      </c>
      <c r="AO23" s="190">
        <v>0</v>
      </c>
      <c r="AP23" s="190">
        <v>0</v>
      </c>
      <c r="AQ23" s="190">
        <v>0</v>
      </c>
      <c r="AR23" s="190">
        <v>287000000</v>
      </c>
      <c r="AS23" s="190">
        <v>7468000000</v>
      </c>
      <c r="AT23" s="190">
        <v>7116000000</v>
      </c>
      <c r="AU23" s="190">
        <v>7116000000</v>
      </c>
      <c r="AV23" s="190">
        <v>0</v>
      </c>
      <c r="AW23" s="190">
        <v>21971000000</v>
      </c>
      <c r="AX23" s="190">
        <v>21971000000</v>
      </c>
      <c r="AY23" s="190">
        <v>21971000000</v>
      </c>
      <c r="AZ23" s="190">
        <v>0</v>
      </c>
      <c r="BA23" s="190">
        <v>0</v>
      </c>
      <c r="BB23" s="190">
        <v>0</v>
      </c>
      <c r="BC23" s="190">
        <v>0</v>
      </c>
      <c r="BD23" s="190">
        <v>0</v>
      </c>
      <c r="BE23" s="190">
        <v>0</v>
      </c>
      <c r="BF23" s="190">
        <v>0</v>
      </c>
      <c r="BG23" s="190">
        <v>0</v>
      </c>
      <c r="BH23" s="190">
        <v>0</v>
      </c>
      <c r="BI23" s="190">
        <v>0</v>
      </c>
      <c r="BJ23" s="190">
        <v>0</v>
      </c>
      <c r="BK23" s="190">
        <v>0</v>
      </c>
      <c r="BL23" s="190">
        <v>0</v>
      </c>
      <c r="BM23" s="190">
        <v>0</v>
      </c>
      <c r="BN23" s="190">
        <v>0</v>
      </c>
      <c r="BO23" s="190">
        <v>0</v>
      </c>
      <c r="BP23" s="190">
        <v>0</v>
      </c>
      <c r="BQ23" s="190">
        <v>0</v>
      </c>
      <c r="BR23" s="190">
        <v>0</v>
      </c>
    </row>
    <row r="24" spans="1:70" x14ac:dyDescent="0.25">
      <c r="A24" s="190" t="s">
        <v>240</v>
      </c>
      <c r="B24" s="190">
        <v>55593000000</v>
      </c>
      <c r="C24" s="190">
        <v>38371000000</v>
      </c>
      <c r="D24" s="190">
        <v>13499000000</v>
      </c>
      <c r="E24" s="190">
        <v>82392000000</v>
      </c>
      <c r="F24" s="190">
        <v>59091000000</v>
      </c>
      <c r="G24" s="190">
        <v>32914000000</v>
      </c>
      <c r="H24" s="190">
        <v>6925000000</v>
      </c>
      <c r="I24" s="190">
        <v>17879000000</v>
      </c>
      <c r="J24" s="190">
        <v>5101000000</v>
      </c>
      <c r="K24" s="190">
        <v>3003000000</v>
      </c>
      <c r="L24" s="190">
        <v>5000000</v>
      </c>
      <c r="M24" s="190">
        <v>3918000000</v>
      </c>
      <c r="N24" s="190">
        <v>3104000000</v>
      </c>
      <c r="O24" s="190">
        <v>2628000000</v>
      </c>
      <c r="P24" s="190">
        <v>2064000000</v>
      </c>
      <c r="Q24" s="190">
        <v>1137000000</v>
      </c>
      <c r="R24" s="190">
        <v>1137000000</v>
      </c>
      <c r="S24" s="190">
        <v>1137000000</v>
      </c>
      <c r="T24" s="190">
        <v>1755000000</v>
      </c>
      <c r="U24" s="190">
        <v>50000000</v>
      </c>
      <c r="V24" s="190">
        <v>1589000000</v>
      </c>
      <c r="W24" s="190">
        <v>1550000000</v>
      </c>
      <c r="X24" s="190">
        <v>1101000000</v>
      </c>
      <c r="Y24" s="190">
        <v>0</v>
      </c>
      <c r="Z24" s="190">
        <v>0</v>
      </c>
      <c r="AA24" s="190">
        <v>0</v>
      </c>
      <c r="AB24" s="190">
        <v>0</v>
      </c>
      <c r="AC24" s="190">
        <v>0</v>
      </c>
      <c r="AD24" s="190">
        <v>0</v>
      </c>
      <c r="AE24" s="190">
        <v>0</v>
      </c>
      <c r="AF24" s="190">
        <v>0</v>
      </c>
      <c r="AG24" s="190">
        <v>0</v>
      </c>
      <c r="AH24" s="190">
        <v>0</v>
      </c>
      <c r="AI24" s="190">
        <v>0</v>
      </c>
      <c r="AJ24" s="190">
        <v>0</v>
      </c>
      <c r="AK24" s="190">
        <v>0</v>
      </c>
      <c r="AL24" s="190">
        <v>2218000000</v>
      </c>
      <c r="AM24" s="190">
        <v>3191000000</v>
      </c>
      <c r="AN24" s="190">
        <v>0</v>
      </c>
      <c r="AO24" s="190">
        <v>2040000000</v>
      </c>
      <c r="AP24" s="190">
        <v>1106000000</v>
      </c>
      <c r="AQ24" s="190">
        <v>0</v>
      </c>
      <c r="AR24" s="190">
        <v>0</v>
      </c>
      <c r="AS24" s="190">
        <v>0</v>
      </c>
      <c r="AT24" s="190">
        <v>0</v>
      </c>
      <c r="AU24" s="190">
        <v>0</v>
      </c>
      <c r="AV24" s="190">
        <v>0</v>
      </c>
      <c r="AW24" s="190">
        <v>0</v>
      </c>
      <c r="AX24" s="190">
        <v>0</v>
      </c>
      <c r="AY24" s="190">
        <v>0</v>
      </c>
      <c r="AZ24" s="190">
        <v>0</v>
      </c>
      <c r="BA24" s="190">
        <v>0</v>
      </c>
      <c r="BB24" s="190">
        <v>4324000000</v>
      </c>
      <c r="BC24" s="190">
        <v>0</v>
      </c>
      <c r="BD24" s="190">
        <v>0</v>
      </c>
      <c r="BE24" s="190">
        <v>0</v>
      </c>
      <c r="BF24" s="190">
        <v>3478000000</v>
      </c>
      <c r="BG24" s="190">
        <v>0</v>
      </c>
      <c r="BH24" s="190">
        <v>0</v>
      </c>
      <c r="BI24" s="190">
        <v>0</v>
      </c>
      <c r="BJ24" s="190">
        <v>0</v>
      </c>
      <c r="BK24" s="190">
        <v>0</v>
      </c>
      <c r="BL24" s="190">
        <v>0</v>
      </c>
      <c r="BM24" s="190">
        <v>1342000000</v>
      </c>
      <c r="BN24" s="190">
        <v>0</v>
      </c>
      <c r="BO24" s="190">
        <v>18698000000</v>
      </c>
      <c r="BP24" s="190">
        <v>1581000000</v>
      </c>
      <c r="BQ24" s="190">
        <v>23233000000</v>
      </c>
      <c r="BR24" s="190">
        <v>0</v>
      </c>
    </row>
    <row r="25" spans="1:70" x14ac:dyDescent="0.25">
      <c r="A25" s="190" t="s">
        <v>241</v>
      </c>
      <c r="B25" s="190">
        <v>123796000000</v>
      </c>
      <c r="C25" s="190">
        <v>83483000000</v>
      </c>
      <c r="D25" s="190">
        <v>36829000000</v>
      </c>
      <c r="E25" s="190">
        <v>212255000000</v>
      </c>
      <c r="F25" s="190">
        <v>108041000000</v>
      </c>
      <c r="G25" s="190">
        <v>64926000000</v>
      </c>
      <c r="H25" s="190">
        <v>23777000000</v>
      </c>
      <c r="I25" s="190">
        <v>107115000000</v>
      </c>
      <c r="J25" s="190">
        <v>66207000000</v>
      </c>
      <c r="K25" s="190">
        <v>48749000000</v>
      </c>
      <c r="L25" s="190">
        <v>30900000000</v>
      </c>
      <c r="M25" s="190">
        <v>129996000000</v>
      </c>
      <c r="N25" s="190">
        <v>82849000000</v>
      </c>
      <c r="O25" s="190">
        <v>59095000000</v>
      </c>
      <c r="P25" s="190">
        <v>38303000000</v>
      </c>
      <c r="Q25" s="190">
        <v>141905000000</v>
      </c>
      <c r="R25" s="190">
        <v>94062000000</v>
      </c>
      <c r="S25" s="190">
        <v>65433000000</v>
      </c>
      <c r="T25" s="190">
        <v>40462000000</v>
      </c>
      <c r="U25" s="190">
        <v>188483000000</v>
      </c>
      <c r="V25" s="190">
        <v>127710000000</v>
      </c>
      <c r="W25" s="190">
        <v>70870000000</v>
      </c>
      <c r="X25" s="190">
        <v>52265000000</v>
      </c>
      <c r="Y25" s="190">
        <v>173541000000</v>
      </c>
      <c r="Z25" s="190">
        <v>105079000000</v>
      </c>
      <c r="AA25" s="190">
        <v>85100000000</v>
      </c>
      <c r="AB25" s="190">
        <v>37020000000</v>
      </c>
      <c r="AC25" s="190">
        <v>159870000000</v>
      </c>
      <c r="AD25" s="190">
        <v>81506000000</v>
      </c>
      <c r="AE25" s="190">
        <v>64547000000</v>
      </c>
      <c r="AF25" s="190">
        <v>31803000000</v>
      </c>
      <c r="AG25" s="190">
        <v>134816000000</v>
      </c>
      <c r="AH25" s="190">
        <v>76656000000</v>
      </c>
      <c r="AI25" s="190">
        <v>55753000000</v>
      </c>
      <c r="AJ25" s="190">
        <v>33360000000</v>
      </c>
      <c r="AK25" s="190">
        <v>122804000000</v>
      </c>
      <c r="AL25" s="190">
        <v>74596000000</v>
      </c>
      <c r="AM25" s="190">
        <v>47651000000</v>
      </c>
      <c r="AN25" s="190">
        <v>18193000000</v>
      </c>
      <c r="AO25" s="190">
        <v>113704000000</v>
      </c>
      <c r="AP25" s="190">
        <v>74772000000</v>
      </c>
      <c r="AQ25" s="190">
        <v>48661000000</v>
      </c>
      <c r="AR25" s="190">
        <v>16945000000</v>
      </c>
      <c r="AS25" s="190">
        <v>123060000000</v>
      </c>
      <c r="AT25" s="190">
        <v>78137000000</v>
      </c>
      <c r="AU25" s="190">
        <v>51930000000</v>
      </c>
      <c r="AV25" s="190">
        <v>20544000000</v>
      </c>
      <c r="AW25" s="190">
        <v>103539000000</v>
      </c>
      <c r="AX25" s="190">
        <v>72365000000</v>
      </c>
      <c r="AY25" s="190">
        <v>55569000000</v>
      </c>
      <c r="AZ25" s="190">
        <v>15437000000</v>
      </c>
      <c r="BA25" s="190">
        <v>79127000000</v>
      </c>
      <c r="BB25" s="190">
        <v>50990000000</v>
      </c>
      <c r="BC25" s="190">
        <v>36491000000</v>
      </c>
      <c r="BD25" s="190">
        <v>16148000000</v>
      </c>
      <c r="BE25" s="190">
        <v>79537000000</v>
      </c>
      <c r="BF25" s="190">
        <v>55308000000</v>
      </c>
      <c r="BG25" s="190">
        <v>33910000000</v>
      </c>
      <c r="BH25" s="190">
        <v>14574000000</v>
      </c>
      <c r="BI25" s="190">
        <v>52489000000</v>
      </c>
      <c r="BJ25" s="190">
        <v>32657000000</v>
      </c>
      <c r="BK25" s="190">
        <v>22707000000</v>
      </c>
      <c r="BL25" s="190">
        <v>9998000000</v>
      </c>
      <c r="BM25" s="190">
        <v>46765000000</v>
      </c>
      <c r="BN25" s="190">
        <v>17815000000</v>
      </c>
      <c r="BO25" s="190">
        <v>84906000000</v>
      </c>
      <c r="BP25" s="190">
        <v>24422000000</v>
      </c>
      <c r="BQ25" s="190">
        <v>67869000000</v>
      </c>
      <c r="BR25" s="190">
        <v>0</v>
      </c>
    </row>
    <row r="26" spans="1:70" x14ac:dyDescent="0.25">
      <c r="A26" s="190" t="s">
        <v>242</v>
      </c>
      <c r="B26" s="190">
        <v>-3270000000</v>
      </c>
      <c r="C26" s="190">
        <v>19258000000</v>
      </c>
      <c r="D26" s="190">
        <v>-1488000000</v>
      </c>
      <c r="E26" s="190">
        <v>-145323000000</v>
      </c>
      <c r="F26" s="190">
        <v>-70105000000</v>
      </c>
      <c r="G26" s="190">
        <v>-40002000000</v>
      </c>
      <c r="H26" s="190">
        <v>-21574000000</v>
      </c>
      <c r="I26" s="190">
        <v>-66217000000</v>
      </c>
      <c r="J26" s="190">
        <v>-41219000000</v>
      </c>
      <c r="K26" s="190">
        <v>-26059000000</v>
      </c>
      <c r="L26" s="190">
        <v>-24843000000</v>
      </c>
      <c r="M26" s="190">
        <v>-116952000000</v>
      </c>
      <c r="N26" s="190">
        <v>-74209000000</v>
      </c>
      <c r="O26" s="190">
        <v>-54982000000</v>
      </c>
      <c r="P26" s="190">
        <v>-36655000000</v>
      </c>
      <c r="Q26" s="190">
        <v>-132633000000</v>
      </c>
      <c r="R26" s="190">
        <v>-87141000000</v>
      </c>
      <c r="S26" s="190">
        <v>-62653000000</v>
      </c>
      <c r="T26" s="190">
        <v>-39172000000</v>
      </c>
      <c r="U26" s="190">
        <v>-178740000000</v>
      </c>
      <c r="V26" s="190">
        <v>-122304000000</v>
      </c>
      <c r="W26" s="190">
        <v>-67022000000</v>
      </c>
      <c r="X26" s="190">
        <v>-51157000000</v>
      </c>
      <c r="Y26" s="190">
        <v>-163279000000</v>
      </c>
      <c r="Z26" s="190">
        <v>-96778000000</v>
      </c>
      <c r="AA26" s="190">
        <v>-79891000000</v>
      </c>
      <c r="AB26" s="190">
        <v>-36427000000</v>
      </c>
      <c r="AC26" s="190">
        <v>-141008000000</v>
      </c>
      <c r="AD26" s="190">
        <v>-69803000000</v>
      </c>
      <c r="AE26" s="190">
        <v>-55323000000</v>
      </c>
      <c r="AF26" s="190">
        <v>-29301000000</v>
      </c>
      <c r="AG26" s="190">
        <v>-106717000000</v>
      </c>
      <c r="AH26" s="190">
        <v>-53798000000</v>
      </c>
      <c r="AI26" s="190">
        <v>-38406000000</v>
      </c>
      <c r="AJ26" s="190">
        <v>-31516000000</v>
      </c>
      <c r="AK26" s="190">
        <v>-115125000000</v>
      </c>
      <c r="AL26" s="190">
        <v>-69038000000</v>
      </c>
      <c r="AM26" s="190">
        <v>-43940000000</v>
      </c>
      <c r="AN26" s="190">
        <v>-17493000000</v>
      </c>
      <c r="AO26" s="190">
        <v>-106250000000</v>
      </c>
      <c r="AP26" s="190">
        <v>-70589000000</v>
      </c>
      <c r="AQ26" s="190">
        <v>-45648000000</v>
      </c>
      <c r="AR26" s="190">
        <v>-15658000000</v>
      </c>
      <c r="AS26" s="190">
        <v>-114772000000</v>
      </c>
      <c r="AT26" s="190">
        <v>-70820000000</v>
      </c>
      <c r="AU26" s="190">
        <v>-48522000000</v>
      </c>
      <c r="AV26" s="190">
        <v>-19930000000</v>
      </c>
      <c r="AW26" s="190">
        <v>-100223000000</v>
      </c>
      <c r="AX26" s="190">
        <v>-69658000000</v>
      </c>
      <c r="AY26" s="190">
        <v>-53980000000</v>
      </c>
      <c r="AZ26" s="190">
        <v>-15038000000</v>
      </c>
      <c r="BA26" s="190">
        <v>-75684000000</v>
      </c>
      <c r="BB26" s="190">
        <v>-48859000000</v>
      </c>
      <c r="BC26" s="190">
        <v>-35170000000</v>
      </c>
      <c r="BD26" s="190">
        <v>-15806000000</v>
      </c>
      <c r="BE26" s="190">
        <v>-76138000000</v>
      </c>
      <c r="BF26" s="190">
        <v>-52466000000</v>
      </c>
      <c r="BG26" s="190">
        <v>-32500000000</v>
      </c>
      <c r="BH26" s="190">
        <v>-13866000000</v>
      </c>
      <c r="BI26" s="190">
        <v>-49560000000</v>
      </c>
      <c r="BJ26" s="190">
        <v>-30249000000</v>
      </c>
      <c r="BK26" s="190">
        <v>-21520000000</v>
      </c>
      <c r="BL26" s="190">
        <v>-9384000000</v>
      </c>
      <c r="BM26" s="190">
        <v>-43245000000</v>
      </c>
      <c r="BN26" s="190">
        <v>-16227000000</v>
      </c>
      <c r="BO26" s="190">
        <v>-43968000000</v>
      </c>
      <c r="BP26" s="190">
        <v>-11251000000</v>
      </c>
      <c r="BQ26" s="190">
        <v>-60487000000</v>
      </c>
      <c r="BR26" s="190">
        <v>0</v>
      </c>
    </row>
    <row r="27" spans="1:70" x14ac:dyDescent="0.25">
      <c r="A27" s="190" t="s">
        <v>243</v>
      </c>
    </row>
    <row r="28" spans="1:70" x14ac:dyDescent="0.25">
      <c r="A28" s="190" t="s">
        <v>244</v>
      </c>
      <c r="B28" s="190">
        <v>874000000</v>
      </c>
      <c r="C28" s="190">
        <v>502000000</v>
      </c>
      <c r="D28" s="190">
        <v>70000000</v>
      </c>
      <c r="E28" s="190">
        <v>946000000</v>
      </c>
      <c r="F28" s="190">
        <v>853000000</v>
      </c>
      <c r="G28" s="190">
        <v>331000000</v>
      </c>
      <c r="H28" s="190">
        <v>42000000</v>
      </c>
      <c r="I28" s="190">
        <v>343000000</v>
      </c>
      <c r="J28" s="190">
        <v>202000000</v>
      </c>
      <c r="K28" s="190">
        <v>192000000</v>
      </c>
      <c r="L28" s="190">
        <v>72000000</v>
      </c>
      <c r="M28" s="190">
        <v>105477000000</v>
      </c>
      <c r="N28" s="190">
        <v>105681000000</v>
      </c>
      <c r="O28" s="190">
        <v>105144000000</v>
      </c>
      <c r="P28" s="190">
        <v>105089000000</v>
      </c>
      <c r="Q28" s="190">
        <v>4128000000</v>
      </c>
      <c r="R28" s="190">
        <v>2701000000</v>
      </c>
      <c r="S28" s="190">
        <v>2441000000</v>
      </c>
      <c r="T28" s="190">
        <v>2312000000</v>
      </c>
      <c r="U28" s="190">
        <v>32102000000</v>
      </c>
      <c r="V28" s="190">
        <v>31709000000</v>
      </c>
      <c r="W28" s="190">
        <v>22259000000</v>
      </c>
      <c r="X28" s="190">
        <v>20363000000</v>
      </c>
      <c r="Y28" s="190">
        <v>1474000000</v>
      </c>
      <c r="Z28" s="190">
        <v>931000000</v>
      </c>
      <c r="AA28" s="190">
        <v>936000000</v>
      </c>
      <c r="AB28" s="190">
        <v>57000000</v>
      </c>
      <c r="AC28" s="190">
        <v>117000000</v>
      </c>
      <c r="AD28" s="190">
        <v>22000000</v>
      </c>
      <c r="AE28" s="190">
        <v>22000000</v>
      </c>
      <c r="AF28" s="190">
        <v>48000000</v>
      </c>
      <c r="AG28" s="190">
        <v>408000000</v>
      </c>
      <c r="AH28" s="190">
        <v>127000000</v>
      </c>
      <c r="AI28" s="190">
        <v>49000000</v>
      </c>
      <c r="AJ28" s="190">
        <v>2000000</v>
      </c>
      <c r="AK28" s="190">
        <v>0</v>
      </c>
      <c r="AL28" s="190">
        <v>369000000</v>
      </c>
      <c r="AM28" s="190">
        <v>31304000000</v>
      </c>
      <c r="AN28" s="190">
        <v>123000000</v>
      </c>
      <c r="AO28" s="190">
        <v>45987000000</v>
      </c>
      <c r="AP28" s="190">
        <v>30915000000</v>
      </c>
      <c r="AQ28" s="190">
        <v>1065000000</v>
      </c>
      <c r="AR28" s="190">
        <v>582000000</v>
      </c>
      <c r="AS28" s="190">
        <v>12623000000</v>
      </c>
      <c r="AT28" s="190">
        <v>1052000000</v>
      </c>
      <c r="AU28" s="190">
        <v>194000000</v>
      </c>
      <c r="AV28" s="190">
        <v>3000000</v>
      </c>
      <c r="AW28" s="190">
        <v>23944000000</v>
      </c>
      <c r="AX28" s="190">
        <v>10969000000</v>
      </c>
      <c r="AY28" s="190">
        <v>10928000000</v>
      </c>
      <c r="AZ28" s="190">
        <v>0</v>
      </c>
      <c r="BA28" s="190">
        <v>10004000000</v>
      </c>
      <c r="BB28" s="190">
        <v>129000000</v>
      </c>
      <c r="BC28" s="190">
        <v>86000000</v>
      </c>
      <c r="BD28" s="190">
        <v>171000000</v>
      </c>
      <c r="BE28" s="190">
        <v>1008000000</v>
      </c>
      <c r="BF28" s="190">
        <v>147000000</v>
      </c>
      <c r="BG28" s="190">
        <v>92000000</v>
      </c>
      <c r="BH28" s="190">
        <v>36000000</v>
      </c>
      <c r="BI28" s="190">
        <v>580000000</v>
      </c>
      <c r="BJ28" s="190">
        <v>19000000</v>
      </c>
      <c r="BK28" s="190">
        <v>12000000</v>
      </c>
      <c r="BL28" s="190">
        <v>142000000</v>
      </c>
      <c r="BM28" s="190">
        <v>230000000</v>
      </c>
      <c r="BN28" s="190">
        <v>182000000</v>
      </c>
      <c r="BO28" s="190">
        <v>12170000000</v>
      </c>
      <c r="BP28" s="190">
        <v>0</v>
      </c>
      <c r="BQ28" s="190">
        <v>25802000000</v>
      </c>
      <c r="BR28" s="190">
        <v>0</v>
      </c>
    </row>
    <row r="29" spans="1:70" x14ac:dyDescent="0.25">
      <c r="A29" s="190" t="s">
        <v>245</v>
      </c>
      <c r="B29" s="190">
        <v>868000000</v>
      </c>
      <c r="C29" s="190">
        <v>502000000</v>
      </c>
      <c r="D29" s="190">
        <v>70000000</v>
      </c>
      <c r="E29" s="190">
        <v>946000000</v>
      </c>
      <c r="F29" s="190">
        <v>853000000</v>
      </c>
      <c r="G29" s="190">
        <v>331000000</v>
      </c>
      <c r="H29" s="190">
        <v>42000000</v>
      </c>
      <c r="I29" s="190">
        <v>343000000</v>
      </c>
      <c r="J29" s="190">
        <v>202000000</v>
      </c>
      <c r="K29" s="190">
        <v>192000000</v>
      </c>
      <c r="L29" s="190">
        <v>2000000</v>
      </c>
      <c r="M29" s="190">
        <v>105477000000</v>
      </c>
      <c r="N29" s="190">
        <v>105681000000</v>
      </c>
      <c r="O29" s="190">
        <v>105144000000</v>
      </c>
      <c r="P29" s="190">
        <v>105089000000</v>
      </c>
      <c r="Q29" s="190">
        <v>4120000000</v>
      </c>
      <c r="R29" s="190">
        <v>2701000000</v>
      </c>
      <c r="S29" s="190">
        <v>2441000000</v>
      </c>
      <c r="T29" s="190">
        <v>2312000000</v>
      </c>
      <c r="U29" s="190">
        <v>12696000000</v>
      </c>
      <c r="V29" s="190">
        <v>12303000000</v>
      </c>
      <c r="W29" s="190">
        <v>2853000000</v>
      </c>
      <c r="X29" s="190">
        <v>954000000</v>
      </c>
      <c r="Y29" s="190">
        <v>1474000000</v>
      </c>
      <c r="Z29" s="190">
        <v>0</v>
      </c>
      <c r="AA29" s="190">
        <v>0</v>
      </c>
      <c r="AB29" s="190">
        <v>0</v>
      </c>
      <c r="AC29" s="190">
        <v>0</v>
      </c>
      <c r="AD29" s="190">
        <v>22000000</v>
      </c>
      <c r="AE29" s="190">
        <v>22000000</v>
      </c>
      <c r="AF29" s="190">
        <v>0</v>
      </c>
      <c r="AG29" s="190">
        <v>0</v>
      </c>
      <c r="AH29" s="190">
        <v>0</v>
      </c>
      <c r="AI29" s="190">
        <v>47000000</v>
      </c>
      <c r="AJ29" s="190">
        <v>0</v>
      </c>
      <c r="AK29" s="190">
        <v>0</v>
      </c>
      <c r="AL29" s="190">
        <v>0</v>
      </c>
      <c r="AM29" s="190">
        <v>0</v>
      </c>
      <c r="AN29" s="190">
        <v>0</v>
      </c>
      <c r="AO29" s="190">
        <v>0</v>
      </c>
      <c r="AP29" s="190">
        <v>0</v>
      </c>
      <c r="AQ29" s="190">
        <v>0</v>
      </c>
      <c r="AR29" s="190">
        <v>0</v>
      </c>
      <c r="AS29" s="190">
        <v>0</v>
      </c>
      <c r="AT29" s="190">
        <v>0</v>
      </c>
      <c r="AU29" s="190">
        <v>194000000</v>
      </c>
      <c r="AV29" s="190">
        <v>0</v>
      </c>
      <c r="AW29" s="190">
        <v>1255000000</v>
      </c>
      <c r="AX29" s="190">
        <v>123000000</v>
      </c>
      <c r="AY29" s="190">
        <v>82000000</v>
      </c>
      <c r="AZ29" s="190">
        <v>0</v>
      </c>
      <c r="BA29" s="190">
        <v>0</v>
      </c>
      <c r="BB29" s="190">
        <v>0</v>
      </c>
      <c r="BC29" s="190">
        <v>0</v>
      </c>
      <c r="BD29" s="190">
        <v>0</v>
      </c>
      <c r="BE29" s="190">
        <v>0</v>
      </c>
      <c r="BF29" s="190">
        <v>0</v>
      </c>
      <c r="BG29" s="190">
        <v>0</v>
      </c>
      <c r="BH29" s="190">
        <v>0</v>
      </c>
      <c r="BI29" s="190">
        <v>0</v>
      </c>
      <c r="BJ29" s="190">
        <v>0</v>
      </c>
      <c r="BK29" s="190">
        <v>0</v>
      </c>
      <c r="BL29" s="190">
        <v>0</v>
      </c>
      <c r="BM29" s="190">
        <v>0</v>
      </c>
      <c r="BN29" s="190">
        <v>0</v>
      </c>
      <c r="BO29" s="190">
        <v>287000000</v>
      </c>
      <c r="BP29" s="190">
        <v>0</v>
      </c>
      <c r="BQ29" s="190">
        <v>0</v>
      </c>
      <c r="BR29" s="190">
        <v>0</v>
      </c>
    </row>
    <row r="30" spans="1:70" x14ac:dyDescent="0.25">
      <c r="A30" s="190" t="s">
        <v>246</v>
      </c>
      <c r="B30" s="190">
        <v>526630000000</v>
      </c>
      <c r="C30" s="190">
        <v>317798000000</v>
      </c>
      <c r="D30" s="190">
        <v>126432000000</v>
      </c>
      <c r="E30" s="190">
        <v>524843000000</v>
      </c>
      <c r="F30" s="190">
        <v>361470000000</v>
      </c>
      <c r="G30" s="190">
        <v>269008000000</v>
      </c>
      <c r="H30" s="190">
        <v>139881000000</v>
      </c>
      <c r="I30" s="190">
        <v>506097000000</v>
      </c>
      <c r="J30" s="190">
        <v>401057000000</v>
      </c>
      <c r="K30" s="190">
        <v>262851000000</v>
      </c>
      <c r="L30" s="190">
        <v>147150000000</v>
      </c>
      <c r="M30" s="190">
        <v>1090241000000</v>
      </c>
      <c r="N30" s="190">
        <v>863620000000</v>
      </c>
      <c r="O30" s="190">
        <v>613159000000</v>
      </c>
      <c r="P30" s="190">
        <v>326634000000</v>
      </c>
      <c r="Q30" s="190">
        <v>1128447000000</v>
      </c>
      <c r="R30" s="190">
        <v>799899000000</v>
      </c>
      <c r="S30" s="190">
        <v>551031000000</v>
      </c>
      <c r="T30" s="190">
        <v>290155000000</v>
      </c>
      <c r="U30" s="190">
        <v>1142890000000</v>
      </c>
      <c r="V30" s="190">
        <v>875342000000</v>
      </c>
      <c r="W30" s="190">
        <v>550958000000</v>
      </c>
      <c r="X30" s="190">
        <v>264709000000</v>
      </c>
      <c r="Y30" s="190">
        <v>850317000000</v>
      </c>
      <c r="Z30" s="190">
        <v>594940000000</v>
      </c>
      <c r="AA30" s="190">
        <v>388230000000</v>
      </c>
      <c r="AB30" s="190">
        <v>198307000000</v>
      </c>
      <c r="AC30" s="190">
        <v>536397000000</v>
      </c>
      <c r="AD30" s="190">
        <v>454510000000</v>
      </c>
      <c r="AE30" s="190">
        <v>277196000000</v>
      </c>
      <c r="AF30" s="190">
        <v>145791000000</v>
      </c>
      <c r="AG30" s="190">
        <v>663491000000</v>
      </c>
      <c r="AH30" s="190">
        <v>539075000000</v>
      </c>
      <c r="AI30" s="190">
        <v>411657000000</v>
      </c>
      <c r="AJ30" s="190">
        <v>0</v>
      </c>
      <c r="AK30" s="190">
        <v>779987000000</v>
      </c>
      <c r="AL30" s="190">
        <v>535498000000</v>
      </c>
      <c r="AM30" s="190">
        <v>331561000000</v>
      </c>
      <c r="AN30" s="190">
        <v>157271000000</v>
      </c>
      <c r="AO30" s="190">
        <v>1147279000000</v>
      </c>
      <c r="AP30" s="190">
        <v>776258000000</v>
      </c>
      <c r="AQ30" s="190">
        <v>431302000000</v>
      </c>
      <c r="AR30" s="190">
        <v>266810000000</v>
      </c>
      <c r="AS30" s="190">
        <v>768039000000</v>
      </c>
      <c r="AT30" s="190">
        <v>542990000000</v>
      </c>
      <c r="AU30" s="190">
        <v>312612000000</v>
      </c>
      <c r="AV30" s="190">
        <v>146284000000</v>
      </c>
      <c r="AW30" s="190">
        <v>763858000000</v>
      </c>
      <c r="AX30" s="190">
        <v>446277000000</v>
      </c>
      <c r="AY30" s="190">
        <v>342665000000</v>
      </c>
      <c r="AZ30" s="190">
        <v>199547000000</v>
      </c>
      <c r="BA30" s="190">
        <v>550557000000</v>
      </c>
      <c r="BB30" s="190">
        <v>442650000000</v>
      </c>
      <c r="BC30" s="190">
        <v>295108000000</v>
      </c>
      <c r="BD30" s="190">
        <v>114822000000</v>
      </c>
      <c r="BE30" s="190">
        <v>391832000000</v>
      </c>
      <c r="BF30" s="190">
        <v>213589000000</v>
      </c>
      <c r="BG30" s="190">
        <v>161977000000</v>
      </c>
      <c r="BH30" s="190">
        <v>59442000000</v>
      </c>
      <c r="BI30" s="190">
        <v>228654000000</v>
      </c>
      <c r="BJ30" s="190">
        <v>145418000000</v>
      </c>
      <c r="BK30" s="190">
        <v>103722000000</v>
      </c>
      <c r="BL30" s="190">
        <v>62840000000</v>
      </c>
      <c r="BM30" s="190">
        <v>252675000000</v>
      </c>
      <c r="BN30" s="190">
        <v>132662000000</v>
      </c>
      <c r="BO30" s="190">
        <v>258928000000</v>
      </c>
      <c r="BP30" s="190">
        <v>120329000000</v>
      </c>
      <c r="BQ30" s="190">
        <v>130040000000</v>
      </c>
      <c r="BR30" s="190">
        <v>0</v>
      </c>
    </row>
    <row r="31" spans="1:70" x14ac:dyDescent="0.25">
      <c r="A31" s="190" t="s">
        <v>247</v>
      </c>
      <c r="B31" s="190">
        <v>0</v>
      </c>
      <c r="C31" s="190">
        <v>0</v>
      </c>
      <c r="D31" s="190">
        <v>0</v>
      </c>
      <c r="E31" s="190">
        <v>0</v>
      </c>
      <c r="F31" s="190">
        <v>0</v>
      </c>
      <c r="G31" s="190">
        <v>0</v>
      </c>
      <c r="H31" s="190">
        <v>0</v>
      </c>
      <c r="I31" s="190">
        <v>0</v>
      </c>
      <c r="J31" s="190">
        <v>0</v>
      </c>
      <c r="K31" s="190">
        <v>0</v>
      </c>
      <c r="L31" s="190">
        <v>0</v>
      </c>
      <c r="M31" s="190">
        <v>0</v>
      </c>
      <c r="N31" s="190">
        <v>0</v>
      </c>
      <c r="O31" s="190">
        <v>0</v>
      </c>
      <c r="P31" s="190">
        <v>0</v>
      </c>
      <c r="Q31" s="190">
        <v>0</v>
      </c>
      <c r="R31" s="190">
        <v>0</v>
      </c>
      <c r="S31" s="190">
        <v>0</v>
      </c>
      <c r="T31" s="190">
        <v>0</v>
      </c>
      <c r="U31" s="190">
        <v>0</v>
      </c>
      <c r="V31" s="190">
        <v>0</v>
      </c>
      <c r="W31" s="190">
        <v>0</v>
      </c>
      <c r="X31" s="190">
        <v>0</v>
      </c>
      <c r="Y31" s="190">
        <v>80000000000</v>
      </c>
      <c r="Z31" s="190">
        <v>55000000000</v>
      </c>
      <c r="AA31" s="190">
        <v>50000000000</v>
      </c>
      <c r="AB31" s="190">
        <v>30000000000</v>
      </c>
      <c r="AC31" s="190">
        <v>27889000000</v>
      </c>
      <c r="AD31" s="190">
        <v>27889000000</v>
      </c>
      <c r="AE31" s="190">
        <v>27889000000</v>
      </c>
      <c r="AF31" s="190">
        <v>27889000000</v>
      </c>
      <c r="AG31" s="190">
        <v>21000000000</v>
      </c>
      <c r="AH31" s="190">
        <v>21000000000</v>
      </c>
      <c r="AI31" s="190">
        <v>21000000000</v>
      </c>
      <c r="AJ31" s="190">
        <v>276801000000</v>
      </c>
      <c r="AK31" s="190">
        <v>61000000000</v>
      </c>
      <c r="AL31" s="190">
        <v>46000000000</v>
      </c>
      <c r="AM31" s="190">
        <v>0</v>
      </c>
      <c r="AN31" s="190">
        <v>0</v>
      </c>
      <c r="AO31" s="190">
        <v>0</v>
      </c>
      <c r="AP31" s="190">
        <v>0</v>
      </c>
      <c r="AQ31" s="190">
        <v>29850000000</v>
      </c>
      <c r="AR31" s="190">
        <v>29850000000</v>
      </c>
      <c r="AS31" s="190">
        <v>35000000000</v>
      </c>
      <c r="AT31" s="190">
        <v>16368000000</v>
      </c>
      <c r="AU31" s="190">
        <v>16368000000</v>
      </c>
      <c r="AV31" s="190">
        <v>0</v>
      </c>
      <c r="AW31" s="190">
        <v>0</v>
      </c>
      <c r="AX31" s="190">
        <v>0</v>
      </c>
      <c r="AY31" s="190">
        <v>0</v>
      </c>
      <c r="AZ31" s="190">
        <v>0</v>
      </c>
      <c r="BA31" s="190">
        <v>0</v>
      </c>
      <c r="BB31" s="190">
        <v>0</v>
      </c>
      <c r="BC31" s="190">
        <v>0</v>
      </c>
      <c r="BD31" s="190">
        <v>0</v>
      </c>
      <c r="BE31" s="190">
        <v>0</v>
      </c>
      <c r="BF31" s="190">
        <v>0</v>
      </c>
      <c r="BG31" s="190">
        <v>0</v>
      </c>
      <c r="BH31" s="190">
        <v>0</v>
      </c>
      <c r="BI31" s="190">
        <v>0</v>
      </c>
      <c r="BJ31" s="190">
        <v>0</v>
      </c>
      <c r="BK31" s="190">
        <v>0</v>
      </c>
      <c r="BL31" s="190">
        <v>0</v>
      </c>
      <c r="BM31" s="190">
        <v>0</v>
      </c>
      <c r="BN31" s="190">
        <v>0</v>
      </c>
      <c r="BO31" s="190">
        <v>0</v>
      </c>
      <c r="BP31" s="190">
        <v>0</v>
      </c>
      <c r="BQ31" s="190">
        <v>0</v>
      </c>
      <c r="BR31" s="190">
        <v>0</v>
      </c>
    </row>
    <row r="32" spans="1:70" x14ac:dyDescent="0.25">
      <c r="A32" s="190" t="s">
        <v>248</v>
      </c>
      <c r="B32" s="190">
        <v>0</v>
      </c>
      <c r="C32" s="190">
        <v>0</v>
      </c>
      <c r="D32" s="190">
        <v>0</v>
      </c>
      <c r="E32" s="190">
        <v>0</v>
      </c>
      <c r="F32" s="190">
        <v>0</v>
      </c>
      <c r="G32" s="190">
        <v>0</v>
      </c>
      <c r="H32" s="190">
        <v>0</v>
      </c>
      <c r="I32" s="190">
        <v>0</v>
      </c>
      <c r="J32" s="190">
        <v>0</v>
      </c>
      <c r="K32" s="190">
        <v>0</v>
      </c>
      <c r="L32" s="190">
        <v>0</v>
      </c>
      <c r="M32" s="190">
        <v>0</v>
      </c>
      <c r="N32" s="190">
        <v>0</v>
      </c>
      <c r="O32" s="190">
        <v>0</v>
      </c>
      <c r="P32" s="190">
        <v>0</v>
      </c>
      <c r="Q32" s="190">
        <v>0</v>
      </c>
      <c r="R32" s="190">
        <v>0</v>
      </c>
      <c r="S32" s="190">
        <v>0</v>
      </c>
      <c r="T32" s="190">
        <v>0</v>
      </c>
      <c r="U32" s="190">
        <v>0</v>
      </c>
      <c r="V32" s="190">
        <v>0</v>
      </c>
      <c r="W32" s="190">
        <v>0</v>
      </c>
      <c r="X32" s="190">
        <v>0</v>
      </c>
      <c r="Y32" s="190">
        <v>0</v>
      </c>
      <c r="Z32" s="190">
        <v>0</v>
      </c>
      <c r="AA32" s="190">
        <v>0</v>
      </c>
      <c r="AB32" s="190">
        <v>0</v>
      </c>
      <c r="AC32" s="190">
        <v>0</v>
      </c>
      <c r="AD32" s="190">
        <v>0</v>
      </c>
      <c r="AE32" s="190">
        <v>0</v>
      </c>
      <c r="AF32" s="190">
        <v>0</v>
      </c>
      <c r="AG32" s="190">
        <v>2000000</v>
      </c>
      <c r="AH32" s="190">
        <v>0</v>
      </c>
      <c r="AI32" s="190">
        <v>0</v>
      </c>
      <c r="AJ32" s="190">
        <v>0</v>
      </c>
      <c r="AK32" s="190">
        <v>714000000</v>
      </c>
      <c r="AL32" s="190">
        <v>0</v>
      </c>
      <c r="AM32" s="190">
        <v>0</v>
      </c>
      <c r="AN32" s="190">
        <v>10000000000</v>
      </c>
      <c r="AO32" s="190">
        <v>0</v>
      </c>
      <c r="AP32" s="190">
        <v>0</v>
      </c>
      <c r="AQ32" s="190">
        <v>0</v>
      </c>
      <c r="AR32" s="190">
        <v>0</v>
      </c>
      <c r="AS32" s="190">
        <v>0</v>
      </c>
      <c r="AT32" s="190">
        <v>0</v>
      </c>
      <c r="AU32" s="190">
        <v>0</v>
      </c>
      <c r="AV32" s="190">
        <v>0</v>
      </c>
      <c r="AW32" s="190">
        <v>0</v>
      </c>
      <c r="AX32" s="190">
        <v>0</v>
      </c>
      <c r="AY32" s="190">
        <v>0</v>
      </c>
      <c r="AZ32" s="190">
        <v>0</v>
      </c>
      <c r="BA32" s="190">
        <v>0</v>
      </c>
      <c r="BB32" s="190">
        <v>0</v>
      </c>
      <c r="BC32" s="190">
        <v>0</v>
      </c>
      <c r="BD32" s="190">
        <v>0</v>
      </c>
      <c r="BE32" s="190">
        <v>0</v>
      </c>
      <c r="BF32" s="190">
        <v>2380000000</v>
      </c>
      <c r="BG32" s="190">
        <v>0</v>
      </c>
      <c r="BH32" s="190">
        <v>0</v>
      </c>
      <c r="BI32" s="190">
        <v>1450000000</v>
      </c>
      <c r="BJ32" s="190">
        <v>0</v>
      </c>
      <c r="BK32" s="190">
        <v>0</v>
      </c>
      <c r="BL32" s="190">
        <v>0</v>
      </c>
      <c r="BM32" s="190">
        <v>0</v>
      </c>
      <c r="BN32" s="190">
        <v>0</v>
      </c>
      <c r="BO32" s="190">
        <v>0</v>
      </c>
      <c r="BP32" s="190">
        <v>0</v>
      </c>
      <c r="BQ32" s="190">
        <v>0</v>
      </c>
      <c r="BR32" s="190">
        <v>0</v>
      </c>
    </row>
    <row r="33" spans="1:70" x14ac:dyDescent="0.25">
      <c r="A33" s="190" t="s">
        <v>249</v>
      </c>
      <c r="B33" s="190">
        <v>527504000000</v>
      </c>
      <c r="C33" s="190">
        <v>318300000000</v>
      </c>
      <c r="D33" s="190">
        <v>126502000000</v>
      </c>
      <c r="E33" s="190">
        <v>525789000000</v>
      </c>
      <c r="F33" s="190">
        <v>362323000000</v>
      </c>
      <c r="G33" s="190">
        <v>269339000000</v>
      </c>
      <c r="H33" s="190">
        <v>139923000000</v>
      </c>
      <c r="I33" s="190">
        <v>506440000000</v>
      </c>
      <c r="J33" s="190">
        <v>401259000000</v>
      </c>
      <c r="K33" s="190">
        <v>263043000000</v>
      </c>
      <c r="L33" s="190">
        <v>147222000000</v>
      </c>
      <c r="M33" s="190">
        <v>1195718000000</v>
      </c>
      <c r="N33" s="190">
        <v>969301000000</v>
      </c>
      <c r="O33" s="190">
        <v>718303000000</v>
      </c>
      <c r="P33" s="190">
        <v>431723000000</v>
      </c>
      <c r="Q33" s="190">
        <v>1132575000000</v>
      </c>
      <c r="R33" s="190">
        <v>802600000000</v>
      </c>
      <c r="S33" s="190">
        <v>553472000000</v>
      </c>
      <c r="T33" s="190">
        <v>292467000000</v>
      </c>
      <c r="U33" s="190">
        <v>1174992000000</v>
      </c>
      <c r="V33" s="190">
        <v>907051000000</v>
      </c>
      <c r="W33" s="190">
        <v>573217000000</v>
      </c>
      <c r="X33" s="190">
        <v>285072000000</v>
      </c>
      <c r="Y33" s="190">
        <v>931791000000</v>
      </c>
      <c r="Z33" s="190">
        <v>650871000000</v>
      </c>
      <c r="AA33" s="190">
        <v>439166000000</v>
      </c>
      <c r="AB33" s="190">
        <v>228364000000</v>
      </c>
      <c r="AC33" s="190">
        <v>564403000000</v>
      </c>
      <c r="AD33" s="190">
        <v>482421000000</v>
      </c>
      <c r="AE33" s="190">
        <v>305107000000</v>
      </c>
      <c r="AF33" s="190">
        <v>173728000000</v>
      </c>
      <c r="AG33" s="190">
        <v>684901000000</v>
      </c>
      <c r="AH33" s="190">
        <v>560202000000</v>
      </c>
      <c r="AI33" s="190">
        <v>432706000000</v>
      </c>
      <c r="AJ33" s="190">
        <v>276803000000</v>
      </c>
      <c r="AK33" s="190">
        <v>841701000000</v>
      </c>
      <c r="AL33" s="190">
        <v>581867000000</v>
      </c>
      <c r="AM33" s="190">
        <v>362865000000</v>
      </c>
      <c r="AN33" s="190">
        <v>167394000000</v>
      </c>
      <c r="AO33" s="190">
        <v>1193266000000</v>
      </c>
      <c r="AP33" s="190">
        <v>807173000000</v>
      </c>
      <c r="AQ33" s="190">
        <v>462217000000</v>
      </c>
      <c r="AR33" s="190">
        <v>297242000000</v>
      </c>
      <c r="AS33" s="190">
        <v>815662000000</v>
      </c>
      <c r="AT33" s="190">
        <v>560410000000</v>
      </c>
      <c r="AU33" s="190">
        <v>329174000000</v>
      </c>
      <c r="AV33" s="190">
        <v>146287000000</v>
      </c>
      <c r="AW33" s="190">
        <v>787802000000</v>
      </c>
      <c r="AX33" s="190">
        <v>457246000000</v>
      </c>
      <c r="AY33" s="190">
        <v>353593000000</v>
      </c>
      <c r="AZ33" s="190">
        <v>199547000000</v>
      </c>
      <c r="BA33" s="190">
        <v>564515000000</v>
      </c>
      <c r="BB33" s="190">
        <v>442779000000</v>
      </c>
      <c r="BC33" s="190">
        <v>295194000000</v>
      </c>
      <c r="BD33" s="190">
        <v>114993000000</v>
      </c>
      <c r="BE33" s="190">
        <v>399326000000</v>
      </c>
      <c r="BF33" s="190">
        <v>219588000000</v>
      </c>
      <c r="BG33" s="190">
        <v>165541000000</v>
      </c>
      <c r="BH33" s="190">
        <v>64481000000</v>
      </c>
      <c r="BI33" s="190">
        <v>230684000000</v>
      </c>
      <c r="BJ33" s="190">
        <v>145437000000</v>
      </c>
      <c r="BK33" s="190">
        <v>103734000000</v>
      </c>
      <c r="BL33" s="190">
        <v>62982000000</v>
      </c>
      <c r="BM33" s="190">
        <v>252905000000</v>
      </c>
      <c r="BN33" s="190">
        <v>132844000000</v>
      </c>
      <c r="BO33" s="190">
        <v>271098000000</v>
      </c>
      <c r="BP33" s="190">
        <v>120329000000</v>
      </c>
      <c r="BQ33" s="190">
        <v>155842000000</v>
      </c>
      <c r="BR33" s="190">
        <v>0</v>
      </c>
    </row>
    <row r="34" spans="1:70" x14ac:dyDescent="0.25">
      <c r="A34" s="190" t="s">
        <v>250</v>
      </c>
      <c r="B34" s="190">
        <v>517451000000</v>
      </c>
      <c r="C34" s="190">
        <v>308961000000</v>
      </c>
      <c r="D34" s="190">
        <v>118865000000</v>
      </c>
      <c r="E34" s="190">
        <v>536380000000</v>
      </c>
      <c r="F34" s="190">
        <v>371045000000</v>
      </c>
      <c r="G34" s="190">
        <v>279559000000</v>
      </c>
      <c r="H34" s="190">
        <v>144028000000</v>
      </c>
      <c r="I34" s="190">
        <v>569091000000</v>
      </c>
      <c r="J34" s="190">
        <v>453475000000</v>
      </c>
      <c r="K34" s="190">
        <v>293977000000</v>
      </c>
      <c r="L34" s="190">
        <v>157930000000</v>
      </c>
      <c r="M34" s="190">
        <v>1152837000000</v>
      </c>
      <c r="N34" s="190">
        <v>933811000000</v>
      </c>
      <c r="O34" s="190">
        <v>648938000000</v>
      </c>
      <c r="P34" s="190">
        <v>337583000000</v>
      </c>
      <c r="Q34" s="190">
        <v>1114481000000</v>
      </c>
      <c r="R34" s="190">
        <v>782212000000</v>
      </c>
      <c r="S34" s="190">
        <v>527717000000</v>
      </c>
      <c r="T34" s="190">
        <v>260689000000</v>
      </c>
      <c r="U34" s="190">
        <v>1105457000000</v>
      </c>
      <c r="V34" s="190">
        <v>827880000000</v>
      </c>
      <c r="W34" s="190">
        <v>519985000000</v>
      </c>
      <c r="X34" s="190">
        <v>237167000000</v>
      </c>
      <c r="Y34" s="190">
        <v>888567000000</v>
      </c>
      <c r="Z34" s="190">
        <v>40000000000</v>
      </c>
      <c r="AA34" s="190">
        <v>30000000000</v>
      </c>
      <c r="AB34" s="190">
        <v>161661000000</v>
      </c>
      <c r="AC34" s="190">
        <v>538703000000</v>
      </c>
      <c r="AD34" s="190">
        <v>458782000000</v>
      </c>
      <c r="AE34" s="190">
        <v>273694000000</v>
      </c>
      <c r="AF34" s="190">
        <v>147888000000</v>
      </c>
      <c r="AG34" s="190">
        <v>703804000000</v>
      </c>
      <c r="AH34" s="190">
        <v>16000000000</v>
      </c>
      <c r="AI34" s="190">
        <v>424599000000</v>
      </c>
      <c r="AJ34" s="190">
        <v>271690000000</v>
      </c>
      <c r="AK34" s="190">
        <v>860103000000</v>
      </c>
      <c r="AL34" s="190">
        <v>599758000000</v>
      </c>
      <c r="AM34" s="190">
        <v>392638000000</v>
      </c>
      <c r="AN34" s="190">
        <v>198725000000</v>
      </c>
      <c r="AO34" s="190">
        <v>1135333000000</v>
      </c>
      <c r="AP34" s="190">
        <v>709847000000</v>
      </c>
      <c r="AQ34" s="190">
        <v>406247000000</v>
      </c>
      <c r="AR34" s="190">
        <v>264294000000</v>
      </c>
      <c r="AS34" s="190">
        <v>800793000000</v>
      </c>
      <c r="AT34" s="190">
        <v>570152000000</v>
      </c>
      <c r="AU34" s="190">
        <v>328224000000</v>
      </c>
      <c r="AV34" s="190">
        <v>147718000000</v>
      </c>
      <c r="AW34" s="190">
        <v>774979000000</v>
      </c>
      <c r="AX34" s="190">
        <v>425965000000</v>
      </c>
      <c r="AY34" s="190">
        <v>322086000000</v>
      </c>
      <c r="AZ34" s="190">
        <v>187704000000</v>
      </c>
      <c r="BA34" s="190">
        <v>557432000000</v>
      </c>
      <c r="BB34" s="190">
        <v>428636000000</v>
      </c>
      <c r="BC34" s="190">
        <v>281804000000</v>
      </c>
      <c r="BD34" s="190">
        <v>110626000000</v>
      </c>
      <c r="BE34" s="190">
        <v>377855000000</v>
      </c>
      <c r="BF34" s="190">
        <v>201926000000</v>
      </c>
      <c r="BG34" s="190">
        <v>150838000000</v>
      </c>
      <c r="BH34" s="190">
        <v>57534000000</v>
      </c>
      <c r="BI34" s="190">
        <v>235175000000</v>
      </c>
      <c r="BJ34" s="190">
        <v>150655000000</v>
      </c>
      <c r="BK34" s="190">
        <v>102642000000</v>
      </c>
      <c r="BL34" s="190">
        <v>62550000000</v>
      </c>
      <c r="BM34" s="190">
        <v>258343000000</v>
      </c>
      <c r="BN34" s="190">
        <v>136836000000</v>
      </c>
      <c r="BO34" s="190">
        <v>272410000000</v>
      </c>
      <c r="BP34" s="190">
        <v>105196000000</v>
      </c>
      <c r="BQ34" s="190">
        <v>121104000000</v>
      </c>
      <c r="BR34" s="190">
        <v>0</v>
      </c>
    </row>
    <row r="35" spans="1:70" x14ac:dyDescent="0.25">
      <c r="A35" s="190" t="s">
        <v>551</v>
      </c>
      <c r="B35" s="190">
        <v>85928000000</v>
      </c>
      <c r="C35" s="190">
        <v>58634000000</v>
      </c>
      <c r="D35" s="190">
        <v>1173000000</v>
      </c>
      <c r="E35" s="190">
        <v>45763000000</v>
      </c>
      <c r="F35" s="190">
        <v>41494000000</v>
      </c>
      <c r="G35" s="190">
        <v>5818000000</v>
      </c>
      <c r="H35" s="190">
        <v>1026000000</v>
      </c>
      <c r="I35" s="190">
        <v>30396000000</v>
      </c>
      <c r="J35" s="190">
        <v>26352000000</v>
      </c>
      <c r="K35" s="190">
        <v>14996000000</v>
      </c>
      <c r="L35" s="190">
        <v>3379000000</v>
      </c>
      <c r="M35" s="190">
        <v>33571000000</v>
      </c>
      <c r="N35" s="190">
        <v>30726000000</v>
      </c>
      <c r="O35" s="190">
        <v>18326000000</v>
      </c>
      <c r="P35" s="190">
        <v>1144000000</v>
      </c>
      <c r="Q35" s="190">
        <v>39494000000</v>
      </c>
      <c r="R35" s="190">
        <v>36742000000</v>
      </c>
      <c r="S35" s="190">
        <v>23206000000</v>
      </c>
      <c r="T35" s="190">
        <v>1319000000</v>
      </c>
      <c r="U35" s="190">
        <v>37967000000</v>
      </c>
      <c r="V35" s="190">
        <v>35283000000</v>
      </c>
      <c r="W35" s="190">
        <v>18556000000</v>
      </c>
      <c r="X35" s="190">
        <v>944000000</v>
      </c>
      <c r="Y35" s="190">
        <v>37596000000</v>
      </c>
      <c r="Z35" s="190">
        <v>29605000000</v>
      </c>
      <c r="AA35" s="190">
        <v>21925000000</v>
      </c>
      <c r="AB35" s="190">
        <v>1657000000</v>
      </c>
      <c r="AC35" s="190">
        <v>28216000000</v>
      </c>
      <c r="AD35" s="190">
        <v>25980000000</v>
      </c>
      <c r="AE35" s="190">
        <v>15283000000</v>
      </c>
      <c r="AF35" s="190">
        <v>1768000000</v>
      </c>
      <c r="AG35" s="190">
        <v>23130000000</v>
      </c>
      <c r="AH35" s="190">
        <v>21639000000</v>
      </c>
      <c r="AI35" s="190">
        <v>13260000000</v>
      </c>
      <c r="AJ35" s="190">
        <v>2424000000</v>
      </c>
      <c r="AK35" s="190">
        <v>22052000000</v>
      </c>
      <c r="AL35" s="190">
        <v>13465000000</v>
      </c>
      <c r="AM35" s="190">
        <v>8065000000</v>
      </c>
      <c r="AN35" s="190">
        <v>2409000000</v>
      </c>
      <c r="AO35" s="190">
        <v>25055000000</v>
      </c>
      <c r="AP35" s="190">
        <v>20449000000</v>
      </c>
      <c r="AQ35" s="190">
        <v>15212000000</v>
      </c>
      <c r="AR35" s="190">
        <v>2408000000</v>
      </c>
      <c r="AS35" s="190">
        <v>21468000000</v>
      </c>
      <c r="AT35" s="190">
        <v>20020000000</v>
      </c>
      <c r="AU35" s="190">
        <v>13411000000</v>
      </c>
      <c r="AV35" s="190">
        <v>1810000000</v>
      </c>
      <c r="AW35" s="190">
        <v>20819000000</v>
      </c>
      <c r="AX35" s="190">
        <v>15148000000</v>
      </c>
      <c r="AY35" s="190">
        <v>6492000000</v>
      </c>
      <c r="AZ35" s="190">
        <v>1756000000</v>
      </c>
      <c r="BA35" s="190">
        <v>18976000000</v>
      </c>
      <c r="BB35" s="190">
        <v>13667000000</v>
      </c>
      <c r="BC35" s="190">
        <v>6029000000</v>
      </c>
      <c r="BD35" s="190">
        <v>1633000000</v>
      </c>
      <c r="BE35" s="190">
        <v>14313000000</v>
      </c>
      <c r="BF35" s="190">
        <v>10266000000</v>
      </c>
      <c r="BG35" s="190">
        <v>4844000000</v>
      </c>
      <c r="BH35" s="190">
        <v>1176000000</v>
      </c>
      <c r="BI35" s="190">
        <v>12880000000</v>
      </c>
      <c r="BJ35" s="190">
        <v>11540000000</v>
      </c>
      <c r="BK35" s="190">
        <v>7635000000</v>
      </c>
      <c r="BL35" s="190">
        <v>1208000000</v>
      </c>
      <c r="BM35" s="190">
        <v>14717000000</v>
      </c>
      <c r="BN35" s="190">
        <v>3245000000</v>
      </c>
      <c r="BO35" s="190">
        <v>12686000000</v>
      </c>
      <c r="BP35" s="190">
        <v>2814000000</v>
      </c>
      <c r="BQ35" s="190">
        <v>10758000000</v>
      </c>
      <c r="BR35" s="190">
        <v>0</v>
      </c>
    </row>
    <row r="36" spans="1:70" x14ac:dyDescent="0.25">
      <c r="A36" s="190" t="s">
        <v>251</v>
      </c>
      <c r="B36" s="190">
        <v>15783000000</v>
      </c>
      <c r="C36" s="190">
        <v>7250000000</v>
      </c>
      <c r="D36" s="190">
        <v>390000000</v>
      </c>
      <c r="E36" s="190">
        <v>7539000000</v>
      </c>
      <c r="F36" s="190">
        <v>4476000000</v>
      </c>
      <c r="G36" s="190">
        <v>2608000000</v>
      </c>
      <c r="H36" s="190">
        <v>268000000</v>
      </c>
      <c r="I36" s="190">
        <v>6553000000</v>
      </c>
      <c r="J36" s="190">
        <v>4726000000</v>
      </c>
      <c r="K36" s="190">
        <v>3469000000</v>
      </c>
      <c r="L36" s="190">
        <v>2253000000</v>
      </c>
      <c r="M36" s="190">
        <v>1212000000</v>
      </c>
      <c r="N36" s="190">
        <v>736000000</v>
      </c>
      <c r="O36" s="190">
        <v>327000000</v>
      </c>
      <c r="P36" s="190">
        <v>134000000</v>
      </c>
      <c r="Q36" s="190">
        <v>1674000000</v>
      </c>
      <c r="R36" s="190">
        <v>1337000000</v>
      </c>
      <c r="S36" s="190">
        <v>582000000</v>
      </c>
      <c r="T36" s="190">
        <v>0</v>
      </c>
      <c r="U36" s="190">
        <v>1346000000</v>
      </c>
      <c r="V36" s="190">
        <v>979000000</v>
      </c>
      <c r="W36" s="190">
        <v>785000000</v>
      </c>
      <c r="X36" s="190">
        <v>0</v>
      </c>
      <c r="Y36" s="190">
        <v>2807000000</v>
      </c>
      <c r="Z36" s="190">
        <v>920000000</v>
      </c>
      <c r="AA36" s="190">
        <v>507000000</v>
      </c>
      <c r="AB36" s="190">
        <v>85000000</v>
      </c>
      <c r="AC36" s="190">
        <v>1812000000</v>
      </c>
      <c r="AD36" s="190">
        <v>1671000000</v>
      </c>
      <c r="AE36" s="190">
        <v>435000000</v>
      </c>
      <c r="AF36" s="190">
        <v>142000000</v>
      </c>
      <c r="AG36" s="190">
        <v>1051000000</v>
      </c>
      <c r="AH36" s="190">
        <v>0</v>
      </c>
      <c r="AI36" s="190">
        <v>379000000</v>
      </c>
      <c r="AJ36" s="190">
        <v>0</v>
      </c>
      <c r="AK36" s="190">
        <v>858000000</v>
      </c>
      <c r="AL36" s="190">
        <v>453000000</v>
      </c>
      <c r="AM36" s="190">
        <v>0</v>
      </c>
      <c r="AN36" s="190">
        <v>0</v>
      </c>
      <c r="AO36" s="190">
        <v>1404000000</v>
      </c>
      <c r="AP36" s="190">
        <v>0</v>
      </c>
      <c r="AQ36" s="190">
        <v>642000000</v>
      </c>
      <c r="AR36" s="190">
        <v>0</v>
      </c>
      <c r="AS36" s="190">
        <v>625000000</v>
      </c>
      <c r="AT36" s="190">
        <v>519000000</v>
      </c>
      <c r="AU36" s="190">
        <v>0</v>
      </c>
      <c r="AV36" s="190">
        <v>0</v>
      </c>
      <c r="AW36" s="190">
        <v>722000000</v>
      </c>
      <c r="AX36" s="190">
        <v>532000000</v>
      </c>
      <c r="AY36" s="190">
        <v>215000000</v>
      </c>
      <c r="AZ36" s="190">
        <v>0</v>
      </c>
      <c r="BA36" s="190">
        <v>1611000000</v>
      </c>
      <c r="BB36" s="190">
        <v>542000000</v>
      </c>
      <c r="BC36" s="190">
        <v>0</v>
      </c>
      <c r="BD36" s="190">
        <v>0</v>
      </c>
      <c r="BE36" s="190">
        <v>0</v>
      </c>
      <c r="BF36" s="190">
        <v>196000000</v>
      </c>
      <c r="BG36" s="190">
        <v>141000000</v>
      </c>
      <c r="BH36" s="190">
        <v>0</v>
      </c>
      <c r="BI36" s="190">
        <v>360000000</v>
      </c>
      <c r="BJ36" s="190">
        <v>149000000</v>
      </c>
      <c r="BK36" s="190">
        <v>149000000</v>
      </c>
      <c r="BL36" s="190">
        <v>2000000</v>
      </c>
      <c r="BM36" s="190">
        <v>455000000</v>
      </c>
      <c r="BN36" s="190">
        <v>84000000</v>
      </c>
      <c r="BO36" s="190">
        <v>682000000</v>
      </c>
      <c r="BP36" s="190">
        <v>0</v>
      </c>
      <c r="BQ36" s="190">
        <v>0</v>
      </c>
      <c r="BR36" s="190">
        <v>0</v>
      </c>
    </row>
    <row r="37" spans="1:70" x14ac:dyDescent="0.25">
      <c r="A37" s="190" t="s">
        <v>252</v>
      </c>
      <c r="B37" s="190">
        <v>23000000</v>
      </c>
      <c r="C37" s="190">
        <v>13000000</v>
      </c>
      <c r="D37" s="190">
        <v>3000000</v>
      </c>
      <c r="E37" s="190">
        <v>155000000</v>
      </c>
      <c r="F37" s="190">
        <v>0</v>
      </c>
      <c r="G37" s="190">
        <v>0</v>
      </c>
      <c r="H37" s="190">
        <v>0</v>
      </c>
      <c r="I37" s="190">
        <v>0</v>
      </c>
      <c r="J37" s="190">
        <v>0</v>
      </c>
      <c r="K37" s="190">
        <v>0</v>
      </c>
      <c r="L37" s="190">
        <v>0</v>
      </c>
      <c r="M37" s="190">
        <v>0</v>
      </c>
      <c r="N37" s="190">
        <v>0</v>
      </c>
      <c r="O37" s="190">
        <v>0</v>
      </c>
      <c r="P37" s="190">
        <v>0</v>
      </c>
      <c r="Q37" s="190">
        <v>21000000</v>
      </c>
      <c r="R37" s="190">
        <v>18000000</v>
      </c>
      <c r="S37" s="190">
        <v>18000000</v>
      </c>
      <c r="T37" s="190">
        <v>0</v>
      </c>
      <c r="U37" s="190">
        <v>49000000</v>
      </c>
      <c r="V37" s="190">
        <v>22000000</v>
      </c>
      <c r="W37" s="190">
        <v>22000000</v>
      </c>
      <c r="X37" s="190">
        <v>0</v>
      </c>
      <c r="Y37" s="190">
        <v>0</v>
      </c>
      <c r="Z37" s="190">
        <v>0</v>
      </c>
      <c r="AA37" s="190">
        <v>0</v>
      </c>
      <c r="AB37" s="190">
        <v>0</v>
      </c>
      <c r="AC37" s="190">
        <v>0</v>
      </c>
      <c r="AD37" s="190">
        <v>0</v>
      </c>
      <c r="AE37" s="190">
        <v>0</v>
      </c>
      <c r="AF37" s="190">
        <v>0</v>
      </c>
      <c r="AG37" s="190">
        <v>0</v>
      </c>
      <c r="AH37" s="190">
        <v>0</v>
      </c>
      <c r="AI37" s="190">
        <v>0</v>
      </c>
      <c r="AJ37" s="190">
        <v>0</v>
      </c>
      <c r="AK37" s="190">
        <v>0</v>
      </c>
      <c r="AL37" s="190">
        <v>0</v>
      </c>
      <c r="AM37" s="190">
        <v>0</v>
      </c>
      <c r="AN37" s="190">
        <v>118000000</v>
      </c>
      <c r="AO37" s="190">
        <v>2180000000</v>
      </c>
      <c r="AP37" s="190">
        <v>0</v>
      </c>
      <c r="AQ37" s="190">
        <v>285000000</v>
      </c>
      <c r="AR37" s="190">
        <v>285000000</v>
      </c>
      <c r="AS37" s="190">
        <v>2182000000</v>
      </c>
      <c r="AT37" s="190">
        <v>0</v>
      </c>
      <c r="AU37" s="190">
        <v>0</v>
      </c>
      <c r="AV37" s="190">
        <v>0</v>
      </c>
      <c r="AW37" s="190">
        <v>0</v>
      </c>
      <c r="AX37" s="190">
        <v>0</v>
      </c>
      <c r="AY37" s="190">
        <v>0</v>
      </c>
      <c r="AZ37" s="190">
        <v>0</v>
      </c>
      <c r="BA37" s="190">
        <v>0</v>
      </c>
      <c r="BB37" s="190">
        <v>0</v>
      </c>
      <c r="BC37" s="190">
        <v>0</v>
      </c>
      <c r="BD37" s="190">
        <v>0</v>
      </c>
      <c r="BE37" s="190">
        <v>0</v>
      </c>
      <c r="BF37" s="190">
        <v>0</v>
      </c>
      <c r="BG37" s="190">
        <v>0</v>
      </c>
      <c r="BH37" s="190">
        <v>0</v>
      </c>
      <c r="BI37" s="190">
        <v>0</v>
      </c>
      <c r="BJ37" s="190">
        <v>0</v>
      </c>
      <c r="BK37" s="190">
        <v>0</v>
      </c>
      <c r="BL37" s="190">
        <v>0</v>
      </c>
      <c r="BM37" s="190">
        <v>0</v>
      </c>
      <c r="BN37" s="190">
        <v>0</v>
      </c>
      <c r="BO37" s="190">
        <v>0</v>
      </c>
      <c r="BP37" s="190">
        <v>0</v>
      </c>
      <c r="BQ37" s="190">
        <v>0</v>
      </c>
      <c r="BR37" s="190">
        <v>0</v>
      </c>
    </row>
    <row r="38" spans="1:70" x14ac:dyDescent="0.25">
      <c r="A38" s="190" t="s">
        <v>253</v>
      </c>
      <c r="B38" s="190">
        <v>603402000000</v>
      </c>
      <c r="C38" s="190">
        <v>367608000000</v>
      </c>
      <c r="D38" s="190">
        <v>120041000000</v>
      </c>
      <c r="E38" s="190">
        <v>582298000000</v>
      </c>
      <c r="F38" s="190">
        <v>412539000000</v>
      </c>
      <c r="G38" s="190">
        <v>285377000000</v>
      </c>
      <c r="H38" s="190">
        <v>145054000000</v>
      </c>
      <c r="I38" s="190">
        <v>599487000000</v>
      </c>
      <c r="J38" s="190">
        <v>479827000000</v>
      </c>
      <c r="K38" s="190">
        <v>308973000000</v>
      </c>
      <c r="L38" s="190">
        <v>161309000000</v>
      </c>
      <c r="M38" s="190">
        <v>1186408000000</v>
      </c>
      <c r="N38" s="190">
        <v>964537000000</v>
      </c>
      <c r="O38" s="190">
        <v>667264000000</v>
      </c>
      <c r="P38" s="190">
        <v>338727000000</v>
      </c>
      <c r="Q38" s="190">
        <v>1153996000000</v>
      </c>
      <c r="R38" s="190">
        <v>818972000000</v>
      </c>
      <c r="S38" s="190">
        <v>550941000000</v>
      </c>
      <c r="T38" s="190">
        <v>262008000000</v>
      </c>
      <c r="U38" s="190">
        <v>1143473000000</v>
      </c>
      <c r="V38" s="190">
        <v>863185000000</v>
      </c>
      <c r="W38" s="190">
        <v>538563000000</v>
      </c>
      <c r="X38" s="190">
        <v>238111000000</v>
      </c>
      <c r="Y38" s="190">
        <v>926163000000</v>
      </c>
      <c r="Z38" s="190">
        <v>638171000000</v>
      </c>
      <c r="AA38" s="190">
        <v>391924000000</v>
      </c>
      <c r="AB38" s="190">
        <v>163323000000</v>
      </c>
      <c r="AC38" s="190">
        <v>566919000000</v>
      </c>
      <c r="AD38" s="190">
        <v>484777000000</v>
      </c>
      <c r="AE38" s="190">
        <v>288977000000</v>
      </c>
      <c r="AF38" s="190">
        <v>149656000000</v>
      </c>
      <c r="AG38" s="190">
        <v>741195000000</v>
      </c>
      <c r="AH38" s="190">
        <v>600027000000</v>
      </c>
      <c r="AI38" s="190">
        <v>437859000000</v>
      </c>
      <c r="AJ38" s="190">
        <v>274114000000</v>
      </c>
      <c r="AK38" s="190">
        <v>883630000000</v>
      </c>
      <c r="AL38" s="190">
        <v>617683000000</v>
      </c>
      <c r="AM38" s="190">
        <v>400703000000</v>
      </c>
      <c r="AN38" s="190">
        <v>201252000000</v>
      </c>
      <c r="AO38" s="190">
        <v>1162568000000</v>
      </c>
      <c r="AP38" s="190">
        <v>730296000000</v>
      </c>
      <c r="AQ38" s="190">
        <v>421744000000</v>
      </c>
      <c r="AR38" s="190">
        <v>266987000000</v>
      </c>
      <c r="AS38" s="190">
        <v>824443000000</v>
      </c>
      <c r="AT38" s="190">
        <v>590172000000</v>
      </c>
      <c r="AU38" s="190">
        <v>341635000000</v>
      </c>
      <c r="AV38" s="190">
        <v>149528000000</v>
      </c>
      <c r="AW38" s="190">
        <v>795798000000</v>
      </c>
      <c r="AX38" s="190">
        <v>441113000000</v>
      </c>
      <c r="AY38" s="190">
        <v>328578000000</v>
      </c>
      <c r="AZ38" s="190">
        <v>189460000000</v>
      </c>
      <c r="BA38" s="190">
        <v>576408000000</v>
      </c>
      <c r="BB38" s="190">
        <v>442303000000</v>
      </c>
      <c r="BC38" s="190">
        <v>287833000000</v>
      </c>
      <c r="BD38" s="190">
        <v>112259000000</v>
      </c>
      <c r="BE38" s="190">
        <v>392168000000</v>
      </c>
      <c r="BF38" s="190">
        <v>212192000000</v>
      </c>
      <c r="BG38" s="190">
        <v>155682000000</v>
      </c>
      <c r="BH38" s="190">
        <v>58710000000</v>
      </c>
      <c r="BI38" s="190">
        <v>248055000000</v>
      </c>
      <c r="BJ38" s="190">
        <v>162195000000</v>
      </c>
      <c r="BK38" s="190">
        <v>110426000000</v>
      </c>
      <c r="BL38" s="190">
        <v>63758000000</v>
      </c>
      <c r="BM38" s="190">
        <v>273060000000</v>
      </c>
      <c r="BN38" s="190">
        <v>140165000000</v>
      </c>
      <c r="BO38" s="190">
        <v>285096000000</v>
      </c>
      <c r="BP38" s="190">
        <v>108010000000</v>
      </c>
      <c r="BQ38" s="190">
        <v>131862000000</v>
      </c>
      <c r="BR38" s="190">
        <v>0</v>
      </c>
    </row>
    <row r="39" spans="1:70" x14ac:dyDescent="0.25">
      <c r="A39" s="190" t="s">
        <v>254</v>
      </c>
      <c r="B39" s="190">
        <v>-75898000000</v>
      </c>
      <c r="C39" s="190">
        <v>-49308000000</v>
      </c>
      <c r="D39" s="190">
        <v>6461000000</v>
      </c>
      <c r="E39" s="190">
        <v>-56509000000</v>
      </c>
      <c r="F39" s="190">
        <v>-50216000000</v>
      </c>
      <c r="G39" s="190">
        <v>-16038000000</v>
      </c>
      <c r="H39" s="190">
        <v>-5131000000</v>
      </c>
      <c r="I39" s="190">
        <v>-93047000000</v>
      </c>
      <c r="J39" s="190">
        <v>-78568000000</v>
      </c>
      <c r="K39" s="190">
        <v>-45930000000</v>
      </c>
      <c r="L39" s="190">
        <v>-14087000000</v>
      </c>
      <c r="M39" s="190">
        <v>9310000000</v>
      </c>
      <c r="N39" s="190">
        <v>4764000000</v>
      </c>
      <c r="O39" s="190">
        <v>51039000000</v>
      </c>
      <c r="P39" s="190">
        <v>92996000000</v>
      </c>
      <c r="Q39" s="190">
        <v>-21421000000</v>
      </c>
      <c r="R39" s="190">
        <v>-16372000000</v>
      </c>
      <c r="S39" s="190">
        <v>2531000000</v>
      </c>
      <c r="T39" s="190">
        <v>30459000000</v>
      </c>
      <c r="U39" s="190">
        <v>31519000000</v>
      </c>
      <c r="V39" s="190">
        <v>43866000000</v>
      </c>
      <c r="W39" s="190">
        <v>34654000000</v>
      </c>
      <c r="X39" s="190">
        <v>46961000000</v>
      </c>
      <c r="Y39" s="190">
        <v>5628000000</v>
      </c>
      <c r="Z39" s="190">
        <v>12700000000</v>
      </c>
      <c r="AA39" s="190">
        <v>47242000000</v>
      </c>
      <c r="AB39" s="190">
        <v>65041000000</v>
      </c>
      <c r="AC39" s="190">
        <v>-2516000000</v>
      </c>
      <c r="AD39" s="190">
        <v>-2356000000</v>
      </c>
      <c r="AE39" s="190">
        <v>16130000000</v>
      </c>
      <c r="AF39" s="190">
        <v>24072000000</v>
      </c>
      <c r="AG39" s="190">
        <v>-56294000000</v>
      </c>
      <c r="AH39" s="190">
        <v>-39825000000</v>
      </c>
      <c r="AI39" s="190">
        <v>-5153000000</v>
      </c>
      <c r="AJ39" s="190">
        <v>2689000000</v>
      </c>
      <c r="AK39" s="190">
        <v>-41929000000</v>
      </c>
      <c r="AL39" s="190">
        <v>-35816000000</v>
      </c>
      <c r="AM39" s="190">
        <v>-37838000000</v>
      </c>
      <c r="AN39" s="190">
        <v>-33858000000</v>
      </c>
      <c r="AO39" s="190">
        <v>30698000000</v>
      </c>
      <c r="AP39" s="190">
        <v>76877000000</v>
      </c>
      <c r="AQ39" s="190">
        <v>40473000000</v>
      </c>
      <c r="AR39" s="190">
        <v>30255000000</v>
      </c>
      <c r="AS39" s="190">
        <v>-8781000000</v>
      </c>
      <c r="AT39" s="190">
        <v>-29762000000</v>
      </c>
      <c r="AU39" s="190">
        <v>-12461000000</v>
      </c>
      <c r="AV39" s="190">
        <v>-3241000000</v>
      </c>
      <c r="AW39" s="190">
        <v>-7996000000</v>
      </c>
      <c r="AX39" s="190">
        <v>16133000000</v>
      </c>
      <c r="AY39" s="190">
        <v>25015000000</v>
      </c>
      <c r="AZ39" s="190">
        <v>10087000000</v>
      </c>
      <c r="BA39" s="190">
        <v>-11893000000</v>
      </c>
      <c r="BB39" s="190">
        <v>476000000</v>
      </c>
      <c r="BC39" s="190">
        <v>7361000000</v>
      </c>
      <c r="BD39" s="190">
        <v>2734000000</v>
      </c>
      <c r="BE39" s="190">
        <v>7158000000</v>
      </c>
      <c r="BF39" s="190">
        <v>7396000000</v>
      </c>
      <c r="BG39" s="190">
        <v>9859000000</v>
      </c>
      <c r="BH39" s="190">
        <v>5771000000</v>
      </c>
      <c r="BI39" s="190">
        <v>-17371000000</v>
      </c>
      <c r="BJ39" s="190">
        <v>-16758000000</v>
      </c>
      <c r="BK39" s="190">
        <v>-6692000000</v>
      </c>
      <c r="BL39" s="190">
        <v>-776000000</v>
      </c>
      <c r="BM39" s="190">
        <v>-20155000000</v>
      </c>
      <c r="BN39" s="190">
        <v>-7321000000</v>
      </c>
      <c r="BO39" s="190">
        <v>-13998000000</v>
      </c>
      <c r="BP39" s="190">
        <v>12319000000</v>
      </c>
      <c r="BQ39" s="190">
        <v>23980000000</v>
      </c>
      <c r="BR39" s="190">
        <v>0</v>
      </c>
    </row>
    <row r="40" spans="1:70" x14ac:dyDescent="0.25">
      <c r="A40" s="190" t="s">
        <v>255</v>
      </c>
      <c r="B40" s="190">
        <v>315000000</v>
      </c>
      <c r="C40" s="190">
        <v>-34000000</v>
      </c>
      <c r="D40" s="190">
        <v>-455000000</v>
      </c>
      <c r="E40" s="190">
        <v>-353000000</v>
      </c>
      <c r="F40" s="190">
        <v>-188000000</v>
      </c>
      <c r="G40" s="190">
        <v>-148000000</v>
      </c>
      <c r="H40" s="190">
        <v>-55000000</v>
      </c>
      <c r="I40" s="190">
        <v>256000000</v>
      </c>
      <c r="J40" s="190">
        <v>303000000</v>
      </c>
      <c r="K40" s="190">
        <v>194000000</v>
      </c>
      <c r="L40" s="190">
        <v>-88000000</v>
      </c>
      <c r="M40" s="190">
        <v>293000000</v>
      </c>
      <c r="N40" s="190">
        <v>7000000</v>
      </c>
      <c r="O40" s="190">
        <v>-329000000</v>
      </c>
      <c r="P40" s="190">
        <v>-271000000</v>
      </c>
      <c r="Q40" s="190">
        <v>16000000</v>
      </c>
      <c r="R40" s="190">
        <v>148000000</v>
      </c>
      <c r="S40" s="190">
        <v>82000000</v>
      </c>
      <c r="T40" s="190">
        <v>32000000</v>
      </c>
      <c r="U40" s="190">
        <v>-82000000</v>
      </c>
      <c r="V40" s="190">
        <v>419000000</v>
      </c>
      <c r="W40" s="190">
        <v>199000000</v>
      </c>
      <c r="X40" s="190">
        <v>112000000</v>
      </c>
      <c r="Y40" s="190">
        <v>-2000000</v>
      </c>
      <c r="Z40" s="190">
        <v>90000000</v>
      </c>
      <c r="AA40" s="190">
        <v>7000000</v>
      </c>
      <c r="AB40" s="190">
        <v>-1000000</v>
      </c>
      <c r="AC40" s="190">
        <v>-18000000</v>
      </c>
      <c r="AD40" s="190">
        <v>-23000000</v>
      </c>
      <c r="AE40" s="190">
        <v>38000000</v>
      </c>
      <c r="AF40" s="190">
        <v>4000000</v>
      </c>
      <c r="AG40" s="190">
        <v>-25000000</v>
      </c>
      <c r="AH40" s="190">
        <v>-21000000</v>
      </c>
      <c r="AI40" s="190">
        <v>-34000000</v>
      </c>
      <c r="AJ40" s="190">
        <v>-10000000</v>
      </c>
      <c r="AK40" s="190">
        <v>0</v>
      </c>
      <c r="AL40" s="190">
        <v>2000000</v>
      </c>
      <c r="AM40" s="190">
        <v>0</v>
      </c>
      <c r="AN40" s="190">
        <v>-3000000</v>
      </c>
      <c r="AO40" s="190">
        <v>-79000000</v>
      </c>
      <c r="AP40" s="190">
        <v>-96000000</v>
      </c>
      <c r="AQ40" s="190">
        <v>-41000000</v>
      </c>
      <c r="AR40" s="190">
        <v>-67000000</v>
      </c>
      <c r="AS40" s="190">
        <v>-64000000</v>
      </c>
      <c r="AT40" s="190">
        <v>-31000000</v>
      </c>
      <c r="AU40" s="190">
        <v>-7000000</v>
      </c>
      <c r="AV40" s="190">
        <v>-6000000</v>
      </c>
      <c r="AW40" s="190">
        <v>-25000000</v>
      </c>
      <c r="AX40" s="190">
        <v>-31000000</v>
      </c>
      <c r="AY40" s="190">
        <v>-7000000</v>
      </c>
      <c r="AZ40" s="190">
        <v>-7000000</v>
      </c>
      <c r="BA40" s="190">
        <v>-22000000</v>
      </c>
      <c r="BB40" s="190">
        <v>-15000000</v>
      </c>
      <c r="BC40" s="190">
        <v>0</v>
      </c>
      <c r="BD40" s="190">
        <v>2000000</v>
      </c>
      <c r="BE40" s="190">
        <v>1000000</v>
      </c>
      <c r="BF40" s="190">
        <v>0</v>
      </c>
      <c r="BG40" s="190">
        <v>-1000000</v>
      </c>
      <c r="BH40" s="190">
        <v>0</v>
      </c>
      <c r="BI40" s="190">
        <v>5000000</v>
      </c>
      <c r="BJ40" s="190">
        <v>0</v>
      </c>
      <c r="BK40" s="190">
        <v>0</v>
      </c>
      <c r="BL40" s="190">
        <v>0</v>
      </c>
      <c r="BM40" s="190">
        <v>7000000</v>
      </c>
      <c r="BN40" s="190">
        <v>4000000</v>
      </c>
      <c r="BO40" s="190">
        <v>-7000000</v>
      </c>
      <c r="BP40" s="190">
        <v>-10000000</v>
      </c>
      <c r="BQ40" s="190">
        <v>1000000</v>
      </c>
      <c r="BR40" s="190">
        <v>0</v>
      </c>
    </row>
    <row r="41" spans="1:70" x14ac:dyDescent="0.25">
      <c r="A41" s="190" t="s">
        <v>256</v>
      </c>
      <c r="B41" s="190">
        <v>59066000000</v>
      </c>
      <c r="C41" s="190">
        <v>41536000000</v>
      </c>
      <c r="D41" s="190">
        <v>16570000000</v>
      </c>
      <c r="E41" s="190">
        <v>-11250000000</v>
      </c>
      <c r="F41" s="190">
        <v>-9316000000</v>
      </c>
      <c r="G41" s="190">
        <v>4659000000</v>
      </c>
      <c r="H41" s="190">
        <v>-13484000000</v>
      </c>
      <c r="I41" s="190">
        <v>55535000000</v>
      </c>
      <c r="J41" s="190">
        <v>12216000000</v>
      </c>
      <c r="K41" s="190">
        <v>4317000000</v>
      </c>
      <c r="L41" s="190">
        <v>-4670000000</v>
      </c>
      <c r="M41" s="190">
        <v>58469000000</v>
      </c>
      <c r="N41" s="190">
        <v>47155000000</v>
      </c>
      <c r="O41" s="190">
        <v>63170000000</v>
      </c>
      <c r="P41" s="190">
        <v>62752000000</v>
      </c>
      <c r="Q41" s="190">
        <v>-5691000000</v>
      </c>
      <c r="R41" s="190">
        <v>4882000000</v>
      </c>
      <c r="S41" s="190">
        <v>-1826000000</v>
      </c>
      <c r="T41" s="190">
        <v>3940000000</v>
      </c>
      <c r="U41" s="190">
        <v>4590000000</v>
      </c>
      <c r="V41" s="190">
        <v>1593000000</v>
      </c>
      <c r="W41" s="190">
        <v>734000000</v>
      </c>
      <c r="X41" s="190">
        <v>4136000000</v>
      </c>
      <c r="Y41" s="190">
        <v>-14191000000</v>
      </c>
      <c r="Z41" s="190">
        <v>-10429000000</v>
      </c>
      <c r="AA41" s="190">
        <v>-12088000000</v>
      </c>
      <c r="AB41" s="190">
        <v>-2303000000</v>
      </c>
      <c r="AC41" s="190">
        <v>7639000000</v>
      </c>
      <c r="AD41" s="190">
        <v>6267000000</v>
      </c>
      <c r="AE41" s="190">
        <v>-8292000000</v>
      </c>
      <c r="AF41" s="190">
        <v>7779000000</v>
      </c>
      <c r="AG41" s="190">
        <v>8226000000</v>
      </c>
      <c r="AH41" s="190">
        <v>1596000000</v>
      </c>
      <c r="AI41" s="190">
        <v>6462000000</v>
      </c>
      <c r="AJ41" s="190">
        <v>1312000000</v>
      </c>
      <c r="AK41" s="190">
        <v>1742000000</v>
      </c>
      <c r="AL41" s="190">
        <v>8000000</v>
      </c>
      <c r="AM41" s="190">
        <v>592000000</v>
      </c>
      <c r="AN41" s="190">
        <v>4301000000</v>
      </c>
      <c r="AO41" s="190">
        <v>-748000000</v>
      </c>
      <c r="AP41" s="190">
        <v>2765000000</v>
      </c>
      <c r="AQ41" s="190">
        <v>770000000</v>
      </c>
      <c r="AR41" s="190">
        <v>19785000000</v>
      </c>
      <c r="AS41" s="190">
        <v>633000000</v>
      </c>
      <c r="AT41" s="190">
        <v>1664000000</v>
      </c>
      <c r="AU41" s="190">
        <v>3007000000</v>
      </c>
      <c r="AV41" s="190">
        <v>8714000000</v>
      </c>
      <c r="AW41" s="190">
        <v>-5657000000</v>
      </c>
      <c r="AX41" s="190">
        <v>-3437000000</v>
      </c>
      <c r="AY41" s="190">
        <v>-3806000000</v>
      </c>
      <c r="AZ41" s="190">
        <v>-1495000000</v>
      </c>
      <c r="BA41" s="190">
        <v>-2636000000</v>
      </c>
      <c r="BB41" s="190">
        <v>-1153000000</v>
      </c>
      <c r="BC41" s="190">
        <v>-2765000000</v>
      </c>
      <c r="BD41" s="190">
        <v>1784000000</v>
      </c>
      <c r="BE41" s="190">
        <v>1160000000</v>
      </c>
      <c r="BF41" s="190">
        <v>167000000</v>
      </c>
      <c r="BG41" s="190">
        <v>-948000000</v>
      </c>
      <c r="BH41" s="190">
        <v>3113000000</v>
      </c>
      <c r="BI41" s="190">
        <v>-2478000000</v>
      </c>
      <c r="BJ41" s="190">
        <v>-1038000000</v>
      </c>
      <c r="BK41" s="190">
        <v>1770000000</v>
      </c>
      <c r="BL41" s="190">
        <v>3445000000</v>
      </c>
      <c r="BM41" s="190">
        <v>-3324000000</v>
      </c>
      <c r="BN41" s="190">
        <v>-1885000000</v>
      </c>
      <c r="BO41" s="190">
        <v>1719000000</v>
      </c>
      <c r="BP41" s="190">
        <v>9215000000</v>
      </c>
      <c r="BQ41" s="190">
        <v>-2034000000</v>
      </c>
      <c r="BR41" s="190">
        <v>0</v>
      </c>
    </row>
    <row r="42" spans="1:70" x14ac:dyDescent="0.25">
      <c r="A42" s="190" t="s">
        <v>257</v>
      </c>
      <c r="B42" s="190">
        <v>113218000000</v>
      </c>
      <c r="C42" s="190">
        <v>113218000000</v>
      </c>
      <c r="D42" s="190">
        <v>113218000000</v>
      </c>
      <c r="E42" s="190">
        <v>124468000000</v>
      </c>
      <c r="F42" s="190">
        <v>124468000000</v>
      </c>
      <c r="G42" s="190">
        <v>124468000000</v>
      </c>
      <c r="H42" s="190">
        <v>124468000000</v>
      </c>
      <c r="I42" s="190">
        <v>68933000000</v>
      </c>
      <c r="J42" s="190">
        <v>68933000000</v>
      </c>
      <c r="K42" s="190">
        <v>68933000000</v>
      </c>
      <c r="L42" s="190">
        <v>67824000000</v>
      </c>
      <c r="M42" s="190">
        <v>9355000000</v>
      </c>
      <c r="N42" s="190">
        <v>9355000000</v>
      </c>
      <c r="O42" s="190">
        <v>9355000000</v>
      </c>
      <c r="P42" s="190">
        <v>9355000000</v>
      </c>
      <c r="Q42" s="190">
        <v>15046000000</v>
      </c>
      <c r="R42" s="190">
        <v>15046000000</v>
      </c>
      <c r="S42" s="190">
        <v>15046000000</v>
      </c>
      <c r="T42" s="190">
        <v>0</v>
      </c>
      <c r="U42" s="190">
        <v>10456000000</v>
      </c>
      <c r="V42" s="190">
        <v>0</v>
      </c>
      <c r="W42" s="190">
        <v>10456000000</v>
      </c>
      <c r="X42" s="190">
        <v>0</v>
      </c>
      <c r="Y42" s="190">
        <v>24647000000</v>
      </c>
      <c r="Z42" s="190">
        <v>0</v>
      </c>
      <c r="AA42" s="190">
        <v>24647000000</v>
      </c>
      <c r="AB42" s="190">
        <v>0</v>
      </c>
      <c r="AC42" s="190">
        <v>17008000000</v>
      </c>
      <c r="AD42" s="190">
        <v>0</v>
      </c>
      <c r="AE42" s="190">
        <v>17008000000</v>
      </c>
      <c r="AF42" s="190">
        <v>0</v>
      </c>
      <c r="AG42" s="190">
        <v>8782000000</v>
      </c>
      <c r="AH42" s="190">
        <v>0</v>
      </c>
      <c r="AI42" s="190">
        <v>-6321000000</v>
      </c>
      <c r="AJ42" s="190">
        <v>0</v>
      </c>
      <c r="AK42" s="190">
        <v>7008000000</v>
      </c>
      <c r="AL42" s="190">
        <v>0</v>
      </c>
      <c r="AM42" s="190">
        <v>-427000000</v>
      </c>
      <c r="AN42" s="190">
        <v>0</v>
      </c>
      <c r="AO42" s="190">
        <v>7696000000</v>
      </c>
      <c r="AP42" s="190">
        <v>7696000000</v>
      </c>
      <c r="AQ42" s="190">
        <v>7696000000</v>
      </c>
      <c r="AR42" s="190">
        <v>0</v>
      </c>
      <c r="AS42" s="190">
        <v>7063000000</v>
      </c>
      <c r="AT42" s="190">
        <v>6679000000</v>
      </c>
      <c r="AU42" s="190">
        <v>6679000000</v>
      </c>
      <c r="AV42" s="190">
        <v>6679000000</v>
      </c>
      <c r="AW42" s="190">
        <v>13745000000</v>
      </c>
      <c r="AX42" s="190">
        <v>13745000000</v>
      </c>
      <c r="AY42" s="190">
        <v>13745000000</v>
      </c>
      <c r="AZ42" s="190">
        <v>13745000000</v>
      </c>
      <c r="BA42" s="190">
        <v>16381000000</v>
      </c>
      <c r="BB42" s="190">
        <v>17534000000</v>
      </c>
      <c r="BC42" s="190">
        <v>16381000000</v>
      </c>
      <c r="BD42" s="190">
        <v>16381000000</v>
      </c>
      <c r="BE42" s="190">
        <v>15221000000</v>
      </c>
      <c r="BF42" s="190">
        <v>15221000000</v>
      </c>
      <c r="BG42" s="190">
        <v>15221000000</v>
      </c>
      <c r="BH42" s="190">
        <v>15221000000</v>
      </c>
      <c r="BI42" s="190">
        <v>17699000000</v>
      </c>
      <c r="BJ42" s="190">
        <v>17699000000</v>
      </c>
      <c r="BK42" s="190">
        <v>17699000000</v>
      </c>
      <c r="BL42" s="190">
        <v>17699000000</v>
      </c>
      <c r="BM42" s="190">
        <v>21023000000</v>
      </c>
      <c r="BN42" s="190">
        <v>21023000000</v>
      </c>
      <c r="BO42" s="190">
        <v>19304000000</v>
      </c>
      <c r="BP42" s="190">
        <v>19304000000</v>
      </c>
      <c r="BQ42" s="190">
        <v>21338000000</v>
      </c>
      <c r="BR42" s="190">
        <v>0</v>
      </c>
    </row>
    <row r="43" spans="1:70" x14ac:dyDescent="0.25">
      <c r="A43" s="190" t="s">
        <v>258</v>
      </c>
      <c r="B43" s="190">
        <v>172284000000</v>
      </c>
      <c r="C43" s="190">
        <v>154754000000</v>
      </c>
      <c r="D43" s="190">
        <v>129788000000</v>
      </c>
      <c r="E43" s="190">
        <v>113218000000</v>
      </c>
      <c r="F43" s="190">
        <v>115152000000</v>
      </c>
      <c r="G43" s="190">
        <v>129127000000</v>
      </c>
      <c r="H43" s="190">
        <v>110984000000</v>
      </c>
      <c r="I43" s="190">
        <v>124468000000</v>
      </c>
      <c r="J43" s="190">
        <v>81149000000</v>
      </c>
      <c r="K43" s="190">
        <v>73250000000</v>
      </c>
      <c r="L43" s="190">
        <v>63154000000</v>
      </c>
      <c r="M43" s="190">
        <v>67824000000</v>
      </c>
      <c r="N43" s="190">
        <v>56510000000</v>
      </c>
      <c r="O43" s="190">
        <v>72525000000</v>
      </c>
      <c r="P43" s="190">
        <v>72107000000</v>
      </c>
      <c r="Q43" s="190">
        <v>9355000000</v>
      </c>
      <c r="R43" s="190">
        <v>19928000000</v>
      </c>
      <c r="S43" s="190">
        <v>13220000000</v>
      </c>
      <c r="T43" s="190">
        <v>0</v>
      </c>
      <c r="U43" s="190">
        <v>15046000000</v>
      </c>
      <c r="V43" s="190">
        <v>0</v>
      </c>
      <c r="W43" s="190">
        <v>11190000000</v>
      </c>
      <c r="X43" s="190">
        <v>0</v>
      </c>
      <c r="Y43" s="190">
        <v>10456000000</v>
      </c>
      <c r="Z43" s="190">
        <v>0</v>
      </c>
      <c r="AA43" s="190">
        <v>12559000000</v>
      </c>
      <c r="AB43" s="190">
        <v>0</v>
      </c>
      <c r="AC43" s="190">
        <v>24647000000</v>
      </c>
      <c r="AD43" s="190">
        <v>0</v>
      </c>
      <c r="AE43" s="190">
        <v>8716000000</v>
      </c>
      <c r="AF43" s="190">
        <v>0</v>
      </c>
      <c r="AG43" s="190">
        <v>17008000000</v>
      </c>
      <c r="AH43" s="190">
        <v>0</v>
      </c>
      <c r="AI43" s="190">
        <v>141000000</v>
      </c>
      <c r="AJ43" s="190">
        <v>0</v>
      </c>
      <c r="AK43" s="190">
        <v>8750000000</v>
      </c>
      <c r="AL43" s="190">
        <v>0</v>
      </c>
      <c r="AM43" s="190">
        <v>165000000</v>
      </c>
      <c r="AN43" s="190">
        <v>0</v>
      </c>
      <c r="AO43" s="190">
        <v>6948000000</v>
      </c>
      <c r="AP43" s="190">
        <v>10461000000</v>
      </c>
      <c r="AQ43" s="190">
        <v>8466000000</v>
      </c>
      <c r="AR43" s="190">
        <v>0</v>
      </c>
      <c r="AS43" s="190">
        <v>7696000000</v>
      </c>
      <c r="AT43" s="190">
        <v>1664000000</v>
      </c>
      <c r="AU43" s="190">
        <v>9686000000</v>
      </c>
      <c r="AV43" s="190">
        <v>15393000000</v>
      </c>
      <c r="AW43" s="190">
        <v>8088000000</v>
      </c>
      <c r="AX43" s="190">
        <v>10308000000</v>
      </c>
      <c r="AY43" s="190">
        <v>9939000000</v>
      </c>
      <c r="AZ43" s="190">
        <v>12250000000</v>
      </c>
      <c r="BA43" s="190">
        <v>13745000000</v>
      </c>
      <c r="BB43" s="190">
        <v>16381000000</v>
      </c>
      <c r="BC43" s="190">
        <v>13616000000</v>
      </c>
      <c r="BD43" s="190">
        <v>18165000000</v>
      </c>
      <c r="BE43" s="190">
        <v>16381000000</v>
      </c>
      <c r="BF43" s="190">
        <v>15388000000</v>
      </c>
      <c r="BG43" s="190">
        <v>14273000000</v>
      </c>
      <c r="BH43" s="190">
        <v>18334000000</v>
      </c>
      <c r="BI43" s="190">
        <v>15221000000</v>
      </c>
      <c r="BJ43" s="190">
        <v>16661000000</v>
      </c>
      <c r="BK43" s="190">
        <v>19469000000</v>
      </c>
      <c r="BL43" s="190">
        <v>21144000000</v>
      </c>
      <c r="BM43" s="190">
        <v>17699000000</v>
      </c>
      <c r="BN43" s="190">
        <v>19138000000</v>
      </c>
      <c r="BO43" s="190">
        <v>21023000000</v>
      </c>
      <c r="BP43" s="190">
        <v>28519000000</v>
      </c>
      <c r="BQ43" s="190">
        <v>19304000000</v>
      </c>
      <c r="BR43" s="190">
        <v>0</v>
      </c>
    </row>
    <row r="44" spans="1:70" x14ac:dyDescent="0.25">
      <c r="A44" s="190" t="s">
        <v>259</v>
      </c>
    </row>
    <row r="45" spans="1:70" x14ac:dyDescent="0.25">
      <c r="A45" s="190" t="s">
        <v>260</v>
      </c>
      <c r="B45" s="190">
        <v>0</v>
      </c>
      <c r="C45" s="190">
        <v>53281000000</v>
      </c>
      <c r="D45" s="190">
        <v>0</v>
      </c>
      <c r="E45" s="190">
        <v>70294000000</v>
      </c>
      <c r="F45" s="190">
        <v>0</v>
      </c>
      <c r="G45" s="190">
        <v>36117000000</v>
      </c>
      <c r="H45" s="190">
        <v>0</v>
      </c>
      <c r="I45" s="190">
        <v>59170000000</v>
      </c>
      <c r="J45" s="190">
        <v>0</v>
      </c>
      <c r="K45" s="190">
        <v>26381000000</v>
      </c>
      <c r="L45" s="190">
        <v>0</v>
      </c>
      <c r="M45" s="190">
        <v>43346000000</v>
      </c>
      <c r="N45" s="190">
        <v>0</v>
      </c>
      <c r="O45" s="190">
        <v>30542000000</v>
      </c>
      <c r="P45" s="190">
        <v>0</v>
      </c>
      <c r="Q45" s="190">
        <v>48910000000</v>
      </c>
      <c r="R45" s="190">
        <v>0</v>
      </c>
      <c r="S45" s="190">
        <v>32694000000</v>
      </c>
      <c r="T45" s="190">
        <v>0</v>
      </c>
      <c r="U45" s="190">
        <v>71377000000</v>
      </c>
      <c r="V45" s="190">
        <v>0</v>
      </c>
      <c r="W45" s="190">
        <v>31504000000</v>
      </c>
      <c r="X45" s="190">
        <v>0</v>
      </c>
      <c r="Y45" s="190">
        <v>66411000000</v>
      </c>
      <c r="Z45" s="190">
        <v>0</v>
      </c>
      <c r="AA45" s="190">
        <v>24946000000</v>
      </c>
      <c r="AB45" s="190">
        <v>0</v>
      </c>
      <c r="AC45" s="190">
        <v>76864000000</v>
      </c>
      <c r="AD45" s="190">
        <v>0</v>
      </c>
      <c r="AE45" s="190">
        <v>43212000000</v>
      </c>
      <c r="AF45" s="190">
        <v>0</v>
      </c>
      <c r="AG45" s="190">
        <v>76843000000</v>
      </c>
      <c r="AH45" s="190">
        <v>0</v>
      </c>
      <c r="AI45" s="190">
        <v>37311000000</v>
      </c>
      <c r="AJ45" s="190">
        <v>0</v>
      </c>
      <c r="AK45" s="190">
        <v>64000000000</v>
      </c>
      <c r="AL45" s="190">
        <v>0</v>
      </c>
      <c r="AM45" s="190">
        <v>34650000000</v>
      </c>
      <c r="AN45" s="190">
        <v>0</v>
      </c>
      <c r="AO45" s="190">
        <v>26115000000</v>
      </c>
      <c r="AP45" s="190">
        <v>0</v>
      </c>
      <c r="AQ45" s="190">
        <v>9339000000</v>
      </c>
      <c r="AR45" s="190">
        <v>0</v>
      </c>
      <c r="AS45" s="190">
        <v>54947000000</v>
      </c>
      <c r="AT45" s="190">
        <v>48683000000</v>
      </c>
      <c r="AU45" s="190">
        <v>34925000000</v>
      </c>
      <c r="AV45" s="190">
        <v>19418000000</v>
      </c>
      <c r="AW45" s="190">
        <v>50664000000</v>
      </c>
      <c r="AX45" s="190">
        <v>33814000000</v>
      </c>
      <c r="AY45" s="190">
        <v>20679000000</v>
      </c>
      <c r="AZ45" s="190">
        <v>9130000000</v>
      </c>
      <c r="BA45" s="190">
        <v>39558000000</v>
      </c>
      <c r="BB45" s="190">
        <v>26476000000</v>
      </c>
      <c r="BC45" s="190">
        <v>18044000000</v>
      </c>
      <c r="BD45" s="190">
        <v>9004000000</v>
      </c>
      <c r="BE45" s="190">
        <v>32275000000</v>
      </c>
      <c r="BF45" s="190">
        <v>24042000000</v>
      </c>
      <c r="BG45" s="190">
        <v>15039000000</v>
      </c>
      <c r="BH45" s="190">
        <v>7430000000</v>
      </c>
      <c r="BI45" s="190">
        <v>19011000000</v>
      </c>
      <c r="BJ45" s="190">
        <v>14804000000</v>
      </c>
      <c r="BK45" s="190">
        <v>9765000000</v>
      </c>
      <c r="BL45" s="190">
        <v>5813000000</v>
      </c>
      <c r="BM45" s="190">
        <v>14121000000</v>
      </c>
      <c r="BN45" s="190">
        <v>4504000000</v>
      </c>
      <c r="BO45" s="190">
        <v>14018000000</v>
      </c>
      <c r="BP45" s="190">
        <v>8107000000</v>
      </c>
      <c r="BQ45" s="190">
        <v>16154000000</v>
      </c>
      <c r="BR45" s="190">
        <v>0</v>
      </c>
    </row>
    <row r="46" spans="1:70" x14ac:dyDescent="0.25">
      <c r="A46" s="190" t="s">
        <v>187</v>
      </c>
      <c r="B46" s="190">
        <v>0</v>
      </c>
      <c r="C46" s="190">
        <v>0</v>
      </c>
      <c r="D46" s="190">
        <v>0</v>
      </c>
      <c r="E46" s="190">
        <v>0</v>
      </c>
      <c r="F46" s="190">
        <v>0</v>
      </c>
      <c r="G46" s="190">
        <v>0</v>
      </c>
      <c r="H46" s="190">
        <v>0</v>
      </c>
      <c r="I46" s="190">
        <v>0</v>
      </c>
      <c r="J46" s="190">
        <v>0</v>
      </c>
      <c r="K46" s="190">
        <v>0</v>
      </c>
      <c r="L46" s="190">
        <v>0</v>
      </c>
      <c r="M46" s="190">
        <v>0</v>
      </c>
      <c r="N46" s="190">
        <v>0</v>
      </c>
      <c r="O46" s="190">
        <v>0</v>
      </c>
      <c r="P46" s="190">
        <v>0</v>
      </c>
      <c r="Q46" s="190">
        <v>0</v>
      </c>
      <c r="R46" s="190">
        <v>0</v>
      </c>
      <c r="S46" s="190">
        <v>0</v>
      </c>
      <c r="T46" s="190">
        <v>0</v>
      </c>
      <c r="U46" s="190">
        <v>0</v>
      </c>
      <c r="V46" s="190">
        <v>0</v>
      </c>
      <c r="W46" s="190">
        <v>0</v>
      </c>
      <c r="X46" s="190">
        <v>0</v>
      </c>
      <c r="Y46" s="190">
        <v>0</v>
      </c>
      <c r="Z46" s="190">
        <v>0</v>
      </c>
      <c r="AA46" s="190">
        <v>0</v>
      </c>
      <c r="AB46" s="190">
        <v>0</v>
      </c>
      <c r="AC46" s="190">
        <v>0</v>
      </c>
      <c r="AD46" s="190">
        <v>0</v>
      </c>
      <c r="AE46" s="190">
        <v>0</v>
      </c>
      <c r="AF46" s="190">
        <v>0</v>
      </c>
      <c r="AG46" s="190">
        <v>0</v>
      </c>
      <c r="AH46" s="190">
        <v>0</v>
      </c>
      <c r="AI46" s="190">
        <v>0</v>
      </c>
      <c r="AJ46" s="190">
        <v>0</v>
      </c>
      <c r="AK46" s="190">
        <v>0</v>
      </c>
      <c r="AL46" s="190">
        <v>0</v>
      </c>
      <c r="AM46" s="190">
        <v>0</v>
      </c>
      <c r="AN46" s="190">
        <v>0</v>
      </c>
      <c r="AO46" s="190">
        <v>0</v>
      </c>
      <c r="AP46" s="190">
        <v>0</v>
      </c>
      <c r="AQ46" s="190">
        <v>76000000</v>
      </c>
      <c r="AR46" s="190">
        <v>0</v>
      </c>
      <c r="AS46" s="190">
        <v>2206000000</v>
      </c>
      <c r="AT46" s="190">
        <v>1790000000</v>
      </c>
      <c r="AU46" s="190">
        <v>1432000000</v>
      </c>
      <c r="AV46" s="190">
        <v>839000000</v>
      </c>
      <c r="AW46" s="190">
        <v>696000000</v>
      </c>
      <c r="AX46" s="190">
        <v>254000000</v>
      </c>
      <c r="AY46" s="190">
        <v>161000000</v>
      </c>
      <c r="AZ46" s="190">
        <v>59000000</v>
      </c>
      <c r="BA46" s="190">
        <v>2902000000</v>
      </c>
      <c r="BB46" s="190">
        <v>2363000000</v>
      </c>
      <c r="BC46" s="190">
        <v>2101000000</v>
      </c>
      <c r="BD46" s="190">
        <v>1398000000</v>
      </c>
      <c r="BE46" s="190">
        <v>5670000000</v>
      </c>
      <c r="BF46" s="190">
        <v>3811000000</v>
      </c>
      <c r="BG46" s="190">
        <v>2412000000</v>
      </c>
      <c r="BH46" s="190">
        <v>1141000000</v>
      </c>
      <c r="BI46" s="190">
        <v>1886000000</v>
      </c>
      <c r="BJ46" s="190">
        <v>1398000000</v>
      </c>
      <c r="BK46" s="190">
        <v>759000000</v>
      </c>
      <c r="BL46" s="190">
        <v>488000000</v>
      </c>
      <c r="BM46" s="190">
        <v>1082000000</v>
      </c>
      <c r="BN46" s="190">
        <v>439000000</v>
      </c>
      <c r="BO46" s="190">
        <v>541000000</v>
      </c>
      <c r="BP46" s="190">
        <v>574000000</v>
      </c>
      <c r="BQ46" s="190">
        <v>1829000000</v>
      </c>
      <c r="BR46" s="190">
        <v>0</v>
      </c>
    </row>
    <row r="47" spans="1:70" x14ac:dyDescent="0.25">
      <c r="A47" s="190" t="s">
        <v>261</v>
      </c>
      <c r="B47" s="190">
        <v>0</v>
      </c>
      <c r="C47" s="190">
        <v>0</v>
      </c>
      <c r="D47" s="190">
        <v>0</v>
      </c>
      <c r="E47" s="190">
        <v>0</v>
      </c>
      <c r="F47" s="190">
        <v>0</v>
      </c>
      <c r="G47" s="190">
        <v>0</v>
      </c>
      <c r="H47" s="190">
        <v>0</v>
      </c>
      <c r="I47" s="190">
        <v>0</v>
      </c>
      <c r="J47" s="190">
        <v>0</v>
      </c>
      <c r="K47" s="190">
        <v>0</v>
      </c>
      <c r="L47" s="190">
        <v>0</v>
      </c>
      <c r="M47" s="190">
        <v>0</v>
      </c>
      <c r="N47" s="190">
        <v>0</v>
      </c>
      <c r="O47" s="190">
        <v>0</v>
      </c>
      <c r="P47" s="190">
        <v>0</v>
      </c>
      <c r="Q47" s="190">
        <v>0</v>
      </c>
      <c r="R47" s="190">
        <v>0</v>
      </c>
      <c r="S47" s="190">
        <v>0</v>
      </c>
      <c r="T47" s="190">
        <v>0</v>
      </c>
      <c r="U47" s="190">
        <v>0</v>
      </c>
      <c r="V47" s="190">
        <v>0</v>
      </c>
      <c r="W47" s="190">
        <v>0</v>
      </c>
      <c r="X47" s="190">
        <v>0</v>
      </c>
      <c r="Y47" s="190">
        <v>0</v>
      </c>
      <c r="Z47" s="190">
        <v>0</v>
      </c>
      <c r="AA47" s="190">
        <v>0</v>
      </c>
      <c r="AB47" s="190">
        <v>0</v>
      </c>
      <c r="AC47" s="190">
        <v>0</v>
      </c>
      <c r="AD47" s="190">
        <v>0</v>
      </c>
      <c r="AE47" s="190">
        <v>0</v>
      </c>
      <c r="AF47" s="190">
        <v>0</v>
      </c>
      <c r="AG47" s="190">
        <v>0</v>
      </c>
      <c r="AH47" s="190">
        <v>0</v>
      </c>
      <c r="AI47" s="190">
        <v>0</v>
      </c>
      <c r="AJ47" s="190">
        <v>0</v>
      </c>
      <c r="AK47" s="190">
        <v>0</v>
      </c>
      <c r="AL47" s="190">
        <v>0</v>
      </c>
      <c r="AM47" s="190">
        <v>0</v>
      </c>
      <c r="AN47" s="190">
        <v>0</v>
      </c>
      <c r="AO47" s="190">
        <v>0</v>
      </c>
      <c r="AP47" s="190">
        <v>0</v>
      </c>
      <c r="AQ47" s="190">
        <v>0</v>
      </c>
      <c r="AR47" s="190">
        <v>0</v>
      </c>
      <c r="AS47" s="190">
        <v>0</v>
      </c>
      <c r="AT47" s="190">
        <v>0</v>
      </c>
      <c r="AU47" s="190">
        <v>0</v>
      </c>
      <c r="AV47" s="190">
        <v>0</v>
      </c>
      <c r="AW47" s="190">
        <v>0</v>
      </c>
      <c r="AX47" s="190">
        <v>0</v>
      </c>
      <c r="AY47" s="190">
        <v>0</v>
      </c>
      <c r="AZ47" s="190">
        <v>0</v>
      </c>
      <c r="BA47" s="190">
        <v>0</v>
      </c>
      <c r="BB47" s="190">
        <v>0</v>
      </c>
      <c r="BC47" s="190">
        <v>0</v>
      </c>
      <c r="BD47" s="190">
        <v>0</v>
      </c>
      <c r="BE47" s="190">
        <v>0</v>
      </c>
      <c r="BF47" s="190">
        <v>483000000</v>
      </c>
      <c r="BG47" s="190">
        <v>0</v>
      </c>
      <c r="BH47" s="190">
        <v>0</v>
      </c>
      <c r="BI47" s="190">
        <v>0</v>
      </c>
      <c r="BJ47" s="190">
        <v>0</v>
      </c>
      <c r="BK47" s="190">
        <v>0</v>
      </c>
      <c r="BL47" s="190">
        <v>0</v>
      </c>
      <c r="BM47" s="190">
        <v>0</v>
      </c>
      <c r="BN47" s="190">
        <v>0</v>
      </c>
      <c r="BO47" s="190">
        <v>0</v>
      </c>
      <c r="BP47" s="190">
        <v>0</v>
      </c>
      <c r="BQ47" s="190">
        <v>0</v>
      </c>
      <c r="BR47" s="190">
        <v>0</v>
      </c>
    </row>
    <row r="48" spans="1:70" x14ac:dyDescent="0.25">
      <c r="A48" s="190" t="s">
        <v>262</v>
      </c>
      <c r="B48" s="190">
        <v>0</v>
      </c>
      <c r="C48" s="190">
        <v>137000000</v>
      </c>
      <c r="D48" s="190">
        <v>0</v>
      </c>
      <c r="E48" s="190">
        <v>21791000000</v>
      </c>
      <c r="F48" s="190">
        <v>0</v>
      </c>
      <c r="G48" s="190">
        <v>4076000000</v>
      </c>
      <c r="H48" s="190">
        <v>0</v>
      </c>
      <c r="I48" s="190">
        <v>17076000000</v>
      </c>
      <c r="J48" s="190">
        <v>0</v>
      </c>
      <c r="K48" s="190">
        <v>1423000000</v>
      </c>
      <c r="L48" s="190">
        <v>0</v>
      </c>
      <c r="M48" s="190">
        <v>8767000000</v>
      </c>
      <c r="N48" s="190">
        <v>0</v>
      </c>
      <c r="O48" s="190">
        <v>205000000</v>
      </c>
      <c r="P48" s="190">
        <v>0</v>
      </c>
      <c r="Q48" s="190">
        <v>6839000000</v>
      </c>
      <c r="R48" s="190">
        <v>0</v>
      </c>
      <c r="S48" s="190">
        <v>1112000000</v>
      </c>
      <c r="T48" s="190">
        <v>0</v>
      </c>
      <c r="U48" s="190">
        <v>4044000000</v>
      </c>
      <c r="V48" s="190">
        <v>0</v>
      </c>
      <c r="W48" s="190">
        <v>73000000</v>
      </c>
      <c r="X48" s="190">
        <v>0</v>
      </c>
      <c r="Y48" s="190">
        <v>7906000000</v>
      </c>
      <c r="Z48" s="190">
        <v>0</v>
      </c>
      <c r="AA48" s="190">
        <v>7048000000</v>
      </c>
      <c r="AB48" s="190">
        <v>0</v>
      </c>
      <c r="AC48" s="190">
        <v>5811000000</v>
      </c>
      <c r="AD48" s="190">
        <v>0</v>
      </c>
      <c r="AE48" s="190">
        <v>2712000000</v>
      </c>
      <c r="AF48" s="190">
        <v>0</v>
      </c>
      <c r="AG48" s="190">
        <v>15445000000</v>
      </c>
      <c r="AH48" s="190">
        <v>0</v>
      </c>
      <c r="AI48" s="190">
        <v>741000000</v>
      </c>
      <c r="AJ48" s="190">
        <v>0</v>
      </c>
      <c r="AK48" s="190">
        <v>7453000000</v>
      </c>
      <c r="AL48" s="190">
        <v>0</v>
      </c>
      <c r="AM48" s="190">
        <v>178000000</v>
      </c>
      <c r="AN48" s="190">
        <v>0</v>
      </c>
      <c r="AO48" s="190">
        <v>16617000000</v>
      </c>
      <c r="AP48" s="190">
        <v>0</v>
      </c>
      <c r="AQ48" s="190">
        <v>16079000000</v>
      </c>
      <c r="AR48" s="190">
        <v>0</v>
      </c>
      <c r="AS48" s="190">
        <v>7458000000</v>
      </c>
      <c r="AT48" s="190">
        <v>1593000000</v>
      </c>
      <c r="AU48" s="190">
        <v>1535000000</v>
      </c>
      <c r="AV48" s="190">
        <v>0</v>
      </c>
      <c r="AW48" s="190">
        <v>1003000000</v>
      </c>
      <c r="AX48" s="190">
        <v>105000000</v>
      </c>
      <c r="AY48" s="190">
        <v>85000000</v>
      </c>
      <c r="AZ48" s="190">
        <v>-15000000</v>
      </c>
      <c r="BA48" s="190">
        <v>1866000000</v>
      </c>
      <c r="BB48" s="190">
        <v>0</v>
      </c>
      <c r="BC48" s="190">
        <v>346000000</v>
      </c>
      <c r="BD48" s="190">
        <v>-96000000</v>
      </c>
      <c r="BE48" s="190">
        <v>7199000000</v>
      </c>
      <c r="BF48" s="190">
        <v>5554000000</v>
      </c>
      <c r="BG48" s="190">
        <v>650000000</v>
      </c>
      <c r="BH48" s="190">
        <v>497000000</v>
      </c>
      <c r="BI48" s="190">
        <v>940000000</v>
      </c>
      <c r="BJ48" s="190">
        <v>304000000</v>
      </c>
      <c r="BK48" s="190">
        <v>1043000000</v>
      </c>
      <c r="BL48" s="190">
        <v>0</v>
      </c>
      <c r="BM48" s="190">
        <v>0</v>
      </c>
      <c r="BN48" s="190">
        <v>392000000</v>
      </c>
      <c r="BO48" s="190">
        <v>0</v>
      </c>
      <c r="BP48" s="190">
        <v>-416000000</v>
      </c>
      <c r="BQ48" s="190">
        <v>187000000</v>
      </c>
      <c r="BR48" s="190">
        <v>0</v>
      </c>
    </row>
    <row r="49" spans="1:70" x14ac:dyDescent="0.25">
      <c r="A49" s="190" t="s">
        <v>263</v>
      </c>
      <c r="B49" s="190">
        <v>0</v>
      </c>
      <c r="C49" s="190">
        <v>46777000000</v>
      </c>
      <c r="D49" s="190">
        <v>0</v>
      </c>
      <c r="E49" s="190">
        <v>106149000000</v>
      </c>
      <c r="F49" s="190">
        <v>0</v>
      </c>
      <c r="G49" s="190">
        <v>50862000000</v>
      </c>
      <c r="H49" s="190">
        <v>0</v>
      </c>
      <c r="I49" s="190">
        <v>99592000000</v>
      </c>
      <c r="J49" s="190">
        <v>0</v>
      </c>
      <c r="K49" s="190">
        <v>44869000000</v>
      </c>
      <c r="L49" s="190">
        <v>0</v>
      </c>
      <c r="M49" s="190">
        <v>87069000000</v>
      </c>
      <c r="N49" s="190">
        <v>0</v>
      </c>
      <c r="O49" s="190">
        <v>41155000000</v>
      </c>
      <c r="P49" s="190">
        <v>0</v>
      </c>
      <c r="Q49" s="190">
        <v>82156000000</v>
      </c>
      <c r="R49" s="190">
        <v>0</v>
      </c>
      <c r="S49" s="190">
        <v>39573000000</v>
      </c>
      <c r="T49" s="190">
        <v>0</v>
      </c>
      <c r="U49" s="190">
        <v>74853000000</v>
      </c>
      <c r="V49" s="190">
        <v>0</v>
      </c>
      <c r="W49" s="190">
        <v>36254000000</v>
      </c>
      <c r="X49" s="190">
        <v>0</v>
      </c>
      <c r="Y49" s="190">
        <v>68180000000</v>
      </c>
      <c r="Z49" s="190">
        <v>0</v>
      </c>
      <c r="AA49" s="190">
        <v>33589000000</v>
      </c>
      <c r="AB49" s="190">
        <v>0</v>
      </c>
      <c r="AC49" s="190">
        <v>0</v>
      </c>
      <c r="AD49" s="190">
        <v>0</v>
      </c>
      <c r="AE49" s="190">
        <v>29779000000</v>
      </c>
      <c r="AF49" s="190">
        <v>0</v>
      </c>
      <c r="AG49" s="190">
        <v>57974000000</v>
      </c>
      <c r="AH49" s="190">
        <v>0</v>
      </c>
      <c r="AI49" s="190">
        <v>26195000000</v>
      </c>
      <c r="AJ49" s="190">
        <v>0</v>
      </c>
      <c r="AK49" s="190">
        <v>49515000000</v>
      </c>
      <c r="AL49" s="190">
        <v>0</v>
      </c>
      <c r="AM49" s="190">
        <v>24103000000</v>
      </c>
      <c r="AN49" s="190">
        <v>0</v>
      </c>
      <c r="AO49" s="190">
        <v>45012000000</v>
      </c>
      <c r="AP49" s="190">
        <v>0</v>
      </c>
      <c r="AQ49" s="190">
        <v>20631000000</v>
      </c>
      <c r="AR49" s="190">
        <v>0</v>
      </c>
      <c r="AS49" s="190">
        <v>42138000000</v>
      </c>
      <c r="AT49" s="190">
        <v>28809000000</v>
      </c>
      <c r="AU49" s="190">
        <v>19000000000</v>
      </c>
      <c r="AV49" s="190">
        <v>9497000000</v>
      </c>
      <c r="AW49" s="190">
        <v>33627000000</v>
      </c>
      <c r="AX49" s="190">
        <v>24688000000</v>
      </c>
      <c r="AY49" s="190">
        <v>16292000000</v>
      </c>
      <c r="AZ49" s="190">
        <v>7956000000</v>
      </c>
      <c r="BA49" s="190">
        <v>30845000000</v>
      </c>
      <c r="BB49" s="190">
        <v>22797000000</v>
      </c>
      <c r="BC49" s="190">
        <v>15107000000</v>
      </c>
      <c r="BD49" s="190">
        <v>7545000000</v>
      </c>
      <c r="BE49" s="190">
        <v>30766000000</v>
      </c>
      <c r="BF49" s="190">
        <v>22038000000</v>
      </c>
      <c r="BG49" s="190">
        <v>14749000000</v>
      </c>
      <c r="BH49" s="190">
        <v>6907000000</v>
      </c>
      <c r="BI49" s="190">
        <v>27151000000</v>
      </c>
      <c r="BJ49" s="190">
        <v>20148000000</v>
      </c>
      <c r="BK49" s="190">
        <v>13542000000</v>
      </c>
      <c r="BL49" s="190">
        <v>6744000000</v>
      </c>
      <c r="BM49" s="190">
        <v>26327000000</v>
      </c>
      <c r="BN49" s="190">
        <v>12484000000</v>
      </c>
      <c r="BO49" s="190">
        <v>24659000000</v>
      </c>
      <c r="BP49" s="190">
        <v>11860000000</v>
      </c>
      <c r="BQ49" s="190">
        <v>24150000000</v>
      </c>
      <c r="BR49" s="190">
        <v>0</v>
      </c>
    </row>
    <row r="50" spans="1:70" x14ac:dyDescent="0.25">
      <c r="A50" s="190" t="s">
        <v>264</v>
      </c>
      <c r="B50" s="190">
        <v>0</v>
      </c>
      <c r="C50" s="190">
        <v>5125000000</v>
      </c>
      <c r="D50" s="190">
        <v>0</v>
      </c>
      <c r="E50" s="190">
        <v>9161000000</v>
      </c>
      <c r="F50" s="190">
        <v>0</v>
      </c>
      <c r="G50" s="190">
        <v>4355000000</v>
      </c>
      <c r="H50" s="190">
        <v>0</v>
      </c>
      <c r="I50" s="190">
        <v>8833000000</v>
      </c>
      <c r="J50" s="190">
        <v>0</v>
      </c>
      <c r="K50" s="190">
        <v>4236000000</v>
      </c>
      <c r="L50" s="190">
        <v>0</v>
      </c>
      <c r="M50" s="190">
        <v>9299000000</v>
      </c>
      <c r="N50" s="190">
        <v>0</v>
      </c>
      <c r="O50" s="190">
        <v>5094000000</v>
      </c>
      <c r="P50" s="190">
        <v>0</v>
      </c>
      <c r="Q50" s="190">
        <v>7941000000</v>
      </c>
      <c r="R50" s="190">
        <v>0</v>
      </c>
      <c r="S50" s="190">
        <v>3660000000</v>
      </c>
      <c r="T50" s="190">
        <v>0</v>
      </c>
      <c r="U50" s="190">
        <v>6412000000</v>
      </c>
      <c r="V50" s="190">
        <v>0</v>
      </c>
      <c r="W50" s="190">
        <v>2715000000</v>
      </c>
      <c r="X50" s="190">
        <v>0</v>
      </c>
      <c r="Y50" s="190">
        <v>2276000000</v>
      </c>
      <c r="Z50" s="190">
        <v>0</v>
      </c>
      <c r="AA50" s="190">
        <v>945000000</v>
      </c>
      <c r="AB50" s="190">
        <v>0</v>
      </c>
      <c r="AC50" s="190">
        <v>1561000000</v>
      </c>
      <c r="AD50" s="190">
        <v>0</v>
      </c>
      <c r="AE50" s="190">
        <v>731000000</v>
      </c>
      <c r="AF50" s="190">
        <v>0</v>
      </c>
      <c r="AG50" s="190">
        <v>1279000000</v>
      </c>
      <c r="AH50" s="190">
        <v>0</v>
      </c>
      <c r="AI50" s="190">
        <v>620000000</v>
      </c>
      <c r="AJ50" s="190">
        <v>0</v>
      </c>
      <c r="AK50" s="190">
        <v>1002000000</v>
      </c>
      <c r="AL50" s="190">
        <v>0</v>
      </c>
      <c r="AM50" s="190">
        <v>496000000</v>
      </c>
      <c r="AN50" s="190">
        <v>0</v>
      </c>
      <c r="AO50" s="190">
        <v>841000000</v>
      </c>
      <c r="AP50" s="190">
        <v>0</v>
      </c>
      <c r="AQ50" s="190">
        <v>483000000</v>
      </c>
      <c r="AR50" s="190">
        <v>0</v>
      </c>
      <c r="AS50" s="190">
        <v>1246000000</v>
      </c>
      <c r="AT50" s="190">
        <v>663000000</v>
      </c>
      <c r="AU50" s="190">
        <v>369000000</v>
      </c>
      <c r="AV50" s="190">
        <v>130000000</v>
      </c>
      <c r="AW50" s="190">
        <v>633000000</v>
      </c>
      <c r="AX50" s="190">
        <v>424000000</v>
      </c>
      <c r="AY50" s="190">
        <v>341000000</v>
      </c>
      <c r="AZ50" s="190">
        <v>139000000</v>
      </c>
      <c r="BA50" s="190">
        <v>986000000</v>
      </c>
      <c r="BB50" s="190">
        <v>465000000</v>
      </c>
      <c r="BC50" s="190">
        <v>305000000</v>
      </c>
      <c r="BD50" s="190">
        <v>133000000</v>
      </c>
      <c r="BE50" s="190">
        <v>476000000</v>
      </c>
      <c r="BF50" s="190">
        <v>383000000</v>
      </c>
      <c r="BG50" s="190">
        <v>287000000</v>
      </c>
      <c r="BH50" s="190">
        <v>140000000</v>
      </c>
      <c r="BI50" s="190">
        <v>520000000</v>
      </c>
      <c r="BJ50" s="190">
        <v>231000000</v>
      </c>
      <c r="BK50" s="190">
        <v>153000000</v>
      </c>
      <c r="BL50" s="190">
        <v>105000000</v>
      </c>
      <c r="BM50" s="190">
        <v>286000000</v>
      </c>
      <c r="BN50" s="190">
        <v>219000000</v>
      </c>
      <c r="BO50" s="190">
        <v>260000000</v>
      </c>
      <c r="BP50" s="190">
        <v>82000000</v>
      </c>
      <c r="BQ50" s="190">
        <v>136000000</v>
      </c>
      <c r="BR50" s="190">
        <v>0</v>
      </c>
    </row>
    <row r="51" spans="1:70" x14ac:dyDescent="0.25">
      <c r="A51" s="190" t="s">
        <v>265</v>
      </c>
      <c r="B51" s="190">
        <v>0</v>
      </c>
      <c r="C51" s="190">
        <v>0</v>
      </c>
      <c r="D51" s="190">
        <v>0</v>
      </c>
      <c r="E51" s="190">
        <v>0</v>
      </c>
      <c r="F51" s="190">
        <v>0</v>
      </c>
      <c r="G51" s="190">
        <v>0</v>
      </c>
      <c r="H51" s="190">
        <v>0</v>
      </c>
      <c r="I51" s="190">
        <v>0</v>
      </c>
      <c r="J51" s="190">
        <v>0</v>
      </c>
      <c r="K51" s="190">
        <v>0</v>
      </c>
      <c r="L51" s="190">
        <v>0</v>
      </c>
      <c r="M51" s="190">
        <v>0</v>
      </c>
      <c r="N51" s="190">
        <v>0</v>
      </c>
      <c r="O51" s="190">
        <v>0</v>
      </c>
      <c r="P51" s="190">
        <v>0</v>
      </c>
      <c r="Q51" s="190">
        <v>0</v>
      </c>
      <c r="R51" s="190">
        <v>0</v>
      </c>
      <c r="S51" s="190">
        <v>0</v>
      </c>
      <c r="T51" s="190">
        <v>0</v>
      </c>
      <c r="U51" s="190">
        <v>0</v>
      </c>
      <c r="V51" s="190">
        <v>0</v>
      </c>
      <c r="W51" s="190">
        <v>0</v>
      </c>
      <c r="X51" s="190">
        <v>0</v>
      </c>
      <c r="Y51" s="190">
        <v>0</v>
      </c>
      <c r="Z51" s="190">
        <v>0</v>
      </c>
      <c r="AA51" s="190">
        <v>0</v>
      </c>
      <c r="AB51" s="190">
        <v>0</v>
      </c>
      <c r="AC51" s="190">
        <v>0</v>
      </c>
      <c r="AD51" s="190">
        <v>0</v>
      </c>
      <c r="AE51" s="190">
        <v>0</v>
      </c>
      <c r="AF51" s="190">
        <v>0</v>
      </c>
      <c r="AG51" s="190">
        <v>0</v>
      </c>
      <c r="AH51" s="190">
        <v>0</v>
      </c>
      <c r="AI51" s="190">
        <v>0</v>
      </c>
      <c r="AJ51" s="190">
        <v>0</v>
      </c>
      <c r="AK51" s="190">
        <v>0</v>
      </c>
      <c r="AL51" s="190">
        <v>0</v>
      </c>
      <c r="AM51" s="190">
        <v>0</v>
      </c>
      <c r="AN51" s="190">
        <v>0</v>
      </c>
      <c r="AO51" s="190">
        <v>0</v>
      </c>
      <c r="AP51" s="190">
        <v>0</v>
      </c>
      <c r="AQ51" s="190">
        <v>0</v>
      </c>
      <c r="AR51" s="190">
        <v>0</v>
      </c>
      <c r="AS51" s="190">
        <v>0</v>
      </c>
      <c r="AT51" s="190">
        <v>0</v>
      </c>
      <c r="AU51" s="190">
        <v>0</v>
      </c>
      <c r="AV51" s="190">
        <v>0</v>
      </c>
      <c r="AW51" s="190">
        <v>0</v>
      </c>
      <c r="AX51" s="190">
        <v>0</v>
      </c>
      <c r="AY51" s="190">
        <v>0</v>
      </c>
      <c r="AZ51" s="190">
        <v>0</v>
      </c>
      <c r="BA51" s="190">
        <v>0</v>
      </c>
      <c r="BB51" s="190">
        <v>0</v>
      </c>
      <c r="BC51" s="190">
        <v>0</v>
      </c>
      <c r="BD51" s="190">
        <v>0</v>
      </c>
      <c r="BE51" s="190">
        <v>0</v>
      </c>
      <c r="BF51" s="190">
        <v>0</v>
      </c>
      <c r="BG51" s="190">
        <v>0</v>
      </c>
      <c r="BH51" s="190">
        <v>0</v>
      </c>
      <c r="BI51" s="190">
        <v>0</v>
      </c>
      <c r="BJ51" s="190">
        <v>0</v>
      </c>
      <c r="BK51" s="190">
        <v>0</v>
      </c>
      <c r="BL51" s="190">
        <v>0</v>
      </c>
      <c r="BM51" s="190">
        <v>0</v>
      </c>
      <c r="BN51" s="190">
        <v>0</v>
      </c>
      <c r="BO51" s="190">
        <v>0</v>
      </c>
      <c r="BP51" s="190">
        <v>0</v>
      </c>
      <c r="BQ51" s="190">
        <v>0</v>
      </c>
      <c r="BR51" s="190">
        <v>0</v>
      </c>
    </row>
    <row r="52" spans="1:70" x14ac:dyDescent="0.25">
      <c r="A52" s="190" t="s">
        <v>266</v>
      </c>
      <c r="B52" s="190">
        <v>0</v>
      </c>
      <c r="C52" s="190">
        <v>0</v>
      </c>
      <c r="D52" s="190">
        <v>0</v>
      </c>
      <c r="E52" s="190">
        <v>0</v>
      </c>
      <c r="F52" s="190">
        <v>0</v>
      </c>
      <c r="G52" s="190">
        <v>0</v>
      </c>
      <c r="H52" s="190">
        <v>0</v>
      </c>
      <c r="I52" s="190">
        <v>0</v>
      </c>
      <c r="J52" s="190">
        <v>0</v>
      </c>
      <c r="K52" s="190">
        <v>0</v>
      </c>
      <c r="L52" s="190">
        <v>0</v>
      </c>
      <c r="M52" s="190">
        <v>0</v>
      </c>
      <c r="N52" s="190">
        <v>0</v>
      </c>
      <c r="O52" s="190">
        <v>0</v>
      </c>
      <c r="P52" s="190">
        <v>0</v>
      </c>
      <c r="Q52" s="190">
        <v>0</v>
      </c>
      <c r="R52" s="190">
        <v>0</v>
      </c>
      <c r="S52" s="190">
        <v>0</v>
      </c>
      <c r="T52" s="190">
        <v>0</v>
      </c>
      <c r="U52" s="190">
        <v>0</v>
      </c>
      <c r="V52" s="190">
        <v>0</v>
      </c>
      <c r="W52" s="190">
        <v>0</v>
      </c>
      <c r="X52" s="190">
        <v>0</v>
      </c>
      <c r="Y52" s="190">
        <v>0</v>
      </c>
      <c r="Z52" s="190">
        <v>0</v>
      </c>
      <c r="AA52" s="190">
        <v>0</v>
      </c>
      <c r="AB52" s="190">
        <v>0</v>
      </c>
      <c r="AC52" s="190">
        <v>0</v>
      </c>
      <c r="AD52" s="190">
        <v>0</v>
      </c>
      <c r="AE52" s="190">
        <v>0</v>
      </c>
      <c r="AF52" s="190">
        <v>0</v>
      </c>
      <c r="AG52" s="190">
        <v>0</v>
      </c>
      <c r="AH52" s="190">
        <v>0</v>
      </c>
      <c r="AI52" s="190">
        <v>0</v>
      </c>
      <c r="AJ52" s="190">
        <v>0</v>
      </c>
      <c r="AK52" s="190">
        <v>0</v>
      </c>
      <c r="AL52" s="190">
        <v>0</v>
      </c>
      <c r="AM52" s="190">
        <v>0</v>
      </c>
      <c r="AN52" s="190">
        <v>0</v>
      </c>
      <c r="AO52" s="190">
        <v>0</v>
      </c>
      <c r="AP52" s="190">
        <v>0</v>
      </c>
      <c r="AQ52" s="190">
        <v>0</v>
      </c>
      <c r="AR52" s="190">
        <v>0</v>
      </c>
      <c r="AS52" s="190">
        <v>0</v>
      </c>
      <c r="AT52" s="190">
        <v>0</v>
      </c>
      <c r="AU52" s="190">
        <v>0</v>
      </c>
      <c r="AV52" s="190">
        <v>0</v>
      </c>
      <c r="AW52" s="190">
        <v>0</v>
      </c>
      <c r="AX52" s="190">
        <v>0</v>
      </c>
      <c r="AY52" s="190">
        <v>0</v>
      </c>
      <c r="AZ52" s="190">
        <v>0</v>
      </c>
      <c r="BA52" s="190">
        <v>0</v>
      </c>
      <c r="BB52" s="190">
        <v>0</v>
      </c>
      <c r="BC52" s="190">
        <v>0</v>
      </c>
      <c r="BD52" s="190">
        <v>0</v>
      </c>
      <c r="BE52" s="190">
        <v>0</v>
      </c>
      <c r="BF52" s="190">
        <v>0</v>
      </c>
      <c r="BG52" s="190">
        <v>0</v>
      </c>
      <c r="BH52" s="190">
        <v>0</v>
      </c>
      <c r="BI52" s="190">
        <v>0</v>
      </c>
      <c r="BJ52" s="190">
        <v>0</v>
      </c>
      <c r="BK52" s="190">
        <v>0</v>
      </c>
      <c r="BL52" s="190">
        <v>0</v>
      </c>
      <c r="BM52" s="190">
        <v>0</v>
      </c>
      <c r="BN52" s="190">
        <v>0</v>
      </c>
      <c r="BO52" s="190">
        <v>0</v>
      </c>
      <c r="BP52" s="190">
        <v>0</v>
      </c>
      <c r="BQ52" s="190">
        <v>0</v>
      </c>
      <c r="BR52" s="190">
        <v>0</v>
      </c>
    </row>
    <row r="53" spans="1:70" x14ac:dyDescent="0.25">
      <c r="A53" s="190" t="s">
        <v>267</v>
      </c>
      <c r="B53" s="190">
        <v>0</v>
      </c>
      <c r="C53" s="190">
        <v>0</v>
      </c>
      <c r="D53" s="190">
        <v>0</v>
      </c>
      <c r="E53" s="190">
        <v>0</v>
      </c>
      <c r="F53" s="190">
        <v>0</v>
      </c>
      <c r="G53" s="190">
        <v>0</v>
      </c>
      <c r="H53" s="190">
        <v>0</v>
      </c>
      <c r="I53" s="190">
        <v>0</v>
      </c>
      <c r="J53" s="190">
        <v>0</v>
      </c>
      <c r="K53" s="190">
        <v>0</v>
      </c>
      <c r="L53" s="190">
        <v>0</v>
      </c>
      <c r="M53" s="190">
        <v>0</v>
      </c>
      <c r="N53" s="190">
        <v>0</v>
      </c>
      <c r="O53" s="190">
        <v>0</v>
      </c>
      <c r="P53" s="190">
        <v>0</v>
      </c>
      <c r="Q53" s="190">
        <v>0</v>
      </c>
      <c r="R53" s="190">
        <v>0</v>
      </c>
      <c r="S53" s="190">
        <v>0</v>
      </c>
      <c r="T53" s="190">
        <v>0</v>
      </c>
      <c r="U53" s="190">
        <v>0</v>
      </c>
      <c r="V53" s="190">
        <v>0</v>
      </c>
      <c r="W53" s="190">
        <v>0</v>
      </c>
      <c r="X53" s="190">
        <v>0</v>
      </c>
      <c r="Y53" s="190">
        <v>0</v>
      </c>
      <c r="Z53" s="190">
        <v>0</v>
      </c>
      <c r="AA53" s="190">
        <v>0</v>
      </c>
      <c r="AB53" s="190">
        <v>0</v>
      </c>
      <c r="AC53" s="190">
        <v>0</v>
      </c>
      <c r="AD53" s="190">
        <v>0</v>
      </c>
      <c r="AE53" s="190">
        <v>0</v>
      </c>
      <c r="AF53" s="190">
        <v>0</v>
      </c>
      <c r="AG53" s="190">
        <v>0</v>
      </c>
      <c r="AH53" s="190">
        <v>0</v>
      </c>
      <c r="AI53" s="190">
        <v>0</v>
      </c>
      <c r="AJ53" s="190">
        <v>0</v>
      </c>
      <c r="AK53" s="190">
        <v>0</v>
      </c>
      <c r="AL53" s="190">
        <v>0</v>
      </c>
      <c r="AM53" s="190">
        <v>0</v>
      </c>
      <c r="AN53" s="190">
        <v>0</v>
      </c>
      <c r="AO53" s="190">
        <v>0</v>
      </c>
      <c r="AP53" s="190">
        <v>0</v>
      </c>
      <c r="AQ53" s="190">
        <v>0</v>
      </c>
      <c r="AR53" s="190">
        <v>0</v>
      </c>
      <c r="AS53" s="190">
        <v>0</v>
      </c>
      <c r="AT53" s="190">
        <v>0</v>
      </c>
      <c r="AU53" s="190">
        <v>0</v>
      </c>
      <c r="AV53" s="190">
        <v>0</v>
      </c>
      <c r="AW53" s="190">
        <v>0</v>
      </c>
      <c r="AX53" s="190">
        <v>0</v>
      </c>
      <c r="AY53" s="190">
        <v>0</v>
      </c>
      <c r="AZ53" s="190">
        <v>0</v>
      </c>
      <c r="BA53" s="190">
        <v>0</v>
      </c>
      <c r="BB53" s="190">
        <v>0</v>
      </c>
      <c r="BC53" s="190">
        <v>0</v>
      </c>
      <c r="BD53" s="190">
        <v>0</v>
      </c>
      <c r="BE53" s="190">
        <v>0</v>
      </c>
      <c r="BF53" s="190">
        <v>0</v>
      </c>
      <c r="BG53" s="190">
        <v>0</v>
      </c>
      <c r="BH53" s="190">
        <v>0</v>
      </c>
      <c r="BI53" s="190">
        <v>0</v>
      </c>
      <c r="BJ53" s="190">
        <v>0</v>
      </c>
      <c r="BK53" s="190">
        <v>0</v>
      </c>
      <c r="BL53" s="190">
        <v>0</v>
      </c>
      <c r="BM53" s="190">
        <v>0</v>
      </c>
      <c r="BN53" s="190">
        <v>0</v>
      </c>
      <c r="BO53" s="190">
        <v>0</v>
      </c>
      <c r="BP53" s="190">
        <v>0</v>
      </c>
      <c r="BQ53" s="190">
        <v>0</v>
      </c>
      <c r="BR53" s="190">
        <v>0</v>
      </c>
    </row>
    <row r="54" spans="1:70" x14ac:dyDescent="0.25">
      <c r="A54" s="190" t="s">
        <v>268</v>
      </c>
      <c r="B54" s="190">
        <v>0</v>
      </c>
      <c r="C54" s="190">
        <v>-218000000</v>
      </c>
      <c r="D54" s="190">
        <v>0</v>
      </c>
      <c r="E54" s="190">
        <v>1518000000</v>
      </c>
      <c r="F54" s="190">
        <v>0</v>
      </c>
      <c r="G54" s="190">
        <v>98000000</v>
      </c>
      <c r="H54" s="190">
        <v>0</v>
      </c>
      <c r="I54" s="190">
        <v>1528000000</v>
      </c>
      <c r="J54" s="190">
        <v>0</v>
      </c>
      <c r="K54" s="190">
        <v>-7000000</v>
      </c>
      <c r="L54" s="190">
        <v>0</v>
      </c>
      <c r="M54" s="190">
        <v>721000000</v>
      </c>
      <c r="N54" s="190">
        <v>0</v>
      </c>
      <c r="O54" s="190">
        <v>61000000</v>
      </c>
      <c r="P54" s="190">
        <v>0</v>
      </c>
      <c r="Q54" s="190">
        <v>1622000000</v>
      </c>
      <c r="R54" s="190">
        <v>0</v>
      </c>
      <c r="S54" s="190">
        <v>561000000</v>
      </c>
      <c r="T54" s="190">
        <v>0</v>
      </c>
      <c r="U54" s="190">
        <v>826000000</v>
      </c>
      <c r="V54" s="190">
        <v>0</v>
      </c>
      <c r="W54" s="190">
        <v>95000000</v>
      </c>
      <c r="X54" s="190">
        <v>0</v>
      </c>
      <c r="Y54" s="190">
        <v>-16000000</v>
      </c>
      <c r="Z54" s="190">
        <v>0</v>
      </c>
      <c r="AA54" s="190">
        <v>0</v>
      </c>
      <c r="AB54" s="190">
        <v>0</v>
      </c>
      <c r="AC54" s="190">
        <v>0</v>
      </c>
      <c r="AD54" s="190">
        <v>0</v>
      </c>
      <c r="AE54" s="190">
        <v>0</v>
      </c>
      <c r="AF54" s="190">
        <v>0</v>
      </c>
      <c r="AG54" s="190">
        <v>0</v>
      </c>
      <c r="AH54" s="190">
        <v>0</v>
      </c>
      <c r="AI54" s="190">
        <v>0</v>
      </c>
      <c r="AJ54" s="190">
        <v>0</v>
      </c>
      <c r="AK54" s="190">
        <v>0</v>
      </c>
      <c r="AL54" s="190">
        <v>0</v>
      </c>
      <c r="AM54" s="190">
        <v>0</v>
      </c>
      <c r="AN54" s="190">
        <v>0</v>
      </c>
      <c r="AO54" s="190">
        <v>0</v>
      </c>
      <c r="AP54" s="190">
        <v>0</v>
      </c>
      <c r="AQ54" s="190">
        <v>0</v>
      </c>
      <c r="AR54" s="190">
        <v>0</v>
      </c>
      <c r="AS54" s="190">
        <v>0</v>
      </c>
      <c r="AT54" s="190">
        <v>0</v>
      </c>
      <c r="AU54" s="190">
        <v>0</v>
      </c>
      <c r="AV54" s="190">
        <v>-11000000</v>
      </c>
      <c r="AW54" s="190">
        <v>1646000000</v>
      </c>
      <c r="AX54" s="190">
        <v>-6000000</v>
      </c>
      <c r="AY54" s="190">
        <v>13000000</v>
      </c>
      <c r="AZ54" s="190">
        <v>3000000</v>
      </c>
      <c r="BA54" s="190">
        <v>2202000000</v>
      </c>
      <c r="BB54" s="190">
        <v>-18000000</v>
      </c>
      <c r="BC54" s="190">
        <v>21000000</v>
      </c>
      <c r="BD54" s="190">
        <v>306000000</v>
      </c>
      <c r="BE54" s="190">
        <v>3989000000</v>
      </c>
      <c r="BF54" s="190">
        <v>3021000000</v>
      </c>
      <c r="BG54" s="190">
        <v>1376000000</v>
      </c>
      <c r="BH54" s="190">
        <v>844000000</v>
      </c>
      <c r="BI54" s="190">
        <v>3291000000</v>
      </c>
      <c r="BJ54" s="190">
        <v>1703000000</v>
      </c>
      <c r="BK54" s="190">
        <v>234000000</v>
      </c>
      <c r="BL54" s="190">
        <v>55000000</v>
      </c>
      <c r="BM54" s="190">
        <v>663000000</v>
      </c>
      <c r="BN54" s="190">
        <v>92000000</v>
      </c>
      <c r="BO54" s="190">
        <v>107000000</v>
      </c>
      <c r="BP54" s="190">
        <v>258000000</v>
      </c>
      <c r="BQ54" s="190">
        <v>778000000</v>
      </c>
      <c r="BR54" s="190">
        <v>0</v>
      </c>
    </row>
    <row r="55" spans="1:70" x14ac:dyDescent="0.25">
      <c r="A55" s="190" t="s">
        <v>269</v>
      </c>
      <c r="B55" s="190">
        <v>0</v>
      </c>
      <c r="C55" s="190">
        <v>0</v>
      </c>
      <c r="D55" s="190">
        <v>0</v>
      </c>
      <c r="E55" s="190">
        <v>0</v>
      </c>
      <c r="F55" s="190">
        <v>0</v>
      </c>
      <c r="G55" s="190">
        <v>0</v>
      </c>
      <c r="H55" s="190">
        <v>0</v>
      </c>
      <c r="I55" s="190">
        <v>0</v>
      </c>
      <c r="J55" s="190">
        <v>0</v>
      </c>
      <c r="K55" s="190">
        <v>0</v>
      </c>
      <c r="L55" s="190">
        <v>0</v>
      </c>
      <c r="M55" s="190">
        <v>0</v>
      </c>
      <c r="N55" s="190">
        <v>0</v>
      </c>
      <c r="O55" s="190">
        <v>0</v>
      </c>
      <c r="P55" s="190">
        <v>0</v>
      </c>
      <c r="Q55" s="190">
        <v>0</v>
      </c>
      <c r="R55" s="190">
        <v>0</v>
      </c>
      <c r="S55" s="190">
        <v>0</v>
      </c>
      <c r="T55" s="190">
        <v>0</v>
      </c>
      <c r="U55" s="190">
        <v>0</v>
      </c>
      <c r="V55" s="190">
        <v>0</v>
      </c>
      <c r="W55" s="190">
        <v>0</v>
      </c>
      <c r="X55" s="190">
        <v>0</v>
      </c>
      <c r="Y55" s="190">
        <v>0</v>
      </c>
      <c r="Z55" s="190">
        <v>0</v>
      </c>
      <c r="AA55" s="190">
        <v>0</v>
      </c>
      <c r="AB55" s="190">
        <v>0</v>
      </c>
      <c r="AC55" s="190">
        <v>62255000000</v>
      </c>
      <c r="AD55" s="190">
        <v>0</v>
      </c>
      <c r="AE55" s="190">
        <v>-541000000</v>
      </c>
      <c r="AF55" s="190">
        <v>0</v>
      </c>
      <c r="AG55" s="190">
        <v>-253000000</v>
      </c>
      <c r="AH55" s="190">
        <v>0</v>
      </c>
      <c r="AI55" s="190">
        <v>-361000000</v>
      </c>
      <c r="AJ55" s="190">
        <v>0</v>
      </c>
      <c r="AK55" s="190">
        <v>-211000000</v>
      </c>
      <c r="AL55" s="190">
        <v>0</v>
      </c>
      <c r="AM55" s="190">
        <v>-168000000</v>
      </c>
      <c r="AN55" s="190">
        <v>0</v>
      </c>
      <c r="AO55" s="190">
        <v>-248000000</v>
      </c>
      <c r="AP55" s="190">
        <v>0</v>
      </c>
      <c r="AQ55" s="190">
        <v>-97000000</v>
      </c>
      <c r="AR55" s="190">
        <v>0</v>
      </c>
      <c r="AS55" s="190">
        <v>-766000000</v>
      </c>
      <c r="AT55" s="190">
        <v>294000000</v>
      </c>
      <c r="AU55" s="190">
        <v>290000000</v>
      </c>
      <c r="AV55" s="190">
        <v>0</v>
      </c>
      <c r="AW55" s="190">
        <v>0</v>
      </c>
      <c r="AX55" s="190">
        <v>0</v>
      </c>
      <c r="AY55" s="190">
        <v>0</v>
      </c>
      <c r="AZ55" s="190">
        <v>0</v>
      </c>
      <c r="BA55" s="190">
        <v>0</v>
      </c>
      <c r="BB55" s="190">
        <v>0</v>
      </c>
      <c r="BC55" s="190">
        <v>0</v>
      </c>
      <c r="BD55" s="190">
        <v>0</v>
      </c>
      <c r="BE55" s="190">
        <v>0</v>
      </c>
      <c r="BF55" s="190">
        <v>0</v>
      </c>
      <c r="BG55" s="190">
        <v>0</v>
      </c>
      <c r="BH55" s="190">
        <v>0</v>
      </c>
      <c r="BI55" s="190">
        <v>0</v>
      </c>
      <c r="BJ55" s="190">
        <v>0</v>
      </c>
      <c r="BK55" s="190">
        <v>0</v>
      </c>
      <c r="BL55" s="190">
        <v>0</v>
      </c>
      <c r="BM55" s="190">
        <v>0</v>
      </c>
      <c r="BN55" s="190">
        <v>0</v>
      </c>
      <c r="BO55" s="190">
        <v>0</v>
      </c>
      <c r="BP55" s="190">
        <v>0</v>
      </c>
      <c r="BQ55" s="190">
        <v>0</v>
      </c>
      <c r="BR55" s="190">
        <v>0</v>
      </c>
    </row>
    <row r="56" spans="1:70" x14ac:dyDescent="0.25">
      <c r="A56" s="190" t="s">
        <v>270</v>
      </c>
      <c r="B56" s="190">
        <v>0</v>
      </c>
      <c r="C56" s="190">
        <v>450000000</v>
      </c>
      <c r="D56" s="190">
        <v>0</v>
      </c>
      <c r="E56" s="190">
        <v>13000000</v>
      </c>
      <c r="F56" s="190">
        <v>0</v>
      </c>
      <c r="G56" s="190">
        <v>-369000000</v>
      </c>
      <c r="H56" s="190">
        <v>0</v>
      </c>
      <c r="I56" s="190">
        <v>216000000</v>
      </c>
      <c r="J56" s="190">
        <v>0</v>
      </c>
      <c r="K56" s="190">
        <v>-113000000</v>
      </c>
      <c r="L56" s="190">
        <v>0</v>
      </c>
      <c r="M56" s="190">
        <v>-735000000</v>
      </c>
      <c r="N56" s="190">
        <v>0</v>
      </c>
      <c r="O56" s="190">
        <v>-111000000</v>
      </c>
      <c r="P56" s="190">
        <v>0</v>
      </c>
      <c r="Q56" s="190">
        <v>4151000000</v>
      </c>
      <c r="R56" s="190">
        <v>0</v>
      </c>
      <c r="S56" s="190">
        <v>2074000000</v>
      </c>
      <c r="T56" s="190">
        <v>0</v>
      </c>
      <c r="U56" s="190">
        <v>-2167000000</v>
      </c>
      <c r="V56" s="190">
        <v>0</v>
      </c>
      <c r="W56" s="190">
        <v>-737000000</v>
      </c>
      <c r="X56" s="190">
        <v>0</v>
      </c>
      <c r="Y56" s="190">
        <v>-206000000</v>
      </c>
      <c r="Z56" s="190">
        <v>0</v>
      </c>
      <c r="AA56" s="190">
        <v>-510000000</v>
      </c>
      <c r="AB56" s="190">
        <v>0</v>
      </c>
      <c r="AC56" s="190">
        <v>-1423000000</v>
      </c>
      <c r="AD56" s="190">
        <v>0</v>
      </c>
      <c r="AE56" s="190">
        <v>-305000000</v>
      </c>
      <c r="AF56" s="190">
        <v>0</v>
      </c>
      <c r="AG56" s="190">
        <v>179000000</v>
      </c>
      <c r="AH56" s="190">
        <v>0</v>
      </c>
      <c r="AI56" s="190">
        <v>-540000000</v>
      </c>
      <c r="AJ56" s="190">
        <v>0</v>
      </c>
      <c r="AK56" s="190">
        <v>365000000</v>
      </c>
      <c r="AL56" s="190">
        <v>0</v>
      </c>
      <c r="AM56" s="190">
        <v>389000000</v>
      </c>
      <c r="AN56" s="190">
        <v>0</v>
      </c>
      <c r="AO56" s="190">
        <v>-3969000000</v>
      </c>
      <c r="AP56" s="190">
        <v>0</v>
      </c>
      <c r="AQ56" s="190">
        <v>-2956000000</v>
      </c>
      <c r="AR56" s="190">
        <v>0</v>
      </c>
      <c r="AS56" s="190">
        <v>3211000000</v>
      </c>
      <c r="AT56" s="190">
        <v>1523000000</v>
      </c>
      <c r="AU56" s="190">
        <v>897000000</v>
      </c>
      <c r="AV56" s="190">
        <v>0</v>
      </c>
      <c r="AW56" s="190">
        <v>0</v>
      </c>
      <c r="AX56" s="190">
        <v>0</v>
      </c>
      <c r="AY56" s="190">
        <v>0</v>
      </c>
      <c r="AZ56" s="190">
        <v>0</v>
      </c>
      <c r="BA56" s="190">
        <v>0</v>
      </c>
      <c r="BB56" s="190">
        <v>0</v>
      </c>
      <c r="BC56" s="190">
        <v>0</v>
      </c>
      <c r="BD56" s="190">
        <v>0</v>
      </c>
      <c r="BE56" s="190">
        <v>0</v>
      </c>
      <c r="BF56" s="190">
        <v>0</v>
      </c>
      <c r="BG56" s="190">
        <v>0</v>
      </c>
      <c r="BH56" s="190">
        <v>0</v>
      </c>
      <c r="BI56" s="190">
        <v>0</v>
      </c>
      <c r="BJ56" s="190">
        <v>0</v>
      </c>
      <c r="BK56" s="190">
        <v>0</v>
      </c>
      <c r="BL56" s="190">
        <v>0</v>
      </c>
      <c r="BM56" s="190">
        <v>0</v>
      </c>
      <c r="BN56" s="190">
        <v>0</v>
      </c>
      <c r="BO56" s="190">
        <v>0</v>
      </c>
      <c r="BP56" s="190">
        <v>0</v>
      </c>
      <c r="BQ56" s="190">
        <v>0</v>
      </c>
      <c r="BR56" s="190">
        <v>0</v>
      </c>
    </row>
    <row r="57" spans="1:70" x14ac:dyDescent="0.25">
      <c r="A57" s="190" t="s">
        <v>271</v>
      </c>
      <c r="B57" s="190">
        <v>0</v>
      </c>
      <c r="C57" s="190">
        <v>0</v>
      </c>
      <c r="D57" s="190">
        <v>0</v>
      </c>
      <c r="E57" s="190">
        <v>0</v>
      </c>
      <c r="F57" s="190">
        <v>0</v>
      </c>
      <c r="G57" s="190">
        <v>0</v>
      </c>
      <c r="H57" s="190">
        <v>0</v>
      </c>
      <c r="I57" s="190">
        <v>0</v>
      </c>
      <c r="J57" s="190">
        <v>0</v>
      </c>
      <c r="K57" s="190">
        <v>0</v>
      </c>
      <c r="L57" s="190">
        <v>0</v>
      </c>
      <c r="M57" s="190">
        <v>0</v>
      </c>
      <c r="N57" s="190">
        <v>0</v>
      </c>
      <c r="O57" s="190">
        <v>0</v>
      </c>
      <c r="P57" s="190">
        <v>0</v>
      </c>
      <c r="Q57" s="190">
        <v>0</v>
      </c>
      <c r="R57" s="190">
        <v>0</v>
      </c>
      <c r="S57" s="190">
        <v>0</v>
      </c>
      <c r="T57" s="190">
        <v>0</v>
      </c>
      <c r="U57" s="190">
        <v>0</v>
      </c>
      <c r="V57" s="190">
        <v>0</v>
      </c>
      <c r="W57" s="190">
        <v>0</v>
      </c>
      <c r="X57" s="190">
        <v>0</v>
      </c>
      <c r="Y57" s="190">
        <v>0</v>
      </c>
      <c r="Z57" s="190">
        <v>0</v>
      </c>
      <c r="AA57" s="190">
        <v>0</v>
      </c>
      <c r="AB57" s="190">
        <v>0</v>
      </c>
      <c r="AC57" s="190">
        <v>0</v>
      </c>
      <c r="AD57" s="190">
        <v>0</v>
      </c>
      <c r="AE57" s="190">
        <v>0</v>
      </c>
      <c r="AF57" s="190">
        <v>0</v>
      </c>
      <c r="AG57" s="190">
        <v>0</v>
      </c>
      <c r="AH57" s="190">
        <v>0</v>
      </c>
      <c r="AI57" s="190">
        <v>0</v>
      </c>
      <c r="AJ57" s="190">
        <v>0</v>
      </c>
      <c r="AK57" s="190">
        <v>0</v>
      </c>
      <c r="AL57" s="190">
        <v>0</v>
      </c>
      <c r="AM57" s="190">
        <v>0</v>
      </c>
      <c r="AN57" s="190">
        <v>0</v>
      </c>
      <c r="AO57" s="190">
        <v>0</v>
      </c>
      <c r="AP57" s="190">
        <v>0</v>
      </c>
      <c r="AQ57" s="190">
        <v>0</v>
      </c>
      <c r="AR57" s="190">
        <v>0</v>
      </c>
      <c r="AS57" s="190">
        <v>0</v>
      </c>
      <c r="AT57" s="190">
        <v>0</v>
      </c>
      <c r="AU57" s="190">
        <v>0</v>
      </c>
      <c r="AV57" s="190">
        <v>0</v>
      </c>
      <c r="AW57" s="190">
        <v>0</v>
      </c>
      <c r="AX57" s="190">
        <v>0</v>
      </c>
      <c r="AY57" s="190">
        <v>0</v>
      </c>
      <c r="AZ57" s="190">
        <v>0</v>
      </c>
      <c r="BA57" s="190">
        <v>0</v>
      </c>
      <c r="BB57" s="190">
        <v>0</v>
      </c>
      <c r="BC57" s="190">
        <v>0</v>
      </c>
      <c r="BD57" s="190">
        <v>0</v>
      </c>
      <c r="BE57" s="190">
        <v>0</v>
      </c>
      <c r="BF57" s="190">
        <v>0</v>
      </c>
      <c r="BG57" s="190">
        <v>0</v>
      </c>
      <c r="BH57" s="190">
        <v>0</v>
      </c>
      <c r="BI57" s="190">
        <v>0</v>
      </c>
      <c r="BJ57" s="190">
        <v>0</v>
      </c>
      <c r="BK57" s="190">
        <v>0</v>
      </c>
      <c r="BL57" s="190">
        <v>0</v>
      </c>
      <c r="BM57" s="190">
        <v>0</v>
      </c>
      <c r="BN57" s="190">
        <v>0</v>
      </c>
      <c r="BO57" s="190">
        <v>0</v>
      </c>
      <c r="BP57" s="190">
        <v>0</v>
      </c>
      <c r="BQ57" s="190">
        <v>0</v>
      </c>
      <c r="BR57" s="190">
        <v>0</v>
      </c>
    </row>
    <row r="58" spans="1:70" x14ac:dyDescent="0.25">
      <c r="A58" s="190" t="s">
        <v>272</v>
      </c>
      <c r="B58" s="190">
        <v>0</v>
      </c>
      <c r="C58" s="190">
        <v>0</v>
      </c>
      <c r="D58" s="190">
        <v>0</v>
      </c>
      <c r="E58" s="190">
        <v>0</v>
      </c>
      <c r="F58" s="190">
        <v>0</v>
      </c>
      <c r="G58" s="190">
        <v>0</v>
      </c>
      <c r="H58" s="190">
        <v>0</v>
      </c>
      <c r="I58" s="190">
        <v>0</v>
      </c>
      <c r="J58" s="190">
        <v>0</v>
      </c>
      <c r="K58" s="190">
        <v>0</v>
      </c>
      <c r="L58" s="190">
        <v>0</v>
      </c>
      <c r="M58" s="190">
        <v>0</v>
      </c>
      <c r="N58" s="190">
        <v>0</v>
      </c>
      <c r="O58" s="190">
        <v>0</v>
      </c>
      <c r="P58" s="190">
        <v>0</v>
      </c>
      <c r="Q58" s="190">
        <v>0</v>
      </c>
      <c r="R58" s="190">
        <v>0</v>
      </c>
      <c r="S58" s="190">
        <v>0</v>
      </c>
      <c r="T58" s="190">
        <v>0</v>
      </c>
      <c r="U58" s="190">
        <v>0</v>
      </c>
      <c r="V58" s="190">
        <v>0</v>
      </c>
      <c r="W58" s="190">
        <v>0</v>
      </c>
      <c r="X58" s="190">
        <v>0</v>
      </c>
      <c r="Y58" s="190">
        <v>0</v>
      </c>
      <c r="Z58" s="190">
        <v>0</v>
      </c>
      <c r="AA58" s="190">
        <v>0</v>
      </c>
      <c r="AB58" s="190">
        <v>0</v>
      </c>
      <c r="AC58" s="190">
        <v>0</v>
      </c>
      <c r="AD58" s="190">
        <v>0</v>
      </c>
      <c r="AE58" s="190">
        <v>0</v>
      </c>
      <c r="AF58" s="190">
        <v>0</v>
      </c>
      <c r="AG58" s="190">
        <v>0</v>
      </c>
      <c r="AH58" s="190">
        <v>0</v>
      </c>
      <c r="AI58" s="190">
        <v>0</v>
      </c>
      <c r="AJ58" s="190">
        <v>0</v>
      </c>
      <c r="AK58" s="190">
        <v>0</v>
      </c>
      <c r="AL58" s="190">
        <v>0</v>
      </c>
      <c r="AM58" s="190">
        <v>0</v>
      </c>
      <c r="AN58" s="190">
        <v>0</v>
      </c>
      <c r="AO58" s="190">
        <v>0</v>
      </c>
      <c r="AP58" s="190">
        <v>0</v>
      </c>
      <c r="AQ58" s="190">
        <v>0</v>
      </c>
      <c r="AR58" s="190">
        <v>0</v>
      </c>
      <c r="AS58" s="190">
        <v>0</v>
      </c>
      <c r="AT58" s="190">
        <v>0</v>
      </c>
      <c r="AU58" s="190">
        <v>0</v>
      </c>
      <c r="AV58" s="190">
        <v>0</v>
      </c>
      <c r="AW58" s="190">
        <v>0</v>
      </c>
      <c r="AX58" s="190">
        <v>0</v>
      </c>
      <c r="AY58" s="190">
        <v>0</v>
      </c>
      <c r="AZ58" s="190">
        <v>0</v>
      </c>
      <c r="BA58" s="190">
        <v>0</v>
      </c>
      <c r="BB58" s="190">
        <v>0</v>
      </c>
      <c r="BC58" s="190">
        <v>0</v>
      </c>
      <c r="BD58" s="190">
        <v>0</v>
      </c>
      <c r="BE58" s="190">
        <v>0</v>
      </c>
      <c r="BF58" s="190">
        <v>0</v>
      </c>
      <c r="BG58" s="190">
        <v>0</v>
      </c>
      <c r="BH58" s="190">
        <v>0</v>
      </c>
      <c r="BI58" s="190">
        <v>0</v>
      </c>
      <c r="BJ58" s="190">
        <v>0</v>
      </c>
      <c r="BK58" s="190">
        <v>0</v>
      </c>
      <c r="BL58" s="190">
        <v>0</v>
      </c>
      <c r="BM58" s="190">
        <v>0</v>
      </c>
      <c r="BN58" s="190">
        <v>0</v>
      </c>
      <c r="BO58" s="190">
        <v>0</v>
      </c>
      <c r="BP58" s="190">
        <v>0</v>
      </c>
      <c r="BQ58" s="190">
        <v>0</v>
      </c>
      <c r="BR58" s="190">
        <v>0</v>
      </c>
    </row>
    <row r="59" spans="1:70" x14ac:dyDescent="0.25">
      <c r="A59" s="190" t="s">
        <v>197</v>
      </c>
      <c r="B59" s="190">
        <v>0</v>
      </c>
      <c r="C59" s="190">
        <v>418000000</v>
      </c>
      <c r="D59" s="190">
        <v>0</v>
      </c>
      <c r="E59" s="190">
        <v>676000000</v>
      </c>
      <c r="F59" s="190">
        <v>0</v>
      </c>
      <c r="G59" s="190">
        <v>1201000000</v>
      </c>
      <c r="H59" s="190">
        <v>0</v>
      </c>
      <c r="I59" s="190">
        <v>4336000000</v>
      </c>
      <c r="J59" s="190">
        <v>0</v>
      </c>
      <c r="K59" s="190">
        <v>3740000000</v>
      </c>
      <c r="L59" s="190">
        <v>0</v>
      </c>
      <c r="M59" s="190">
        <v>10692000000</v>
      </c>
      <c r="N59" s="190">
        <v>0</v>
      </c>
      <c r="O59" s="190">
        <v>3494000000</v>
      </c>
      <c r="P59" s="190">
        <v>0</v>
      </c>
      <c r="Q59" s="190">
        <v>8596000000</v>
      </c>
      <c r="R59" s="190">
        <v>0</v>
      </c>
      <c r="S59" s="190">
        <v>6025000000</v>
      </c>
      <c r="T59" s="190">
        <v>0</v>
      </c>
      <c r="U59" s="190">
        <v>8100000000</v>
      </c>
      <c r="V59" s="190">
        <v>0</v>
      </c>
      <c r="W59" s="190">
        <v>3292000000</v>
      </c>
      <c r="X59" s="190">
        <v>0</v>
      </c>
      <c r="Y59" s="190">
        <v>9819000000</v>
      </c>
      <c r="Z59" s="190">
        <v>0</v>
      </c>
      <c r="AA59" s="190">
        <v>5533000000</v>
      </c>
      <c r="AB59" s="190">
        <v>0</v>
      </c>
      <c r="AC59" s="190">
        <v>6544000000</v>
      </c>
      <c r="AD59" s="190">
        <v>0</v>
      </c>
      <c r="AE59" s="190">
        <v>3486000000</v>
      </c>
      <c r="AF59" s="190">
        <v>0</v>
      </c>
      <c r="AG59" s="190">
        <v>6847000000</v>
      </c>
      <c r="AH59" s="190">
        <v>0</v>
      </c>
      <c r="AI59" s="190">
        <v>3649000000</v>
      </c>
      <c r="AJ59" s="190">
        <v>0</v>
      </c>
      <c r="AK59" s="190">
        <v>7016000000</v>
      </c>
      <c r="AL59" s="190">
        <v>0</v>
      </c>
      <c r="AM59" s="190">
        <v>3881000000</v>
      </c>
      <c r="AN59" s="190">
        <v>0</v>
      </c>
      <c r="AO59" s="190">
        <v>8723000000</v>
      </c>
      <c r="AP59" s="190">
        <v>0</v>
      </c>
      <c r="AQ59" s="190">
        <v>3658000000</v>
      </c>
      <c r="AR59" s="190">
        <v>0</v>
      </c>
      <c r="AS59" s="190">
        <v>4890000000</v>
      </c>
      <c r="AT59" s="190">
        <v>4088000000</v>
      </c>
      <c r="AU59" s="190">
        <v>2696000000</v>
      </c>
      <c r="AV59" s="190">
        <v>1457000000</v>
      </c>
      <c r="AW59" s="190">
        <v>6729000000</v>
      </c>
      <c r="AX59" s="190">
        <v>5227000000</v>
      </c>
      <c r="AY59" s="190">
        <v>3522000000</v>
      </c>
      <c r="AZ59" s="190">
        <v>1606000000</v>
      </c>
      <c r="BA59" s="190">
        <v>5266000000</v>
      </c>
      <c r="BB59" s="190">
        <v>3916000000</v>
      </c>
      <c r="BC59" s="190">
        <v>2852000000</v>
      </c>
      <c r="BD59" s="190">
        <v>1372000000</v>
      </c>
      <c r="BE59" s="190">
        <v>4331000000</v>
      </c>
      <c r="BF59" s="190">
        <v>3161000000</v>
      </c>
      <c r="BG59" s="190">
        <v>2094000000</v>
      </c>
      <c r="BH59" s="190">
        <v>1162000000</v>
      </c>
      <c r="BI59" s="190">
        <v>4129000000</v>
      </c>
      <c r="BJ59" s="190">
        <v>3385000000</v>
      </c>
      <c r="BK59" s="190">
        <v>2234000000</v>
      </c>
      <c r="BL59" s="190">
        <v>1141000000</v>
      </c>
      <c r="BM59" s="190">
        <v>4306000000</v>
      </c>
      <c r="BN59" s="190">
        <v>2452000000</v>
      </c>
      <c r="BO59" s="190">
        <v>3596000000</v>
      </c>
      <c r="BP59" s="190">
        <v>2213000000</v>
      </c>
      <c r="BQ59" s="190">
        <v>4843000000</v>
      </c>
      <c r="BR59" s="190">
        <v>0</v>
      </c>
    </row>
    <row r="60" spans="1:70" x14ac:dyDescent="0.25">
      <c r="A60" s="190" t="s">
        <v>273</v>
      </c>
      <c r="B60" s="190">
        <v>0</v>
      </c>
      <c r="C60" s="190">
        <v>-5884000000</v>
      </c>
      <c r="D60" s="190">
        <v>0</v>
      </c>
      <c r="E60" s="190">
        <v>-19060000000</v>
      </c>
      <c r="F60" s="190">
        <v>0</v>
      </c>
      <c r="G60" s="190">
        <v>-7993000000</v>
      </c>
      <c r="H60" s="190">
        <v>0</v>
      </c>
      <c r="I60" s="190">
        <v>-30779000000</v>
      </c>
      <c r="J60" s="190">
        <v>0</v>
      </c>
      <c r="K60" s="190">
        <v>-4697000000</v>
      </c>
      <c r="L60" s="190">
        <v>0</v>
      </c>
      <c r="M60" s="190">
        <v>-8525000000</v>
      </c>
      <c r="N60" s="190">
        <v>0</v>
      </c>
      <c r="O60" s="190">
        <v>-4143000000</v>
      </c>
      <c r="P60" s="190">
        <v>0</v>
      </c>
      <c r="Q60" s="190">
        <v>-6246000000</v>
      </c>
      <c r="R60" s="190">
        <v>0</v>
      </c>
      <c r="S60" s="190">
        <v>-2252000000</v>
      </c>
      <c r="T60" s="190">
        <v>0</v>
      </c>
      <c r="U60" s="190">
        <v>-2513000000</v>
      </c>
      <c r="V60" s="190">
        <v>0</v>
      </c>
      <c r="W60" s="190">
        <v>-908000000</v>
      </c>
      <c r="X60" s="190">
        <v>0</v>
      </c>
      <c r="Y60" s="190">
        <v>-1540000000</v>
      </c>
      <c r="Z60" s="190">
        <v>0</v>
      </c>
      <c r="AA60" s="190">
        <v>-232000000</v>
      </c>
      <c r="AB60" s="190">
        <v>0</v>
      </c>
      <c r="AC60" s="190">
        <v>-4186000000</v>
      </c>
      <c r="AD60" s="190">
        <v>0</v>
      </c>
      <c r="AE60" s="190">
        <v>-2822000000</v>
      </c>
      <c r="AF60" s="190">
        <v>0</v>
      </c>
      <c r="AG60" s="190">
        <v>-5671000000</v>
      </c>
      <c r="AH60" s="190">
        <v>0</v>
      </c>
      <c r="AI60" s="190">
        <v>-1994000000</v>
      </c>
      <c r="AJ60" s="190">
        <v>0</v>
      </c>
      <c r="AK60" s="190">
        <v>-3589000000</v>
      </c>
      <c r="AL60" s="190">
        <v>0</v>
      </c>
      <c r="AM60" s="190">
        <v>-1799000000</v>
      </c>
      <c r="AN60" s="190">
        <v>0</v>
      </c>
      <c r="AO60" s="190">
        <v>-980000000</v>
      </c>
      <c r="AP60" s="190">
        <v>0</v>
      </c>
      <c r="AQ60" s="190">
        <v>-1677000000</v>
      </c>
      <c r="AR60" s="190">
        <v>0</v>
      </c>
      <c r="AS60" s="190">
        <v>-5756000000</v>
      </c>
      <c r="AT60" s="190">
        <v>-4117000000</v>
      </c>
      <c r="AU60" s="190">
        <v>-2817000000</v>
      </c>
      <c r="AV60" s="190">
        <v>-1175000000</v>
      </c>
      <c r="AW60" s="190">
        <v>-91000000</v>
      </c>
      <c r="AX60" s="190">
        <v>-68000000</v>
      </c>
      <c r="AY60" s="190">
        <v>-225000000</v>
      </c>
      <c r="AZ60" s="190">
        <v>-172000000</v>
      </c>
      <c r="BA60" s="190">
        <v>-890000000</v>
      </c>
      <c r="BB60" s="190">
        <v>489000000</v>
      </c>
      <c r="BC60" s="190">
        <v>707000000</v>
      </c>
      <c r="BD60" s="190">
        <v>-143000000</v>
      </c>
      <c r="BE60" s="190">
        <v>-843000000</v>
      </c>
      <c r="BF60" s="190">
        <v>-632000000</v>
      </c>
      <c r="BG60" s="190">
        <v>-403000000</v>
      </c>
      <c r="BH60" s="190">
        <v>-141000000</v>
      </c>
      <c r="BI60" s="190">
        <v>-515000000</v>
      </c>
      <c r="BJ60" s="190">
        <v>-397000000</v>
      </c>
      <c r="BK60" s="190">
        <v>-308000000</v>
      </c>
      <c r="BL60" s="190">
        <v>-47000000</v>
      </c>
      <c r="BM60" s="190">
        <v>-315000000</v>
      </c>
      <c r="BN60" s="190">
        <v>-154000000</v>
      </c>
      <c r="BO60" s="190">
        <v>-546000000</v>
      </c>
      <c r="BP60" s="190">
        <v>-184000000</v>
      </c>
      <c r="BQ60" s="190">
        <v>0</v>
      </c>
      <c r="BR60" s="190">
        <v>0</v>
      </c>
    </row>
    <row r="61" spans="1:70" x14ac:dyDescent="0.25">
      <c r="A61" s="190" t="s">
        <v>274</v>
      </c>
      <c r="B61" s="190">
        <v>0</v>
      </c>
      <c r="C61" s="190">
        <v>-3717000000</v>
      </c>
      <c r="D61" s="190">
        <v>0</v>
      </c>
      <c r="E61" s="190">
        <v>-4707000000</v>
      </c>
      <c r="F61" s="190">
        <v>0</v>
      </c>
      <c r="G61" s="190">
        <v>-1512000000</v>
      </c>
      <c r="H61" s="190">
        <v>0</v>
      </c>
      <c r="I61" s="190">
        <v>1719000000</v>
      </c>
      <c r="J61" s="190">
        <v>0</v>
      </c>
      <c r="K61" s="190">
        <v>899000000</v>
      </c>
      <c r="L61" s="190">
        <v>0</v>
      </c>
      <c r="M61" s="190">
        <v>-1982000000</v>
      </c>
      <c r="N61" s="190">
        <v>0</v>
      </c>
      <c r="O61" s="190">
        <v>1724000000</v>
      </c>
      <c r="P61" s="190">
        <v>0</v>
      </c>
      <c r="Q61" s="190">
        <v>-1510000000</v>
      </c>
      <c r="R61" s="190">
        <v>0</v>
      </c>
      <c r="S61" s="190">
        <v>-1437000000</v>
      </c>
      <c r="T61" s="190">
        <v>0</v>
      </c>
      <c r="U61" s="190">
        <v>1864000000</v>
      </c>
      <c r="V61" s="190">
        <v>0</v>
      </c>
      <c r="W61" s="190">
        <v>1101000000</v>
      </c>
      <c r="X61" s="190">
        <v>0</v>
      </c>
      <c r="Y61" s="190">
        <v>-1732000000</v>
      </c>
      <c r="Z61" s="190">
        <v>0</v>
      </c>
      <c r="AA61" s="190">
        <v>-1769000000</v>
      </c>
      <c r="AB61" s="190">
        <v>0</v>
      </c>
      <c r="AC61" s="190">
        <v>2430000000</v>
      </c>
      <c r="AD61" s="190">
        <v>0</v>
      </c>
      <c r="AE61" s="190">
        <v>806000000</v>
      </c>
      <c r="AF61" s="190">
        <v>0</v>
      </c>
      <c r="AG61" s="190">
        <v>-1853000000</v>
      </c>
      <c r="AH61" s="190">
        <v>0</v>
      </c>
      <c r="AI61" s="190">
        <v>1099000000</v>
      </c>
      <c r="AJ61" s="190">
        <v>0</v>
      </c>
      <c r="AK61" s="190">
        <v>-206000000</v>
      </c>
      <c r="AL61" s="190">
        <v>0</v>
      </c>
      <c r="AM61" s="190">
        <v>1497000000</v>
      </c>
      <c r="AN61" s="190">
        <v>0</v>
      </c>
      <c r="AO61" s="190">
        <v>-2377000000</v>
      </c>
      <c r="AP61" s="190">
        <v>0</v>
      </c>
      <c r="AQ61" s="190">
        <v>-7845000000</v>
      </c>
      <c r="AR61" s="190">
        <v>0</v>
      </c>
      <c r="AS61" s="190">
        <v>-3432000000</v>
      </c>
      <c r="AT61" s="190">
        <v>-149000000</v>
      </c>
      <c r="AU61" s="190">
        <v>160000000</v>
      </c>
      <c r="AV61" s="190">
        <v>0</v>
      </c>
      <c r="AW61" s="190">
        <v>0</v>
      </c>
      <c r="AX61" s="190">
        <v>0</v>
      </c>
      <c r="AY61" s="190">
        <v>0</v>
      </c>
      <c r="AZ61" s="190">
        <v>0</v>
      </c>
      <c r="BA61" s="190">
        <v>0</v>
      </c>
      <c r="BB61" s="190">
        <v>0</v>
      </c>
      <c r="BC61" s="190">
        <v>0</v>
      </c>
      <c r="BD61" s="190">
        <v>0</v>
      </c>
      <c r="BE61" s="190">
        <v>0</v>
      </c>
      <c r="BF61" s="190">
        <v>0</v>
      </c>
      <c r="BG61" s="190">
        <v>0</v>
      </c>
      <c r="BH61" s="190">
        <v>0</v>
      </c>
      <c r="BI61" s="190">
        <v>0</v>
      </c>
      <c r="BJ61" s="190">
        <v>0</v>
      </c>
      <c r="BK61" s="190">
        <v>0</v>
      </c>
      <c r="BL61" s="190">
        <v>0</v>
      </c>
      <c r="BM61" s="190">
        <v>0</v>
      </c>
      <c r="BN61" s="190">
        <v>0</v>
      </c>
      <c r="BO61" s="190">
        <v>0</v>
      </c>
      <c r="BP61" s="190">
        <v>0</v>
      </c>
      <c r="BQ61" s="190">
        <v>0</v>
      </c>
      <c r="BR61" s="190">
        <v>0</v>
      </c>
    </row>
    <row r="62" spans="1:70" x14ac:dyDescent="0.25">
      <c r="A62" s="190" t="s">
        <v>275</v>
      </c>
      <c r="B62" s="190">
        <v>0</v>
      </c>
      <c r="C62" s="190">
        <v>-768000000</v>
      </c>
      <c r="D62" s="190">
        <v>0</v>
      </c>
      <c r="E62" s="190">
        <v>-5610000000</v>
      </c>
      <c r="F62" s="190">
        <v>0</v>
      </c>
      <c r="G62" s="190">
        <v>-2476000000</v>
      </c>
      <c r="H62" s="190">
        <v>0</v>
      </c>
      <c r="I62" s="190">
        <v>-2553000000</v>
      </c>
      <c r="J62" s="190">
        <v>0</v>
      </c>
      <c r="K62" s="190">
        <v>-580000000</v>
      </c>
      <c r="L62" s="190">
        <v>0</v>
      </c>
      <c r="M62" s="190">
        <v>639000000</v>
      </c>
      <c r="N62" s="190">
        <v>0</v>
      </c>
      <c r="O62" s="190">
        <v>512000000</v>
      </c>
      <c r="P62" s="190">
        <v>0</v>
      </c>
      <c r="Q62" s="190">
        <v>-282000000</v>
      </c>
      <c r="R62" s="190">
        <v>0</v>
      </c>
      <c r="S62" s="190">
        <v>1002000000</v>
      </c>
      <c r="T62" s="190">
        <v>0</v>
      </c>
      <c r="U62" s="190">
        <v>698000000</v>
      </c>
      <c r="V62" s="190">
        <v>0</v>
      </c>
      <c r="W62" s="190">
        <v>-237000000</v>
      </c>
      <c r="X62" s="190">
        <v>0</v>
      </c>
      <c r="Y62" s="190">
        <v>906000000</v>
      </c>
      <c r="Z62" s="190">
        <v>0</v>
      </c>
      <c r="AA62" s="190">
        <v>215000000</v>
      </c>
      <c r="AB62" s="190">
        <v>0</v>
      </c>
      <c r="AC62" s="190">
        <v>246000000</v>
      </c>
      <c r="AD62" s="190">
        <v>0</v>
      </c>
      <c r="AE62" s="190">
        <v>249000000</v>
      </c>
      <c r="AF62" s="190">
        <v>0</v>
      </c>
      <c r="AG62" s="190">
        <v>5310000000</v>
      </c>
      <c r="AH62" s="190">
        <v>0</v>
      </c>
      <c r="AI62" s="190">
        <v>1639000000</v>
      </c>
      <c r="AJ62" s="190">
        <v>0</v>
      </c>
      <c r="AK62" s="190">
        <v>-248000000</v>
      </c>
      <c r="AL62" s="190">
        <v>0</v>
      </c>
      <c r="AM62" s="190">
        <v>-95000000</v>
      </c>
      <c r="AN62" s="190">
        <v>0</v>
      </c>
      <c r="AO62" s="190">
        <v>-337000000</v>
      </c>
      <c r="AP62" s="190">
        <v>0</v>
      </c>
      <c r="AQ62" s="190">
        <v>31000000</v>
      </c>
      <c r="AR62" s="190">
        <v>0</v>
      </c>
      <c r="AS62" s="190">
        <v>313000000</v>
      </c>
      <c r="AT62" s="190">
        <v>-338000000</v>
      </c>
      <c r="AU62" s="190">
        <v>-436000000</v>
      </c>
      <c r="AV62" s="190">
        <v>-1401000000</v>
      </c>
      <c r="AW62" s="190">
        <v>-939000000</v>
      </c>
      <c r="AX62" s="190">
        <v>-86000000</v>
      </c>
      <c r="AY62" s="190">
        <v>-95000000</v>
      </c>
      <c r="AZ62" s="190">
        <v>-134000000</v>
      </c>
      <c r="BA62" s="190">
        <v>-1733000000</v>
      </c>
      <c r="BB62" s="190">
        <v>-1488000000</v>
      </c>
      <c r="BC62" s="190">
        <v>-747000000</v>
      </c>
      <c r="BD62" s="190">
        <v>-815000000</v>
      </c>
      <c r="BE62" s="190">
        <v>-2439000000</v>
      </c>
      <c r="BF62" s="190">
        <v>-2363000000</v>
      </c>
      <c r="BG62" s="190">
        <v>-1414000000</v>
      </c>
      <c r="BH62" s="190">
        <v>-559000000</v>
      </c>
      <c r="BI62" s="190">
        <v>-1580000000</v>
      </c>
      <c r="BJ62" s="190">
        <v>-313000000</v>
      </c>
      <c r="BK62" s="190">
        <v>-427000000</v>
      </c>
      <c r="BL62" s="190">
        <v>-473000000</v>
      </c>
      <c r="BM62" s="190">
        <v>198000000</v>
      </c>
      <c r="BN62" s="190">
        <v>148000000</v>
      </c>
      <c r="BO62" s="190">
        <v>647000000</v>
      </c>
      <c r="BP62" s="190">
        <v>-144000000</v>
      </c>
      <c r="BQ62" s="190">
        <v>-891000000</v>
      </c>
      <c r="BR62" s="190">
        <v>0</v>
      </c>
    </row>
    <row r="63" spans="1:70" x14ac:dyDescent="0.25">
      <c r="A63" s="190" t="s">
        <v>276</v>
      </c>
      <c r="B63" s="190">
        <v>0</v>
      </c>
      <c r="C63" s="190">
        <v>-38891000000</v>
      </c>
      <c r="D63" s="190">
        <v>0</v>
      </c>
      <c r="E63" s="190">
        <v>-28903000000</v>
      </c>
      <c r="F63" s="190">
        <v>0</v>
      </c>
      <c r="G63" s="190">
        <v>-10750000000</v>
      </c>
      <c r="H63" s="190">
        <v>0</v>
      </c>
      <c r="I63" s="190">
        <v>-11364000000</v>
      </c>
      <c r="J63" s="190">
        <v>0</v>
      </c>
      <c r="K63" s="190">
        <v>-4091000000</v>
      </c>
      <c r="L63" s="190">
        <v>0</v>
      </c>
      <c r="M63" s="190">
        <v>39072000000</v>
      </c>
      <c r="N63" s="190">
        <v>0</v>
      </c>
      <c r="O63" s="190">
        <v>13331000000</v>
      </c>
      <c r="P63" s="190">
        <v>0</v>
      </c>
      <c r="Q63" s="190">
        <v>28540000000</v>
      </c>
      <c r="R63" s="190">
        <v>0</v>
      </c>
      <c r="S63" s="190">
        <v>-22421000000</v>
      </c>
      <c r="T63" s="190">
        <v>0</v>
      </c>
      <c r="U63" s="190">
        <v>-5096000000</v>
      </c>
      <c r="V63" s="190">
        <v>0</v>
      </c>
      <c r="W63" s="190">
        <v>2183000000</v>
      </c>
      <c r="X63" s="190">
        <v>0</v>
      </c>
      <c r="Y63" s="190">
        <v>-21886000000</v>
      </c>
      <c r="Z63" s="190">
        <v>0</v>
      </c>
      <c r="AA63" s="190">
        <v>-11031000000</v>
      </c>
      <c r="AB63" s="190">
        <v>0</v>
      </c>
      <c r="AC63" s="190">
        <v>-50013000000</v>
      </c>
      <c r="AD63" s="190">
        <v>0</v>
      </c>
      <c r="AE63" s="190">
        <v>-54083000000</v>
      </c>
      <c r="AF63" s="190">
        <v>0</v>
      </c>
      <c r="AG63" s="190">
        <v>-15828000000</v>
      </c>
      <c r="AH63" s="190">
        <v>0</v>
      </c>
      <c r="AI63" s="190">
        <v>-21246000000</v>
      </c>
      <c r="AJ63" s="190">
        <v>0</v>
      </c>
      <c r="AK63" s="190">
        <v>-45724000000</v>
      </c>
      <c r="AL63" s="190">
        <v>0</v>
      </c>
      <c r="AM63" s="190">
        <v>-24293000000</v>
      </c>
      <c r="AN63" s="190">
        <v>0</v>
      </c>
      <c r="AO63" s="190">
        <v>12336000000</v>
      </c>
      <c r="AP63" s="190">
        <v>0</v>
      </c>
      <c r="AQ63" s="190">
        <v>-63427000000</v>
      </c>
      <c r="AR63" s="190">
        <v>0</v>
      </c>
      <c r="AS63" s="190">
        <v>-24323000000</v>
      </c>
      <c r="AT63" s="190">
        <v>-16304000000</v>
      </c>
      <c r="AU63" s="190">
        <v>-11455000000</v>
      </c>
      <c r="AV63" s="190">
        <v>-1311000000</v>
      </c>
      <c r="AW63" s="190">
        <v>-3203000000</v>
      </c>
      <c r="AX63" s="190">
        <v>-19523000000</v>
      </c>
      <c r="AY63" s="190">
        <v>-15621000000</v>
      </c>
      <c r="AZ63" s="190">
        <v>-7762000000</v>
      </c>
      <c r="BA63" s="190">
        <v>-25078000000</v>
      </c>
      <c r="BB63" s="190">
        <v>-11723000000</v>
      </c>
      <c r="BC63" s="190">
        <v>-15026000000</v>
      </c>
      <c r="BD63" s="190">
        <v>-529000000</v>
      </c>
      <c r="BE63" s="190">
        <v>-16927000000</v>
      </c>
      <c r="BF63" s="190">
        <v>-14056000000</v>
      </c>
      <c r="BG63" s="190">
        <v>-14653000000</v>
      </c>
      <c r="BH63" s="190">
        <v>-3675000000</v>
      </c>
      <c r="BI63" s="190">
        <v>676000000</v>
      </c>
      <c r="BJ63" s="190">
        <v>3574000000</v>
      </c>
      <c r="BK63" s="190">
        <v>67000000</v>
      </c>
      <c r="BL63" s="190">
        <v>-1233000000</v>
      </c>
      <c r="BM63" s="190">
        <v>482000000</v>
      </c>
      <c r="BN63" s="190">
        <v>-1469000000</v>
      </c>
      <c r="BO63" s="190">
        <v>4596000000</v>
      </c>
      <c r="BP63" s="190">
        <v>-4683000000</v>
      </c>
      <c r="BQ63" s="190">
        <v>-22214000000</v>
      </c>
      <c r="BR63" s="190">
        <v>0</v>
      </c>
    </row>
    <row r="64" spans="1:70" x14ac:dyDescent="0.25">
      <c r="A64" s="190" t="s">
        <v>277</v>
      </c>
      <c r="B64" s="190">
        <v>0</v>
      </c>
      <c r="C64" s="190">
        <v>-5694000000</v>
      </c>
      <c r="D64" s="190">
        <v>0</v>
      </c>
      <c r="E64" s="190">
        <v>-31151000000</v>
      </c>
      <c r="F64" s="190">
        <v>0</v>
      </c>
      <c r="G64" s="190">
        <v>2213000000</v>
      </c>
      <c r="H64" s="190">
        <v>0</v>
      </c>
      <c r="I64" s="190">
        <v>-22549000000</v>
      </c>
      <c r="J64" s="190">
        <v>0</v>
      </c>
      <c r="K64" s="190">
        <v>-9959000000</v>
      </c>
      <c r="L64" s="190">
        <v>0</v>
      </c>
      <c r="M64" s="190">
        <v>40866000000</v>
      </c>
      <c r="N64" s="190">
        <v>0</v>
      </c>
      <c r="O64" s="190">
        <v>6101000000</v>
      </c>
      <c r="P64" s="190">
        <v>0</v>
      </c>
      <c r="Q64" s="190">
        <v>-28654000000</v>
      </c>
      <c r="R64" s="190">
        <v>0</v>
      </c>
      <c r="S64" s="190">
        <v>-26799000000</v>
      </c>
      <c r="T64" s="190">
        <v>0</v>
      </c>
      <c r="U64" s="190">
        <v>-7515000000</v>
      </c>
      <c r="V64" s="190">
        <v>0</v>
      </c>
      <c r="W64" s="190">
        <v>-11151000000</v>
      </c>
      <c r="X64" s="190">
        <v>0</v>
      </c>
      <c r="Y64" s="190">
        <v>-19732000000</v>
      </c>
      <c r="Z64" s="190">
        <v>0</v>
      </c>
      <c r="AA64" s="190">
        <v>-23182000000</v>
      </c>
      <c r="AB64" s="190">
        <v>0</v>
      </c>
      <c r="AC64" s="190">
        <v>-26479000000</v>
      </c>
      <c r="AD64" s="190">
        <v>0</v>
      </c>
      <c r="AE64" s="190">
        <v>-35150000000</v>
      </c>
      <c r="AF64" s="190">
        <v>0</v>
      </c>
      <c r="AG64" s="190">
        <v>-38148000000</v>
      </c>
      <c r="AH64" s="190">
        <v>0</v>
      </c>
      <c r="AI64" s="190">
        <v>-27562000000</v>
      </c>
      <c r="AJ64" s="190">
        <v>0</v>
      </c>
      <c r="AK64" s="190">
        <v>7327000000</v>
      </c>
      <c r="AL64" s="190">
        <v>0</v>
      </c>
      <c r="AM64" s="190">
        <v>-13736000000</v>
      </c>
      <c r="AN64" s="190">
        <v>0</v>
      </c>
      <c r="AO64" s="190">
        <v>12284000000</v>
      </c>
      <c r="AP64" s="190">
        <v>0</v>
      </c>
      <c r="AQ64" s="190">
        <v>-25220000000</v>
      </c>
      <c r="AR64" s="190">
        <v>0</v>
      </c>
      <c r="AS64" s="190">
        <v>-12928000000</v>
      </c>
      <c r="AT64" s="190">
        <v>-4784000000</v>
      </c>
      <c r="AU64" s="190">
        <v>-11680000000</v>
      </c>
      <c r="AV64" s="190">
        <v>-7785000000</v>
      </c>
      <c r="AW64" s="190">
        <v>-1196000000</v>
      </c>
      <c r="AX64" s="190">
        <v>-11305000000</v>
      </c>
      <c r="AY64" s="190">
        <v>-6996000000</v>
      </c>
      <c r="AZ64" s="190">
        <v>-6148000000</v>
      </c>
      <c r="BA64" s="190">
        <v>-2256000000</v>
      </c>
      <c r="BB64" s="190">
        <v>-8997000000</v>
      </c>
      <c r="BC64" s="190">
        <v>-6599000000</v>
      </c>
      <c r="BD64" s="190">
        <v>-9032000000</v>
      </c>
      <c r="BE64" s="190">
        <v>-4245000000</v>
      </c>
      <c r="BF64" s="190">
        <v>-6217000000</v>
      </c>
      <c r="BG64" s="190">
        <v>-6681000000</v>
      </c>
      <c r="BH64" s="190">
        <v>-5676000000</v>
      </c>
      <c r="BI64" s="190">
        <v>-866000000</v>
      </c>
      <c r="BJ64" s="190">
        <v>-4291000000</v>
      </c>
      <c r="BK64" s="190">
        <v>-3071000000</v>
      </c>
      <c r="BL64" s="190">
        <v>-4334000000</v>
      </c>
      <c r="BM64" s="190">
        <v>2530000000</v>
      </c>
      <c r="BN64" s="190">
        <v>-3949000000</v>
      </c>
      <c r="BO64" s="190">
        <v>2144000000</v>
      </c>
      <c r="BP64" s="190">
        <v>-8908000000</v>
      </c>
      <c r="BQ64" s="190">
        <v>-11657000000</v>
      </c>
      <c r="BR64" s="190">
        <v>0</v>
      </c>
    </row>
    <row r="65" spans="1:70" x14ac:dyDescent="0.25">
      <c r="A65" s="190" t="s">
        <v>278</v>
      </c>
      <c r="B65" s="190">
        <v>0</v>
      </c>
      <c r="C65" s="190">
        <v>16052000000</v>
      </c>
      <c r="D65" s="190">
        <v>0</v>
      </c>
      <c r="E65" s="190">
        <v>63762000000</v>
      </c>
      <c r="F65" s="190">
        <v>0</v>
      </c>
      <c r="G65" s="190">
        <v>-19782000000</v>
      </c>
      <c r="H65" s="190">
        <v>0</v>
      </c>
      <c r="I65" s="190">
        <v>81691000000</v>
      </c>
      <c r="J65" s="190">
        <v>0</v>
      </c>
      <c r="K65" s="190">
        <v>9686000000</v>
      </c>
      <c r="L65" s="190">
        <v>0</v>
      </c>
      <c r="M65" s="190">
        <v>-69701000000</v>
      </c>
      <c r="N65" s="190">
        <v>0</v>
      </c>
      <c r="O65" s="190">
        <v>-35754000000</v>
      </c>
      <c r="P65" s="190">
        <v>0</v>
      </c>
      <c r="Q65" s="190">
        <v>-8210000000</v>
      </c>
      <c r="R65" s="190">
        <v>0</v>
      </c>
      <c r="S65" s="190">
        <v>19829000000</v>
      </c>
      <c r="T65" s="190">
        <v>0</v>
      </c>
      <c r="U65" s="190">
        <v>-2540000000</v>
      </c>
      <c r="V65" s="190">
        <v>0</v>
      </c>
      <c r="W65" s="190">
        <v>-35722000000</v>
      </c>
      <c r="X65" s="190">
        <v>0</v>
      </c>
      <c r="Y65" s="190">
        <v>25088000000</v>
      </c>
      <c r="Z65" s="190">
        <v>0</v>
      </c>
      <c r="AA65" s="190">
        <v>-17481000000</v>
      </c>
      <c r="AB65" s="190">
        <v>0</v>
      </c>
      <c r="AC65" s="190">
        <v>72346000000</v>
      </c>
      <c r="AD65" s="190">
        <v>0</v>
      </c>
      <c r="AE65" s="190">
        <v>40447000000</v>
      </c>
      <c r="AF65" s="190">
        <v>0</v>
      </c>
      <c r="AG65" s="190">
        <v>64152000000</v>
      </c>
      <c r="AH65" s="190">
        <v>0</v>
      </c>
      <c r="AI65" s="190">
        <v>28000000000</v>
      </c>
      <c r="AJ65" s="190">
        <v>0</v>
      </c>
      <c r="AK65" s="190">
        <v>67335000000</v>
      </c>
      <c r="AL65" s="190">
        <v>0</v>
      </c>
      <c r="AM65" s="190">
        <v>55506000000</v>
      </c>
      <c r="AN65" s="190">
        <v>0</v>
      </c>
      <c r="AO65" s="190">
        <v>-43370000000</v>
      </c>
      <c r="AP65" s="190">
        <v>0</v>
      </c>
      <c r="AQ65" s="190">
        <v>55755000000</v>
      </c>
      <c r="AR65" s="190">
        <v>0</v>
      </c>
      <c r="AS65" s="190">
        <v>48986000000</v>
      </c>
      <c r="AT65" s="190">
        <v>36826000000</v>
      </c>
      <c r="AU65" s="190">
        <v>26924000000</v>
      </c>
      <c r="AV65" s="190">
        <v>11583000000</v>
      </c>
      <c r="AW65" s="190">
        <v>9058000000</v>
      </c>
      <c r="AX65" s="190">
        <v>14030000000</v>
      </c>
      <c r="AY65" s="190">
        <v>5612000000</v>
      </c>
      <c r="AZ65" s="190">
        <v>-1745000000</v>
      </c>
      <c r="BA65" s="190">
        <v>28303000000</v>
      </c>
      <c r="BB65" s="190">
        <v>10128000000</v>
      </c>
      <c r="BC65" s="190">
        <v>6608000000</v>
      </c>
      <c r="BD65" s="190">
        <v>5252000000</v>
      </c>
      <c r="BE65" s="190">
        <v>6911000000</v>
      </c>
      <c r="BF65" s="190">
        <v>5422000000</v>
      </c>
      <c r="BG65" s="190">
        <v>4672000000</v>
      </c>
      <c r="BH65" s="190">
        <v>2783000000</v>
      </c>
      <c r="BI65" s="190">
        <v>4885000000</v>
      </c>
      <c r="BJ65" s="190">
        <v>2729000000</v>
      </c>
      <c r="BK65" s="190">
        <v>4753000000</v>
      </c>
      <c r="BL65" s="190">
        <v>4964000000</v>
      </c>
      <c r="BM65" s="190">
        <v>8618000000</v>
      </c>
      <c r="BN65" s="190">
        <v>5916000000</v>
      </c>
      <c r="BO65" s="190">
        <v>9670000000</v>
      </c>
      <c r="BP65" s="190">
        <v>-602000000</v>
      </c>
      <c r="BQ65" s="190">
        <v>22441000000</v>
      </c>
      <c r="BR65" s="190">
        <v>0</v>
      </c>
    </row>
    <row r="66" spans="1:70" x14ac:dyDescent="0.25">
      <c r="A66" s="190" t="s">
        <v>279</v>
      </c>
      <c r="B66" s="190">
        <v>0</v>
      </c>
      <c r="C66" s="190">
        <v>0</v>
      </c>
      <c r="D66" s="190">
        <v>0</v>
      </c>
      <c r="E66" s="190">
        <v>0</v>
      </c>
      <c r="F66" s="190">
        <v>0</v>
      </c>
      <c r="G66" s="190">
        <v>0</v>
      </c>
      <c r="H66" s="190">
        <v>0</v>
      </c>
      <c r="I66" s="190">
        <v>0</v>
      </c>
      <c r="J66" s="190">
        <v>0</v>
      </c>
      <c r="K66" s="190">
        <v>0</v>
      </c>
      <c r="L66" s="190">
        <v>0</v>
      </c>
      <c r="M66" s="190">
        <v>0</v>
      </c>
      <c r="N66" s="190">
        <v>0</v>
      </c>
      <c r="O66" s="190">
        <v>0</v>
      </c>
      <c r="P66" s="190">
        <v>0</v>
      </c>
      <c r="Q66" s="190">
        <v>0</v>
      </c>
      <c r="R66" s="190">
        <v>0</v>
      </c>
      <c r="S66" s="190">
        <v>0</v>
      </c>
      <c r="T66" s="190">
        <v>0</v>
      </c>
      <c r="U66" s="190">
        <v>0</v>
      </c>
      <c r="V66" s="190">
        <v>0</v>
      </c>
      <c r="W66" s="190">
        <v>0</v>
      </c>
      <c r="X66" s="190">
        <v>0</v>
      </c>
      <c r="Y66" s="190">
        <v>0</v>
      </c>
      <c r="Z66" s="190">
        <v>0</v>
      </c>
      <c r="AA66" s="190">
        <v>0</v>
      </c>
      <c r="AB66" s="190">
        <v>0</v>
      </c>
      <c r="AC66" s="190">
        <v>0</v>
      </c>
      <c r="AD66" s="190">
        <v>0</v>
      </c>
      <c r="AE66" s="190">
        <v>0</v>
      </c>
      <c r="AF66" s="190">
        <v>0</v>
      </c>
      <c r="AG66" s="190">
        <v>0</v>
      </c>
      <c r="AH66" s="190">
        <v>0</v>
      </c>
      <c r="AI66" s="190">
        <v>0</v>
      </c>
      <c r="AJ66" s="190">
        <v>0</v>
      </c>
      <c r="AK66" s="190">
        <v>0</v>
      </c>
      <c r="AL66" s="190">
        <v>0</v>
      </c>
      <c r="AM66" s="190">
        <v>0</v>
      </c>
      <c r="AN66" s="190">
        <v>0</v>
      </c>
      <c r="AO66" s="190">
        <v>0</v>
      </c>
      <c r="AP66" s="190">
        <v>0</v>
      </c>
      <c r="AQ66" s="190">
        <v>0</v>
      </c>
      <c r="AR66" s="190">
        <v>0</v>
      </c>
      <c r="AS66" s="190">
        <v>0</v>
      </c>
      <c r="AT66" s="190">
        <v>0</v>
      </c>
      <c r="AU66" s="190">
        <v>0</v>
      </c>
      <c r="AV66" s="190">
        <v>0</v>
      </c>
      <c r="AW66" s="190">
        <v>0</v>
      </c>
      <c r="AX66" s="190">
        <v>0</v>
      </c>
      <c r="AY66" s="190">
        <v>0</v>
      </c>
      <c r="AZ66" s="190">
        <v>0</v>
      </c>
      <c r="BA66" s="190">
        <v>0</v>
      </c>
      <c r="BB66" s="190">
        <v>0</v>
      </c>
      <c r="BC66" s="190">
        <v>0</v>
      </c>
      <c r="BD66" s="190">
        <v>0</v>
      </c>
      <c r="BE66" s="190">
        <v>0</v>
      </c>
      <c r="BF66" s="190">
        <v>0</v>
      </c>
      <c r="BG66" s="190">
        <v>0</v>
      </c>
      <c r="BH66" s="190">
        <v>0</v>
      </c>
      <c r="BI66" s="190">
        <v>0</v>
      </c>
      <c r="BJ66" s="190">
        <v>0</v>
      </c>
      <c r="BK66" s="190">
        <v>0</v>
      </c>
      <c r="BL66" s="190">
        <v>0</v>
      </c>
      <c r="BM66" s="190">
        <v>0</v>
      </c>
      <c r="BN66" s="190">
        <v>0</v>
      </c>
      <c r="BO66" s="190">
        <v>0</v>
      </c>
      <c r="BP66" s="190">
        <v>0</v>
      </c>
      <c r="BQ66" s="190">
        <v>0</v>
      </c>
      <c r="BR66" s="190">
        <v>0</v>
      </c>
    </row>
    <row r="67" spans="1:70" x14ac:dyDescent="0.25">
      <c r="A67" s="190" t="s">
        <v>280</v>
      </c>
      <c r="B67" s="190">
        <v>0</v>
      </c>
      <c r="C67" s="190">
        <v>0</v>
      </c>
      <c r="D67" s="190">
        <v>0</v>
      </c>
      <c r="E67" s="190">
        <v>0</v>
      </c>
      <c r="F67" s="190">
        <v>0</v>
      </c>
      <c r="G67" s="190">
        <v>0</v>
      </c>
      <c r="H67" s="190">
        <v>0</v>
      </c>
      <c r="I67" s="190">
        <v>0</v>
      </c>
      <c r="J67" s="190">
        <v>0</v>
      </c>
      <c r="K67" s="190">
        <v>0</v>
      </c>
      <c r="L67" s="190">
        <v>0</v>
      </c>
      <c r="M67" s="190">
        <v>0</v>
      </c>
      <c r="N67" s="190">
        <v>0</v>
      </c>
      <c r="O67" s="190">
        <v>0</v>
      </c>
      <c r="P67" s="190">
        <v>0</v>
      </c>
      <c r="Q67" s="190">
        <v>0</v>
      </c>
      <c r="R67" s="190">
        <v>0</v>
      </c>
      <c r="S67" s="190">
        <v>0</v>
      </c>
      <c r="T67" s="190">
        <v>0</v>
      </c>
      <c r="U67" s="190">
        <v>0</v>
      </c>
      <c r="V67" s="190">
        <v>0</v>
      </c>
      <c r="W67" s="190">
        <v>0</v>
      </c>
      <c r="X67" s="190">
        <v>0</v>
      </c>
      <c r="Y67" s="190">
        <v>0</v>
      </c>
      <c r="Z67" s="190">
        <v>0</v>
      </c>
      <c r="AA67" s="190">
        <v>0</v>
      </c>
      <c r="AB67" s="190">
        <v>0</v>
      </c>
      <c r="AC67" s="190">
        <v>0</v>
      </c>
      <c r="AD67" s="190">
        <v>0</v>
      </c>
      <c r="AE67" s="190">
        <v>0</v>
      </c>
      <c r="AF67" s="190">
        <v>0</v>
      </c>
      <c r="AG67" s="190">
        <v>0</v>
      </c>
      <c r="AH67" s="190">
        <v>0</v>
      </c>
      <c r="AI67" s="190">
        <v>0</v>
      </c>
      <c r="AJ67" s="190">
        <v>0</v>
      </c>
      <c r="AK67" s="190">
        <v>0</v>
      </c>
      <c r="AL67" s="190">
        <v>0</v>
      </c>
      <c r="AM67" s="190">
        <v>0</v>
      </c>
      <c r="AN67" s="190">
        <v>0</v>
      </c>
      <c r="AO67" s="190">
        <v>0</v>
      </c>
      <c r="AP67" s="190">
        <v>0</v>
      </c>
      <c r="AQ67" s="190">
        <v>0</v>
      </c>
      <c r="AR67" s="190">
        <v>0</v>
      </c>
      <c r="AS67" s="190">
        <v>0</v>
      </c>
      <c r="AT67" s="190">
        <v>0</v>
      </c>
      <c r="AU67" s="190">
        <v>0</v>
      </c>
      <c r="AV67" s="190">
        <v>0</v>
      </c>
      <c r="AW67" s="190">
        <v>0</v>
      </c>
      <c r="AX67" s="190">
        <v>0</v>
      </c>
      <c r="AY67" s="190">
        <v>0</v>
      </c>
      <c r="AZ67" s="190">
        <v>0</v>
      </c>
      <c r="BA67" s="190">
        <v>0</v>
      </c>
      <c r="BB67" s="190">
        <v>0</v>
      </c>
      <c r="BC67" s="190">
        <v>0</v>
      </c>
      <c r="BD67" s="190">
        <v>0</v>
      </c>
      <c r="BE67" s="190">
        <v>0</v>
      </c>
      <c r="BF67" s="190">
        <v>0</v>
      </c>
      <c r="BG67" s="190">
        <v>0</v>
      </c>
      <c r="BH67" s="190">
        <v>0</v>
      </c>
      <c r="BI67" s="190">
        <v>0</v>
      </c>
      <c r="BJ67" s="190">
        <v>0</v>
      </c>
      <c r="BK67" s="190">
        <v>0</v>
      </c>
      <c r="BL67" s="190">
        <v>0</v>
      </c>
      <c r="BM67" s="190">
        <v>0</v>
      </c>
      <c r="BN67" s="190">
        <v>0</v>
      </c>
      <c r="BO67" s="190">
        <v>0</v>
      </c>
      <c r="BP67" s="190">
        <v>0</v>
      </c>
      <c r="BQ67" s="190">
        <v>0</v>
      </c>
      <c r="BR67" s="190">
        <v>0</v>
      </c>
    </row>
    <row r="68" spans="1:70" x14ac:dyDescent="0.25">
      <c r="A68" s="190" t="s">
        <v>281</v>
      </c>
      <c r="B68" s="190">
        <v>0</v>
      </c>
      <c r="C68" s="190">
        <v>0</v>
      </c>
      <c r="D68" s="190">
        <v>0</v>
      </c>
      <c r="E68" s="190">
        <v>0</v>
      </c>
      <c r="F68" s="190">
        <v>0</v>
      </c>
      <c r="G68" s="190">
        <v>0</v>
      </c>
      <c r="H68" s="190">
        <v>0</v>
      </c>
      <c r="I68" s="190">
        <v>0</v>
      </c>
      <c r="J68" s="190">
        <v>0</v>
      </c>
      <c r="K68" s="190">
        <v>0</v>
      </c>
      <c r="L68" s="190">
        <v>0</v>
      </c>
      <c r="M68" s="190">
        <v>0</v>
      </c>
      <c r="N68" s="190">
        <v>0</v>
      </c>
      <c r="O68" s="190">
        <v>0</v>
      </c>
      <c r="P68" s="190">
        <v>0</v>
      </c>
      <c r="Q68" s="190">
        <v>0</v>
      </c>
      <c r="R68" s="190">
        <v>0</v>
      </c>
      <c r="S68" s="190">
        <v>0</v>
      </c>
      <c r="T68" s="190">
        <v>0</v>
      </c>
      <c r="U68" s="190">
        <v>0</v>
      </c>
      <c r="V68" s="190">
        <v>0</v>
      </c>
      <c r="W68" s="190">
        <v>0</v>
      </c>
      <c r="X68" s="190">
        <v>0</v>
      </c>
      <c r="Y68" s="190">
        <v>0</v>
      </c>
      <c r="Z68" s="190">
        <v>0</v>
      </c>
      <c r="AA68" s="190">
        <v>0</v>
      </c>
      <c r="AB68" s="190">
        <v>0</v>
      </c>
      <c r="AC68" s="190">
        <v>0</v>
      </c>
      <c r="AD68" s="190">
        <v>0</v>
      </c>
      <c r="AE68" s="190">
        <v>0</v>
      </c>
      <c r="AF68" s="190">
        <v>0</v>
      </c>
      <c r="AG68" s="190">
        <v>0</v>
      </c>
      <c r="AH68" s="190">
        <v>0</v>
      </c>
      <c r="AI68" s="190">
        <v>0</v>
      </c>
      <c r="AJ68" s="190">
        <v>0</v>
      </c>
      <c r="AK68" s="190">
        <v>0</v>
      </c>
      <c r="AL68" s="190">
        <v>0</v>
      </c>
      <c r="AM68" s="190">
        <v>0</v>
      </c>
      <c r="AN68" s="190">
        <v>0</v>
      </c>
      <c r="AO68" s="190">
        <v>4236000000</v>
      </c>
      <c r="AP68" s="190">
        <v>0</v>
      </c>
      <c r="AQ68" s="190">
        <v>0</v>
      </c>
      <c r="AR68" s="190">
        <v>0</v>
      </c>
      <c r="AS68" s="190">
        <v>0</v>
      </c>
      <c r="AT68" s="190">
        <v>0</v>
      </c>
      <c r="AU68" s="190">
        <v>0</v>
      </c>
      <c r="AV68" s="190">
        <v>0</v>
      </c>
      <c r="AW68" s="190">
        <v>3960000000</v>
      </c>
      <c r="AX68" s="190">
        <v>0</v>
      </c>
      <c r="AY68" s="190">
        <v>0</v>
      </c>
      <c r="AZ68" s="190">
        <v>0</v>
      </c>
      <c r="BA68" s="190">
        <v>0</v>
      </c>
      <c r="BB68" s="190">
        <v>0</v>
      </c>
      <c r="BC68" s="190">
        <v>0</v>
      </c>
      <c r="BD68" s="190">
        <v>0</v>
      </c>
      <c r="BE68" s="190">
        <v>0</v>
      </c>
      <c r="BF68" s="190">
        <v>1556000000</v>
      </c>
      <c r="BG68" s="190">
        <v>0</v>
      </c>
      <c r="BH68" s="190">
        <v>0</v>
      </c>
      <c r="BI68" s="190">
        <v>0</v>
      </c>
      <c r="BJ68" s="190">
        <v>0</v>
      </c>
      <c r="BK68" s="190">
        <v>0</v>
      </c>
      <c r="BL68" s="190">
        <v>0</v>
      </c>
      <c r="BM68" s="190">
        <v>1771000000</v>
      </c>
      <c r="BN68" s="190">
        <v>0</v>
      </c>
      <c r="BO68" s="190">
        <v>0</v>
      </c>
      <c r="BP68" s="190">
        <v>0</v>
      </c>
      <c r="BQ68" s="190">
        <v>-1284000000</v>
      </c>
      <c r="BR68" s="190">
        <v>0</v>
      </c>
    </row>
    <row r="69" spans="1:70" x14ac:dyDescent="0.25">
      <c r="A69" s="190" t="s">
        <v>282</v>
      </c>
      <c r="B69" s="190">
        <v>0</v>
      </c>
      <c r="C69" s="190">
        <v>71620000000</v>
      </c>
      <c r="D69" s="190">
        <v>0</v>
      </c>
      <c r="E69" s="190">
        <v>190935000000</v>
      </c>
      <c r="F69" s="190">
        <v>0</v>
      </c>
      <c r="G69" s="190">
        <v>60847000000</v>
      </c>
      <c r="H69" s="190">
        <v>0</v>
      </c>
      <c r="I69" s="190">
        <v>214543000000</v>
      </c>
      <c r="J69" s="190">
        <v>0</v>
      </c>
      <c r="K69" s="190">
        <v>76112000000</v>
      </c>
      <c r="L69" s="190">
        <v>0</v>
      </c>
      <c r="M69" s="190">
        <v>165818000000</v>
      </c>
      <c r="N69" s="190">
        <v>0</v>
      </c>
      <c r="O69" s="190">
        <v>67442000000</v>
      </c>
      <c r="P69" s="190">
        <v>0</v>
      </c>
      <c r="Q69" s="190">
        <v>148347000000</v>
      </c>
      <c r="R69" s="190">
        <v>0</v>
      </c>
      <c r="S69" s="190">
        <v>58214000000</v>
      </c>
      <c r="T69" s="190">
        <v>0</v>
      </c>
      <c r="U69" s="190">
        <v>151893000000</v>
      </c>
      <c r="V69" s="190">
        <v>0</v>
      </c>
      <c r="W69" s="190">
        <v>32903000000</v>
      </c>
      <c r="X69" s="190">
        <v>0</v>
      </c>
      <c r="Y69" s="190">
        <v>143462000000</v>
      </c>
      <c r="Z69" s="190">
        <v>0</v>
      </c>
      <c r="AA69" s="190">
        <v>20554000000</v>
      </c>
      <c r="AB69" s="190">
        <v>0</v>
      </c>
      <c r="AC69" s="190">
        <v>151181000000</v>
      </c>
      <c r="AD69" s="190">
        <v>0</v>
      </c>
      <c r="AE69" s="190">
        <v>30863000000</v>
      </c>
      <c r="AF69" s="190">
        <v>0</v>
      </c>
      <c r="AG69" s="190">
        <v>171262000000</v>
      </c>
      <c r="AH69" s="190">
        <v>0</v>
      </c>
      <c r="AI69" s="190">
        <v>50055000000</v>
      </c>
      <c r="AJ69" s="190">
        <v>0</v>
      </c>
      <c r="AK69" s="190">
        <v>158796000000</v>
      </c>
      <c r="AL69" s="190">
        <v>0</v>
      </c>
      <c r="AM69" s="190">
        <v>82370000000</v>
      </c>
      <c r="AN69" s="190">
        <v>0</v>
      </c>
      <c r="AO69" s="190">
        <v>74883000000</v>
      </c>
      <c r="AP69" s="190">
        <v>0</v>
      </c>
      <c r="AQ69" s="190">
        <v>5986000000</v>
      </c>
      <c r="AR69" s="190">
        <v>0</v>
      </c>
      <c r="AS69" s="190">
        <v>124250000000</v>
      </c>
      <c r="AT69" s="190">
        <v>102277000000</v>
      </c>
      <c r="AU69" s="190">
        <v>63997000000</v>
      </c>
      <c r="AV69" s="190">
        <v>31891000000</v>
      </c>
      <c r="AW69" s="190">
        <v>102587000000</v>
      </c>
      <c r="AX69" s="190">
        <v>50119000000</v>
      </c>
      <c r="AY69" s="190">
        <v>25166000000</v>
      </c>
      <c r="AZ69" s="190">
        <v>3463000000</v>
      </c>
      <c r="BA69" s="190">
        <v>84963000000</v>
      </c>
      <c r="BB69" s="190">
        <v>47245000000</v>
      </c>
      <c r="BC69" s="190">
        <v>25044000000</v>
      </c>
      <c r="BD69" s="190">
        <v>14854000000</v>
      </c>
      <c r="BE69" s="190">
        <v>70139000000</v>
      </c>
      <c r="BF69" s="190">
        <v>45237000000</v>
      </c>
      <c r="BG69" s="190">
        <v>21694000000</v>
      </c>
      <c r="BH69" s="190">
        <v>11208000000</v>
      </c>
      <c r="BI69" s="190">
        <v>64448000000</v>
      </c>
      <c r="BJ69" s="190">
        <v>45969000000</v>
      </c>
      <c r="BK69" s="190">
        <v>29982000000</v>
      </c>
      <c r="BL69" s="190">
        <v>13605000000</v>
      </c>
      <c r="BM69" s="190">
        <v>60069000000</v>
      </c>
      <c r="BN69" s="190">
        <v>21659000000</v>
      </c>
      <c r="BO69" s="190">
        <v>59692000000</v>
      </c>
      <c r="BP69" s="190">
        <v>8157000000</v>
      </c>
      <c r="BQ69" s="190">
        <v>34472000000</v>
      </c>
      <c r="BR69" s="190">
        <v>0</v>
      </c>
    </row>
    <row r="70" spans="1:70" x14ac:dyDescent="0.25">
      <c r="A70" s="190" t="s">
        <v>283</v>
      </c>
      <c r="B70" s="190">
        <v>0</v>
      </c>
      <c r="C70" s="190">
        <v>0</v>
      </c>
      <c r="D70" s="190">
        <v>0</v>
      </c>
      <c r="E70" s="190">
        <v>0</v>
      </c>
      <c r="F70" s="190">
        <v>0</v>
      </c>
      <c r="G70" s="190">
        <v>0</v>
      </c>
      <c r="H70" s="190">
        <v>0</v>
      </c>
      <c r="I70" s="190">
        <v>0</v>
      </c>
      <c r="J70" s="190">
        <v>0</v>
      </c>
      <c r="K70" s="190">
        <v>0</v>
      </c>
      <c r="L70" s="190">
        <v>0</v>
      </c>
      <c r="M70" s="190">
        <v>0</v>
      </c>
      <c r="N70" s="190">
        <v>0</v>
      </c>
      <c r="O70" s="190">
        <v>0</v>
      </c>
      <c r="P70" s="190">
        <v>0</v>
      </c>
      <c r="Q70" s="190">
        <v>0</v>
      </c>
      <c r="R70" s="190">
        <v>0</v>
      </c>
      <c r="S70" s="190">
        <v>0</v>
      </c>
      <c r="T70" s="190">
        <v>0</v>
      </c>
      <c r="U70" s="190">
        <v>0</v>
      </c>
      <c r="V70" s="190">
        <v>0</v>
      </c>
      <c r="W70" s="190">
        <v>0</v>
      </c>
      <c r="X70" s="190">
        <v>0</v>
      </c>
      <c r="Y70" s="190">
        <v>0</v>
      </c>
      <c r="Z70" s="190">
        <v>0</v>
      </c>
      <c r="AA70" s="190">
        <v>0</v>
      </c>
      <c r="AB70" s="190">
        <v>0</v>
      </c>
      <c r="AC70" s="190">
        <v>0</v>
      </c>
      <c r="AD70" s="190">
        <v>0</v>
      </c>
      <c r="AE70" s="190">
        <v>0</v>
      </c>
      <c r="AF70" s="190">
        <v>0</v>
      </c>
      <c r="AG70" s="190">
        <v>0</v>
      </c>
      <c r="AH70" s="190">
        <v>0</v>
      </c>
      <c r="AI70" s="190">
        <v>0</v>
      </c>
      <c r="AJ70" s="190">
        <v>0</v>
      </c>
      <c r="AK70" s="190">
        <v>0</v>
      </c>
      <c r="AL70" s="190">
        <v>0</v>
      </c>
      <c r="AM70" s="190">
        <v>0</v>
      </c>
      <c r="AN70" s="190">
        <v>0</v>
      </c>
      <c r="AO70" s="190">
        <v>0</v>
      </c>
      <c r="AP70" s="190">
        <v>0</v>
      </c>
      <c r="AQ70" s="190">
        <v>0</v>
      </c>
      <c r="AR70" s="190">
        <v>0</v>
      </c>
      <c r="AS70" s="190">
        <v>0</v>
      </c>
      <c r="AT70" s="190">
        <v>0</v>
      </c>
      <c r="AU70" s="190">
        <v>0</v>
      </c>
      <c r="AV70" s="190">
        <v>0</v>
      </c>
      <c r="AW70" s="190">
        <v>0</v>
      </c>
      <c r="AX70" s="190">
        <v>0</v>
      </c>
      <c r="AY70" s="190">
        <v>0</v>
      </c>
      <c r="AZ70" s="190">
        <v>0</v>
      </c>
      <c r="BA70" s="190">
        <v>0</v>
      </c>
      <c r="BB70" s="190">
        <v>0</v>
      </c>
      <c r="BC70" s="190">
        <v>0</v>
      </c>
      <c r="BD70" s="190">
        <v>0</v>
      </c>
      <c r="BE70" s="190">
        <v>0</v>
      </c>
      <c r="BF70" s="190">
        <v>0</v>
      </c>
      <c r="BG70" s="190">
        <v>0</v>
      </c>
      <c r="BH70" s="190">
        <v>0</v>
      </c>
      <c r="BI70" s="190">
        <v>0</v>
      </c>
      <c r="BJ70" s="190">
        <v>0</v>
      </c>
      <c r="BK70" s="190">
        <v>0</v>
      </c>
      <c r="BL70" s="190">
        <v>0</v>
      </c>
      <c r="BM70" s="190">
        <v>0</v>
      </c>
      <c r="BN70" s="190">
        <v>0</v>
      </c>
      <c r="BO70" s="190">
        <v>0</v>
      </c>
      <c r="BP70" s="190">
        <v>0</v>
      </c>
      <c r="BQ70" s="190">
        <v>0</v>
      </c>
      <c r="BR70" s="190">
        <v>0</v>
      </c>
    </row>
    <row r="71" spans="1:70" x14ac:dyDescent="0.25">
      <c r="A71" s="190" t="s">
        <v>284</v>
      </c>
      <c r="B71" s="190">
        <v>0</v>
      </c>
      <c r="C71" s="190">
        <v>0</v>
      </c>
      <c r="D71" s="190">
        <v>0</v>
      </c>
      <c r="E71" s="190">
        <v>0</v>
      </c>
      <c r="F71" s="190">
        <v>0</v>
      </c>
      <c r="G71" s="190">
        <v>0</v>
      </c>
      <c r="H71" s="190">
        <v>0</v>
      </c>
      <c r="I71" s="190">
        <v>0</v>
      </c>
      <c r="J71" s="190">
        <v>0</v>
      </c>
      <c r="K71" s="190">
        <v>0</v>
      </c>
      <c r="L71" s="190">
        <v>0</v>
      </c>
      <c r="M71" s="190">
        <v>0</v>
      </c>
      <c r="N71" s="190">
        <v>0</v>
      </c>
      <c r="O71" s="190">
        <v>0</v>
      </c>
      <c r="P71" s="190">
        <v>0</v>
      </c>
      <c r="Q71" s="190">
        <v>0</v>
      </c>
      <c r="R71" s="190">
        <v>0</v>
      </c>
      <c r="S71" s="190">
        <v>0</v>
      </c>
      <c r="T71" s="190">
        <v>0</v>
      </c>
      <c r="U71" s="190">
        <v>0</v>
      </c>
      <c r="V71" s="190">
        <v>0</v>
      </c>
      <c r="W71" s="190">
        <v>0</v>
      </c>
      <c r="X71" s="190">
        <v>0</v>
      </c>
      <c r="Y71" s="190">
        <v>0</v>
      </c>
      <c r="Z71" s="190">
        <v>0</v>
      </c>
      <c r="AA71" s="190">
        <v>0</v>
      </c>
      <c r="AB71" s="190">
        <v>0</v>
      </c>
      <c r="AC71" s="190">
        <v>0</v>
      </c>
      <c r="AD71" s="190">
        <v>0</v>
      </c>
      <c r="AE71" s="190">
        <v>0</v>
      </c>
      <c r="AF71" s="190">
        <v>0</v>
      </c>
      <c r="AG71" s="190">
        <v>0</v>
      </c>
      <c r="AH71" s="190">
        <v>0</v>
      </c>
      <c r="AI71" s="190">
        <v>0</v>
      </c>
      <c r="AJ71" s="190">
        <v>0</v>
      </c>
      <c r="AK71" s="190">
        <v>0</v>
      </c>
      <c r="AL71" s="190">
        <v>0</v>
      </c>
      <c r="AM71" s="190">
        <v>0</v>
      </c>
      <c r="AN71" s="190">
        <v>0</v>
      </c>
      <c r="AO71" s="190">
        <v>0</v>
      </c>
      <c r="AP71" s="190">
        <v>0</v>
      </c>
      <c r="AQ71" s="190">
        <v>0</v>
      </c>
      <c r="AR71" s="190">
        <v>0</v>
      </c>
      <c r="AS71" s="190">
        <v>0</v>
      </c>
      <c r="AT71" s="190">
        <v>0</v>
      </c>
      <c r="AU71" s="190">
        <v>0</v>
      </c>
      <c r="AV71" s="190">
        <v>0</v>
      </c>
      <c r="AW71" s="190">
        <v>0</v>
      </c>
      <c r="AX71" s="190">
        <v>0</v>
      </c>
      <c r="AY71" s="190">
        <v>0</v>
      </c>
      <c r="AZ71" s="190">
        <v>0</v>
      </c>
      <c r="BA71" s="190">
        <v>0</v>
      </c>
      <c r="BB71" s="190">
        <v>0</v>
      </c>
      <c r="BC71" s="190">
        <v>0</v>
      </c>
      <c r="BD71" s="190">
        <v>0</v>
      </c>
      <c r="BE71" s="190">
        <v>0</v>
      </c>
      <c r="BF71" s="190">
        <v>0</v>
      </c>
      <c r="BG71" s="190">
        <v>1500000000</v>
      </c>
      <c r="BH71" s="190">
        <v>15000000</v>
      </c>
      <c r="BI71" s="190">
        <v>1500000000</v>
      </c>
      <c r="BJ71" s="190">
        <v>0</v>
      </c>
      <c r="BK71" s="190">
        <v>0</v>
      </c>
      <c r="BL71" s="190">
        <v>0</v>
      </c>
      <c r="BM71" s="190">
        <v>0</v>
      </c>
      <c r="BN71" s="190">
        <v>0</v>
      </c>
      <c r="BO71" s="190">
        <v>0</v>
      </c>
      <c r="BP71" s="190">
        <v>0</v>
      </c>
      <c r="BQ71" s="190">
        <v>0</v>
      </c>
      <c r="BR71" s="190">
        <v>0</v>
      </c>
    </row>
    <row r="72" spans="1:70" x14ac:dyDescent="0.25">
      <c r="A72" s="190" t="s">
        <v>285</v>
      </c>
      <c r="B72" s="190">
        <v>0</v>
      </c>
      <c r="C72" s="190">
        <v>0</v>
      </c>
      <c r="D72" s="190">
        <v>0</v>
      </c>
      <c r="E72" s="190">
        <v>0</v>
      </c>
      <c r="F72" s="190">
        <v>0</v>
      </c>
      <c r="G72" s="190">
        <v>0</v>
      </c>
      <c r="H72" s="190">
        <v>0</v>
      </c>
      <c r="I72" s="190">
        <v>0</v>
      </c>
      <c r="J72" s="190">
        <v>0</v>
      </c>
      <c r="K72" s="190">
        <v>0</v>
      </c>
      <c r="L72" s="190">
        <v>0</v>
      </c>
      <c r="M72" s="190">
        <v>0</v>
      </c>
      <c r="N72" s="190">
        <v>0</v>
      </c>
      <c r="O72" s="190">
        <v>0</v>
      </c>
      <c r="P72" s="190">
        <v>0</v>
      </c>
      <c r="Q72" s="190">
        <v>0</v>
      </c>
      <c r="R72" s="190">
        <v>0</v>
      </c>
      <c r="S72" s="190">
        <v>0</v>
      </c>
      <c r="T72" s="190">
        <v>0</v>
      </c>
      <c r="U72" s="190">
        <v>0</v>
      </c>
      <c r="V72" s="190">
        <v>0</v>
      </c>
      <c r="W72" s="190">
        <v>0</v>
      </c>
      <c r="X72" s="190">
        <v>0</v>
      </c>
      <c r="Y72" s="190">
        <v>0</v>
      </c>
      <c r="Z72" s="190">
        <v>0</v>
      </c>
      <c r="AA72" s="190">
        <v>0</v>
      </c>
      <c r="AB72" s="190">
        <v>0</v>
      </c>
      <c r="AC72" s="190">
        <v>0</v>
      </c>
      <c r="AD72" s="190">
        <v>0</v>
      </c>
      <c r="AE72" s="190">
        <v>0</v>
      </c>
      <c r="AF72" s="190">
        <v>0</v>
      </c>
      <c r="AG72" s="190">
        <v>0</v>
      </c>
      <c r="AH72" s="190">
        <v>0</v>
      </c>
      <c r="AI72" s="190">
        <v>0</v>
      </c>
      <c r="AJ72" s="190">
        <v>0</v>
      </c>
      <c r="AK72" s="190">
        <v>0</v>
      </c>
      <c r="AL72" s="190">
        <v>0</v>
      </c>
      <c r="AM72" s="190">
        <v>0</v>
      </c>
      <c r="AN72" s="190">
        <v>0</v>
      </c>
      <c r="AO72" s="190">
        <v>0</v>
      </c>
      <c r="AP72" s="190">
        <v>0</v>
      </c>
      <c r="AQ72" s="190">
        <v>0</v>
      </c>
      <c r="AR72" s="190">
        <v>0</v>
      </c>
      <c r="AS72" s="190">
        <v>0</v>
      </c>
      <c r="AT72" s="190">
        <v>0</v>
      </c>
      <c r="AU72" s="190">
        <v>0</v>
      </c>
      <c r="AV72" s="190">
        <v>0</v>
      </c>
      <c r="AW72" s="190">
        <v>0</v>
      </c>
      <c r="AX72" s="190">
        <v>0</v>
      </c>
      <c r="AY72" s="190">
        <v>0</v>
      </c>
      <c r="AZ72" s="190">
        <v>0</v>
      </c>
      <c r="BA72" s="190">
        <v>0</v>
      </c>
      <c r="BB72" s="190">
        <v>0</v>
      </c>
      <c r="BC72" s="190">
        <v>0</v>
      </c>
      <c r="BD72" s="190">
        <v>0</v>
      </c>
      <c r="BE72" s="190">
        <v>0</v>
      </c>
      <c r="BF72" s="190">
        <v>0</v>
      </c>
      <c r="BG72" s="190">
        <v>0</v>
      </c>
      <c r="BH72" s="190">
        <v>0</v>
      </c>
      <c r="BI72" s="190">
        <v>0</v>
      </c>
      <c r="BJ72" s="190">
        <v>0</v>
      </c>
      <c r="BK72" s="190">
        <v>0</v>
      </c>
      <c r="BL72" s="190">
        <v>0</v>
      </c>
      <c r="BM72" s="190">
        <v>0</v>
      </c>
      <c r="BN72" s="190">
        <v>0</v>
      </c>
      <c r="BO72" s="190">
        <v>0</v>
      </c>
      <c r="BP72" s="190">
        <v>0</v>
      </c>
      <c r="BQ72" s="190">
        <v>0</v>
      </c>
      <c r="BR72" s="190">
        <v>0</v>
      </c>
    </row>
    <row r="73" spans="1:70" x14ac:dyDescent="0.25">
      <c r="A73" s="190" t="s">
        <v>286</v>
      </c>
      <c r="B73" s="190">
        <v>0</v>
      </c>
      <c r="C73" s="190">
        <v>154754000000</v>
      </c>
      <c r="D73" s="190">
        <v>0</v>
      </c>
      <c r="E73" s="190">
        <v>113218000000</v>
      </c>
      <c r="F73" s="190">
        <v>0</v>
      </c>
      <c r="G73" s="190">
        <v>129127000000</v>
      </c>
      <c r="H73" s="190">
        <v>0</v>
      </c>
      <c r="I73" s="190">
        <v>124468000000</v>
      </c>
      <c r="J73" s="190">
        <v>0</v>
      </c>
      <c r="K73" s="190">
        <v>73250000000</v>
      </c>
      <c r="L73" s="190">
        <v>0</v>
      </c>
      <c r="M73" s="190">
        <v>67824000000</v>
      </c>
      <c r="N73" s="190">
        <v>0</v>
      </c>
      <c r="O73" s="190">
        <v>72525000000</v>
      </c>
      <c r="P73" s="190">
        <v>0</v>
      </c>
      <c r="Q73" s="190">
        <v>9355000000</v>
      </c>
      <c r="R73" s="190">
        <v>0</v>
      </c>
      <c r="S73" s="190">
        <v>13220000000</v>
      </c>
      <c r="T73" s="190">
        <v>0</v>
      </c>
      <c r="U73" s="190">
        <v>15046000000</v>
      </c>
      <c r="V73" s="190">
        <v>0</v>
      </c>
      <c r="W73" s="190">
        <v>11190000000</v>
      </c>
      <c r="X73" s="190">
        <v>0</v>
      </c>
      <c r="Y73" s="190">
        <v>209000000</v>
      </c>
      <c r="Z73" s="190">
        <v>0</v>
      </c>
      <c r="AA73" s="190">
        <v>249000000</v>
      </c>
      <c r="AB73" s="190">
        <v>0</v>
      </c>
      <c r="AC73" s="190">
        <v>247000000</v>
      </c>
      <c r="AD73" s="190">
        <v>0</v>
      </c>
      <c r="AE73" s="190">
        <v>189000000</v>
      </c>
      <c r="AF73" s="190">
        <v>0</v>
      </c>
      <c r="AG73" s="190">
        <v>130000000</v>
      </c>
      <c r="AH73" s="190">
        <v>0</v>
      </c>
      <c r="AI73" s="190">
        <v>141000000</v>
      </c>
      <c r="AJ73" s="190">
        <v>0</v>
      </c>
      <c r="AK73" s="190">
        <v>140000000</v>
      </c>
      <c r="AL73" s="190">
        <v>0</v>
      </c>
      <c r="AM73" s="190">
        <v>165000000</v>
      </c>
      <c r="AN73" s="190">
        <v>0</v>
      </c>
      <c r="AO73" s="190">
        <v>161000000</v>
      </c>
      <c r="AP73" s="190">
        <v>10461000000</v>
      </c>
      <c r="AQ73" s="190">
        <v>157000000</v>
      </c>
      <c r="AR73" s="190">
        <v>0</v>
      </c>
      <c r="AS73" s="190">
        <v>108000000</v>
      </c>
      <c r="AT73" s="190">
        <v>11000000</v>
      </c>
      <c r="AU73" s="190">
        <v>49000000</v>
      </c>
      <c r="AV73" s="190">
        <v>15393000000</v>
      </c>
      <c r="AW73" s="190">
        <v>8088000000</v>
      </c>
      <c r="AX73" s="190">
        <v>10308000000</v>
      </c>
      <c r="AY73" s="190">
        <v>9939000000</v>
      </c>
      <c r="AZ73" s="190">
        <v>12250000000</v>
      </c>
      <c r="BA73" s="190">
        <v>13745000000</v>
      </c>
      <c r="BB73" s="190">
        <v>16381000000</v>
      </c>
      <c r="BC73" s="190">
        <v>13616000000</v>
      </c>
      <c r="BD73" s="190">
        <v>18165000000</v>
      </c>
      <c r="BE73" s="190">
        <v>16381000000</v>
      </c>
      <c r="BF73" s="190">
        <v>15388000000</v>
      </c>
      <c r="BG73" s="190">
        <v>14273000000</v>
      </c>
      <c r="BH73" s="190">
        <v>18334000000</v>
      </c>
      <c r="BI73" s="190">
        <v>15221000000</v>
      </c>
      <c r="BJ73" s="190">
        <v>16661000000</v>
      </c>
      <c r="BK73" s="190">
        <v>19469000000</v>
      </c>
      <c r="BL73" s="190">
        <v>21144000000</v>
      </c>
      <c r="BM73" s="190">
        <v>17699000000</v>
      </c>
      <c r="BN73" s="190">
        <v>19138000000</v>
      </c>
      <c r="BO73" s="190">
        <v>21023000000</v>
      </c>
      <c r="BP73" s="190">
        <v>28519000000</v>
      </c>
      <c r="BQ73" s="190">
        <v>141000000</v>
      </c>
      <c r="BR73" s="190">
        <v>0</v>
      </c>
    </row>
    <row r="74" spans="1:70" x14ac:dyDescent="0.25">
      <c r="A74" s="190" t="s">
        <v>287</v>
      </c>
      <c r="B74" s="190">
        <v>0</v>
      </c>
      <c r="C74" s="190">
        <v>113218000000</v>
      </c>
      <c r="D74" s="190">
        <v>0</v>
      </c>
      <c r="E74" s="190">
        <v>124468000000</v>
      </c>
      <c r="F74" s="190">
        <v>0</v>
      </c>
      <c r="G74" s="190">
        <v>124468000000</v>
      </c>
      <c r="H74" s="190">
        <v>0</v>
      </c>
      <c r="I74" s="190">
        <v>68933000000</v>
      </c>
      <c r="J74" s="190">
        <v>0</v>
      </c>
      <c r="K74" s="190">
        <v>68933000000</v>
      </c>
      <c r="L74" s="190">
        <v>0</v>
      </c>
      <c r="M74" s="190">
        <v>9355000000</v>
      </c>
      <c r="N74" s="190">
        <v>0</v>
      </c>
      <c r="O74" s="190">
        <v>9355000000</v>
      </c>
      <c r="P74" s="190">
        <v>0</v>
      </c>
      <c r="Q74" s="190">
        <v>15046000000</v>
      </c>
      <c r="R74" s="190">
        <v>0</v>
      </c>
      <c r="S74" s="190">
        <v>15046000000</v>
      </c>
      <c r="T74" s="190">
        <v>0</v>
      </c>
      <c r="U74" s="190">
        <v>10456000000</v>
      </c>
      <c r="V74" s="190">
        <v>0</v>
      </c>
      <c r="W74" s="190">
        <v>10456000000</v>
      </c>
      <c r="X74" s="190">
        <v>0</v>
      </c>
      <c r="Y74" s="190">
        <v>247000000</v>
      </c>
      <c r="Z74" s="190">
        <v>0</v>
      </c>
      <c r="AA74" s="190">
        <v>247000000</v>
      </c>
      <c r="AB74" s="190">
        <v>0</v>
      </c>
      <c r="AC74" s="190">
        <v>130000000</v>
      </c>
      <c r="AD74" s="190">
        <v>0</v>
      </c>
      <c r="AE74" s="190">
        <v>130000000</v>
      </c>
      <c r="AF74" s="190">
        <v>0</v>
      </c>
      <c r="AG74" s="190">
        <v>140000000</v>
      </c>
      <c r="AH74" s="190">
        <v>0</v>
      </c>
      <c r="AI74" s="190">
        <v>140000000</v>
      </c>
      <c r="AJ74" s="190">
        <v>0</v>
      </c>
      <c r="AK74" s="190">
        <v>161000000</v>
      </c>
      <c r="AL74" s="190">
        <v>0</v>
      </c>
      <c r="AM74" s="190">
        <v>161000000</v>
      </c>
      <c r="AN74" s="190">
        <v>0</v>
      </c>
      <c r="AO74" s="190">
        <v>108000000</v>
      </c>
      <c r="AP74" s="190">
        <v>7696000000</v>
      </c>
      <c r="AQ74" s="190">
        <v>108000000</v>
      </c>
      <c r="AR74" s="190">
        <v>0</v>
      </c>
      <c r="AS74" s="190">
        <v>15000000</v>
      </c>
      <c r="AT74" s="190">
        <v>15000000</v>
      </c>
      <c r="AU74" s="190">
        <v>15000000</v>
      </c>
      <c r="AV74" s="190">
        <v>6679000000</v>
      </c>
      <c r="AW74" s="190">
        <v>13745000000</v>
      </c>
      <c r="AX74" s="190">
        <v>13745000000</v>
      </c>
      <c r="AY74" s="190">
        <v>13745000000</v>
      </c>
      <c r="AZ74" s="190">
        <v>13745000000</v>
      </c>
      <c r="BA74" s="190">
        <v>16381000000</v>
      </c>
      <c r="BB74" s="190">
        <v>17534000000</v>
      </c>
      <c r="BC74" s="190">
        <v>16381000000</v>
      </c>
      <c r="BD74" s="190">
        <v>16381000000</v>
      </c>
      <c r="BE74" s="190">
        <v>15221000000</v>
      </c>
      <c r="BF74" s="190">
        <v>15221000000</v>
      </c>
      <c r="BG74" s="190">
        <v>15221000000</v>
      </c>
      <c r="BH74" s="190">
        <v>15221000000</v>
      </c>
      <c r="BI74" s="190">
        <v>17699000000</v>
      </c>
      <c r="BJ74" s="190">
        <v>17699000000</v>
      </c>
      <c r="BK74" s="190">
        <v>17699000000</v>
      </c>
      <c r="BL74" s="190">
        <v>17699000000</v>
      </c>
      <c r="BM74" s="190">
        <v>21023000000</v>
      </c>
      <c r="BN74" s="190">
        <v>21023000000</v>
      </c>
      <c r="BO74" s="190">
        <v>19304000000</v>
      </c>
      <c r="BP74" s="190">
        <v>19304000000</v>
      </c>
      <c r="BQ74" s="190">
        <v>51000000</v>
      </c>
      <c r="BR74" s="190">
        <v>0</v>
      </c>
    </row>
    <row r="75" spans="1:70" x14ac:dyDescent="0.25">
      <c r="A75" s="190" t="s">
        <v>288</v>
      </c>
      <c r="B75" s="190">
        <v>0</v>
      </c>
      <c r="C75" s="190">
        <v>0</v>
      </c>
      <c r="D75" s="190">
        <v>0</v>
      </c>
      <c r="E75" s="190">
        <v>0</v>
      </c>
      <c r="F75" s="190">
        <v>0</v>
      </c>
      <c r="G75" s="190">
        <v>0</v>
      </c>
      <c r="H75" s="190">
        <v>0</v>
      </c>
      <c r="I75" s="190">
        <v>0</v>
      </c>
      <c r="J75" s="190">
        <v>0</v>
      </c>
      <c r="K75" s="190">
        <v>0</v>
      </c>
      <c r="L75" s="190">
        <v>0</v>
      </c>
      <c r="M75" s="190">
        <v>0</v>
      </c>
      <c r="N75" s="190">
        <v>0</v>
      </c>
      <c r="O75" s="190">
        <v>0</v>
      </c>
      <c r="P75" s="190">
        <v>0</v>
      </c>
      <c r="Q75" s="190">
        <v>0</v>
      </c>
      <c r="R75" s="190">
        <v>0</v>
      </c>
      <c r="S75" s="190">
        <v>0</v>
      </c>
      <c r="T75" s="190">
        <v>0</v>
      </c>
      <c r="U75" s="190">
        <v>0</v>
      </c>
      <c r="V75" s="190">
        <v>0</v>
      </c>
      <c r="W75" s="190">
        <v>0</v>
      </c>
      <c r="X75" s="190">
        <v>0</v>
      </c>
      <c r="Y75" s="190">
        <v>10247000000</v>
      </c>
      <c r="Z75" s="190">
        <v>0</v>
      </c>
      <c r="AA75" s="190">
        <v>12310000000</v>
      </c>
      <c r="AB75" s="190">
        <v>0</v>
      </c>
      <c r="AC75" s="190">
        <v>24400000000</v>
      </c>
      <c r="AD75" s="190">
        <v>0</v>
      </c>
      <c r="AE75" s="190">
        <v>8527000000</v>
      </c>
      <c r="AF75" s="190">
        <v>0</v>
      </c>
      <c r="AG75" s="190">
        <v>16878000000</v>
      </c>
      <c r="AH75" s="190">
        <v>0</v>
      </c>
      <c r="AI75" s="190">
        <v>15071000000</v>
      </c>
      <c r="AJ75" s="190">
        <v>0</v>
      </c>
      <c r="AK75" s="190">
        <v>8610000000</v>
      </c>
      <c r="AL75" s="190">
        <v>0</v>
      </c>
      <c r="AM75" s="190">
        <v>7435000000</v>
      </c>
      <c r="AN75" s="190">
        <v>0</v>
      </c>
      <c r="AO75" s="190">
        <v>6787000000</v>
      </c>
      <c r="AP75" s="190">
        <v>0</v>
      </c>
      <c r="AQ75" s="190">
        <v>8309000000</v>
      </c>
      <c r="AR75" s="190">
        <v>0</v>
      </c>
      <c r="AS75" s="190">
        <v>7588000000</v>
      </c>
      <c r="AT75" s="190">
        <v>8332000000</v>
      </c>
      <c r="AU75" s="190">
        <v>9637000000</v>
      </c>
      <c r="AV75" s="190">
        <v>0</v>
      </c>
      <c r="AW75" s="190">
        <v>0</v>
      </c>
      <c r="AX75" s="190">
        <v>0</v>
      </c>
      <c r="AY75" s="190">
        <v>0</v>
      </c>
      <c r="AZ75" s="190">
        <v>0</v>
      </c>
      <c r="BA75" s="190">
        <v>0</v>
      </c>
      <c r="BB75" s="190">
        <v>0</v>
      </c>
      <c r="BC75" s="190">
        <v>0</v>
      </c>
      <c r="BD75" s="190">
        <v>0</v>
      </c>
      <c r="BE75" s="190">
        <v>0</v>
      </c>
      <c r="BF75" s="190">
        <v>0</v>
      </c>
      <c r="BG75" s="190">
        <v>0</v>
      </c>
      <c r="BH75" s="190">
        <v>0</v>
      </c>
      <c r="BI75" s="190">
        <v>0</v>
      </c>
      <c r="BJ75" s="190">
        <v>0</v>
      </c>
      <c r="BK75" s="190">
        <v>0</v>
      </c>
      <c r="BL75" s="190">
        <v>0</v>
      </c>
      <c r="BM75" s="190">
        <v>0</v>
      </c>
      <c r="BN75" s="190">
        <v>0</v>
      </c>
      <c r="BO75" s="190">
        <v>0</v>
      </c>
      <c r="BP75" s="190">
        <v>0</v>
      </c>
      <c r="BQ75" s="190">
        <v>19163000000</v>
      </c>
      <c r="BR75" s="190">
        <v>0</v>
      </c>
    </row>
    <row r="76" spans="1:70" x14ac:dyDescent="0.25">
      <c r="A76" s="190" t="s">
        <v>289</v>
      </c>
      <c r="B76" s="190">
        <v>0</v>
      </c>
      <c r="C76" s="190">
        <v>0</v>
      </c>
      <c r="D76" s="190">
        <v>0</v>
      </c>
      <c r="E76" s="190">
        <v>0</v>
      </c>
      <c r="F76" s="190">
        <v>0</v>
      </c>
      <c r="G76" s="190">
        <v>0</v>
      </c>
      <c r="H76" s="190">
        <v>0</v>
      </c>
      <c r="I76" s="190">
        <v>0</v>
      </c>
      <c r="J76" s="190">
        <v>0</v>
      </c>
      <c r="K76" s="190">
        <v>0</v>
      </c>
      <c r="L76" s="190">
        <v>0</v>
      </c>
      <c r="M76" s="190">
        <v>0</v>
      </c>
      <c r="N76" s="190">
        <v>0</v>
      </c>
      <c r="O76" s="190">
        <v>0</v>
      </c>
      <c r="P76" s="190">
        <v>0</v>
      </c>
      <c r="Q76" s="190">
        <v>0</v>
      </c>
      <c r="R76" s="190">
        <v>0</v>
      </c>
      <c r="S76" s="190">
        <v>0</v>
      </c>
      <c r="T76" s="190">
        <v>0</v>
      </c>
      <c r="U76" s="190">
        <v>0</v>
      </c>
      <c r="V76" s="190">
        <v>0</v>
      </c>
      <c r="W76" s="190">
        <v>0</v>
      </c>
      <c r="X76" s="190">
        <v>0</v>
      </c>
      <c r="Y76" s="190">
        <v>24400000000</v>
      </c>
      <c r="Z76" s="190">
        <v>0</v>
      </c>
      <c r="AA76" s="190">
        <v>24400000000</v>
      </c>
      <c r="AB76" s="190">
        <v>0</v>
      </c>
      <c r="AC76" s="190">
        <v>16878000000</v>
      </c>
      <c r="AD76" s="190">
        <v>0</v>
      </c>
      <c r="AE76" s="190">
        <v>16878000000</v>
      </c>
      <c r="AF76" s="190">
        <v>0</v>
      </c>
      <c r="AG76" s="190">
        <v>8642000000</v>
      </c>
      <c r="AH76" s="190">
        <v>0</v>
      </c>
      <c r="AI76" s="190">
        <v>8610000000</v>
      </c>
      <c r="AJ76" s="190">
        <v>0</v>
      </c>
      <c r="AK76" s="190">
        <v>6847000000</v>
      </c>
      <c r="AL76" s="190">
        <v>0</v>
      </c>
      <c r="AM76" s="190">
        <v>6847000000</v>
      </c>
      <c r="AN76" s="190">
        <v>0</v>
      </c>
      <c r="AO76" s="190">
        <v>7588000000</v>
      </c>
      <c r="AP76" s="190">
        <v>0</v>
      </c>
      <c r="AQ76" s="190">
        <v>7588000000</v>
      </c>
      <c r="AR76" s="190">
        <v>0</v>
      </c>
      <c r="AS76" s="190">
        <v>7048000000</v>
      </c>
      <c r="AT76" s="190">
        <v>6664000000</v>
      </c>
      <c r="AU76" s="190">
        <v>6664000000</v>
      </c>
      <c r="AV76" s="190">
        <v>0</v>
      </c>
      <c r="AW76" s="190">
        <v>0</v>
      </c>
      <c r="AX76" s="190">
        <v>0</v>
      </c>
      <c r="AY76" s="190">
        <v>0</v>
      </c>
      <c r="AZ76" s="190">
        <v>0</v>
      </c>
      <c r="BA76" s="190">
        <v>0</v>
      </c>
      <c r="BB76" s="190">
        <v>0</v>
      </c>
      <c r="BC76" s="190">
        <v>0</v>
      </c>
      <c r="BD76" s="190">
        <v>0</v>
      </c>
      <c r="BE76" s="190">
        <v>0</v>
      </c>
      <c r="BF76" s="190">
        <v>0</v>
      </c>
      <c r="BG76" s="190">
        <v>0</v>
      </c>
      <c r="BH76" s="190">
        <v>0</v>
      </c>
      <c r="BI76" s="190">
        <v>0</v>
      </c>
      <c r="BJ76" s="190">
        <v>0</v>
      </c>
      <c r="BK76" s="190">
        <v>0</v>
      </c>
      <c r="BL76" s="190">
        <v>0</v>
      </c>
      <c r="BM76" s="190">
        <v>0</v>
      </c>
      <c r="BN76" s="190">
        <v>0</v>
      </c>
      <c r="BO76" s="190">
        <v>0</v>
      </c>
      <c r="BP76" s="190">
        <v>0</v>
      </c>
      <c r="BQ76" s="190">
        <v>21287000000</v>
      </c>
      <c r="BR76" s="190">
        <v>0</v>
      </c>
    </row>
    <row r="77" spans="1:70" x14ac:dyDescent="0.25">
      <c r="A77" s="190" t="s">
        <v>290</v>
      </c>
      <c r="B77" s="190">
        <v>0</v>
      </c>
      <c r="C77" s="190">
        <v>41536000000</v>
      </c>
      <c r="D77" s="190">
        <v>0</v>
      </c>
      <c r="E77" s="190">
        <v>-11250000000</v>
      </c>
      <c r="F77" s="190">
        <v>0</v>
      </c>
      <c r="G77" s="190">
        <v>4659000000</v>
      </c>
      <c r="H77" s="190">
        <v>0</v>
      </c>
      <c r="I77" s="190">
        <v>55535000000</v>
      </c>
      <c r="J77" s="190">
        <v>0</v>
      </c>
      <c r="K77" s="190">
        <v>4317000000</v>
      </c>
      <c r="L77" s="190">
        <v>0</v>
      </c>
      <c r="M77" s="190">
        <v>58469000000</v>
      </c>
      <c r="N77" s="190">
        <v>0</v>
      </c>
      <c r="O77" s="190">
        <v>63170000000</v>
      </c>
      <c r="P77" s="190">
        <v>0</v>
      </c>
      <c r="Q77" s="190">
        <v>-5691000000</v>
      </c>
      <c r="R77" s="190">
        <v>0</v>
      </c>
      <c r="S77" s="190">
        <v>-1826000000</v>
      </c>
      <c r="T77" s="190">
        <v>0</v>
      </c>
      <c r="U77" s="190">
        <v>4590000000</v>
      </c>
      <c r="V77" s="190">
        <v>0</v>
      </c>
      <c r="W77" s="190">
        <v>734000000</v>
      </c>
      <c r="X77" s="190">
        <v>0</v>
      </c>
      <c r="Y77" s="190">
        <v>-14191000000</v>
      </c>
      <c r="Z77" s="190">
        <v>0</v>
      </c>
      <c r="AA77" s="190">
        <v>-12088000000</v>
      </c>
      <c r="AB77" s="190">
        <v>0</v>
      </c>
      <c r="AC77" s="190">
        <v>7639000000</v>
      </c>
      <c r="AD77" s="190">
        <v>0</v>
      </c>
      <c r="AE77" s="190">
        <v>-8292000000</v>
      </c>
      <c r="AF77" s="190">
        <v>0</v>
      </c>
      <c r="AG77" s="190">
        <v>8226000000</v>
      </c>
      <c r="AH77" s="190">
        <v>0</v>
      </c>
      <c r="AI77" s="190">
        <v>6462000000</v>
      </c>
      <c r="AJ77" s="190">
        <v>0</v>
      </c>
      <c r="AK77" s="190">
        <v>1742000000</v>
      </c>
      <c r="AL77" s="190">
        <v>0</v>
      </c>
      <c r="AM77" s="190">
        <v>592000000</v>
      </c>
      <c r="AN77" s="190">
        <v>0</v>
      </c>
      <c r="AO77" s="190">
        <v>-748000000</v>
      </c>
      <c r="AP77" s="190">
        <v>2765000000</v>
      </c>
      <c r="AQ77" s="190">
        <v>770000000</v>
      </c>
      <c r="AR77" s="190">
        <v>0</v>
      </c>
      <c r="AS77" s="190">
        <v>633000000</v>
      </c>
      <c r="AT77" s="190">
        <v>1664000000</v>
      </c>
      <c r="AU77" s="190">
        <v>3007000000</v>
      </c>
      <c r="AV77" s="190">
        <v>8714000000</v>
      </c>
      <c r="AW77" s="190">
        <v>-5657000000</v>
      </c>
      <c r="AX77" s="190">
        <v>-3437000000</v>
      </c>
      <c r="AY77" s="190">
        <v>-3806000000</v>
      </c>
      <c r="AZ77" s="190">
        <v>-1495000000</v>
      </c>
      <c r="BA77" s="190">
        <v>-2636000000</v>
      </c>
      <c r="BB77" s="190">
        <v>-1153000000</v>
      </c>
      <c r="BC77" s="190">
        <v>-2765000000</v>
      </c>
      <c r="BD77" s="190">
        <v>1784000000</v>
      </c>
      <c r="BE77" s="190">
        <v>1160000000</v>
      </c>
      <c r="BF77" s="190">
        <v>167000000</v>
      </c>
      <c r="BG77" s="190">
        <v>-948000000</v>
      </c>
      <c r="BH77" s="190">
        <v>3113000000</v>
      </c>
      <c r="BI77" s="190">
        <v>-2478000000</v>
      </c>
      <c r="BJ77" s="190">
        <v>-1038000000</v>
      </c>
      <c r="BK77" s="190">
        <v>1770000000</v>
      </c>
      <c r="BL77" s="190">
        <v>3445000000</v>
      </c>
      <c r="BM77" s="190">
        <v>-3324000000</v>
      </c>
      <c r="BN77" s="190">
        <v>-1885000000</v>
      </c>
      <c r="BO77" s="190">
        <v>1719000000</v>
      </c>
      <c r="BP77" s="190">
        <v>9215000000</v>
      </c>
      <c r="BQ77" s="190">
        <v>-2034000000</v>
      </c>
      <c r="BR77" s="190">
        <v>0</v>
      </c>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资产资本表"/>
  <dimension ref="A1:CL110"/>
  <sheetViews>
    <sheetView workbookViewId="0">
      <selection activeCell="E69" sqref="E69"/>
    </sheetView>
  </sheetViews>
  <sheetFormatPr defaultRowHeight="14.4" x14ac:dyDescent="0.25"/>
  <cols>
    <col min="1" max="1" width="33.6640625" style="17" bestFit="1" customWidth="1"/>
    <col min="2" max="4" width="23.77734375" hidden="1" customWidth="1"/>
    <col min="5" max="5" width="23.88671875" bestFit="1" customWidth="1"/>
    <col min="6" max="8" width="23.88671875" hidden="1" customWidth="1"/>
    <col min="9" max="9" width="23.88671875" bestFit="1" customWidth="1"/>
    <col min="10" max="12" width="23.88671875" hidden="1" customWidth="1"/>
    <col min="13" max="13" width="23.88671875" bestFit="1" customWidth="1"/>
    <col min="14" max="16" width="23.88671875" hidden="1" customWidth="1"/>
    <col min="17" max="17" width="23.88671875" bestFit="1" customWidth="1"/>
    <col min="18" max="20" width="23.88671875" hidden="1" customWidth="1"/>
    <col min="21" max="21" width="23.88671875" bestFit="1" customWidth="1"/>
    <col min="22" max="24" width="23.88671875" hidden="1" customWidth="1"/>
    <col min="25" max="25" width="23.88671875" bestFit="1" customWidth="1"/>
    <col min="26" max="28" width="23.88671875" hidden="1" customWidth="1"/>
    <col min="29" max="29" width="23.88671875" bestFit="1" customWidth="1"/>
    <col min="30" max="32" width="23.88671875" hidden="1" customWidth="1"/>
    <col min="33" max="33" width="23.88671875" bestFit="1" customWidth="1"/>
    <col min="34" max="36" width="23.88671875" hidden="1" customWidth="1"/>
    <col min="37" max="37" width="23.88671875" bestFit="1" customWidth="1"/>
    <col min="38" max="40" width="23.88671875" hidden="1" customWidth="1"/>
    <col min="41" max="41" width="23.88671875" bestFit="1" customWidth="1"/>
    <col min="42" max="44" width="23.88671875" hidden="1" customWidth="1"/>
    <col min="45" max="45" width="23.88671875" bestFit="1" customWidth="1"/>
    <col min="46" max="47" width="23.88671875" hidden="1" customWidth="1"/>
    <col min="48" max="48" width="22.6640625" hidden="1" customWidth="1"/>
    <col min="49" max="49" width="23.88671875" bestFit="1" customWidth="1"/>
    <col min="50" max="52" width="23.88671875" hidden="1" customWidth="1"/>
    <col min="53" max="53" width="23.88671875" bestFit="1" customWidth="1"/>
    <col min="54" max="56" width="23.88671875" hidden="1" customWidth="1"/>
    <col min="57" max="57" width="22.6640625" bestFit="1" customWidth="1"/>
    <col min="58" max="60" width="22.6640625" hidden="1" customWidth="1"/>
    <col min="61" max="61" width="22.6640625" bestFit="1" customWidth="1"/>
    <col min="62" max="64" width="22.6640625" hidden="1" customWidth="1"/>
    <col min="65" max="65" width="22.6640625" bestFit="1" customWidth="1"/>
    <col min="66" max="68" width="22.6640625" hidden="1" customWidth="1"/>
    <col min="69" max="69" width="22.6640625" bestFit="1" customWidth="1"/>
    <col min="70" max="70" width="22.6640625" hidden="1" customWidth="1"/>
    <col min="71" max="71" width="22.6640625" bestFit="1" customWidth="1"/>
    <col min="72" max="72" width="9.5546875" hidden="1" customWidth="1"/>
    <col min="73" max="78" width="19.33203125" bestFit="1" customWidth="1"/>
    <col min="79" max="81" width="17.21875" bestFit="1" customWidth="1"/>
    <col min="82" max="82" width="7.109375" bestFit="1" customWidth="1"/>
    <col min="83" max="84" width="19.33203125" bestFit="1" customWidth="1"/>
    <col min="85" max="87" width="17.21875" bestFit="1" customWidth="1"/>
    <col min="88" max="89" width="16.109375" bestFit="1" customWidth="1"/>
    <col min="90" max="90" width="7.109375" bestFit="1" customWidth="1"/>
  </cols>
  <sheetData>
    <row r="1" spans="1:90" s="41" customFormat="1" x14ac:dyDescent="0.25">
      <c r="A1" s="41">
        <v>600028</v>
      </c>
      <c r="B1" s="190">
        <v>20180930</v>
      </c>
      <c r="C1" s="190">
        <v>20180630</v>
      </c>
      <c r="D1" s="190">
        <v>20180331</v>
      </c>
      <c r="E1" s="190">
        <v>20171231</v>
      </c>
      <c r="F1" s="190">
        <v>20170930</v>
      </c>
      <c r="G1" s="190">
        <v>20170630</v>
      </c>
      <c r="H1" s="190">
        <v>20170331</v>
      </c>
      <c r="I1" s="190">
        <v>20161231</v>
      </c>
      <c r="J1" s="190">
        <v>20160930</v>
      </c>
      <c r="K1" s="190">
        <v>20160630</v>
      </c>
      <c r="L1" s="190">
        <v>20160331</v>
      </c>
      <c r="M1" s="190">
        <v>20151231</v>
      </c>
      <c r="N1" s="190">
        <v>20150930</v>
      </c>
      <c r="O1" s="190">
        <v>20150630</v>
      </c>
      <c r="P1" s="190">
        <v>20150331</v>
      </c>
      <c r="Q1" s="190">
        <v>20141231</v>
      </c>
      <c r="R1" s="190">
        <v>20140930</v>
      </c>
      <c r="S1" s="190">
        <v>20140630</v>
      </c>
      <c r="T1" s="190">
        <v>20140331</v>
      </c>
      <c r="U1" s="190">
        <v>20131231</v>
      </c>
      <c r="V1" s="190">
        <v>20130930</v>
      </c>
      <c r="W1" s="190">
        <v>20130630</v>
      </c>
      <c r="X1" s="190">
        <v>20130331</v>
      </c>
      <c r="Y1" s="190">
        <v>20121231</v>
      </c>
      <c r="Z1" s="190">
        <v>20120930</v>
      </c>
      <c r="AA1" s="190">
        <v>20120630</v>
      </c>
      <c r="AB1" s="190">
        <v>20120331</v>
      </c>
      <c r="AC1" s="190">
        <v>20111231</v>
      </c>
      <c r="AD1" s="190">
        <v>20110930</v>
      </c>
      <c r="AE1" s="190">
        <v>20110630</v>
      </c>
      <c r="AF1" s="190">
        <v>20110331</v>
      </c>
      <c r="AG1" s="190">
        <v>20101231</v>
      </c>
      <c r="AH1" s="190">
        <v>20100930</v>
      </c>
      <c r="AI1" s="190">
        <v>20100630</v>
      </c>
      <c r="AJ1" s="190">
        <v>20100331</v>
      </c>
      <c r="AK1" s="190">
        <v>20091231</v>
      </c>
      <c r="AL1" s="190">
        <v>20090930</v>
      </c>
      <c r="AM1" s="190">
        <v>20090630</v>
      </c>
      <c r="AN1" s="190">
        <v>20090331</v>
      </c>
      <c r="AO1" s="190">
        <v>20081231</v>
      </c>
      <c r="AP1" s="190">
        <v>20080930</v>
      </c>
      <c r="AQ1" s="190">
        <v>20080630</v>
      </c>
      <c r="AR1" s="190">
        <v>20080331</v>
      </c>
      <c r="AS1" s="190">
        <v>20071231</v>
      </c>
      <c r="AT1" s="190">
        <v>20070930</v>
      </c>
      <c r="AU1" s="190">
        <v>20070630</v>
      </c>
      <c r="AV1" s="190">
        <v>20070331</v>
      </c>
      <c r="AW1" s="190">
        <v>20061231</v>
      </c>
      <c r="AX1" s="190">
        <v>20060930</v>
      </c>
      <c r="AY1" s="190">
        <v>20060630</v>
      </c>
      <c r="AZ1" s="190">
        <v>20060331</v>
      </c>
      <c r="BA1" s="190">
        <v>20051231</v>
      </c>
      <c r="BB1" s="190">
        <v>20050930</v>
      </c>
      <c r="BC1" s="190">
        <v>20050630</v>
      </c>
      <c r="BD1" s="190">
        <v>20050331</v>
      </c>
      <c r="BE1" s="190">
        <v>20041231</v>
      </c>
      <c r="BF1" s="190">
        <v>20040930</v>
      </c>
      <c r="BG1" s="190">
        <v>20040630</v>
      </c>
      <c r="BH1" s="190">
        <v>20040331</v>
      </c>
      <c r="BI1" s="190">
        <v>20031231</v>
      </c>
      <c r="BJ1" s="190">
        <v>20030930</v>
      </c>
      <c r="BK1" s="190">
        <v>20030630</v>
      </c>
      <c r="BL1" s="190">
        <v>20030331</v>
      </c>
      <c r="BM1" s="190">
        <v>20021231</v>
      </c>
      <c r="BN1" s="190">
        <v>20020930</v>
      </c>
      <c r="BO1" s="190">
        <v>20020630</v>
      </c>
      <c r="BP1" s="190">
        <v>20020331</v>
      </c>
      <c r="BQ1" s="190">
        <v>20011231</v>
      </c>
      <c r="BR1" s="190">
        <v>20010630</v>
      </c>
      <c r="BS1" s="190">
        <v>20001231</v>
      </c>
      <c r="BT1" s="190">
        <v>19700101</v>
      </c>
      <c r="BU1" s="190"/>
      <c r="BV1" s="190"/>
      <c r="BW1" s="190"/>
      <c r="BX1" s="190"/>
      <c r="BY1" s="190"/>
      <c r="BZ1" s="190"/>
      <c r="CA1" s="190"/>
      <c r="CB1" s="190"/>
      <c r="CC1" s="190"/>
      <c r="CD1" s="190"/>
      <c r="CE1" s="190"/>
      <c r="CF1" s="190"/>
      <c r="CG1" s="190"/>
      <c r="CH1" s="190"/>
      <c r="CI1" s="190"/>
      <c r="CJ1" s="190"/>
      <c r="CK1" s="190"/>
      <c r="CL1" s="190"/>
    </row>
    <row r="2" spans="1:90" x14ac:dyDescent="0.25">
      <c r="A2" s="20" t="s">
        <v>0</v>
      </c>
      <c r="B2" s="26"/>
      <c r="C2" s="26"/>
      <c r="D2" s="26"/>
      <c r="E2" s="26"/>
      <c r="F2" s="26"/>
      <c r="G2" s="26"/>
      <c r="H2" s="26"/>
      <c r="I2" s="26"/>
      <c r="J2" s="26"/>
      <c r="K2" s="26"/>
      <c r="L2" s="23"/>
    </row>
    <row r="3" spans="1:90" x14ac:dyDescent="0.25">
      <c r="A3" s="20" t="s">
        <v>316</v>
      </c>
      <c r="B3" s="26"/>
      <c r="C3" s="26"/>
      <c r="D3" s="26"/>
      <c r="E3" s="26"/>
      <c r="F3" s="26"/>
      <c r="G3" s="26"/>
      <c r="H3" s="26"/>
      <c r="I3" s="26"/>
      <c r="J3" s="26"/>
      <c r="K3" s="26"/>
      <c r="L3" s="23"/>
    </row>
    <row r="4" spans="1:90" x14ac:dyDescent="0.25">
      <c r="A4" s="17" t="s">
        <v>1</v>
      </c>
      <c r="B4" s="190">
        <v>228938000000</v>
      </c>
      <c r="C4" s="190">
        <v>205153000000</v>
      </c>
      <c r="D4" s="190">
        <v>173640000000</v>
      </c>
      <c r="E4" s="190">
        <v>165004000000</v>
      </c>
      <c r="F4" s="190">
        <v>161903000000</v>
      </c>
      <c r="G4" s="190">
        <v>160822000000</v>
      </c>
      <c r="H4" s="190">
        <v>135050000000</v>
      </c>
      <c r="I4" s="190">
        <v>142497000000</v>
      </c>
      <c r="J4" s="190">
        <v>86383000000</v>
      </c>
      <c r="K4" s="190">
        <v>76986000000</v>
      </c>
      <c r="L4" s="190">
        <v>63889000000</v>
      </c>
      <c r="M4" s="190">
        <v>68557000000</v>
      </c>
      <c r="N4" s="190">
        <v>57173000000</v>
      </c>
      <c r="O4" s="190">
        <v>74203000000</v>
      </c>
      <c r="P4" s="190">
        <v>73946000000</v>
      </c>
      <c r="Q4" s="190">
        <v>10100000000</v>
      </c>
      <c r="R4" s="190">
        <v>20919000000</v>
      </c>
      <c r="S4" s="190">
        <v>14346000000</v>
      </c>
      <c r="T4" s="190">
        <v>20771000000</v>
      </c>
      <c r="U4" s="190">
        <v>15101000000</v>
      </c>
      <c r="V4" s="190">
        <v>12096000000</v>
      </c>
      <c r="W4" s="190">
        <v>11385000000</v>
      </c>
      <c r="X4" s="190">
        <v>14788000000</v>
      </c>
      <c r="Y4" s="190">
        <v>10864000000</v>
      </c>
      <c r="Z4" s="190">
        <v>14855000000</v>
      </c>
      <c r="AA4" s="190">
        <v>13960000000</v>
      </c>
      <c r="AB4" s="190">
        <v>24609000000</v>
      </c>
      <c r="AC4" s="190">
        <v>25197000000</v>
      </c>
      <c r="AD4" s="190">
        <v>27189000000</v>
      </c>
      <c r="AE4" s="190">
        <v>14186000000</v>
      </c>
      <c r="AF4" s="190">
        <v>27007000000</v>
      </c>
      <c r="AG4" s="190">
        <v>18140000000</v>
      </c>
      <c r="AH4" s="190">
        <v>11562000000</v>
      </c>
      <c r="AI4" s="190">
        <v>16695000000</v>
      </c>
      <c r="AJ4" s="190">
        <v>11361000000</v>
      </c>
      <c r="AK4" s="190">
        <v>9986000000</v>
      </c>
      <c r="AL4" s="190">
        <v>8601000000</v>
      </c>
      <c r="AM4" s="190">
        <v>9082000000</v>
      </c>
      <c r="AN4" s="190">
        <v>12227000000</v>
      </c>
      <c r="AO4" s="190">
        <v>7700000000</v>
      </c>
      <c r="AP4" s="190">
        <v>11605000000</v>
      </c>
      <c r="AQ4" s="190">
        <v>9774000000</v>
      </c>
      <c r="AR4" s="190">
        <v>28397000000</v>
      </c>
      <c r="AS4" s="190">
        <v>8364000000</v>
      </c>
      <c r="AT4" s="190">
        <v>8908000000</v>
      </c>
      <c r="AU4" s="190">
        <v>12989000000</v>
      </c>
      <c r="AV4" s="190">
        <v>15943000000</v>
      </c>
      <c r="AW4" s="190">
        <v>8723000000</v>
      </c>
      <c r="AX4" s="190">
        <v>10590000000</v>
      </c>
      <c r="AY4" s="190">
        <v>10777000000</v>
      </c>
      <c r="AZ4" s="190">
        <v>13089000000</v>
      </c>
      <c r="BA4" s="190">
        <v>14747000000</v>
      </c>
      <c r="BB4" s="190">
        <v>16567000000</v>
      </c>
      <c r="BC4" s="190">
        <v>15322000000</v>
      </c>
      <c r="BD4" s="190">
        <v>19884000000</v>
      </c>
      <c r="BE4" s="190">
        <v>18280000000</v>
      </c>
      <c r="BF4" s="190">
        <v>17324000000</v>
      </c>
      <c r="BG4" s="190">
        <v>17028000000</v>
      </c>
      <c r="BH4" s="190">
        <v>20367000000</v>
      </c>
      <c r="BI4" s="190">
        <v>17405000000</v>
      </c>
      <c r="BJ4" s="190">
        <v>18630000000</v>
      </c>
      <c r="BK4" s="190">
        <v>21844000000</v>
      </c>
      <c r="BL4" s="190">
        <v>22282000000</v>
      </c>
      <c r="BM4" s="190">
        <v>18712000000</v>
      </c>
      <c r="BN4" s="190">
        <v>19232000000</v>
      </c>
      <c r="BO4" s="190">
        <v>21210000000</v>
      </c>
      <c r="BP4" s="190">
        <v>20983000000</v>
      </c>
      <c r="BQ4" s="190">
        <v>22854000000</v>
      </c>
      <c r="BR4" s="190">
        <v>39959000000</v>
      </c>
      <c r="BS4" s="190">
        <v>41134000000</v>
      </c>
      <c r="BT4" s="190">
        <v>0</v>
      </c>
      <c r="BU4" s="190"/>
      <c r="BV4" s="190"/>
      <c r="BW4" s="190"/>
      <c r="BX4" s="190"/>
      <c r="BY4" s="190"/>
      <c r="BZ4" s="190"/>
      <c r="CA4" s="190"/>
      <c r="CB4" s="190"/>
      <c r="CC4" s="190"/>
      <c r="CD4" s="190"/>
      <c r="CE4" s="190"/>
      <c r="CF4" s="190"/>
      <c r="CG4" s="190"/>
      <c r="CH4" s="190"/>
      <c r="CI4" s="190"/>
      <c r="CJ4" s="190"/>
      <c r="CK4" s="190"/>
      <c r="CL4" s="190"/>
    </row>
    <row r="5" spans="1:90" x14ac:dyDescent="0.25">
      <c r="A5" s="17" t="s">
        <v>2</v>
      </c>
      <c r="B5" s="190">
        <v>7418000000</v>
      </c>
      <c r="C5" s="190">
        <v>7269000000</v>
      </c>
      <c r="D5" s="190">
        <v>39167000000</v>
      </c>
      <c r="E5" s="190">
        <v>51196000000</v>
      </c>
      <c r="F5" s="190">
        <v>0</v>
      </c>
      <c r="G5" s="190">
        <v>0</v>
      </c>
      <c r="H5" s="190">
        <v>0</v>
      </c>
      <c r="I5" s="190">
        <v>0</v>
      </c>
      <c r="J5" s="190">
        <v>0</v>
      </c>
      <c r="K5" s="190">
        <v>0</v>
      </c>
      <c r="L5" s="190">
        <v>0</v>
      </c>
      <c r="M5" s="190">
        <v>0</v>
      </c>
      <c r="N5" s="190">
        <v>0</v>
      </c>
      <c r="O5" s="190">
        <v>0</v>
      </c>
      <c r="P5" s="190">
        <v>0</v>
      </c>
      <c r="Q5" s="190">
        <v>0</v>
      </c>
      <c r="R5" s="190">
        <v>0</v>
      </c>
      <c r="S5" s="190">
        <v>0</v>
      </c>
      <c r="T5" s="190">
        <v>0</v>
      </c>
      <c r="U5" s="190">
        <v>0</v>
      </c>
      <c r="V5" s="190">
        <v>0</v>
      </c>
      <c r="W5" s="190">
        <v>0</v>
      </c>
      <c r="X5" s="190">
        <v>0</v>
      </c>
      <c r="Y5" s="190">
        <v>0</v>
      </c>
      <c r="Z5" s="190">
        <v>0</v>
      </c>
      <c r="AA5" s="190">
        <v>0</v>
      </c>
      <c r="AB5" s="190">
        <v>0</v>
      </c>
      <c r="AC5" s="190">
        <v>0</v>
      </c>
      <c r="AD5" s="190">
        <v>0</v>
      </c>
      <c r="AE5" s="190">
        <v>0</v>
      </c>
      <c r="AF5" s="190">
        <v>0</v>
      </c>
      <c r="AG5" s="190">
        <v>0</v>
      </c>
      <c r="AH5" s="190">
        <v>0</v>
      </c>
      <c r="AI5" s="190">
        <v>0</v>
      </c>
      <c r="AJ5" s="190">
        <v>0</v>
      </c>
      <c r="AK5" s="190">
        <v>0</v>
      </c>
      <c r="AL5" s="190">
        <v>0</v>
      </c>
      <c r="AM5" s="190">
        <v>0</v>
      </c>
      <c r="AN5" s="190">
        <v>0</v>
      </c>
      <c r="AO5" s="190">
        <v>0</v>
      </c>
      <c r="AP5" s="190">
        <v>0</v>
      </c>
      <c r="AQ5" s="190">
        <v>0</v>
      </c>
      <c r="AR5" s="190">
        <v>0</v>
      </c>
      <c r="AS5" s="190">
        <v>0</v>
      </c>
      <c r="AT5" s="190">
        <v>0</v>
      </c>
      <c r="AU5" s="190">
        <v>0</v>
      </c>
      <c r="AV5" s="190">
        <v>0</v>
      </c>
      <c r="AW5" s="190">
        <v>0</v>
      </c>
      <c r="AX5" s="190">
        <v>0</v>
      </c>
      <c r="AY5" s="190">
        <v>0</v>
      </c>
      <c r="AZ5" s="190">
        <v>0</v>
      </c>
      <c r="BA5" s="190">
        <v>0</v>
      </c>
      <c r="BB5" s="190">
        <v>0</v>
      </c>
      <c r="BC5" s="190">
        <v>0</v>
      </c>
      <c r="BD5" s="190">
        <v>0</v>
      </c>
      <c r="BE5" s="190">
        <v>0</v>
      </c>
      <c r="BF5" s="190">
        <v>0</v>
      </c>
      <c r="BG5" s="190">
        <v>0</v>
      </c>
      <c r="BH5" s="190">
        <v>0</v>
      </c>
      <c r="BI5" s="190">
        <v>0</v>
      </c>
      <c r="BJ5" s="190">
        <v>0</v>
      </c>
      <c r="BK5" s="190">
        <v>0</v>
      </c>
      <c r="BL5" s="190">
        <v>0</v>
      </c>
      <c r="BM5" s="190">
        <v>0</v>
      </c>
      <c r="BN5" s="190">
        <v>0</v>
      </c>
      <c r="BO5" s="190">
        <v>0</v>
      </c>
      <c r="BP5" s="190">
        <v>0</v>
      </c>
      <c r="BQ5" s="190">
        <v>0</v>
      </c>
      <c r="BR5" s="190">
        <v>0</v>
      </c>
      <c r="BS5" s="190">
        <v>0</v>
      </c>
      <c r="BT5" s="190">
        <v>0</v>
      </c>
      <c r="BU5" s="190"/>
      <c r="BV5" s="190"/>
      <c r="BW5" s="190"/>
      <c r="BX5" s="190"/>
      <c r="BY5" s="190"/>
      <c r="BZ5" s="190"/>
      <c r="CA5" s="190"/>
      <c r="CB5" s="190"/>
      <c r="CC5" s="190"/>
      <c r="CD5" s="190"/>
      <c r="CE5" s="190"/>
      <c r="CF5" s="190"/>
      <c r="CG5" s="190"/>
      <c r="CH5" s="190"/>
      <c r="CI5" s="190"/>
      <c r="CJ5" s="190"/>
      <c r="CK5" s="190"/>
      <c r="CL5" s="190"/>
    </row>
    <row r="6" spans="1:90" x14ac:dyDescent="0.25">
      <c r="A6" s="17" t="s">
        <v>13</v>
      </c>
      <c r="B6" s="190">
        <v>0</v>
      </c>
      <c r="C6" s="190">
        <v>0</v>
      </c>
      <c r="D6" s="190">
        <v>0</v>
      </c>
      <c r="E6" s="190">
        <v>0</v>
      </c>
      <c r="F6" s="190">
        <v>0</v>
      </c>
      <c r="G6" s="190">
        <v>0</v>
      </c>
      <c r="H6" s="190">
        <v>0</v>
      </c>
      <c r="I6" s="190">
        <v>0</v>
      </c>
      <c r="J6" s="190">
        <v>0</v>
      </c>
      <c r="K6" s="190">
        <v>0</v>
      </c>
      <c r="L6" s="190">
        <v>0</v>
      </c>
      <c r="M6" s="190">
        <v>0</v>
      </c>
      <c r="N6" s="190">
        <v>0</v>
      </c>
      <c r="O6" s="190">
        <v>0</v>
      </c>
      <c r="P6" s="190">
        <v>0</v>
      </c>
      <c r="Q6" s="190">
        <v>0</v>
      </c>
      <c r="R6" s="190">
        <v>0</v>
      </c>
      <c r="S6" s="190">
        <v>0</v>
      </c>
      <c r="T6" s="190">
        <v>0</v>
      </c>
      <c r="U6" s="190">
        <v>0</v>
      </c>
      <c r="V6" s="190">
        <v>0</v>
      </c>
      <c r="W6" s="190">
        <v>0</v>
      </c>
      <c r="X6" s="190">
        <v>0</v>
      </c>
      <c r="Y6" s="190">
        <v>0</v>
      </c>
      <c r="Z6" s="190">
        <v>0</v>
      </c>
      <c r="AA6" s="190">
        <v>0</v>
      </c>
      <c r="AB6" s="190">
        <v>0</v>
      </c>
      <c r="AC6" s="190">
        <v>0</v>
      </c>
      <c r="AD6" s="190">
        <v>0</v>
      </c>
      <c r="AE6" s="190">
        <v>0</v>
      </c>
      <c r="AF6" s="190">
        <v>0</v>
      </c>
      <c r="AG6" s="190">
        <v>0</v>
      </c>
      <c r="AH6" s="190">
        <v>0</v>
      </c>
      <c r="AI6" s="190">
        <v>0</v>
      </c>
      <c r="AJ6" s="190">
        <v>0</v>
      </c>
      <c r="AK6" s="190">
        <v>0</v>
      </c>
      <c r="AL6" s="190">
        <v>0</v>
      </c>
      <c r="AM6" s="190">
        <v>0</v>
      </c>
      <c r="AN6" s="190">
        <v>0</v>
      </c>
      <c r="AO6" s="190">
        <v>0</v>
      </c>
      <c r="AP6" s="190">
        <v>0</v>
      </c>
      <c r="AQ6" s="190">
        <v>0</v>
      </c>
      <c r="AR6" s="190">
        <v>0</v>
      </c>
      <c r="AS6" s="190">
        <v>0</v>
      </c>
      <c r="AT6" s="190">
        <v>0</v>
      </c>
      <c r="AU6" s="190">
        <v>0</v>
      </c>
      <c r="AV6" s="190">
        <v>0</v>
      </c>
      <c r="AW6" s="190">
        <v>0</v>
      </c>
      <c r="AX6" s="190">
        <v>0</v>
      </c>
      <c r="AY6" s="190">
        <v>0</v>
      </c>
      <c r="AZ6" s="190">
        <v>0</v>
      </c>
      <c r="BA6" s="190">
        <v>0</v>
      </c>
      <c r="BB6" s="190">
        <v>0</v>
      </c>
      <c r="BC6" s="190">
        <v>0</v>
      </c>
      <c r="BD6" s="190">
        <v>0</v>
      </c>
      <c r="BE6" s="190">
        <v>0</v>
      </c>
      <c r="BF6" s="190">
        <v>0</v>
      </c>
      <c r="BG6" s="190">
        <v>0</v>
      </c>
      <c r="BH6" s="190">
        <v>0</v>
      </c>
      <c r="BI6" s="190">
        <v>0</v>
      </c>
      <c r="BJ6" s="190">
        <v>0</v>
      </c>
      <c r="BK6" s="190">
        <v>0</v>
      </c>
      <c r="BL6" s="190">
        <v>0</v>
      </c>
      <c r="BM6" s="190">
        <v>0</v>
      </c>
      <c r="BN6" s="190">
        <v>0</v>
      </c>
      <c r="BO6" s="190">
        <v>0</v>
      </c>
      <c r="BP6" s="190">
        <v>0</v>
      </c>
      <c r="BQ6" s="190">
        <v>0</v>
      </c>
      <c r="BR6" s="190">
        <v>0</v>
      </c>
      <c r="BS6" s="190">
        <v>0</v>
      </c>
      <c r="BT6" s="190">
        <v>0</v>
      </c>
      <c r="BU6" s="190"/>
      <c r="BV6" s="190"/>
      <c r="BW6" s="190"/>
      <c r="BX6" s="190"/>
      <c r="BY6" s="190"/>
      <c r="BZ6" s="190"/>
      <c r="CA6" s="190"/>
      <c r="CB6" s="190"/>
      <c r="CC6" s="190"/>
      <c r="CD6" s="190"/>
      <c r="CE6" s="190"/>
      <c r="CF6" s="190"/>
      <c r="CG6" s="190"/>
      <c r="CH6" s="190"/>
      <c r="CI6" s="190"/>
      <c r="CJ6" s="190"/>
      <c r="CK6" s="190"/>
      <c r="CL6" s="190"/>
    </row>
    <row r="7" spans="1:90" x14ac:dyDescent="0.25">
      <c r="A7" s="17" t="s">
        <v>4</v>
      </c>
      <c r="B7" s="190">
        <v>0</v>
      </c>
      <c r="C7" s="190">
        <v>0</v>
      </c>
      <c r="D7" s="190">
        <v>0</v>
      </c>
      <c r="E7" s="190">
        <v>0</v>
      </c>
      <c r="F7" s="190">
        <v>0</v>
      </c>
      <c r="G7" s="190">
        <v>0</v>
      </c>
      <c r="H7" s="190">
        <v>0</v>
      </c>
      <c r="I7" s="190">
        <v>0</v>
      </c>
      <c r="J7" s="190">
        <v>0</v>
      </c>
      <c r="K7" s="190">
        <v>0</v>
      </c>
      <c r="L7" s="190">
        <v>0</v>
      </c>
      <c r="M7" s="190">
        <v>0</v>
      </c>
      <c r="N7" s="190">
        <v>0</v>
      </c>
      <c r="O7" s="190">
        <v>0</v>
      </c>
      <c r="P7" s="190">
        <v>0</v>
      </c>
      <c r="Q7" s="190">
        <v>0</v>
      </c>
      <c r="R7" s="190">
        <v>0</v>
      </c>
      <c r="S7" s="190">
        <v>0</v>
      </c>
      <c r="T7" s="190">
        <v>0</v>
      </c>
      <c r="U7" s="190">
        <v>0</v>
      </c>
      <c r="V7" s="190">
        <v>0</v>
      </c>
      <c r="W7" s="190">
        <v>0</v>
      </c>
      <c r="X7" s="190">
        <v>0</v>
      </c>
      <c r="Y7" s="190">
        <v>0</v>
      </c>
      <c r="Z7" s="190">
        <v>0</v>
      </c>
      <c r="AA7" s="190">
        <v>0</v>
      </c>
      <c r="AB7" s="190">
        <v>0</v>
      </c>
      <c r="AC7" s="190">
        <v>0</v>
      </c>
      <c r="AD7" s="190">
        <v>0</v>
      </c>
      <c r="AE7" s="190">
        <v>0</v>
      </c>
      <c r="AF7" s="190">
        <v>0</v>
      </c>
      <c r="AG7" s="190">
        <v>0</v>
      </c>
      <c r="AH7" s="190">
        <v>0</v>
      </c>
      <c r="AI7" s="190">
        <v>0</v>
      </c>
      <c r="AJ7" s="190">
        <v>0</v>
      </c>
      <c r="AK7" s="190">
        <v>0</v>
      </c>
      <c r="AL7" s="190">
        <v>0</v>
      </c>
      <c r="AM7" s="190">
        <v>0</v>
      </c>
      <c r="AN7" s="190">
        <v>0</v>
      </c>
      <c r="AO7" s="190">
        <v>0</v>
      </c>
      <c r="AP7" s="190">
        <v>0</v>
      </c>
      <c r="AQ7" s="190">
        <v>0</v>
      </c>
      <c r="AR7" s="190">
        <v>0</v>
      </c>
      <c r="AS7" s="190">
        <v>0</v>
      </c>
      <c r="AT7" s="190">
        <v>0</v>
      </c>
      <c r="AU7" s="190">
        <v>0</v>
      </c>
      <c r="AV7" s="190">
        <v>0</v>
      </c>
      <c r="AW7" s="190">
        <v>0</v>
      </c>
      <c r="AX7" s="190">
        <v>0</v>
      </c>
      <c r="AY7" s="190">
        <v>0</v>
      </c>
      <c r="AZ7" s="190">
        <v>0</v>
      </c>
      <c r="BA7" s="190">
        <v>0</v>
      </c>
      <c r="BB7" s="190">
        <v>0</v>
      </c>
      <c r="BC7" s="190">
        <v>0</v>
      </c>
      <c r="BD7" s="190">
        <v>0</v>
      </c>
      <c r="BE7" s="190">
        <v>0</v>
      </c>
      <c r="BF7" s="190">
        <v>0</v>
      </c>
      <c r="BG7" s="190">
        <v>0</v>
      </c>
      <c r="BH7" s="190">
        <v>0</v>
      </c>
      <c r="BI7" s="190">
        <v>0</v>
      </c>
      <c r="BJ7" s="190">
        <v>0</v>
      </c>
      <c r="BK7" s="190">
        <v>0</v>
      </c>
      <c r="BL7" s="190">
        <v>0</v>
      </c>
      <c r="BM7" s="190">
        <v>0</v>
      </c>
      <c r="BN7" s="190">
        <v>0</v>
      </c>
      <c r="BO7" s="190">
        <v>0</v>
      </c>
      <c r="BP7" s="190">
        <v>0</v>
      </c>
      <c r="BQ7" s="190">
        <v>0</v>
      </c>
      <c r="BR7" s="190">
        <v>0</v>
      </c>
      <c r="BS7" s="190">
        <v>0</v>
      </c>
      <c r="BT7" s="190">
        <v>0</v>
      </c>
      <c r="BU7" s="190"/>
      <c r="BV7" s="190"/>
      <c r="BW7" s="190"/>
      <c r="BX7" s="190"/>
      <c r="BY7" s="190"/>
      <c r="BZ7" s="190"/>
      <c r="CA7" s="190"/>
      <c r="CB7" s="190"/>
      <c r="CC7" s="190"/>
      <c r="CD7" s="190"/>
      <c r="CE7" s="190"/>
      <c r="CF7" s="190"/>
      <c r="CG7" s="190"/>
      <c r="CH7" s="190"/>
      <c r="CI7" s="190"/>
      <c r="CJ7" s="190"/>
      <c r="CK7" s="190"/>
      <c r="CL7" s="190"/>
    </row>
    <row r="8" spans="1:90" x14ac:dyDescent="0.25">
      <c r="A8" s="17" t="s">
        <v>5</v>
      </c>
      <c r="B8" s="190">
        <v>0</v>
      </c>
      <c r="C8" s="190">
        <v>0</v>
      </c>
      <c r="D8" s="190">
        <v>0</v>
      </c>
      <c r="E8" s="190">
        <v>1676000000</v>
      </c>
      <c r="F8" s="190">
        <v>11227000000</v>
      </c>
      <c r="G8" s="190">
        <v>11325000000</v>
      </c>
      <c r="H8" s="190">
        <v>11521000000</v>
      </c>
      <c r="I8" s="190">
        <v>11408000000</v>
      </c>
      <c r="J8" s="190">
        <v>11097000000</v>
      </c>
      <c r="K8" s="190">
        <v>11137000000</v>
      </c>
      <c r="L8" s="190">
        <v>10281000000</v>
      </c>
      <c r="M8" s="190">
        <v>10326000000</v>
      </c>
      <c r="N8" s="190">
        <v>1281000000</v>
      </c>
      <c r="O8" s="190">
        <v>1075000000</v>
      </c>
      <c r="P8" s="190">
        <v>1035000000</v>
      </c>
      <c r="Q8" s="190">
        <v>868000000</v>
      </c>
      <c r="R8" s="190">
        <v>1605000000</v>
      </c>
      <c r="S8" s="190">
        <v>0</v>
      </c>
      <c r="T8" s="190">
        <v>0</v>
      </c>
      <c r="U8" s="190">
        <v>0</v>
      </c>
      <c r="V8" s="190">
        <v>0</v>
      </c>
      <c r="W8" s="190">
        <v>0</v>
      </c>
      <c r="X8" s="190">
        <v>0</v>
      </c>
      <c r="Y8" s="190">
        <v>0</v>
      </c>
      <c r="Z8" s="190">
        <v>0</v>
      </c>
      <c r="AA8" s="190">
        <v>0</v>
      </c>
      <c r="AB8" s="190">
        <v>0</v>
      </c>
      <c r="AC8" s="190">
        <v>0</v>
      </c>
      <c r="AD8" s="190">
        <v>0</v>
      </c>
      <c r="AE8" s="190">
        <v>0</v>
      </c>
      <c r="AF8" s="190">
        <v>0</v>
      </c>
      <c r="AG8" s="190">
        <v>0</v>
      </c>
      <c r="AH8" s="190">
        <v>0</v>
      </c>
      <c r="AI8" s="190">
        <v>0</v>
      </c>
      <c r="AJ8" s="190">
        <v>0</v>
      </c>
      <c r="AK8" s="190">
        <v>0</v>
      </c>
      <c r="AL8" s="190">
        <v>0</v>
      </c>
      <c r="AM8" s="190">
        <v>0</v>
      </c>
      <c r="AN8" s="190">
        <v>0</v>
      </c>
      <c r="AO8" s="190">
        <v>0</v>
      </c>
      <c r="AP8" s="190">
        <v>0</v>
      </c>
      <c r="AQ8" s="190">
        <v>0</v>
      </c>
      <c r="AR8" s="190">
        <v>0</v>
      </c>
      <c r="AS8" s="190">
        <v>0</v>
      </c>
      <c r="AT8" s="190">
        <v>0</v>
      </c>
      <c r="AU8" s="190">
        <v>0</v>
      </c>
      <c r="AV8" s="190">
        <v>0</v>
      </c>
      <c r="AW8" s="190">
        <v>0</v>
      </c>
      <c r="AX8" s="190">
        <v>0</v>
      </c>
      <c r="AY8" s="190">
        <v>0</v>
      </c>
      <c r="AZ8" s="190">
        <v>0</v>
      </c>
      <c r="BA8" s="190">
        <v>0</v>
      </c>
      <c r="BB8" s="190">
        <v>0</v>
      </c>
      <c r="BC8" s="190">
        <v>0</v>
      </c>
      <c r="BD8" s="190">
        <v>0</v>
      </c>
      <c r="BE8" s="190">
        <v>0</v>
      </c>
      <c r="BF8" s="190">
        <v>0</v>
      </c>
      <c r="BG8" s="190">
        <v>0</v>
      </c>
      <c r="BH8" s="190">
        <v>0</v>
      </c>
      <c r="BI8" s="190">
        <v>0</v>
      </c>
      <c r="BJ8" s="190">
        <v>0</v>
      </c>
      <c r="BK8" s="190">
        <v>0</v>
      </c>
      <c r="BL8" s="190">
        <v>0</v>
      </c>
      <c r="BM8" s="190">
        <v>0</v>
      </c>
      <c r="BN8" s="190">
        <v>0</v>
      </c>
      <c r="BO8" s="190">
        <v>0</v>
      </c>
      <c r="BP8" s="190">
        <v>0</v>
      </c>
      <c r="BQ8" s="190">
        <v>0</v>
      </c>
      <c r="BR8" s="190">
        <v>0</v>
      </c>
      <c r="BS8" s="190">
        <v>0</v>
      </c>
      <c r="BT8" s="190">
        <v>0</v>
      </c>
      <c r="BU8" s="190"/>
      <c r="BV8" s="190"/>
      <c r="BW8" s="190"/>
      <c r="BX8" s="190"/>
      <c r="BY8" s="190"/>
      <c r="BZ8" s="190"/>
      <c r="CA8" s="190"/>
      <c r="CB8" s="190"/>
      <c r="CC8" s="190"/>
      <c r="CD8" s="190"/>
      <c r="CE8" s="190"/>
      <c r="CF8" s="190"/>
      <c r="CG8" s="190"/>
      <c r="CH8" s="190"/>
      <c r="CI8" s="190"/>
      <c r="CJ8" s="190"/>
      <c r="CK8" s="190"/>
      <c r="CL8" s="190"/>
    </row>
    <row r="9" spans="1:90" x14ac:dyDescent="0.25">
      <c r="A9" s="17" t="s">
        <v>6</v>
      </c>
      <c r="B9" s="190">
        <v>0</v>
      </c>
      <c r="C9" s="190">
        <v>0</v>
      </c>
      <c r="D9" s="190">
        <v>0</v>
      </c>
      <c r="E9" s="190">
        <v>0</v>
      </c>
      <c r="F9" s="190">
        <v>0</v>
      </c>
      <c r="G9" s="190">
        <v>0</v>
      </c>
      <c r="H9" s="190">
        <v>0</v>
      </c>
      <c r="I9" s="190">
        <v>0</v>
      </c>
      <c r="J9" s="190">
        <v>0</v>
      </c>
      <c r="K9" s="190">
        <v>0</v>
      </c>
      <c r="L9" s="190">
        <v>0</v>
      </c>
      <c r="M9" s="190">
        <v>0</v>
      </c>
      <c r="N9" s="190">
        <v>0</v>
      </c>
      <c r="O9" s="190">
        <v>0</v>
      </c>
      <c r="P9" s="190">
        <v>0</v>
      </c>
      <c r="Q9" s="190">
        <v>0</v>
      </c>
      <c r="R9" s="190">
        <v>0</v>
      </c>
      <c r="S9" s="190">
        <v>0</v>
      </c>
      <c r="T9" s="190">
        <v>0</v>
      </c>
      <c r="U9" s="190">
        <v>0</v>
      </c>
      <c r="V9" s="190">
        <v>0</v>
      </c>
      <c r="W9" s="190">
        <v>0</v>
      </c>
      <c r="X9" s="190">
        <v>0</v>
      </c>
      <c r="Y9" s="190">
        <v>0</v>
      </c>
      <c r="Z9" s="190">
        <v>0</v>
      </c>
      <c r="AA9" s="190">
        <v>0</v>
      </c>
      <c r="AB9" s="190">
        <v>0</v>
      </c>
      <c r="AC9" s="190">
        <v>0</v>
      </c>
      <c r="AD9" s="190">
        <v>0</v>
      </c>
      <c r="AE9" s="190">
        <v>0</v>
      </c>
      <c r="AF9" s="190">
        <v>0</v>
      </c>
      <c r="AG9" s="190">
        <v>0</v>
      </c>
      <c r="AH9" s="190">
        <v>0</v>
      </c>
      <c r="AI9" s="190">
        <v>0</v>
      </c>
      <c r="AJ9" s="190">
        <v>0</v>
      </c>
      <c r="AK9" s="190">
        <v>0</v>
      </c>
      <c r="AL9" s="190">
        <v>0</v>
      </c>
      <c r="AM9" s="190">
        <v>0</v>
      </c>
      <c r="AN9" s="190">
        <v>0</v>
      </c>
      <c r="AO9" s="190">
        <v>0</v>
      </c>
      <c r="AP9" s="190">
        <v>0</v>
      </c>
      <c r="AQ9" s="190">
        <v>0</v>
      </c>
      <c r="AR9" s="190">
        <v>0</v>
      </c>
      <c r="AS9" s="190">
        <v>0</v>
      </c>
      <c r="AT9" s="190">
        <v>0</v>
      </c>
      <c r="AU9" s="190">
        <v>0</v>
      </c>
      <c r="AV9" s="190">
        <v>0</v>
      </c>
      <c r="AW9" s="190">
        <v>0</v>
      </c>
      <c r="AX9" s="190">
        <v>0</v>
      </c>
      <c r="AY9" s="190">
        <v>0</v>
      </c>
      <c r="AZ9" s="190">
        <v>0</v>
      </c>
      <c r="BA9" s="190">
        <v>0</v>
      </c>
      <c r="BB9" s="190">
        <v>0</v>
      </c>
      <c r="BC9" s="190">
        <v>0</v>
      </c>
      <c r="BD9" s="190">
        <v>0</v>
      </c>
      <c r="BE9" s="190">
        <v>0</v>
      </c>
      <c r="BF9" s="190">
        <v>0</v>
      </c>
      <c r="BG9" s="190">
        <v>0</v>
      </c>
      <c r="BH9" s="190">
        <v>0</v>
      </c>
      <c r="BI9" s="190">
        <v>0</v>
      </c>
      <c r="BJ9" s="190">
        <v>0</v>
      </c>
      <c r="BK9" s="190">
        <v>0</v>
      </c>
      <c r="BL9" s="190">
        <v>0</v>
      </c>
      <c r="BM9" s="190">
        <v>0</v>
      </c>
      <c r="BN9" s="190">
        <v>0</v>
      </c>
      <c r="BO9" s="190">
        <v>0</v>
      </c>
      <c r="BP9" s="190">
        <v>0</v>
      </c>
      <c r="BQ9" s="190">
        <v>0</v>
      </c>
      <c r="BR9" s="190">
        <v>0</v>
      </c>
      <c r="BS9" s="190">
        <v>0</v>
      </c>
      <c r="BT9" s="190">
        <v>0</v>
      </c>
      <c r="BU9" s="190"/>
      <c r="BV9" s="190"/>
      <c r="BW9" s="190"/>
      <c r="BX9" s="190"/>
      <c r="BY9" s="190"/>
      <c r="BZ9" s="190"/>
      <c r="CA9" s="190"/>
      <c r="CB9" s="190"/>
      <c r="CC9" s="190"/>
      <c r="CD9" s="190"/>
      <c r="CE9" s="190"/>
      <c r="CF9" s="190"/>
      <c r="CG9" s="190"/>
      <c r="CH9" s="190"/>
      <c r="CI9" s="190"/>
      <c r="CJ9" s="190"/>
      <c r="CK9" s="190"/>
      <c r="CL9" s="190"/>
    </row>
    <row r="10" spans="1:90" x14ac:dyDescent="0.25">
      <c r="A10" s="19" t="s">
        <v>7</v>
      </c>
      <c r="B10" s="190">
        <v>0</v>
      </c>
      <c r="C10" s="190">
        <v>0</v>
      </c>
      <c r="D10" s="190">
        <v>0</v>
      </c>
      <c r="E10" s="190">
        <v>0</v>
      </c>
      <c r="F10" s="190">
        <v>0</v>
      </c>
      <c r="G10" s="190">
        <v>0</v>
      </c>
      <c r="H10" s="190">
        <v>0</v>
      </c>
      <c r="I10" s="190">
        <v>0</v>
      </c>
      <c r="J10" s="190">
        <v>0</v>
      </c>
      <c r="K10" s="190">
        <v>0</v>
      </c>
      <c r="L10" s="190">
        <v>0</v>
      </c>
      <c r="M10" s="190">
        <v>0</v>
      </c>
      <c r="N10" s="190">
        <v>0</v>
      </c>
      <c r="O10" s="190">
        <v>0</v>
      </c>
      <c r="P10" s="190">
        <v>0</v>
      </c>
      <c r="Q10" s="190">
        <v>0</v>
      </c>
      <c r="R10" s="190">
        <v>0</v>
      </c>
      <c r="S10" s="190">
        <v>0</v>
      </c>
      <c r="T10" s="190">
        <v>0</v>
      </c>
      <c r="U10" s="190">
        <v>0</v>
      </c>
      <c r="V10" s="190">
        <v>0</v>
      </c>
      <c r="W10" s="190">
        <v>0</v>
      </c>
      <c r="X10" s="190">
        <v>0</v>
      </c>
      <c r="Y10" s="190">
        <v>0</v>
      </c>
      <c r="Z10" s="190">
        <v>0</v>
      </c>
      <c r="AA10" s="190">
        <v>0</v>
      </c>
      <c r="AB10" s="190">
        <v>0</v>
      </c>
      <c r="AC10" s="190">
        <v>0</v>
      </c>
      <c r="AD10" s="190">
        <v>0</v>
      </c>
      <c r="AE10" s="190">
        <v>0</v>
      </c>
      <c r="AF10" s="190">
        <v>0</v>
      </c>
      <c r="AG10" s="190">
        <v>0</v>
      </c>
      <c r="AH10" s="190">
        <v>0</v>
      </c>
      <c r="AI10" s="190">
        <v>0</v>
      </c>
      <c r="AJ10" s="190">
        <v>0</v>
      </c>
      <c r="AK10" s="190">
        <v>0</v>
      </c>
      <c r="AL10" s="190">
        <v>0</v>
      </c>
      <c r="AM10" s="190">
        <v>0</v>
      </c>
      <c r="AN10" s="190">
        <v>0</v>
      </c>
      <c r="AO10" s="190">
        <v>0</v>
      </c>
      <c r="AP10" s="190">
        <v>0</v>
      </c>
      <c r="AQ10" s="190">
        <v>0</v>
      </c>
      <c r="AR10" s="190">
        <v>0</v>
      </c>
      <c r="AS10" s="190">
        <v>0</v>
      </c>
      <c r="AT10" s="190">
        <v>0</v>
      </c>
      <c r="AU10" s="190">
        <v>0</v>
      </c>
      <c r="AV10" s="190">
        <v>0</v>
      </c>
      <c r="AW10" s="190">
        <v>0</v>
      </c>
      <c r="AX10" s="190">
        <v>0</v>
      </c>
      <c r="AY10" s="190">
        <v>0</v>
      </c>
      <c r="AZ10" s="190">
        <v>0</v>
      </c>
      <c r="BA10" s="190">
        <v>0</v>
      </c>
      <c r="BB10" s="190">
        <v>0</v>
      </c>
      <c r="BC10" s="190">
        <v>0</v>
      </c>
      <c r="BD10" s="190">
        <v>0</v>
      </c>
      <c r="BE10" s="190">
        <v>0</v>
      </c>
      <c r="BF10" s="190">
        <v>0</v>
      </c>
      <c r="BG10" s="190">
        <v>0</v>
      </c>
      <c r="BH10" s="190">
        <v>0</v>
      </c>
      <c r="BI10" s="190">
        <v>0</v>
      </c>
      <c r="BJ10" s="190">
        <v>0</v>
      </c>
      <c r="BK10" s="190">
        <v>0</v>
      </c>
      <c r="BL10" s="190">
        <v>0</v>
      </c>
      <c r="BM10" s="190">
        <v>0</v>
      </c>
      <c r="BN10" s="190">
        <v>0</v>
      </c>
      <c r="BO10" s="190">
        <v>0</v>
      </c>
      <c r="BP10" s="190">
        <v>0</v>
      </c>
      <c r="BQ10" s="190">
        <v>0</v>
      </c>
      <c r="BR10" s="190">
        <v>0</v>
      </c>
      <c r="BS10" s="190">
        <v>0</v>
      </c>
      <c r="BT10" s="190">
        <v>0</v>
      </c>
      <c r="BU10" s="190"/>
      <c r="BV10" s="190"/>
      <c r="BW10" s="190"/>
      <c r="BX10" s="190"/>
      <c r="BY10" s="190"/>
      <c r="BZ10" s="190"/>
      <c r="CA10" s="190"/>
      <c r="CB10" s="190"/>
      <c r="CC10" s="190"/>
      <c r="CD10" s="190"/>
      <c r="CE10" s="190"/>
      <c r="CF10" s="190"/>
      <c r="CG10" s="190"/>
      <c r="CH10" s="190"/>
      <c r="CI10" s="190"/>
      <c r="CJ10" s="190"/>
      <c r="CK10" s="190"/>
      <c r="CL10" s="190"/>
    </row>
    <row r="11" spans="1:90" x14ac:dyDescent="0.25">
      <c r="A11" s="17" t="s">
        <v>8</v>
      </c>
      <c r="B11" s="190">
        <v>271000000</v>
      </c>
      <c r="C11" s="190">
        <v>0</v>
      </c>
      <c r="D11" s="190">
        <v>0</v>
      </c>
      <c r="E11" s="190">
        <v>0</v>
      </c>
      <c r="F11" s="190">
        <v>0</v>
      </c>
      <c r="G11" s="190">
        <v>0</v>
      </c>
      <c r="H11" s="190">
        <v>0</v>
      </c>
      <c r="I11" s="190">
        <v>0</v>
      </c>
      <c r="J11" s="190">
        <v>0</v>
      </c>
      <c r="K11" s="190">
        <v>0</v>
      </c>
      <c r="L11" s="190">
        <v>0</v>
      </c>
      <c r="M11" s="190">
        <v>0</v>
      </c>
      <c r="N11" s="190">
        <v>0</v>
      </c>
      <c r="O11" s="190">
        <v>0</v>
      </c>
      <c r="P11" s="190">
        <v>0</v>
      </c>
      <c r="Q11" s="190">
        <v>0</v>
      </c>
      <c r="R11" s="190">
        <v>0</v>
      </c>
      <c r="S11" s="190">
        <v>0</v>
      </c>
      <c r="T11" s="190">
        <v>0</v>
      </c>
      <c r="U11" s="190">
        <v>0</v>
      </c>
      <c r="V11" s="190">
        <v>0</v>
      </c>
      <c r="W11" s="190">
        <v>0</v>
      </c>
      <c r="X11" s="190">
        <v>0</v>
      </c>
      <c r="Y11" s="190">
        <v>0</v>
      </c>
      <c r="Z11" s="190">
        <v>0</v>
      </c>
      <c r="AA11" s="190">
        <v>0</v>
      </c>
      <c r="AB11" s="190">
        <v>0</v>
      </c>
      <c r="AC11" s="190">
        <v>0</v>
      </c>
      <c r="AD11" s="190">
        <v>0</v>
      </c>
      <c r="AE11" s="190">
        <v>0</v>
      </c>
      <c r="AF11" s="190">
        <v>0</v>
      </c>
      <c r="AG11" s="190">
        <v>0</v>
      </c>
      <c r="AH11" s="190">
        <v>0</v>
      </c>
      <c r="AI11" s="190">
        <v>0</v>
      </c>
      <c r="AJ11" s="190">
        <v>0</v>
      </c>
      <c r="AK11" s="190">
        <v>0</v>
      </c>
      <c r="AL11" s="190">
        <v>0</v>
      </c>
      <c r="AM11" s="190">
        <v>0</v>
      </c>
      <c r="AN11" s="190">
        <v>0</v>
      </c>
      <c r="AO11" s="190">
        <v>0</v>
      </c>
      <c r="AP11" s="190">
        <v>0</v>
      </c>
      <c r="AQ11" s="190">
        <v>0</v>
      </c>
      <c r="AR11" s="190">
        <v>0</v>
      </c>
      <c r="AS11" s="190">
        <v>0</v>
      </c>
      <c r="AT11" s="190">
        <v>0</v>
      </c>
      <c r="AU11" s="190">
        <v>0</v>
      </c>
      <c r="AV11" s="190">
        <v>0</v>
      </c>
      <c r="AW11" s="190">
        <v>0</v>
      </c>
      <c r="AX11" s="190">
        <v>0</v>
      </c>
      <c r="AY11" s="190">
        <v>0</v>
      </c>
      <c r="AZ11" s="190">
        <v>0</v>
      </c>
      <c r="BA11" s="190">
        <v>0</v>
      </c>
      <c r="BB11" s="190">
        <v>0</v>
      </c>
      <c r="BC11" s="190">
        <v>0</v>
      </c>
      <c r="BD11" s="190">
        <v>0</v>
      </c>
      <c r="BE11" s="190">
        <v>0</v>
      </c>
      <c r="BF11" s="190">
        <v>0</v>
      </c>
      <c r="BG11" s="190">
        <v>0</v>
      </c>
      <c r="BH11" s="190">
        <v>0</v>
      </c>
      <c r="BI11" s="190">
        <v>0</v>
      </c>
      <c r="BJ11" s="190">
        <v>0</v>
      </c>
      <c r="BK11" s="190">
        <v>0</v>
      </c>
      <c r="BL11" s="190">
        <v>0</v>
      </c>
      <c r="BM11" s="190">
        <v>0</v>
      </c>
      <c r="BN11" s="190">
        <v>0</v>
      </c>
      <c r="BO11" s="190">
        <v>0</v>
      </c>
      <c r="BP11" s="190">
        <v>0</v>
      </c>
      <c r="BQ11" s="190">
        <v>0</v>
      </c>
      <c r="BR11" s="190">
        <v>0</v>
      </c>
      <c r="BS11" s="190">
        <v>0</v>
      </c>
      <c r="BT11" s="190">
        <v>0</v>
      </c>
      <c r="BU11" s="190"/>
      <c r="BV11" s="190"/>
      <c r="BW11" s="190"/>
      <c r="BX11" s="190"/>
      <c r="BY11" s="190"/>
      <c r="BZ11" s="190"/>
      <c r="CA11" s="190"/>
      <c r="CB11" s="190"/>
      <c r="CC11" s="190"/>
      <c r="CD11" s="190"/>
      <c r="CE11" s="190"/>
      <c r="CF11" s="190"/>
      <c r="CG11" s="190"/>
      <c r="CH11" s="190"/>
      <c r="CI11" s="190"/>
      <c r="CJ11" s="190"/>
      <c r="CK11" s="190"/>
      <c r="CL11" s="190"/>
    </row>
    <row r="12" spans="1:90" x14ac:dyDescent="0.25">
      <c r="A12" s="17" t="s">
        <v>9</v>
      </c>
      <c r="B12" s="190">
        <v>0</v>
      </c>
      <c r="C12" s="190">
        <v>0</v>
      </c>
      <c r="D12" s="190">
        <v>0</v>
      </c>
      <c r="E12" s="190">
        <v>0</v>
      </c>
      <c r="F12" s="190">
        <v>0</v>
      </c>
      <c r="G12" s="190">
        <v>0</v>
      </c>
      <c r="H12" s="190">
        <v>0</v>
      </c>
      <c r="I12" s="190">
        <v>0</v>
      </c>
      <c r="J12" s="190">
        <v>0</v>
      </c>
      <c r="K12" s="190">
        <v>0</v>
      </c>
      <c r="L12" s="190">
        <v>0</v>
      </c>
      <c r="M12" s="190">
        <v>0</v>
      </c>
      <c r="N12" s="190">
        <v>0</v>
      </c>
      <c r="O12" s="190">
        <v>0</v>
      </c>
      <c r="P12" s="190">
        <v>0</v>
      </c>
      <c r="Q12" s="190">
        <v>0</v>
      </c>
      <c r="R12" s="190">
        <v>0</v>
      </c>
      <c r="S12" s="190">
        <v>0</v>
      </c>
      <c r="T12" s="190">
        <v>0</v>
      </c>
      <c r="U12" s="190">
        <v>0</v>
      </c>
      <c r="V12" s="190">
        <v>0</v>
      </c>
      <c r="W12" s="190">
        <v>0</v>
      </c>
      <c r="X12" s="190">
        <v>0</v>
      </c>
      <c r="Y12" s="190">
        <v>0</v>
      </c>
      <c r="Z12" s="190">
        <v>0</v>
      </c>
      <c r="AA12" s="190">
        <v>0</v>
      </c>
      <c r="AB12" s="190">
        <v>0</v>
      </c>
      <c r="AC12" s="190">
        <v>0</v>
      </c>
      <c r="AD12" s="190">
        <v>0</v>
      </c>
      <c r="AE12" s="190">
        <v>0</v>
      </c>
      <c r="AF12" s="190">
        <v>0</v>
      </c>
      <c r="AG12" s="190">
        <v>0</v>
      </c>
      <c r="AH12" s="190">
        <v>0</v>
      </c>
      <c r="AI12" s="190">
        <v>0</v>
      </c>
      <c r="AJ12" s="190">
        <v>0</v>
      </c>
      <c r="AK12" s="190">
        <v>0</v>
      </c>
      <c r="AL12" s="190">
        <v>0</v>
      </c>
      <c r="AM12" s="190">
        <v>0</v>
      </c>
      <c r="AN12" s="190">
        <v>0</v>
      </c>
      <c r="AO12" s="190">
        <v>0</v>
      </c>
      <c r="AP12" s="190">
        <v>0</v>
      </c>
      <c r="AQ12" s="190">
        <v>0</v>
      </c>
      <c r="AR12" s="190">
        <v>0</v>
      </c>
      <c r="AS12" s="190">
        <v>0</v>
      </c>
      <c r="AT12" s="190">
        <v>0</v>
      </c>
      <c r="AU12" s="190">
        <v>0</v>
      </c>
      <c r="AV12" s="190">
        <v>0</v>
      </c>
      <c r="AW12" s="190">
        <v>0</v>
      </c>
      <c r="AX12" s="190">
        <v>0</v>
      </c>
      <c r="AY12" s="190">
        <v>0</v>
      </c>
      <c r="AZ12" s="190">
        <v>0</v>
      </c>
      <c r="BA12" s="190">
        <v>0</v>
      </c>
      <c r="BB12" s="190">
        <v>0</v>
      </c>
      <c r="BC12" s="190">
        <v>0</v>
      </c>
      <c r="BD12" s="190">
        <v>0</v>
      </c>
      <c r="BE12" s="190">
        <v>0</v>
      </c>
      <c r="BF12" s="190">
        <v>0</v>
      </c>
      <c r="BG12" s="190">
        <v>0</v>
      </c>
      <c r="BH12" s="190">
        <v>0</v>
      </c>
      <c r="BI12" s="190">
        <v>0</v>
      </c>
      <c r="BJ12" s="190">
        <v>0</v>
      </c>
      <c r="BK12" s="190">
        <v>0</v>
      </c>
      <c r="BL12" s="190">
        <v>0</v>
      </c>
      <c r="BM12" s="190">
        <v>0</v>
      </c>
      <c r="BN12" s="190">
        <v>0</v>
      </c>
      <c r="BO12" s="190">
        <v>0</v>
      </c>
      <c r="BP12" s="190">
        <v>0</v>
      </c>
      <c r="BQ12" s="190">
        <v>0</v>
      </c>
      <c r="BR12" s="190">
        <v>0</v>
      </c>
      <c r="BS12" s="190">
        <v>0</v>
      </c>
      <c r="BT12" s="190">
        <v>0</v>
      </c>
      <c r="BU12" s="190"/>
      <c r="BV12" s="190"/>
      <c r="BW12" s="190"/>
      <c r="BX12" s="190"/>
      <c r="BY12" s="190"/>
      <c r="BZ12" s="190"/>
      <c r="CA12" s="190"/>
      <c r="CB12" s="190"/>
      <c r="CC12" s="190"/>
      <c r="CD12" s="190"/>
      <c r="CE12" s="190"/>
      <c r="CF12" s="190"/>
      <c r="CG12" s="190"/>
      <c r="CH12" s="190"/>
      <c r="CI12" s="190"/>
      <c r="CJ12" s="190"/>
      <c r="CK12" s="190"/>
      <c r="CL12" s="190"/>
    </row>
    <row r="13" spans="1:90" x14ac:dyDescent="0.25">
      <c r="A13" s="17" t="s">
        <v>10</v>
      </c>
      <c r="B13" s="190">
        <v>1340000000</v>
      </c>
      <c r="C13" s="190">
        <v>0</v>
      </c>
      <c r="D13" s="190">
        <v>0</v>
      </c>
      <c r="E13" s="190">
        <v>0</v>
      </c>
      <c r="F13" s="190">
        <v>0</v>
      </c>
      <c r="G13" s="190">
        <v>0</v>
      </c>
      <c r="H13" s="190">
        <v>0</v>
      </c>
      <c r="I13" s="190">
        <v>0</v>
      </c>
      <c r="J13" s="190">
        <v>0</v>
      </c>
      <c r="K13" s="190">
        <v>0</v>
      </c>
      <c r="L13" s="190">
        <v>0</v>
      </c>
      <c r="M13" s="190">
        <v>0</v>
      </c>
      <c r="N13" s="190">
        <v>0</v>
      </c>
      <c r="O13" s="190">
        <v>0</v>
      </c>
      <c r="P13" s="190">
        <v>0</v>
      </c>
      <c r="Q13" s="190">
        <v>0</v>
      </c>
      <c r="R13" s="190">
        <v>0</v>
      </c>
      <c r="S13" s="190">
        <v>0</v>
      </c>
      <c r="T13" s="190">
        <v>0</v>
      </c>
      <c r="U13" s="190">
        <v>0</v>
      </c>
      <c r="V13" s="190">
        <v>0</v>
      </c>
      <c r="W13" s="190">
        <v>0</v>
      </c>
      <c r="X13" s="190">
        <v>0</v>
      </c>
      <c r="Y13" s="190">
        <v>0</v>
      </c>
      <c r="Z13" s="190">
        <v>0</v>
      </c>
      <c r="AA13" s="190">
        <v>0</v>
      </c>
      <c r="AB13" s="190">
        <v>0</v>
      </c>
      <c r="AC13" s="190">
        <v>0</v>
      </c>
      <c r="AD13" s="190">
        <v>0</v>
      </c>
      <c r="AE13" s="190">
        <v>0</v>
      </c>
      <c r="AF13" s="190">
        <v>0</v>
      </c>
      <c r="AG13" s="190">
        <v>0</v>
      </c>
      <c r="AH13" s="190">
        <v>0</v>
      </c>
      <c r="AI13" s="190">
        <v>0</v>
      </c>
      <c r="AJ13" s="190">
        <v>0</v>
      </c>
      <c r="AK13" s="190">
        <v>0</v>
      </c>
      <c r="AL13" s="190">
        <v>0</v>
      </c>
      <c r="AM13" s="190">
        <v>0</v>
      </c>
      <c r="AN13" s="190">
        <v>0</v>
      </c>
      <c r="AO13" s="190">
        <v>0</v>
      </c>
      <c r="AP13" s="190">
        <v>0</v>
      </c>
      <c r="AQ13" s="190">
        <v>0</v>
      </c>
      <c r="AR13" s="190">
        <v>0</v>
      </c>
      <c r="AS13" s="190">
        <v>0</v>
      </c>
      <c r="AT13" s="190">
        <v>0</v>
      </c>
      <c r="AU13" s="190">
        <v>0</v>
      </c>
      <c r="AV13" s="190">
        <v>0</v>
      </c>
      <c r="AW13" s="190">
        <v>0</v>
      </c>
      <c r="AX13" s="190">
        <v>0</v>
      </c>
      <c r="AY13" s="190">
        <v>0</v>
      </c>
      <c r="AZ13" s="190">
        <v>0</v>
      </c>
      <c r="BA13" s="190">
        <v>0</v>
      </c>
      <c r="BB13" s="190">
        <v>0</v>
      </c>
      <c r="BC13" s="190">
        <v>0</v>
      </c>
      <c r="BD13" s="190">
        <v>0</v>
      </c>
      <c r="BE13" s="190">
        <v>0</v>
      </c>
      <c r="BF13" s="190">
        <v>0</v>
      </c>
      <c r="BG13" s="190">
        <v>0</v>
      </c>
      <c r="BH13" s="190">
        <v>0</v>
      </c>
      <c r="BI13" s="190">
        <v>0</v>
      </c>
      <c r="BJ13" s="190">
        <v>0</v>
      </c>
      <c r="BK13" s="190">
        <v>0</v>
      </c>
      <c r="BL13" s="190">
        <v>0</v>
      </c>
      <c r="BM13" s="190">
        <v>0</v>
      </c>
      <c r="BN13" s="190">
        <v>1000000</v>
      </c>
      <c r="BO13" s="190">
        <v>2000000</v>
      </c>
      <c r="BP13" s="190">
        <v>3000000</v>
      </c>
      <c r="BQ13" s="190">
        <v>16000000</v>
      </c>
      <c r="BR13" s="190">
        <v>32000000</v>
      </c>
      <c r="BS13" s="190">
        <v>70000000</v>
      </c>
      <c r="BT13" s="190">
        <v>0</v>
      </c>
      <c r="BU13" s="190"/>
      <c r="BV13" s="190"/>
      <c r="BW13" s="190"/>
      <c r="BX13" s="190"/>
      <c r="BY13" s="190"/>
      <c r="BZ13" s="190"/>
      <c r="CA13" s="190"/>
      <c r="CB13" s="190"/>
      <c r="CC13" s="190"/>
      <c r="CD13" s="190"/>
      <c r="CE13" s="190"/>
      <c r="CF13" s="190"/>
      <c r="CG13" s="190"/>
      <c r="CH13" s="190"/>
      <c r="CI13" s="190"/>
      <c r="CJ13" s="190"/>
      <c r="CK13" s="190"/>
      <c r="CL13" s="190"/>
    </row>
    <row r="14" spans="1:90" hidden="1" x14ac:dyDescent="0.25">
      <c r="B14" s="26"/>
      <c r="C14" s="26"/>
      <c r="D14" s="26"/>
      <c r="E14" s="26"/>
      <c r="F14" s="26"/>
      <c r="G14" s="26"/>
      <c r="H14" s="26"/>
      <c r="I14" s="26"/>
      <c r="J14" s="26"/>
      <c r="K14" s="26"/>
      <c r="L14" s="23"/>
    </row>
    <row r="15" spans="1:90" hidden="1" x14ac:dyDescent="0.25">
      <c r="B15" s="26"/>
      <c r="C15" s="26"/>
      <c r="D15" s="26"/>
      <c r="E15" s="26"/>
      <c r="F15" s="26"/>
      <c r="G15" s="26"/>
      <c r="H15" s="26"/>
      <c r="I15" s="26"/>
      <c r="J15" s="26"/>
      <c r="K15" s="26"/>
      <c r="L15" s="23"/>
    </row>
    <row r="16" spans="1:90" hidden="1" x14ac:dyDescent="0.25">
      <c r="B16" s="26"/>
      <c r="C16" s="26"/>
      <c r="D16" s="26"/>
      <c r="E16" s="26"/>
      <c r="F16" s="26"/>
      <c r="G16" s="26"/>
      <c r="H16" s="26"/>
      <c r="I16" s="26"/>
      <c r="J16" s="26"/>
      <c r="K16" s="26"/>
      <c r="L16" s="23"/>
    </row>
    <row r="17" spans="1:90" s="5" customFormat="1" x14ac:dyDescent="0.25">
      <c r="A17" s="121" t="s">
        <v>11</v>
      </c>
      <c r="B17" s="33">
        <f>SUM(B4:B13)</f>
        <v>237967000000</v>
      </c>
      <c r="C17" s="33">
        <f t="shared" ref="C17:BN17" si="0">SUM(C4:C13)</f>
        <v>212422000000</v>
      </c>
      <c r="D17" s="33">
        <f t="shared" si="0"/>
        <v>212807000000</v>
      </c>
      <c r="E17" s="33">
        <f t="shared" si="0"/>
        <v>217876000000</v>
      </c>
      <c r="F17" s="33">
        <f t="shared" si="0"/>
        <v>173130000000</v>
      </c>
      <c r="G17" s="33">
        <f t="shared" si="0"/>
        <v>172147000000</v>
      </c>
      <c r="H17" s="33">
        <f t="shared" si="0"/>
        <v>146571000000</v>
      </c>
      <c r="I17" s="33">
        <f t="shared" si="0"/>
        <v>153905000000</v>
      </c>
      <c r="J17" s="33">
        <f t="shared" si="0"/>
        <v>97480000000</v>
      </c>
      <c r="K17" s="33">
        <f t="shared" si="0"/>
        <v>88123000000</v>
      </c>
      <c r="L17" s="33">
        <f t="shared" si="0"/>
        <v>74170000000</v>
      </c>
      <c r="M17" s="33">
        <f t="shared" si="0"/>
        <v>78883000000</v>
      </c>
      <c r="N17" s="33">
        <f t="shared" si="0"/>
        <v>58454000000</v>
      </c>
      <c r="O17" s="33">
        <f t="shared" si="0"/>
        <v>75278000000</v>
      </c>
      <c r="P17" s="33">
        <f t="shared" si="0"/>
        <v>74981000000</v>
      </c>
      <c r="Q17" s="33">
        <f t="shared" si="0"/>
        <v>10968000000</v>
      </c>
      <c r="R17" s="33">
        <f t="shared" si="0"/>
        <v>22524000000</v>
      </c>
      <c r="S17" s="33">
        <f t="shared" si="0"/>
        <v>14346000000</v>
      </c>
      <c r="T17" s="33">
        <f t="shared" si="0"/>
        <v>20771000000</v>
      </c>
      <c r="U17" s="33">
        <f t="shared" si="0"/>
        <v>15101000000</v>
      </c>
      <c r="V17" s="33">
        <f t="shared" si="0"/>
        <v>12096000000</v>
      </c>
      <c r="W17" s="33">
        <f t="shared" si="0"/>
        <v>11385000000</v>
      </c>
      <c r="X17" s="33">
        <f t="shared" si="0"/>
        <v>14788000000</v>
      </c>
      <c r="Y17" s="33">
        <f t="shared" si="0"/>
        <v>10864000000</v>
      </c>
      <c r="Z17" s="33">
        <f t="shared" si="0"/>
        <v>14855000000</v>
      </c>
      <c r="AA17" s="33">
        <f t="shared" si="0"/>
        <v>13960000000</v>
      </c>
      <c r="AB17" s="33">
        <f t="shared" si="0"/>
        <v>24609000000</v>
      </c>
      <c r="AC17" s="33">
        <f t="shared" si="0"/>
        <v>25197000000</v>
      </c>
      <c r="AD17" s="33">
        <f t="shared" si="0"/>
        <v>27189000000</v>
      </c>
      <c r="AE17" s="33">
        <f t="shared" si="0"/>
        <v>14186000000</v>
      </c>
      <c r="AF17" s="33">
        <f t="shared" si="0"/>
        <v>27007000000</v>
      </c>
      <c r="AG17" s="33">
        <f t="shared" si="0"/>
        <v>18140000000</v>
      </c>
      <c r="AH17" s="33">
        <f t="shared" si="0"/>
        <v>11562000000</v>
      </c>
      <c r="AI17" s="33">
        <f t="shared" si="0"/>
        <v>16695000000</v>
      </c>
      <c r="AJ17" s="33">
        <f t="shared" si="0"/>
        <v>11361000000</v>
      </c>
      <c r="AK17" s="33">
        <f t="shared" si="0"/>
        <v>9986000000</v>
      </c>
      <c r="AL17" s="33">
        <f t="shared" si="0"/>
        <v>8601000000</v>
      </c>
      <c r="AM17" s="33">
        <f t="shared" si="0"/>
        <v>9082000000</v>
      </c>
      <c r="AN17" s="33">
        <f t="shared" si="0"/>
        <v>12227000000</v>
      </c>
      <c r="AO17" s="33">
        <f t="shared" si="0"/>
        <v>7700000000</v>
      </c>
      <c r="AP17" s="33">
        <f t="shared" si="0"/>
        <v>11605000000</v>
      </c>
      <c r="AQ17" s="33">
        <f t="shared" si="0"/>
        <v>9774000000</v>
      </c>
      <c r="AR17" s="33">
        <f t="shared" si="0"/>
        <v>28397000000</v>
      </c>
      <c r="AS17" s="33">
        <f t="shared" si="0"/>
        <v>8364000000</v>
      </c>
      <c r="AT17" s="33">
        <f t="shared" si="0"/>
        <v>8908000000</v>
      </c>
      <c r="AU17" s="33">
        <f t="shared" si="0"/>
        <v>12989000000</v>
      </c>
      <c r="AV17" s="33">
        <f t="shared" si="0"/>
        <v>15943000000</v>
      </c>
      <c r="AW17" s="33">
        <f t="shared" si="0"/>
        <v>8723000000</v>
      </c>
      <c r="AX17" s="33">
        <f t="shared" si="0"/>
        <v>10590000000</v>
      </c>
      <c r="AY17" s="33">
        <f t="shared" si="0"/>
        <v>10777000000</v>
      </c>
      <c r="AZ17" s="33">
        <f t="shared" si="0"/>
        <v>13089000000</v>
      </c>
      <c r="BA17" s="33">
        <f t="shared" si="0"/>
        <v>14747000000</v>
      </c>
      <c r="BB17" s="33">
        <f t="shared" si="0"/>
        <v>16567000000</v>
      </c>
      <c r="BC17" s="33">
        <f t="shared" si="0"/>
        <v>15322000000</v>
      </c>
      <c r="BD17" s="33">
        <f t="shared" si="0"/>
        <v>19884000000</v>
      </c>
      <c r="BE17" s="33">
        <f t="shared" si="0"/>
        <v>18280000000</v>
      </c>
      <c r="BF17" s="33">
        <f t="shared" si="0"/>
        <v>17324000000</v>
      </c>
      <c r="BG17" s="33">
        <f t="shared" si="0"/>
        <v>17028000000</v>
      </c>
      <c r="BH17" s="33">
        <f t="shared" si="0"/>
        <v>20367000000</v>
      </c>
      <c r="BI17" s="33">
        <f t="shared" si="0"/>
        <v>17405000000</v>
      </c>
      <c r="BJ17" s="33">
        <f t="shared" si="0"/>
        <v>18630000000</v>
      </c>
      <c r="BK17" s="33">
        <f t="shared" si="0"/>
        <v>21844000000</v>
      </c>
      <c r="BL17" s="33">
        <f t="shared" si="0"/>
        <v>22282000000</v>
      </c>
      <c r="BM17" s="33">
        <f t="shared" si="0"/>
        <v>18712000000</v>
      </c>
      <c r="BN17" s="33">
        <f t="shared" si="0"/>
        <v>19233000000</v>
      </c>
      <c r="BO17" s="33">
        <f t="shared" ref="BO17:CK17" si="1">SUM(BO4:BO13)</f>
        <v>21212000000</v>
      </c>
      <c r="BP17" s="33">
        <f t="shared" si="1"/>
        <v>20986000000</v>
      </c>
      <c r="BQ17" s="33">
        <f t="shared" si="1"/>
        <v>22870000000</v>
      </c>
      <c r="BR17" s="33">
        <f t="shared" si="1"/>
        <v>39991000000</v>
      </c>
      <c r="BS17" s="33">
        <f t="shared" si="1"/>
        <v>41204000000</v>
      </c>
      <c r="BT17" s="33">
        <f t="shared" si="1"/>
        <v>0</v>
      </c>
      <c r="BU17" s="33">
        <f t="shared" si="1"/>
        <v>0</v>
      </c>
      <c r="BV17" s="33">
        <f t="shared" si="1"/>
        <v>0</v>
      </c>
      <c r="BW17" s="33">
        <f t="shared" si="1"/>
        <v>0</v>
      </c>
      <c r="BX17" s="33">
        <f t="shared" si="1"/>
        <v>0</v>
      </c>
      <c r="BY17" s="33">
        <f t="shared" si="1"/>
        <v>0</v>
      </c>
      <c r="BZ17" s="33">
        <f t="shared" si="1"/>
        <v>0</v>
      </c>
      <c r="CA17" s="33">
        <f t="shared" si="1"/>
        <v>0</v>
      </c>
      <c r="CB17" s="33">
        <f t="shared" si="1"/>
        <v>0</v>
      </c>
      <c r="CC17" s="33">
        <f t="shared" si="1"/>
        <v>0</v>
      </c>
      <c r="CD17" s="33">
        <f t="shared" si="1"/>
        <v>0</v>
      </c>
      <c r="CE17" s="33">
        <f t="shared" si="1"/>
        <v>0</v>
      </c>
      <c r="CF17" s="33">
        <f t="shared" si="1"/>
        <v>0</v>
      </c>
      <c r="CG17" s="33">
        <f t="shared" si="1"/>
        <v>0</v>
      </c>
      <c r="CH17" s="33">
        <f t="shared" si="1"/>
        <v>0</v>
      </c>
      <c r="CI17" s="33">
        <f t="shared" si="1"/>
        <v>0</v>
      </c>
      <c r="CJ17" s="33">
        <f t="shared" si="1"/>
        <v>0</v>
      </c>
      <c r="CK17" s="33">
        <f t="shared" si="1"/>
        <v>0</v>
      </c>
    </row>
    <row r="18" spans="1:90" s="11" customFormat="1" x14ac:dyDescent="0.25">
      <c r="A18" s="122" t="s">
        <v>79</v>
      </c>
      <c r="B18" s="34"/>
      <c r="C18" s="34"/>
      <c r="D18" s="34"/>
      <c r="E18" s="34"/>
      <c r="F18" s="34"/>
      <c r="G18" s="34"/>
      <c r="H18" s="34"/>
      <c r="I18" s="34"/>
      <c r="J18" s="34"/>
      <c r="K18" s="34"/>
      <c r="L18" s="32"/>
      <c r="M18" s="14"/>
      <c r="N18" s="14"/>
    </row>
    <row r="19" spans="1:90" s="5" customFormat="1" x14ac:dyDescent="0.25">
      <c r="A19" s="121" t="s">
        <v>78</v>
      </c>
      <c r="B19" s="190">
        <v>140055000000</v>
      </c>
      <c r="C19" s="190">
        <v>134921000000</v>
      </c>
      <c r="D19" s="190">
        <v>133967000000</v>
      </c>
      <c r="E19" s="190">
        <v>131087000000</v>
      </c>
      <c r="F19" s="190">
        <v>125971000000</v>
      </c>
      <c r="G19" s="190">
        <v>122296000000</v>
      </c>
      <c r="H19" s="190">
        <v>120161000000</v>
      </c>
      <c r="I19" s="190">
        <v>116812000000</v>
      </c>
      <c r="J19" s="190">
        <v>90168000000</v>
      </c>
      <c r="K19" s="190">
        <v>88711000000</v>
      </c>
      <c r="L19" s="190">
        <v>85256000000</v>
      </c>
      <c r="M19" s="190">
        <v>82970000000</v>
      </c>
      <c r="N19" s="190">
        <v>85670000000</v>
      </c>
      <c r="O19" s="190">
        <v>84844000000</v>
      </c>
      <c r="P19" s="190">
        <v>82656000000</v>
      </c>
      <c r="Q19" s="190">
        <v>80593000000</v>
      </c>
      <c r="R19" s="190">
        <v>77270000000</v>
      </c>
      <c r="S19" s="190">
        <v>79477000000</v>
      </c>
      <c r="T19" s="190">
        <v>79408000000</v>
      </c>
      <c r="U19" s="190">
        <v>77078000000</v>
      </c>
      <c r="V19" s="190">
        <v>58560000000</v>
      </c>
      <c r="W19" s="190">
        <v>56138000000</v>
      </c>
      <c r="X19" s="190">
        <v>54512000000</v>
      </c>
      <c r="Y19" s="190">
        <v>52061000000</v>
      </c>
      <c r="Z19" s="190">
        <v>47731000000</v>
      </c>
      <c r="AA19" s="190">
        <v>47498000000</v>
      </c>
      <c r="AB19" s="190">
        <v>48482000000</v>
      </c>
      <c r="AC19" s="190">
        <v>47458000000</v>
      </c>
      <c r="AD19" s="190">
        <v>46822000000</v>
      </c>
      <c r="AE19" s="190">
        <v>45706000000</v>
      </c>
      <c r="AF19" s="190">
        <v>46799000000</v>
      </c>
      <c r="AG19" s="190">
        <v>45037000000</v>
      </c>
      <c r="AH19" s="190">
        <v>40305000000</v>
      </c>
      <c r="AI19" s="190">
        <v>39107000000</v>
      </c>
      <c r="AJ19" s="190">
        <v>37745000000</v>
      </c>
      <c r="AK19" s="190">
        <v>33503000000</v>
      </c>
      <c r="AL19" s="190">
        <v>31775000000</v>
      </c>
      <c r="AM19" s="190">
        <v>30582000000</v>
      </c>
      <c r="AN19" s="190">
        <v>29770000000</v>
      </c>
      <c r="AO19" s="190">
        <v>28705000000</v>
      </c>
      <c r="AP19" s="190">
        <v>31369000000</v>
      </c>
      <c r="AQ19" s="190">
        <v>31189000000</v>
      </c>
      <c r="AR19" s="190">
        <v>33317000000</v>
      </c>
      <c r="AS19" s="190">
        <v>31335000000</v>
      </c>
      <c r="AT19" s="190">
        <v>24663000000</v>
      </c>
      <c r="AU19" s="190">
        <v>24408000000</v>
      </c>
      <c r="AV19" s="190">
        <v>24520000000</v>
      </c>
      <c r="AW19" s="190">
        <v>27483000000</v>
      </c>
      <c r="AX19" s="190">
        <v>27298000000</v>
      </c>
      <c r="AY19" s="190">
        <v>27392000000</v>
      </c>
      <c r="AZ19" s="190">
        <v>14553000000</v>
      </c>
      <c r="BA19" s="190">
        <v>14146000000</v>
      </c>
      <c r="BB19" s="190">
        <v>11917000000</v>
      </c>
      <c r="BC19" s="190">
        <v>10549000000</v>
      </c>
      <c r="BD19" s="190">
        <v>10814000000</v>
      </c>
      <c r="BE19" s="190">
        <v>13409000000</v>
      </c>
      <c r="BF19" s="190">
        <v>12534000000</v>
      </c>
      <c r="BG19" s="190">
        <v>12106000000</v>
      </c>
      <c r="BH19" s="190">
        <v>11429000000</v>
      </c>
      <c r="BI19" s="190">
        <v>11150000000</v>
      </c>
      <c r="BJ19" s="190">
        <v>11383000000</v>
      </c>
      <c r="BK19" s="190">
        <v>10836000000</v>
      </c>
      <c r="BL19" s="190">
        <v>10934000000</v>
      </c>
      <c r="BM19" s="190">
        <v>11025000000</v>
      </c>
      <c r="BN19" s="190">
        <v>10567000000</v>
      </c>
      <c r="BO19" s="190">
        <v>10128000000</v>
      </c>
      <c r="BP19" s="190">
        <v>9614000000</v>
      </c>
      <c r="BQ19" s="190">
        <v>8910000000</v>
      </c>
      <c r="BR19" s="190">
        <v>7214000000</v>
      </c>
      <c r="BS19" s="190">
        <v>5235000000</v>
      </c>
      <c r="BT19" s="190">
        <v>0</v>
      </c>
      <c r="BU19" s="190"/>
      <c r="BV19" s="190"/>
      <c r="BW19" s="190"/>
      <c r="BX19" s="190"/>
      <c r="BY19" s="190"/>
      <c r="BZ19" s="190"/>
      <c r="CA19" s="190"/>
      <c r="CB19" s="190"/>
      <c r="CC19" s="190"/>
      <c r="CD19" s="190"/>
      <c r="CE19" s="190"/>
      <c r="CF19" s="190"/>
      <c r="CG19" s="190"/>
      <c r="CH19" s="190"/>
      <c r="CI19" s="190"/>
      <c r="CJ19" s="190"/>
      <c r="CK19" s="190"/>
      <c r="CL19" s="190"/>
    </row>
    <row r="20" spans="1:90" x14ac:dyDescent="0.25">
      <c r="A20" s="20" t="s">
        <v>12</v>
      </c>
      <c r="B20" s="26"/>
      <c r="C20" s="26"/>
      <c r="D20" s="26"/>
      <c r="E20" s="26"/>
      <c r="F20" s="26"/>
      <c r="G20" s="26"/>
      <c r="H20" s="26"/>
      <c r="I20" s="26"/>
      <c r="J20" s="26"/>
      <c r="K20" s="26"/>
      <c r="L20" s="23"/>
      <c r="M20" s="13"/>
      <c r="N20" s="13"/>
    </row>
    <row r="21" spans="1:90" x14ac:dyDescent="0.25">
      <c r="A21" s="20" t="s">
        <v>80</v>
      </c>
      <c r="B21" s="26"/>
      <c r="C21" s="26"/>
      <c r="D21" s="26"/>
      <c r="E21" s="26"/>
      <c r="F21" s="26"/>
      <c r="G21" s="26"/>
      <c r="H21" s="26"/>
      <c r="I21" s="26"/>
      <c r="J21" s="26"/>
      <c r="K21" s="26"/>
      <c r="L21" s="23"/>
      <c r="M21" s="13"/>
      <c r="N21" s="13"/>
    </row>
    <row r="22" spans="1:90" x14ac:dyDescent="0.25">
      <c r="A22" s="17" t="s">
        <v>14</v>
      </c>
      <c r="B22" s="190">
        <v>15570000000</v>
      </c>
      <c r="C22" s="190">
        <v>0</v>
      </c>
      <c r="D22" s="190">
        <v>14466000000</v>
      </c>
      <c r="E22" s="190">
        <v>16207000000</v>
      </c>
      <c r="F22" s="190">
        <v>12663000000</v>
      </c>
      <c r="G22" s="190">
        <v>9819000000</v>
      </c>
      <c r="H22" s="190">
        <v>13425000000</v>
      </c>
      <c r="I22" s="190">
        <v>13197000000</v>
      </c>
      <c r="J22" s="190">
        <v>12419000000</v>
      </c>
      <c r="K22" s="190">
        <v>11962000000</v>
      </c>
      <c r="L22" s="190">
        <v>12085000000</v>
      </c>
      <c r="M22" s="190">
        <v>10949000000</v>
      </c>
      <c r="N22" s="190">
        <v>13688000000</v>
      </c>
      <c r="O22" s="190">
        <v>11529000000</v>
      </c>
      <c r="P22" s="190">
        <v>15060000000</v>
      </c>
      <c r="Q22" s="190">
        <v>13963000000</v>
      </c>
      <c r="R22" s="190">
        <v>24455000000</v>
      </c>
      <c r="S22" s="190">
        <v>20456000000</v>
      </c>
      <c r="T22" s="190">
        <v>25510000000</v>
      </c>
      <c r="U22" s="190">
        <v>28771000000</v>
      </c>
      <c r="V22" s="190">
        <v>27989000000</v>
      </c>
      <c r="W22" s="190">
        <v>19008000000</v>
      </c>
      <c r="X22" s="190">
        <v>19027000000</v>
      </c>
      <c r="Y22" s="190">
        <v>20045000000</v>
      </c>
      <c r="Z22" s="190">
        <v>24558000000</v>
      </c>
      <c r="AA22" s="190">
        <v>15658000000</v>
      </c>
      <c r="AB22" s="190">
        <v>19436000000</v>
      </c>
      <c r="AC22" s="190">
        <v>27961000000</v>
      </c>
      <c r="AD22" s="190">
        <v>27691000000</v>
      </c>
      <c r="AE22" s="190">
        <v>25113000000</v>
      </c>
      <c r="AF22" s="190">
        <v>20801000000</v>
      </c>
      <c r="AG22" s="190">
        <v>15950000000</v>
      </c>
      <c r="AH22" s="190">
        <v>11822000000</v>
      </c>
      <c r="AI22" s="190">
        <v>9717000000</v>
      </c>
      <c r="AJ22" s="190">
        <v>6596000000</v>
      </c>
      <c r="AK22" s="190">
        <v>2110000000</v>
      </c>
      <c r="AL22" s="190">
        <v>5166000000</v>
      </c>
      <c r="AM22" s="190">
        <v>3383000000</v>
      </c>
      <c r="AN22" s="190">
        <v>2520000000</v>
      </c>
      <c r="AO22" s="190">
        <v>3659000000</v>
      </c>
      <c r="AP22" s="190">
        <v>7933000000</v>
      </c>
      <c r="AQ22" s="190">
        <v>8938000000</v>
      </c>
      <c r="AR22" s="190">
        <v>9384000000</v>
      </c>
      <c r="AS22" s="190">
        <v>12851000000</v>
      </c>
      <c r="AT22" s="190">
        <v>8431000000</v>
      </c>
      <c r="AU22" s="190">
        <v>9067000000</v>
      </c>
      <c r="AV22" s="190">
        <v>7729000000</v>
      </c>
      <c r="AW22" s="190">
        <v>8757000000</v>
      </c>
      <c r="AX22" s="190">
        <v>8175000000</v>
      </c>
      <c r="AY22" s="190">
        <v>7825000000</v>
      </c>
      <c r="AZ22" s="190">
        <v>7441000000</v>
      </c>
      <c r="BA22" s="190">
        <v>7143000000</v>
      </c>
      <c r="BB22" s="190">
        <v>7704000000</v>
      </c>
      <c r="BC22" s="190">
        <v>8356000000</v>
      </c>
      <c r="BD22" s="190">
        <v>9480000000</v>
      </c>
      <c r="BE22" s="190">
        <v>7812000000</v>
      </c>
      <c r="BF22" s="190">
        <v>7224000000</v>
      </c>
      <c r="BG22" s="190">
        <v>8009000000</v>
      </c>
      <c r="BH22" s="190">
        <v>7739000000</v>
      </c>
      <c r="BI22" s="190">
        <v>5953000000</v>
      </c>
      <c r="BJ22" s="190">
        <v>6220000000</v>
      </c>
      <c r="BK22" s="190">
        <v>5159000000</v>
      </c>
      <c r="BL22" s="190">
        <v>5444000000</v>
      </c>
      <c r="BM22" s="190">
        <v>4684000000</v>
      </c>
      <c r="BN22" s="190">
        <v>4337000000</v>
      </c>
      <c r="BO22" s="190">
        <v>4316000000</v>
      </c>
      <c r="BP22" s="190">
        <v>3539000000</v>
      </c>
      <c r="BQ22" s="190">
        <v>3542000000</v>
      </c>
      <c r="BR22" s="190">
        <v>4012000000</v>
      </c>
      <c r="BS22" s="190">
        <v>2603000000</v>
      </c>
      <c r="BT22" s="190">
        <v>0</v>
      </c>
      <c r="BU22" s="190"/>
      <c r="BV22" s="190"/>
      <c r="BW22" s="190"/>
      <c r="BX22" s="190"/>
      <c r="BY22" s="190"/>
      <c r="BZ22" s="190"/>
      <c r="CA22" s="190"/>
      <c r="CB22" s="190"/>
      <c r="CC22" s="190"/>
      <c r="CD22" s="190"/>
      <c r="CE22" s="190"/>
      <c r="CF22" s="190"/>
      <c r="CG22" s="190"/>
      <c r="CH22" s="190"/>
      <c r="CI22" s="190"/>
      <c r="CJ22" s="190"/>
      <c r="CK22" s="190"/>
      <c r="CL22" s="190"/>
    </row>
    <row r="23" spans="1:90" x14ac:dyDescent="0.25">
      <c r="A23" s="17" t="s">
        <v>15</v>
      </c>
      <c r="B23" s="190">
        <v>89624000000</v>
      </c>
      <c r="C23" s="190">
        <v>0</v>
      </c>
      <c r="D23" s="190">
        <v>58973000000</v>
      </c>
      <c r="E23" s="190">
        <v>68494000000</v>
      </c>
      <c r="F23" s="190">
        <v>54284000000</v>
      </c>
      <c r="G23" s="190">
        <v>50560000000</v>
      </c>
      <c r="H23" s="190">
        <v>56265000000</v>
      </c>
      <c r="I23" s="190">
        <v>50289000000</v>
      </c>
      <c r="J23" s="190">
        <v>58293000000</v>
      </c>
      <c r="K23" s="190">
        <v>63253000000</v>
      </c>
      <c r="L23" s="190">
        <v>39959000000</v>
      </c>
      <c r="M23" s="190">
        <v>56126000000</v>
      </c>
      <c r="N23" s="190">
        <v>62163000000</v>
      </c>
      <c r="O23" s="190">
        <v>93611000000</v>
      </c>
      <c r="P23" s="190">
        <v>63491000000</v>
      </c>
      <c r="Q23" s="190">
        <v>90831000000</v>
      </c>
      <c r="R23" s="190">
        <v>93511000000</v>
      </c>
      <c r="S23" s="190">
        <v>96703000000</v>
      </c>
      <c r="T23" s="190">
        <v>81144000000</v>
      </c>
      <c r="U23" s="190">
        <v>68466000000</v>
      </c>
      <c r="V23" s="190">
        <v>80068000000</v>
      </c>
      <c r="W23" s="190">
        <v>87386000000</v>
      </c>
      <c r="X23" s="190">
        <v>102121000000</v>
      </c>
      <c r="Y23" s="190">
        <v>81395000000</v>
      </c>
      <c r="Z23" s="190">
        <v>84382000000</v>
      </c>
      <c r="AA23" s="190">
        <v>84047000000</v>
      </c>
      <c r="AB23" s="190">
        <v>90015000000</v>
      </c>
      <c r="AC23" s="190">
        <v>58721000000</v>
      </c>
      <c r="AD23" s="190">
        <v>68510000000</v>
      </c>
      <c r="AE23" s="190">
        <v>65414000000</v>
      </c>
      <c r="AF23" s="190">
        <v>61133000000</v>
      </c>
      <c r="AG23" s="190">
        <v>43093000000</v>
      </c>
      <c r="AH23" s="190">
        <v>48183000000</v>
      </c>
      <c r="AI23" s="190">
        <v>45726000000</v>
      </c>
      <c r="AJ23" s="190">
        <v>45336000000</v>
      </c>
      <c r="AK23" s="190">
        <v>26592000000</v>
      </c>
      <c r="AL23" s="190">
        <v>29074000000</v>
      </c>
      <c r="AM23" s="190">
        <v>29967000000</v>
      </c>
      <c r="AN23" s="190">
        <v>21717000000</v>
      </c>
      <c r="AO23" s="190">
        <v>12989000000</v>
      </c>
      <c r="AP23" s="190">
        <v>36207000000</v>
      </c>
      <c r="AQ23" s="190">
        <v>43084000000</v>
      </c>
      <c r="AR23" s="190">
        <v>29469000000</v>
      </c>
      <c r="AS23" s="190">
        <v>22947000000</v>
      </c>
      <c r="AT23" s="190">
        <v>23438000000</v>
      </c>
      <c r="AU23" s="190">
        <v>26711000000</v>
      </c>
      <c r="AV23" s="190">
        <v>23745000000</v>
      </c>
      <c r="AW23" s="190">
        <v>15590000000</v>
      </c>
      <c r="AX23" s="190">
        <v>18805000000</v>
      </c>
      <c r="AY23" s="190">
        <v>17449000000</v>
      </c>
      <c r="AZ23" s="190">
        <v>16632000000</v>
      </c>
      <c r="BA23" s="190">
        <v>14532000000</v>
      </c>
      <c r="BB23" s="190">
        <v>15551000000</v>
      </c>
      <c r="BC23" s="190">
        <v>15247000000</v>
      </c>
      <c r="BD23" s="190">
        <v>15090000000</v>
      </c>
      <c r="BE23" s="190">
        <v>9756000000</v>
      </c>
      <c r="BF23" s="190">
        <v>11816000000</v>
      </c>
      <c r="BG23" s="190">
        <v>13621000000</v>
      </c>
      <c r="BH23" s="190">
        <v>11714000000</v>
      </c>
      <c r="BI23" s="190">
        <v>9284000000</v>
      </c>
      <c r="BJ23" s="190">
        <v>10495000000</v>
      </c>
      <c r="BK23" s="190">
        <v>11728000000</v>
      </c>
      <c r="BL23" s="190">
        <v>13656000000</v>
      </c>
      <c r="BM23" s="190">
        <v>10670000000</v>
      </c>
      <c r="BN23" s="190">
        <v>13200000000</v>
      </c>
      <c r="BO23" s="190">
        <v>13265000000</v>
      </c>
      <c r="BP23" s="190">
        <v>11069000000</v>
      </c>
      <c r="BQ23" s="190">
        <v>11082000000</v>
      </c>
      <c r="BR23" s="190">
        <v>16316000000</v>
      </c>
      <c r="BS23" s="190">
        <v>12687000000</v>
      </c>
      <c r="BT23" s="190">
        <v>0</v>
      </c>
      <c r="BU23" s="190"/>
      <c r="BV23" s="190"/>
      <c r="BW23" s="190"/>
      <c r="BX23" s="190"/>
      <c r="BY23" s="190"/>
      <c r="BZ23" s="190"/>
      <c r="CA23" s="190"/>
      <c r="CB23" s="190"/>
      <c r="CC23" s="190"/>
      <c r="CD23" s="190"/>
      <c r="CE23" s="190"/>
      <c r="CF23" s="190"/>
      <c r="CG23" s="190"/>
      <c r="CH23" s="190"/>
      <c r="CI23" s="190"/>
      <c r="CJ23" s="190"/>
      <c r="CK23" s="190"/>
      <c r="CL23" s="190"/>
    </row>
    <row r="24" spans="1:90" x14ac:dyDescent="0.25">
      <c r="A24" s="17" t="s">
        <v>16</v>
      </c>
      <c r="B24" s="190">
        <v>10463000000</v>
      </c>
      <c r="C24" s="190">
        <v>5537000000</v>
      </c>
      <c r="D24" s="190">
        <v>5743000000</v>
      </c>
      <c r="E24" s="190">
        <v>4901000000</v>
      </c>
      <c r="F24" s="190">
        <v>5696000000</v>
      </c>
      <c r="G24" s="190">
        <v>4154000000</v>
      </c>
      <c r="H24" s="190">
        <v>4915000000</v>
      </c>
      <c r="I24" s="190">
        <v>3749000000</v>
      </c>
      <c r="J24" s="190">
        <v>5040000000</v>
      </c>
      <c r="K24" s="190">
        <v>3797000000</v>
      </c>
      <c r="L24" s="190">
        <v>3880000000</v>
      </c>
      <c r="M24" s="190">
        <v>2919000000</v>
      </c>
      <c r="N24" s="190">
        <v>5321000000</v>
      </c>
      <c r="O24" s="190">
        <v>4803000000</v>
      </c>
      <c r="P24" s="190">
        <v>3967000000</v>
      </c>
      <c r="Q24" s="190">
        <v>3780000000</v>
      </c>
      <c r="R24" s="190">
        <v>6035000000</v>
      </c>
      <c r="S24" s="190">
        <v>5691000000</v>
      </c>
      <c r="T24" s="190">
        <v>4683000000</v>
      </c>
      <c r="U24" s="190">
        <v>4216000000</v>
      </c>
      <c r="V24" s="190">
        <v>6914000000</v>
      </c>
      <c r="W24" s="190">
        <v>4667000000</v>
      </c>
      <c r="X24" s="190">
        <v>6339000000</v>
      </c>
      <c r="Y24" s="190">
        <v>4370000000</v>
      </c>
      <c r="Z24" s="190">
        <v>9071000000</v>
      </c>
      <c r="AA24" s="190">
        <v>6754000000</v>
      </c>
      <c r="AB24" s="190">
        <v>8914000000</v>
      </c>
      <c r="AC24" s="190">
        <v>4096000000</v>
      </c>
      <c r="AD24" s="190">
        <v>12268000000</v>
      </c>
      <c r="AE24" s="190">
        <v>8896000000</v>
      </c>
      <c r="AF24" s="190">
        <v>9934000000</v>
      </c>
      <c r="AG24" s="190">
        <v>5247000000</v>
      </c>
      <c r="AH24" s="190">
        <v>9141000000</v>
      </c>
      <c r="AI24" s="190">
        <v>5382000000</v>
      </c>
      <c r="AJ24" s="190">
        <v>6375000000</v>
      </c>
      <c r="AK24" s="190">
        <v>3614000000</v>
      </c>
      <c r="AL24" s="190">
        <v>7525000000</v>
      </c>
      <c r="AM24" s="190">
        <v>6661000000</v>
      </c>
      <c r="AN24" s="190">
        <v>8722000000</v>
      </c>
      <c r="AO24" s="190">
        <v>7597000000</v>
      </c>
      <c r="AP24" s="190">
        <v>13356000000</v>
      </c>
      <c r="AQ24" s="190">
        <v>14406000000</v>
      </c>
      <c r="AR24" s="190">
        <v>14462000000</v>
      </c>
      <c r="AS24" s="190">
        <v>9402000000</v>
      </c>
      <c r="AT24" s="190">
        <v>12527000000</v>
      </c>
      <c r="AU24" s="190">
        <v>10681000000</v>
      </c>
      <c r="AV24" s="190">
        <v>7721000000</v>
      </c>
      <c r="AW24" s="190">
        <v>5392000000</v>
      </c>
      <c r="AX24" s="190">
        <v>9123000000</v>
      </c>
      <c r="AY24" s="190">
        <v>7313000000</v>
      </c>
      <c r="AZ24" s="190">
        <v>8326000000</v>
      </c>
      <c r="BA24" s="190">
        <v>5051000000</v>
      </c>
      <c r="BB24" s="190">
        <v>7488000000</v>
      </c>
      <c r="BC24" s="190">
        <v>6241000000</v>
      </c>
      <c r="BD24" s="190">
        <v>7470000000</v>
      </c>
      <c r="BE24" s="190">
        <v>4828000000</v>
      </c>
      <c r="BF24" s="190">
        <v>8028000000</v>
      </c>
      <c r="BG24" s="190">
        <v>7248000000</v>
      </c>
      <c r="BH24" s="190">
        <v>5703000000</v>
      </c>
      <c r="BI24" s="190">
        <v>3904000000</v>
      </c>
      <c r="BJ24" s="190">
        <v>4231000000</v>
      </c>
      <c r="BK24" s="190">
        <v>5897000000</v>
      </c>
      <c r="BL24" s="190">
        <v>4042000000</v>
      </c>
      <c r="BM24" s="190">
        <v>3193000000</v>
      </c>
      <c r="BN24" s="190">
        <v>4566000000</v>
      </c>
      <c r="BO24" s="190">
        <v>3598000000</v>
      </c>
      <c r="BP24" s="190">
        <v>6186000000</v>
      </c>
      <c r="BQ24" s="190">
        <v>4021000000</v>
      </c>
      <c r="BR24" s="190">
        <v>5787000000</v>
      </c>
      <c r="BS24" s="190">
        <v>5265000000</v>
      </c>
      <c r="BT24" s="190">
        <v>0</v>
      </c>
      <c r="BU24" s="190"/>
      <c r="BV24" s="190"/>
      <c r="BW24" s="190"/>
      <c r="BX24" s="190"/>
      <c r="BY24" s="190"/>
      <c r="BZ24" s="190"/>
      <c r="CA24" s="190"/>
      <c r="CB24" s="190"/>
      <c r="CC24" s="190"/>
      <c r="CD24" s="190"/>
      <c r="CE24" s="190"/>
      <c r="CF24" s="190"/>
      <c r="CG24" s="190"/>
      <c r="CH24" s="190"/>
      <c r="CI24" s="190"/>
      <c r="CJ24" s="190"/>
      <c r="CK24" s="190"/>
      <c r="CL24" s="190"/>
    </row>
    <row r="25" spans="1:90" x14ac:dyDescent="0.25">
      <c r="A25" s="17" t="s">
        <v>17</v>
      </c>
      <c r="B25" s="190">
        <v>25653000000</v>
      </c>
      <c r="C25" s="190">
        <v>24430000000</v>
      </c>
      <c r="D25" s="190">
        <v>17669000000</v>
      </c>
      <c r="E25" s="190">
        <v>16467000000</v>
      </c>
      <c r="F25" s="190">
        <v>22585000000</v>
      </c>
      <c r="G25" s="190">
        <v>23151000000</v>
      </c>
      <c r="H25" s="190">
        <v>23408000000</v>
      </c>
      <c r="I25" s="190">
        <v>25596000000</v>
      </c>
      <c r="J25" s="190">
        <v>10700000000</v>
      </c>
      <c r="K25" s="190">
        <v>19125000000</v>
      </c>
      <c r="L25" s="190">
        <v>16899000000</v>
      </c>
      <c r="M25" s="190">
        <v>21452000000</v>
      </c>
      <c r="N25" s="190">
        <v>23580000000</v>
      </c>
      <c r="O25" s="190">
        <v>20047000000</v>
      </c>
      <c r="P25" s="190">
        <v>22431000000</v>
      </c>
      <c r="Q25" s="190">
        <v>29251000000</v>
      </c>
      <c r="R25" s="190">
        <v>11536000000</v>
      </c>
      <c r="S25" s="190">
        <v>21954000000</v>
      </c>
      <c r="T25" s="190">
        <v>11666000000</v>
      </c>
      <c r="U25" s="190">
        <v>13165000000</v>
      </c>
      <c r="V25" s="190">
        <v>10689000000</v>
      </c>
      <c r="W25" s="190">
        <v>11479000000</v>
      </c>
      <c r="X25" s="190">
        <v>10294000000</v>
      </c>
      <c r="Y25" s="190">
        <v>8807000000</v>
      </c>
      <c r="Z25" s="190">
        <v>8952000000</v>
      </c>
      <c r="AA25" s="190">
        <v>15126000000</v>
      </c>
      <c r="AB25" s="190">
        <v>8354000000</v>
      </c>
      <c r="AC25" s="190">
        <v>7360000000</v>
      </c>
      <c r="AD25" s="190">
        <v>8001000000</v>
      </c>
      <c r="AE25" s="190">
        <v>8177000000</v>
      </c>
      <c r="AF25" s="190">
        <v>8549000000</v>
      </c>
      <c r="AG25" s="190">
        <v>9880000000</v>
      </c>
      <c r="AH25" s="190">
        <v>8322000000</v>
      </c>
      <c r="AI25" s="190">
        <v>9405000000</v>
      </c>
      <c r="AJ25" s="190">
        <v>21269000000</v>
      </c>
      <c r="AK25" s="190">
        <v>4454000000</v>
      </c>
      <c r="AL25" s="190">
        <v>15834000000</v>
      </c>
      <c r="AM25" s="190">
        <v>16893000000</v>
      </c>
      <c r="AN25" s="190">
        <v>19147000000</v>
      </c>
      <c r="AO25" s="190">
        <v>20520000000</v>
      </c>
      <c r="AP25" s="190">
        <v>10101000000</v>
      </c>
      <c r="AQ25" s="190">
        <v>20224000000</v>
      </c>
      <c r="AR25" s="190">
        <v>7356000000</v>
      </c>
      <c r="AS25" s="190">
        <v>11822000000</v>
      </c>
      <c r="AT25" s="190">
        <v>7105000000</v>
      </c>
      <c r="AU25" s="190">
        <v>11300000000</v>
      </c>
      <c r="AV25" s="190">
        <v>8426000000</v>
      </c>
      <c r="AW25" s="190">
        <v>10597000000</v>
      </c>
      <c r="AX25" s="190">
        <v>13740000000</v>
      </c>
      <c r="AY25" s="190">
        <v>12491000000</v>
      </c>
      <c r="AZ25" s="190">
        <v>11608000000</v>
      </c>
      <c r="BA25" s="190">
        <v>11487000000</v>
      </c>
      <c r="BB25" s="190">
        <v>12854000000</v>
      </c>
      <c r="BC25" s="190">
        <v>11682000000</v>
      </c>
      <c r="BD25" s="190">
        <v>12689000000</v>
      </c>
      <c r="BE25" s="190">
        <v>12462000000</v>
      </c>
      <c r="BF25" s="190">
        <v>13147000000</v>
      </c>
      <c r="BG25" s="190">
        <v>12166000000</v>
      </c>
      <c r="BH25" s="190">
        <v>14879000000</v>
      </c>
      <c r="BI25" s="190">
        <v>15457000000</v>
      </c>
      <c r="BJ25" s="190">
        <v>17073000000</v>
      </c>
      <c r="BK25" s="190">
        <v>15254000000</v>
      </c>
      <c r="BL25" s="190">
        <v>16613000000</v>
      </c>
      <c r="BM25" s="190">
        <v>16817000000</v>
      </c>
      <c r="BN25" s="190">
        <v>19887000000</v>
      </c>
      <c r="BO25" s="190">
        <v>21072000000</v>
      </c>
      <c r="BP25" s="190">
        <v>21025000000</v>
      </c>
      <c r="BQ25" s="190">
        <v>19802000000</v>
      </c>
      <c r="BR25" s="190">
        <v>26161000000</v>
      </c>
      <c r="BS25" s="190">
        <v>20105000000</v>
      </c>
      <c r="BT25" s="190">
        <v>0</v>
      </c>
      <c r="BU25" s="190"/>
      <c r="BV25" s="190"/>
      <c r="BW25" s="190"/>
      <c r="BX25" s="190"/>
      <c r="BY25" s="190"/>
      <c r="BZ25" s="190"/>
      <c r="CA25" s="190"/>
      <c r="CB25" s="190"/>
      <c r="CC25" s="190"/>
      <c r="CD25" s="190"/>
      <c r="CE25" s="190"/>
      <c r="CF25" s="190"/>
      <c r="CG25" s="190"/>
      <c r="CH25" s="190"/>
      <c r="CI25" s="190"/>
      <c r="CJ25" s="190"/>
      <c r="CK25" s="190"/>
      <c r="CL25" s="190"/>
    </row>
    <row r="26" spans="1:90" x14ac:dyDescent="0.25">
      <c r="A26" s="17" t="s">
        <v>18</v>
      </c>
      <c r="B26" s="190">
        <v>213398000000</v>
      </c>
      <c r="C26" s="190">
        <v>225573000000</v>
      </c>
      <c r="D26" s="190">
        <v>191323000000</v>
      </c>
      <c r="E26" s="190">
        <v>186693000000</v>
      </c>
      <c r="F26" s="190">
        <v>160871000000</v>
      </c>
      <c r="G26" s="190">
        <v>167058000000</v>
      </c>
      <c r="H26" s="190">
        <v>159934000000</v>
      </c>
      <c r="I26" s="190">
        <v>156511000000</v>
      </c>
      <c r="J26" s="190">
        <v>141790000000</v>
      </c>
      <c r="K26" s="190">
        <v>149443000000</v>
      </c>
      <c r="L26" s="190">
        <v>138540000000</v>
      </c>
      <c r="M26" s="190">
        <v>145498000000</v>
      </c>
      <c r="N26" s="190">
        <v>155084000000</v>
      </c>
      <c r="O26" s="190">
        <v>174829000000</v>
      </c>
      <c r="P26" s="190">
        <v>160332000000</v>
      </c>
      <c r="Q26" s="190">
        <v>188223000000</v>
      </c>
      <c r="R26" s="190">
        <v>232087000000</v>
      </c>
      <c r="S26" s="190">
        <v>244275000000</v>
      </c>
      <c r="T26" s="190">
        <v>244094000000</v>
      </c>
      <c r="U26" s="190">
        <v>221906000000</v>
      </c>
      <c r="V26" s="190">
        <v>225104000000</v>
      </c>
      <c r="W26" s="190">
        <v>216028000000</v>
      </c>
      <c r="X26" s="190">
        <v>231400000000</v>
      </c>
      <c r="Y26" s="190">
        <v>218262000000</v>
      </c>
      <c r="Z26" s="190">
        <v>197799000000</v>
      </c>
      <c r="AA26" s="190">
        <v>207230000000</v>
      </c>
      <c r="AB26" s="190">
        <v>238502000000</v>
      </c>
      <c r="AC26" s="190">
        <v>203417000000</v>
      </c>
      <c r="AD26" s="190">
        <v>188807000000</v>
      </c>
      <c r="AE26" s="190">
        <v>207962000000</v>
      </c>
      <c r="AF26" s="190">
        <v>189463000000</v>
      </c>
      <c r="AG26" s="190">
        <v>156546000000</v>
      </c>
      <c r="AH26" s="190">
        <v>155148000000</v>
      </c>
      <c r="AI26" s="190">
        <v>162542000000</v>
      </c>
      <c r="AJ26" s="190">
        <v>156485000000</v>
      </c>
      <c r="AK26" s="190">
        <v>141611000000</v>
      </c>
      <c r="AL26" s="190">
        <v>135940000000</v>
      </c>
      <c r="AM26" s="190">
        <v>120305000000</v>
      </c>
      <c r="AN26" s="190">
        <v>100164000000</v>
      </c>
      <c r="AO26" s="190">
        <v>95255000000</v>
      </c>
      <c r="AP26" s="190">
        <v>164975000000</v>
      </c>
      <c r="AQ26" s="190">
        <v>163488000000</v>
      </c>
      <c r="AR26" s="190">
        <v>140686000000</v>
      </c>
      <c r="AS26" s="190">
        <v>116049000000</v>
      </c>
      <c r="AT26" s="190">
        <v>108992000000</v>
      </c>
      <c r="AU26" s="190">
        <v>104198000000</v>
      </c>
      <c r="AV26" s="190">
        <v>93460000000</v>
      </c>
      <c r="AW26" s="190">
        <v>93041000000</v>
      </c>
      <c r="AX26" s="190">
        <v>109414000000</v>
      </c>
      <c r="AY26" s="190">
        <v>105496000000</v>
      </c>
      <c r="AZ26" s="190">
        <v>96946000000</v>
      </c>
      <c r="BA26" s="190">
        <v>88936000000</v>
      </c>
      <c r="BB26" s="190">
        <v>75283000000</v>
      </c>
      <c r="BC26" s="190">
        <v>78467000000</v>
      </c>
      <c r="BD26" s="190">
        <v>64416000000</v>
      </c>
      <c r="BE26" s="190">
        <v>63918000000</v>
      </c>
      <c r="BF26" s="190">
        <v>58287000000</v>
      </c>
      <c r="BG26" s="190">
        <v>58990000000</v>
      </c>
      <c r="BH26" s="190">
        <v>47671000000</v>
      </c>
      <c r="BI26" s="190">
        <v>44915000000</v>
      </c>
      <c r="BJ26" s="190">
        <v>41275000000</v>
      </c>
      <c r="BK26" s="190">
        <v>44803000000</v>
      </c>
      <c r="BL26" s="190">
        <v>46165000000</v>
      </c>
      <c r="BM26" s="190">
        <v>44932000000</v>
      </c>
      <c r="BN26" s="190">
        <v>42450000000</v>
      </c>
      <c r="BO26" s="190">
        <v>46874000000</v>
      </c>
      <c r="BP26" s="190">
        <v>42826000000</v>
      </c>
      <c r="BQ26" s="190">
        <v>45448000000</v>
      </c>
      <c r="BR26" s="190">
        <v>54444000000</v>
      </c>
      <c r="BS26" s="190">
        <v>49761000000</v>
      </c>
      <c r="BT26" s="190">
        <v>0</v>
      </c>
      <c r="BU26" s="190"/>
      <c r="BV26" s="190"/>
      <c r="BW26" s="190"/>
      <c r="BX26" s="190"/>
      <c r="BY26" s="190"/>
      <c r="BZ26" s="190"/>
      <c r="CA26" s="190"/>
      <c r="CB26" s="190"/>
      <c r="CC26" s="190"/>
      <c r="CD26" s="190"/>
      <c r="CE26" s="190"/>
      <c r="CF26" s="190"/>
      <c r="CG26" s="190"/>
      <c r="CH26" s="190"/>
      <c r="CI26" s="190"/>
      <c r="CJ26" s="190"/>
      <c r="CK26" s="190"/>
      <c r="CL26" s="190"/>
    </row>
    <row r="27" spans="1:90" x14ac:dyDescent="0.25">
      <c r="A27" s="17" t="s">
        <v>19</v>
      </c>
      <c r="B27" s="190">
        <v>20854000000</v>
      </c>
      <c r="C27" s="190">
        <v>21148000000</v>
      </c>
      <c r="D27" s="190">
        <v>20249000000</v>
      </c>
      <c r="E27" s="190">
        <v>20087000000</v>
      </c>
      <c r="F27" s="190">
        <v>19125000000</v>
      </c>
      <c r="G27" s="190">
        <v>18595000000</v>
      </c>
      <c r="H27" s="190">
        <v>19702000000</v>
      </c>
      <c r="I27" s="190">
        <v>20422000000</v>
      </c>
      <c r="J27" s="190">
        <v>24370000000</v>
      </c>
      <c r="K27" s="190">
        <v>23108000000</v>
      </c>
      <c r="L27" s="190">
        <v>32297000000</v>
      </c>
      <c r="M27" s="190">
        <v>26904000000</v>
      </c>
      <c r="N27" s="190">
        <v>20197000000</v>
      </c>
      <c r="O27" s="190">
        <v>16533000000</v>
      </c>
      <c r="P27" s="190">
        <v>18157000000</v>
      </c>
      <c r="Q27" s="190">
        <v>23996000000</v>
      </c>
      <c r="R27" s="190">
        <v>17573000000</v>
      </c>
      <c r="S27" s="190">
        <v>17303000000</v>
      </c>
      <c r="T27" s="190">
        <v>18039000000</v>
      </c>
      <c r="U27" s="190">
        <v>21385000000</v>
      </c>
      <c r="V27" s="190">
        <v>13875000000</v>
      </c>
      <c r="W27" s="190">
        <v>15177000000</v>
      </c>
      <c r="X27" s="190">
        <v>1477000000</v>
      </c>
      <c r="Y27" s="190">
        <v>1008000000</v>
      </c>
      <c r="Z27" s="190">
        <v>1262000000</v>
      </c>
      <c r="AA27" s="190">
        <v>1134000000</v>
      </c>
      <c r="AB27" s="190">
        <v>962000000</v>
      </c>
      <c r="AC27" s="190">
        <v>836000000</v>
      </c>
      <c r="AD27" s="190">
        <v>1621000000</v>
      </c>
      <c r="AE27" s="190">
        <v>1783000000</v>
      </c>
      <c r="AF27" s="190">
        <v>1771000000</v>
      </c>
      <c r="AG27" s="190">
        <v>594000000</v>
      </c>
      <c r="AH27" s="190">
        <v>866000000</v>
      </c>
      <c r="AI27" s="190">
        <v>370000000</v>
      </c>
      <c r="AJ27" s="190">
        <v>701000000</v>
      </c>
      <c r="AK27" s="190">
        <v>856000000</v>
      </c>
      <c r="AL27" s="190">
        <v>194000000</v>
      </c>
      <c r="AM27" s="190">
        <v>68000000</v>
      </c>
      <c r="AN27" s="190">
        <v>635000000</v>
      </c>
      <c r="AO27" s="190">
        <v>287000000</v>
      </c>
      <c r="AP27" s="190">
        <v>867000000</v>
      </c>
      <c r="AQ27" s="190">
        <v>127000000</v>
      </c>
      <c r="AR27" s="190">
        <v>184000000</v>
      </c>
      <c r="AS27" s="190">
        <v>100000000</v>
      </c>
      <c r="AT27" s="190">
        <v>585000000</v>
      </c>
      <c r="AU27" s="190">
        <v>769000000</v>
      </c>
      <c r="AV27" s="190">
        <v>806000000</v>
      </c>
      <c r="AW27" s="190">
        <v>0</v>
      </c>
      <c r="AX27" s="190">
        <v>0</v>
      </c>
      <c r="AY27" s="190">
        <v>0</v>
      </c>
      <c r="AZ27" s="190">
        <v>0</v>
      </c>
      <c r="BA27" s="190">
        <v>0</v>
      </c>
      <c r="BB27" s="190">
        <v>0</v>
      </c>
      <c r="BC27" s="190">
        <v>0</v>
      </c>
      <c r="BD27" s="190">
        <v>0</v>
      </c>
      <c r="BE27" s="190">
        <v>0</v>
      </c>
      <c r="BF27" s="190">
        <v>0</v>
      </c>
      <c r="BG27" s="190">
        <v>0</v>
      </c>
      <c r="BH27" s="190">
        <v>0</v>
      </c>
      <c r="BI27" s="190">
        <v>0</v>
      </c>
      <c r="BJ27" s="190">
        <v>0</v>
      </c>
      <c r="BK27" s="190">
        <v>0</v>
      </c>
      <c r="BL27" s="190">
        <v>0</v>
      </c>
      <c r="BM27" s="190">
        <v>0</v>
      </c>
      <c r="BN27" s="190">
        <v>0</v>
      </c>
      <c r="BO27" s="190">
        <v>0</v>
      </c>
      <c r="BP27" s="190">
        <v>0</v>
      </c>
      <c r="BQ27" s="190">
        <v>0</v>
      </c>
      <c r="BR27" s="190">
        <v>0</v>
      </c>
      <c r="BS27" s="190">
        <v>0</v>
      </c>
      <c r="BT27" s="190">
        <v>0</v>
      </c>
      <c r="BU27" s="190"/>
      <c r="BV27" s="190"/>
      <c r="BW27" s="190"/>
      <c r="BX27" s="190"/>
      <c r="BY27" s="190"/>
      <c r="BZ27" s="190"/>
      <c r="CA27" s="190"/>
      <c r="CB27" s="190"/>
      <c r="CC27" s="190"/>
      <c r="CD27" s="190"/>
      <c r="CE27" s="190"/>
      <c r="CF27" s="190"/>
      <c r="CG27" s="190"/>
      <c r="CH27" s="190"/>
      <c r="CI27" s="190"/>
      <c r="CJ27" s="190"/>
      <c r="CK27" s="190"/>
      <c r="CL27" s="190"/>
    </row>
    <row r="28" spans="1:90" x14ac:dyDescent="0.25">
      <c r="A28" s="17" t="s">
        <v>76</v>
      </c>
      <c r="B28" s="190">
        <v>0</v>
      </c>
      <c r="C28" s="190">
        <v>0</v>
      </c>
      <c r="D28" s="190">
        <v>0</v>
      </c>
      <c r="E28" s="190">
        <v>0</v>
      </c>
      <c r="F28" s="190">
        <v>0</v>
      </c>
      <c r="G28" s="190">
        <v>0</v>
      </c>
      <c r="H28" s="190">
        <v>0</v>
      </c>
      <c r="I28" s="190">
        <v>0</v>
      </c>
      <c r="J28" s="190">
        <v>0</v>
      </c>
      <c r="K28" s="190">
        <v>0</v>
      </c>
      <c r="L28" s="190">
        <v>0</v>
      </c>
      <c r="M28" s="190">
        <v>0</v>
      </c>
      <c r="N28" s="190">
        <v>0</v>
      </c>
      <c r="O28" s="190">
        <v>0</v>
      </c>
      <c r="P28" s="190">
        <v>0</v>
      </c>
      <c r="Q28" s="190">
        <v>0</v>
      </c>
      <c r="R28" s="190">
        <v>0</v>
      </c>
      <c r="S28" s="190">
        <v>0</v>
      </c>
      <c r="T28" s="190">
        <v>0</v>
      </c>
      <c r="U28" s="190">
        <v>0</v>
      </c>
      <c r="V28" s="190">
        <v>0</v>
      </c>
      <c r="W28" s="190">
        <v>0</v>
      </c>
      <c r="X28" s="190">
        <v>0</v>
      </c>
      <c r="Y28" s="190">
        <v>0</v>
      </c>
      <c r="Z28" s="190">
        <v>0</v>
      </c>
      <c r="AA28" s="190">
        <v>0</v>
      </c>
      <c r="AB28" s="190">
        <v>0</v>
      </c>
      <c r="AC28" s="190">
        <v>0</v>
      </c>
      <c r="AD28" s="190">
        <v>0</v>
      </c>
      <c r="AE28" s="190">
        <v>0</v>
      </c>
      <c r="AF28" s="190">
        <v>0</v>
      </c>
      <c r="AG28" s="190">
        <v>0</v>
      </c>
      <c r="AH28" s="190">
        <v>0</v>
      </c>
      <c r="AI28" s="190">
        <v>0</v>
      </c>
      <c r="AJ28" s="190">
        <v>0</v>
      </c>
      <c r="AK28" s="190">
        <v>0</v>
      </c>
      <c r="AL28" s="190">
        <v>0</v>
      </c>
      <c r="AM28" s="190">
        <v>0</v>
      </c>
      <c r="AN28" s="190">
        <v>0</v>
      </c>
      <c r="AO28" s="190">
        <v>0</v>
      </c>
      <c r="AP28" s="190">
        <v>0</v>
      </c>
      <c r="AQ28" s="190">
        <v>0</v>
      </c>
      <c r="AR28" s="190">
        <v>0</v>
      </c>
      <c r="AS28" s="190">
        <v>0</v>
      </c>
      <c r="AT28" s="190">
        <v>0</v>
      </c>
      <c r="AU28" s="190">
        <v>0</v>
      </c>
      <c r="AV28" s="190">
        <v>0</v>
      </c>
      <c r="AW28" s="190">
        <v>0</v>
      </c>
      <c r="AX28" s="190">
        <v>0</v>
      </c>
      <c r="AY28" s="190">
        <v>0</v>
      </c>
      <c r="AZ28" s="190">
        <v>0</v>
      </c>
      <c r="BA28" s="190">
        <v>0</v>
      </c>
      <c r="BB28" s="190">
        <v>0</v>
      </c>
      <c r="BC28" s="190">
        <v>0</v>
      </c>
      <c r="BD28" s="190">
        <v>0</v>
      </c>
      <c r="BE28" s="190">
        <v>0</v>
      </c>
      <c r="BF28" s="190">
        <v>0</v>
      </c>
      <c r="BG28" s="190">
        <v>0</v>
      </c>
      <c r="BH28" s="190">
        <v>0</v>
      </c>
      <c r="BI28" s="190">
        <v>0</v>
      </c>
      <c r="BJ28" s="190">
        <v>0</v>
      </c>
      <c r="BK28" s="190">
        <v>0</v>
      </c>
      <c r="BL28" s="190">
        <v>0</v>
      </c>
      <c r="BM28" s="190">
        <v>0</v>
      </c>
      <c r="BN28" s="190">
        <v>0</v>
      </c>
      <c r="BO28" s="190">
        <v>0</v>
      </c>
      <c r="BP28" s="190">
        <v>0</v>
      </c>
      <c r="BQ28" s="190">
        <v>0</v>
      </c>
      <c r="BR28" s="190">
        <v>0</v>
      </c>
      <c r="BS28" s="190">
        <v>0</v>
      </c>
      <c r="BT28" s="190">
        <v>0</v>
      </c>
      <c r="BU28" s="190"/>
      <c r="BV28" s="190"/>
      <c r="BW28" s="190"/>
      <c r="BX28" s="190"/>
      <c r="BY28" s="190"/>
      <c r="BZ28" s="190"/>
      <c r="CA28" s="190"/>
      <c r="CB28" s="190"/>
      <c r="CC28" s="190"/>
      <c r="CD28" s="190"/>
      <c r="CE28" s="190"/>
      <c r="CF28" s="190"/>
      <c r="CG28" s="190"/>
      <c r="CH28" s="190"/>
      <c r="CI28" s="190"/>
      <c r="CJ28" s="190"/>
      <c r="CK28" s="190"/>
      <c r="CL28" s="190"/>
    </row>
    <row r="29" spans="1:90" x14ac:dyDescent="0.25">
      <c r="A29" s="17" t="s">
        <v>3</v>
      </c>
      <c r="B29" s="190">
        <v>0</v>
      </c>
      <c r="C29" s="190">
        <v>0</v>
      </c>
      <c r="D29" s="190">
        <v>0</v>
      </c>
      <c r="E29" s="190">
        <v>0</v>
      </c>
      <c r="F29" s="190">
        <v>0</v>
      </c>
      <c r="G29" s="190">
        <v>0</v>
      </c>
      <c r="H29" s="190">
        <v>0</v>
      </c>
      <c r="I29" s="190">
        <v>0</v>
      </c>
      <c r="J29" s="190">
        <v>0</v>
      </c>
      <c r="K29" s="190">
        <v>0</v>
      </c>
      <c r="L29" s="190">
        <v>0</v>
      </c>
      <c r="M29" s="190">
        <v>0</v>
      </c>
      <c r="N29" s="190">
        <v>0</v>
      </c>
      <c r="O29" s="190">
        <v>0</v>
      </c>
      <c r="P29" s="190">
        <v>0</v>
      </c>
      <c r="Q29" s="190">
        <v>0</v>
      </c>
      <c r="R29" s="190">
        <v>0</v>
      </c>
      <c r="S29" s="190">
        <v>0</v>
      </c>
      <c r="T29" s="190">
        <v>0</v>
      </c>
      <c r="U29" s="190">
        <v>0</v>
      </c>
      <c r="V29" s="190">
        <v>0</v>
      </c>
      <c r="W29" s="190">
        <v>0</v>
      </c>
      <c r="X29" s="190">
        <v>0</v>
      </c>
      <c r="Y29" s="190">
        <v>0</v>
      </c>
      <c r="Z29" s="190">
        <v>0</v>
      </c>
      <c r="AA29" s="190">
        <v>0</v>
      </c>
      <c r="AB29" s="190">
        <v>0</v>
      </c>
      <c r="AC29" s="190">
        <v>0</v>
      </c>
      <c r="AD29" s="190">
        <v>0</v>
      </c>
      <c r="AE29" s="190">
        <v>0</v>
      </c>
      <c r="AF29" s="190">
        <v>0</v>
      </c>
      <c r="AG29" s="190">
        <v>0</v>
      </c>
      <c r="AH29" s="190">
        <v>0</v>
      </c>
      <c r="AI29" s="190">
        <v>0</v>
      </c>
      <c r="AJ29" s="190">
        <v>0</v>
      </c>
      <c r="AK29" s="190">
        <v>0</v>
      </c>
      <c r="AL29" s="190">
        <v>0</v>
      </c>
      <c r="AM29" s="190">
        <v>0</v>
      </c>
      <c r="AN29" s="190">
        <v>0</v>
      </c>
      <c r="AO29" s="190">
        <v>0</v>
      </c>
      <c r="AP29" s="190">
        <v>0</v>
      </c>
      <c r="AQ29" s="190">
        <v>0</v>
      </c>
      <c r="AR29" s="190">
        <v>0</v>
      </c>
      <c r="AS29" s="190">
        <v>0</v>
      </c>
      <c r="AT29" s="190">
        <v>0</v>
      </c>
      <c r="AU29" s="190">
        <v>0</v>
      </c>
      <c r="AV29" s="190">
        <v>0</v>
      </c>
      <c r="AW29" s="190">
        <v>0</v>
      </c>
      <c r="AX29" s="190">
        <v>0</v>
      </c>
      <c r="AY29" s="190">
        <v>0</v>
      </c>
      <c r="AZ29" s="190">
        <v>0</v>
      </c>
      <c r="BA29" s="190">
        <v>0</v>
      </c>
      <c r="BB29" s="190">
        <v>0</v>
      </c>
      <c r="BC29" s="190">
        <v>0</v>
      </c>
      <c r="BD29" s="190">
        <v>0</v>
      </c>
      <c r="BE29" s="190">
        <v>0</v>
      </c>
      <c r="BF29" s="190">
        <v>0</v>
      </c>
      <c r="BG29" s="190">
        <v>0</v>
      </c>
      <c r="BH29" s="190">
        <v>0</v>
      </c>
      <c r="BI29" s="190">
        <v>0</v>
      </c>
      <c r="BJ29" s="190">
        <v>0</v>
      </c>
      <c r="BK29" s="190">
        <v>0</v>
      </c>
      <c r="BL29" s="190">
        <v>0</v>
      </c>
      <c r="BM29" s="190">
        <v>0</v>
      </c>
      <c r="BN29" s="190">
        <v>0</v>
      </c>
      <c r="BO29" s="190">
        <v>0</v>
      </c>
      <c r="BP29" s="190">
        <v>0</v>
      </c>
      <c r="BQ29" s="190">
        <v>0</v>
      </c>
      <c r="BR29" s="190">
        <v>0</v>
      </c>
      <c r="BS29" s="190">
        <v>0</v>
      </c>
      <c r="BT29" s="190">
        <v>0</v>
      </c>
      <c r="BU29" s="190"/>
      <c r="BV29" s="190"/>
      <c r="BW29" s="190"/>
      <c r="BX29" s="190"/>
      <c r="BY29" s="190"/>
      <c r="BZ29" s="190"/>
      <c r="CA29" s="190"/>
      <c r="CB29" s="190"/>
      <c r="CC29" s="190"/>
      <c r="CD29" s="190"/>
      <c r="CE29" s="190"/>
      <c r="CF29" s="190"/>
      <c r="CG29" s="190"/>
      <c r="CH29" s="190"/>
      <c r="CI29" s="190"/>
      <c r="CJ29" s="190"/>
      <c r="CK29" s="190"/>
      <c r="CL29" s="190"/>
    </row>
    <row r="30" spans="1:90" hidden="1" x14ac:dyDescent="0.25">
      <c r="B30" s="26"/>
      <c r="C30" s="26"/>
      <c r="D30" s="26"/>
      <c r="E30" s="26"/>
      <c r="F30" s="26"/>
      <c r="G30" s="26"/>
      <c r="H30" s="26"/>
      <c r="I30" s="26"/>
      <c r="J30" s="26"/>
      <c r="K30" s="26"/>
      <c r="L30" s="23"/>
    </row>
    <row r="31" spans="1:90" hidden="1" x14ac:dyDescent="0.25">
      <c r="B31" s="26"/>
      <c r="C31" s="26"/>
      <c r="D31" s="26"/>
      <c r="E31" s="26"/>
      <c r="F31" s="26"/>
      <c r="G31" s="26"/>
      <c r="H31" s="26"/>
      <c r="I31" s="26"/>
      <c r="J31" s="26"/>
      <c r="K31" s="26"/>
      <c r="L31" s="23"/>
    </row>
    <row r="32" spans="1:90" hidden="1" x14ac:dyDescent="0.25">
      <c r="B32" s="26"/>
      <c r="C32" s="26"/>
      <c r="D32" s="26"/>
      <c r="E32" s="26"/>
      <c r="F32" s="26"/>
      <c r="G32" s="26"/>
      <c r="H32" s="26"/>
      <c r="I32" s="26"/>
      <c r="J32" s="26"/>
      <c r="K32" s="26"/>
      <c r="L32" s="23"/>
    </row>
    <row r="33" spans="1:90" s="10" customFormat="1" x14ac:dyDescent="0.25">
      <c r="A33" s="123" t="s">
        <v>20</v>
      </c>
      <c r="B33" s="35">
        <f>SUM(B22:B29)</f>
        <v>375562000000</v>
      </c>
      <c r="C33" s="35">
        <f t="shared" ref="C33:BN33" si="2">SUM(C22:C29)</f>
        <v>276688000000</v>
      </c>
      <c r="D33" s="35">
        <f t="shared" si="2"/>
        <v>308423000000</v>
      </c>
      <c r="E33" s="35">
        <f t="shared" si="2"/>
        <v>312849000000</v>
      </c>
      <c r="F33" s="35">
        <f t="shared" si="2"/>
        <v>275224000000</v>
      </c>
      <c r="G33" s="35">
        <f t="shared" si="2"/>
        <v>273337000000</v>
      </c>
      <c r="H33" s="35">
        <f t="shared" si="2"/>
        <v>277649000000</v>
      </c>
      <c r="I33" s="35">
        <f t="shared" si="2"/>
        <v>269764000000</v>
      </c>
      <c r="J33" s="35">
        <f t="shared" si="2"/>
        <v>252612000000</v>
      </c>
      <c r="K33" s="35">
        <f t="shared" si="2"/>
        <v>270688000000</v>
      </c>
      <c r="L33" s="35">
        <f t="shared" si="2"/>
        <v>243660000000</v>
      </c>
      <c r="M33" s="35">
        <f t="shared" si="2"/>
        <v>263848000000</v>
      </c>
      <c r="N33" s="35">
        <f t="shared" si="2"/>
        <v>280033000000</v>
      </c>
      <c r="O33" s="35">
        <f t="shared" si="2"/>
        <v>321352000000</v>
      </c>
      <c r="P33" s="35">
        <f t="shared" si="2"/>
        <v>283438000000</v>
      </c>
      <c r="Q33" s="35">
        <f t="shared" si="2"/>
        <v>350044000000</v>
      </c>
      <c r="R33" s="35">
        <f t="shared" si="2"/>
        <v>385197000000</v>
      </c>
      <c r="S33" s="35">
        <f t="shared" si="2"/>
        <v>406382000000</v>
      </c>
      <c r="T33" s="35">
        <f t="shared" si="2"/>
        <v>385136000000</v>
      </c>
      <c r="U33" s="35">
        <f t="shared" si="2"/>
        <v>357909000000</v>
      </c>
      <c r="V33" s="35">
        <f t="shared" si="2"/>
        <v>364639000000</v>
      </c>
      <c r="W33" s="35">
        <f t="shared" si="2"/>
        <v>353745000000</v>
      </c>
      <c r="X33" s="35">
        <f t="shared" si="2"/>
        <v>370658000000</v>
      </c>
      <c r="Y33" s="35">
        <f t="shared" si="2"/>
        <v>333887000000</v>
      </c>
      <c r="Z33" s="35">
        <f t="shared" si="2"/>
        <v>326024000000</v>
      </c>
      <c r="AA33" s="35">
        <f t="shared" si="2"/>
        <v>329949000000</v>
      </c>
      <c r="AB33" s="35">
        <f t="shared" si="2"/>
        <v>366183000000</v>
      </c>
      <c r="AC33" s="35">
        <f t="shared" si="2"/>
        <v>302391000000</v>
      </c>
      <c r="AD33" s="35">
        <f t="shared" si="2"/>
        <v>306898000000</v>
      </c>
      <c r="AE33" s="35">
        <f t="shared" si="2"/>
        <v>317345000000</v>
      </c>
      <c r="AF33" s="35">
        <f t="shared" si="2"/>
        <v>291651000000</v>
      </c>
      <c r="AG33" s="35">
        <f t="shared" si="2"/>
        <v>231310000000</v>
      </c>
      <c r="AH33" s="35">
        <f t="shared" si="2"/>
        <v>233482000000</v>
      </c>
      <c r="AI33" s="35">
        <f t="shared" si="2"/>
        <v>233142000000</v>
      </c>
      <c r="AJ33" s="35">
        <f t="shared" si="2"/>
        <v>236762000000</v>
      </c>
      <c r="AK33" s="35">
        <f t="shared" si="2"/>
        <v>179237000000</v>
      </c>
      <c r="AL33" s="35">
        <f t="shared" si="2"/>
        <v>193733000000</v>
      </c>
      <c r="AM33" s="35">
        <f t="shared" si="2"/>
        <v>177277000000</v>
      </c>
      <c r="AN33" s="35">
        <f t="shared" si="2"/>
        <v>152905000000</v>
      </c>
      <c r="AO33" s="35">
        <f t="shared" si="2"/>
        <v>140307000000</v>
      </c>
      <c r="AP33" s="35">
        <f t="shared" si="2"/>
        <v>233439000000</v>
      </c>
      <c r="AQ33" s="35">
        <f t="shared" si="2"/>
        <v>250267000000</v>
      </c>
      <c r="AR33" s="35">
        <f t="shared" si="2"/>
        <v>201541000000</v>
      </c>
      <c r="AS33" s="35">
        <f t="shared" si="2"/>
        <v>173171000000</v>
      </c>
      <c r="AT33" s="35">
        <f t="shared" si="2"/>
        <v>161078000000</v>
      </c>
      <c r="AU33" s="35">
        <f t="shared" si="2"/>
        <v>162726000000</v>
      </c>
      <c r="AV33" s="35">
        <f t="shared" si="2"/>
        <v>141887000000</v>
      </c>
      <c r="AW33" s="35">
        <f t="shared" si="2"/>
        <v>133377000000</v>
      </c>
      <c r="AX33" s="35">
        <f t="shared" si="2"/>
        <v>159257000000</v>
      </c>
      <c r="AY33" s="35">
        <f t="shared" si="2"/>
        <v>150574000000</v>
      </c>
      <c r="AZ33" s="35">
        <f t="shared" si="2"/>
        <v>140953000000</v>
      </c>
      <c r="BA33" s="35">
        <f t="shared" si="2"/>
        <v>127149000000</v>
      </c>
      <c r="BB33" s="35">
        <f t="shared" si="2"/>
        <v>118880000000</v>
      </c>
      <c r="BC33" s="35">
        <f t="shared" si="2"/>
        <v>119993000000</v>
      </c>
      <c r="BD33" s="35">
        <f t="shared" si="2"/>
        <v>109145000000</v>
      </c>
      <c r="BE33" s="35">
        <f t="shared" si="2"/>
        <v>98776000000</v>
      </c>
      <c r="BF33" s="35">
        <f t="shared" si="2"/>
        <v>98502000000</v>
      </c>
      <c r="BG33" s="35">
        <f t="shared" si="2"/>
        <v>100034000000</v>
      </c>
      <c r="BH33" s="35">
        <f t="shared" si="2"/>
        <v>87706000000</v>
      </c>
      <c r="BI33" s="35">
        <f t="shared" si="2"/>
        <v>79513000000</v>
      </c>
      <c r="BJ33" s="35">
        <f t="shared" si="2"/>
        <v>79294000000</v>
      </c>
      <c r="BK33" s="35">
        <f t="shared" si="2"/>
        <v>82841000000</v>
      </c>
      <c r="BL33" s="35">
        <f t="shared" si="2"/>
        <v>85920000000</v>
      </c>
      <c r="BM33" s="35">
        <f t="shared" si="2"/>
        <v>80296000000</v>
      </c>
      <c r="BN33" s="35">
        <f t="shared" si="2"/>
        <v>84440000000</v>
      </c>
      <c r="BO33" s="35">
        <f t="shared" ref="BO33:CK33" si="3">SUM(BO22:BO29)</f>
        <v>89125000000</v>
      </c>
      <c r="BP33" s="35">
        <f t="shared" si="3"/>
        <v>84645000000</v>
      </c>
      <c r="BQ33" s="35">
        <f t="shared" si="3"/>
        <v>83895000000</v>
      </c>
      <c r="BR33" s="35">
        <f t="shared" si="3"/>
        <v>106720000000</v>
      </c>
      <c r="BS33" s="35">
        <f t="shared" si="3"/>
        <v>90421000000</v>
      </c>
      <c r="BT33" s="35">
        <f t="shared" si="3"/>
        <v>0</v>
      </c>
      <c r="BU33" s="35">
        <f t="shared" si="3"/>
        <v>0</v>
      </c>
      <c r="BV33" s="35">
        <f t="shared" si="3"/>
        <v>0</v>
      </c>
      <c r="BW33" s="35">
        <f t="shared" si="3"/>
        <v>0</v>
      </c>
      <c r="BX33" s="35">
        <f t="shared" si="3"/>
        <v>0</v>
      </c>
      <c r="BY33" s="35">
        <f t="shared" si="3"/>
        <v>0</v>
      </c>
      <c r="BZ33" s="35">
        <f t="shared" si="3"/>
        <v>0</v>
      </c>
      <c r="CA33" s="35">
        <f t="shared" si="3"/>
        <v>0</v>
      </c>
      <c r="CB33" s="35">
        <f t="shared" si="3"/>
        <v>0</v>
      </c>
      <c r="CC33" s="35">
        <f t="shared" si="3"/>
        <v>0</v>
      </c>
      <c r="CD33" s="35">
        <f t="shared" si="3"/>
        <v>0</v>
      </c>
      <c r="CE33" s="35">
        <f t="shared" si="3"/>
        <v>0</v>
      </c>
      <c r="CF33" s="35">
        <f t="shared" si="3"/>
        <v>0</v>
      </c>
      <c r="CG33" s="35">
        <f t="shared" si="3"/>
        <v>0</v>
      </c>
      <c r="CH33" s="35">
        <f t="shared" si="3"/>
        <v>0</v>
      </c>
      <c r="CI33" s="35">
        <f t="shared" si="3"/>
        <v>0</v>
      </c>
      <c r="CJ33" s="35">
        <f t="shared" si="3"/>
        <v>0</v>
      </c>
      <c r="CK33" s="35">
        <f t="shared" si="3"/>
        <v>0</v>
      </c>
    </row>
    <row r="34" spans="1:90" s="11" customFormat="1" x14ac:dyDescent="0.25">
      <c r="A34" s="122" t="s">
        <v>82</v>
      </c>
      <c r="B34" s="34"/>
      <c r="C34" s="34"/>
      <c r="D34" s="34"/>
      <c r="E34" s="34"/>
      <c r="F34" s="34"/>
      <c r="G34" s="34"/>
      <c r="H34" s="34"/>
      <c r="I34" s="34"/>
      <c r="J34" s="34"/>
      <c r="K34" s="34"/>
      <c r="L34" s="32"/>
      <c r="M34" s="14"/>
      <c r="N34" s="14"/>
    </row>
    <row r="35" spans="1:90" x14ac:dyDescent="0.25">
      <c r="A35" s="17" t="s">
        <v>21</v>
      </c>
      <c r="B35" s="190">
        <v>0</v>
      </c>
      <c r="C35" s="190">
        <v>0</v>
      </c>
      <c r="D35" s="190">
        <v>7398000000</v>
      </c>
      <c r="E35" s="190">
        <v>6462000000</v>
      </c>
      <c r="F35" s="190">
        <v>5879000000</v>
      </c>
      <c r="G35" s="190">
        <v>6162000000</v>
      </c>
      <c r="H35" s="190">
        <v>6039000000</v>
      </c>
      <c r="I35" s="190">
        <v>5828000000</v>
      </c>
      <c r="J35" s="190">
        <v>4457000000</v>
      </c>
      <c r="K35" s="190">
        <v>3836000000</v>
      </c>
      <c r="L35" s="190">
        <v>4570000000</v>
      </c>
      <c r="M35" s="190">
        <v>3566000000</v>
      </c>
      <c r="N35" s="190">
        <v>2915000000</v>
      </c>
      <c r="O35" s="190">
        <v>3912000000</v>
      </c>
      <c r="P35" s="190">
        <v>3877000000</v>
      </c>
      <c r="Q35" s="190">
        <v>4577000000</v>
      </c>
      <c r="R35" s="190">
        <v>3813000000</v>
      </c>
      <c r="S35" s="190">
        <v>3550000000</v>
      </c>
      <c r="T35" s="190">
        <v>4499000000</v>
      </c>
      <c r="U35" s="190">
        <v>4526000000</v>
      </c>
      <c r="V35" s="190">
        <v>5289000000</v>
      </c>
      <c r="W35" s="190">
        <v>5700000000</v>
      </c>
      <c r="X35" s="190">
        <v>5534000000</v>
      </c>
      <c r="Y35" s="190">
        <v>6656000000</v>
      </c>
      <c r="Z35" s="190">
        <v>6384000000</v>
      </c>
      <c r="AA35" s="190">
        <v>4276000000</v>
      </c>
      <c r="AB35" s="190">
        <v>4723000000</v>
      </c>
      <c r="AC35" s="190">
        <v>5933000000</v>
      </c>
      <c r="AD35" s="190">
        <v>4349000000</v>
      </c>
      <c r="AE35" s="190">
        <v>4301000000</v>
      </c>
      <c r="AF35" s="190">
        <v>5813000000</v>
      </c>
      <c r="AG35" s="190">
        <v>3818000000</v>
      </c>
      <c r="AH35" s="190">
        <v>8943000000</v>
      </c>
      <c r="AI35" s="190">
        <v>21847000000</v>
      </c>
      <c r="AJ35" s="190">
        <v>25317000000</v>
      </c>
      <c r="AK35" s="190">
        <v>23111000000</v>
      </c>
      <c r="AL35" s="190">
        <v>27258000000</v>
      </c>
      <c r="AM35" s="190">
        <v>32058000000</v>
      </c>
      <c r="AN35" s="190">
        <v>35429000000</v>
      </c>
      <c r="AO35" s="190">
        <v>17493000000</v>
      </c>
      <c r="AP35" s="190">
        <v>16341000000</v>
      </c>
      <c r="AQ35" s="190">
        <v>17563000000</v>
      </c>
      <c r="AR35" s="190">
        <v>12379000000</v>
      </c>
      <c r="AS35" s="190">
        <v>12162000000</v>
      </c>
      <c r="AT35" s="190">
        <v>18565000000</v>
      </c>
      <c r="AU35" s="190">
        <v>20372000000</v>
      </c>
      <c r="AV35" s="190">
        <v>18000000000</v>
      </c>
      <c r="AW35" s="190">
        <v>21685000000</v>
      </c>
      <c r="AX35" s="190">
        <v>26498000000</v>
      </c>
      <c r="AY35" s="190">
        <v>27198000000</v>
      </c>
      <c r="AZ35" s="190">
        <v>26246000000</v>
      </c>
      <c r="BA35" s="190">
        <v>23243000000</v>
      </c>
      <c r="BB35" s="190">
        <v>26743000000</v>
      </c>
      <c r="BC35" s="190">
        <v>26893000000</v>
      </c>
      <c r="BD35" s="190">
        <v>27791000000</v>
      </c>
      <c r="BE35" s="190">
        <v>30797000000</v>
      </c>
      <c r="BF35" s="190">
        <v>24808000000</v>
      </c>
      <c r="BG35" s="190">
        <v>28531000000</v>
      </c>
      <c r="BH35" s="190">
        <v>24547000000</v>
      </c>
      <c r="BI35" s="190">
        <v>23958000000</v>
      </c>
      <c r="BJ35" s="190">
        <v>28611000000</v>
      </c>
      <c r="BK35" s="190">
        <v>32566000000</v>
      </c>
      <c r="BL35" s="190">
        <v>30293000000</v>
      </c>
      <c r="BM35" s="190">
        <v>30139000000</v>
      </c>
      <c r="BN35" s="190">
        <v>32430000000</v>
      </c>
      <c r="BO35" s="190">
        <v>32903000000</v>
      </c>
      <c r="BP35" s="190">
        <v>29011000000</v>
      </c>
      <c r="BQ35" s="190">
        <v>26022000000</v>
      </c>
      <c r="BR35" s="190">
        <v>18194000000</v>
      </c>
      <c r="BS35" s="190">
        <v>11203000000</v>
      </c>
      <c r="BT35" s="190">
        <v>0</v>
      </c>
      <c r="BU35" s="190"/>
      <c r="BV35" s="190"/>
      <c r="BW35" s="190"/>
      <c r="BX35" s="190"/>
      <c r="BY35" s="190"/>
      <c r="BZ35" s="190"/>
      <c r="CA35" s="190"/>
      <c r="CB35" s="190"/>
      <c r="CC35" s="190"/>
      <c r="CD35" s="190"/>
      <c r="CE35" s="190"/>
      <c r="CF35" s="190"/>
      <c r="CG35" s="190"/>
      <c r="CH35" s="190"/>
      <c r="CI35" s="190"/>
      <c r="CJ35" s="190"/>
      <c r="CK35" s="190"/>
      <c r="CL35" s="190"/>
    </row>
    <row r="36" spans="1:90" x14ac:dyDescent="0.25">
      <c r="A36" s="17" t="s">
        <v>22</v>
      </c>
      <c r="B36" s="190">
        <v>0</v>
      </c>
      <c r="C36" s="190">
        <v>0</v>
      </c>
      <c r="D36" s="190">
        <v>177944000000</v>
      </c>
      <c r="E36" s="190">
        <v>200073000000</v>
      </c>
      <c r="F36" s="190">
        <v>156655000000</v>
      </c>
      <c r="G36" s="190">
        <v>170116000000</v>
      </c>
      <c r="H36" s="190">
        <v>158158000000</v>
      </c>
      <c r="I36" s="190">
        <v>174301000000</v>
      </c>
      <c r="J36" s="190">
        <v>140645000000</v>
      </c>
      <c r="K36" s="190">
        <v>151800000000</v>
      </c>
      <c r="L36" s="190">
        <v>117975000000</v>
      </c>
      <c r="M36" s="190">
        <v>130446000000</v>
      </c>
      <c r="N36" s="190">
        <v>129635000000</v>
      </c>
      <c r="O36" s="190">
        <v>163967000000</v>
      </c>
      <c r="P36" s="190">
        <v>131040000000</v>
      </c>
      <c r="Q36" s="190">
        <v>198366000000</v>
      </c>
      <c r="R36" s="190">
        <v>207130000000</v>
      </c>
      <c r="S36" s="190">
        <v>221246000000</v>
      </c>
      <c r="T36" s="190">
        <v>208384000000</v>
      </c>
      <c r="U36" s="190">
        <v>202724000000</v>
      </c>
      <c r="V36" s="190">
        <v>183762000000</v>
      </c>
      <c r="W36" s="190">
        <v>187176000000</v>
      </c>
      <c r="X36" s="190">
        <v>209989000000</v>
      </c>
      <c r="Y36" s="190">
        <v>215628000000</v>
      </c>
      <c r="Z36" s="190">
        <v>190169000000</v>
      </c>
      <c r="AA36" s="190">
        <v>172949000000</v>
      </c>
      <c r="AB36" s="190">
        <v>188502000000</v>
      </c>
      <c r="AC36" s="190">
        <v>177002000000</v>
      </c>
      <c r="AD36" s="190">
        <v>167358000000</v>
      </c>
      <c r="AE36" s="190">
        <v>171059000000</v>
      </c>
      <c r="AF36" s="190">
        <v>167772000000</v>
      </c>
      <c r="AG36" s="190">
        <v>132528000000</v>
      </c>
      <c r="AH36" s="190">
        <v>116965000000</v>
      </c>
      <c r="AI36" s="190">
        <v>112463000000</v>
      </c>
      <c r="AJ36" s="190">
        <v>127158000000</v>
      </c>
      <c r="AK36" s="190">
        <v>97749000000</v>
      </c>
      <c r="AL36" s="190">
        <v>92069000000</v>
      </c>
      <c r="AM36" s="190">
        <v>84673000000</v>
      </c>
      <c r="AN36" s="190">
        <v>70923000000</v>
      </c>
      <c r="AO36" s="190">
        <v>56667000000</v>
      </c>
      <c r="AP36" s="190">
        <v>103398000000</v>
      </c>
      <c r="AQ36" s="190">
        <v>126669000000</v>
      </c>
      <c r="AR36" s="190">
        <v>116817000000</v>
      </c>
      <c r="AS36" s="190">
        <v>93049000000</v>
      </c>
      <c r="AT36" s="190">
        <v>74045000000</v>
      </c>
      <c r="AU36" s="190">
        <v>69947000000</v>
      </c>
      <c r="AV36" s="190">
        <v>65438000000</v>
      </c>
      <c r="AW36" s="190">
        <v>52125000000</v>
      </c>
      <c r="AX36" s="190">
        <v>53872000000</v>
      </c>
      <c r="AY36" s="190">
        <v>50636000000</v>
      </c>
      <c r="AZ36" s="190">
        <v>48836000000</v>
      </c>
      <c r="BA36" s="190">
        <v>52967000000</v>
      </c>
      <c r="BB36" s="190">
        <v>32957000000</v>
      </c>
      <c r="BC36" s="190">
        <v>34152000000</v>
      </c>
      <c r="BD36" s="190">
        <v>29826000000</v>
      </c>
      <c r="BE36" s="190">
        <v>23792000000</v>
      </c>
      <c r="BF36" s="190">
        <v>24516000000</v>
      </c>
      <c r="BG36" s="190">
        <v>26277000000</v>
      </c>
      <c r="BH36" s="190">
        <v>23133000000</v>
      </c>
      <c r="BI36" s="190">
        <v>22704000000</v>
      </c>
      <c r="BJ36" s="190">
        <v>18308000000</v>
      </c>
      <c r="BK36" s="190">
        <v>17022000000</v>
      </c>
      <c r="BL36" s="190">
        <v>22218000000</v>
      </c>
      <c r="BM36" s="190">
        <v>19212000000</v>
      </c>
      <c r="BN36" s="190">
        <v>17540000000</v>
      </c>
      <c r="BO36" s="190">
        <v>17655000000</v>
      </c>
      <c r="BP36" s="190">
        <v>16808000000</v>
      </c>
      <c r="BQ36" s="190">
        <v>16793000000</v>
      </c>
      <c r="BR36" s="190">
        <v>13466000000</v>
      </c>
      <c r="BS36" s="190">
        <v>19403000000</v>
      </c>
      <c r="BT36" s="190">
        <v>0</v>
      </c>
      <c r="BU36" s="190"/>
      <c r="BV36" s="190"/>
      <c r="BW36" s="190"/>
      <c r="BX36" s="190"/>
      <c r="BY36" s="190"/>
      <c r="BZ36" s="190"/>
      <c r="CA36" s="190"/>
      <c r="CB36" s="190"/>
      <c r="CC36" s="190"/>
      <c r="CD36" s="190"/>
      <c r="CE36" s="190"/>
      <c r="CF36" s="190"/>
      <c r="CG36" s="190"/>
      <c r="CH36" s="190"/>
      <c r="CI36" s="190"/>
      <c r="CJ36" s="190"/>
      <c r="CK36" s="190"/>
      <c r="CL36" s="190"/>
    </row>
    <row r="37" spans="1:90" x14ac:dyDescent="0.25">
      <c r="A37" s="17" t="s">
        <v>23</v>
      </c>
      <c r="B37" s="190">
        <v>0</v>
      </c>
      <c r="C37" s="190">
        <v>0</v>
      </c>
      <c r="D37" s="190">
        <v>124548000000</v>
      </c>
      <c r="E37" s="190">
        <v>120734000000</v>
      </c>
      <c r="F37" s="190">
        <v>106321000000</v>
      </c>
      <c r="G37" s="190">
        <v>96039000000</v>
      </c>
      <c r="H37" s="190">
        <v>95104000000</v>
      </c>
      <c r="I37" s="190">
        <v>95928000000</v>
      </c>
      <c r="J37" s="190">
        <v>93757000000</v>
      </c>
      <c r="K37" s="190">
        <v>85968000000</v>
      </c>
      <c r="L37" s="190">
        <v>88080000000</v>
      </c>
      <c r="M37" s="190">
        <v>92649000000</v>
      </c>
      <c r="N37" s="190">
        <v>90770000000</v>
      </c>
      <c r="O37" s="190">
        <v>82573000000</v>
      </c>
      <c r="P37" s="190">
        <v>82831000000</v>
      </c>
      <c r="Q37" s="190">
        <v>89918000000</v>
      </c>
      <c r="R37" s="190">
        <v>86797000000</v>
      </c>
      <c r="S37" s="190">
        <v>75879000000</v>
      </c>
      <c r="T37" s="190">
        <v>74947000000</v>
      </c>
      <c r="U37" s="190">
        <v>81079000000</v>
      </c>
      <c r="V37" s="190">
        <v>76526000000</v>
      </c>
      <c r="W37" s="190">
        <v>62367000000</v>
      </c>
      <c r="X37" s="190">
        <v>62890000000</v>
      </c>
      <c r="Y37" s="190">
        <v>69299000000</v>
      </c>
      <c r="Z37" s="190">
        <v>64274000000</v>
      </c>
      <c r="AA37" s="190">
        <v>53494000000</v>
      </c>
      <c r="AB37" s="190">
        <v>54194000000</v>
      </c>
      <c r="AC37" s="190">
        <v>66686000000</v>
      </c>
      <c r="AD37" s="190">
        <v>56274000000</v>
      </c>
      <c r="AE37" s="190">
        <v>44977000000</v>
      </c>
      <c r="AF37" s="190">
        <v>47588000000</v>
      </c>
      <c r="AG37" s="190">
        <v>57324000000</v>
      </c>
      <c r="AH37" s="190">
        <v>47537000000</v>
      </c>
      <c r="AI37" s="190">
        <v>35600000000</v>
      </c>
      <c r="AJ37" s="190">
        <v>35231000000</v>
      </c>
      <c r="AK37" s="190">
        <v>37270000000</v>
      </c>
      <c r="AL37" s="190">
        <v>34472000000</v>
      </c>
      <c r="AM37" s="190">
        <v>27618000000</v>
      </c>
      <c r="AN37" s="190">
        <v>30718000000</v>
      </c>
      <c r="AO37" s="190">
        <v>29783000000</v>
      </c>
      <c r="AP37" s="190">
        <v>30844000000</v>
      </c>
      <c r="AQ37" s="190">
        <v>27448000000</v>
      </c>
      <c r="AR37" s="190">
        <v>26900000000</v>
      </c>
      <c r="AS37" s="190">
        <v>25082000000</v>
      </c>
      <c r="AT37" s="190">
        <v>24807000000</v>
      </c>
      <c r="AU37" s="190">
        <v>17296000000</v>
      </c>
      <c r="AV37" s="190">
        <v>17438000000</v>
      </c>
      <c r="AW37" s="190">
        <v>19689000000</v>
      </c>
      <c r="AX37" s="190">
        <v>19108000000</v>
      </c>
      <c r="AY37" s="190">
        <v>14624000000</v>
      </c>
      <c r="AZ37" s="190">
        <v>14520000000</v>
      </c>
      <c r="BA37" s="190">
        <v>14086000000</v>
      </c>
      <c r="BB37" s="190">
        <v>12965000000</v>
      </c>
      <c r="BC37" s="190">
        <v>9189000000</v>
      </c>
      <c r="BD37" s="190">
        <v>8977000000</v>
      </c>
      <c r="BE37" s="190">
        <v>8605000000</v>
      </c>
      <c r="BF37" s="190">
        <v>8086000000</v>
      </c>
      <c r="BG37" s="190">
        <v>5610000000</v>
      </c>
      <c r="BH37" s="190">
        <v>5408000000</v>
      </c>
      <c r="BI37" s="190">
        <v>5908000000</v>
      </c>
      <c r="BJ37" s="190">
        <v>4815000000</v>
      </c>
      <c r="BK37" s="190">
        <v>3839000000</v>
      </c>
      <c r="BL37" s="190">
        <v>3441000000</v>
      </c>
      <c r="BM37" s="190">
        <v>3767000000</v>
      </c>
      <c r="BN37" s="190">
        <v>4107000000</v>
      </c>
      <c r="BO37" s="190">
        <v>3075000000</v>
      </c>
      <c r="BP37" s="190">
        <v>3100000000</v>
      </c>
      <c r="BQ37" s="190">
        <v>2884000000</v>
      </c>
      <c r="BR37" s="190">
        <v>2754000000</v>
      </c>
      <c r="BS37" s="190">
        <v>2456000000</v>
      </c>
      <c r="BT37" s="190">
        <v>0</v>
      </c>
      <c r="BU37" s="190"/>
      <c r="BV37" s="190"/>
      <c r="BW37" s="190"/>
      <c r="BX37" s="190"/>
      <c r="BY37" s="190"/>
      <c r="BZ37" s="190"/>
      <c r="CA37" s="190"/>
      <c r="CB37" s="190"/>
      <c r="CC37" s="190"/>
      <c r="CD37" s="190"/>
      <c r="CE37" s="190"/>
      <c r="CF37" s="190"/>
      <c r="CG37" s="190"/>
      <c r="CH37" s="190"/>
      <c r="CI37" s="190"/>
      <c r="CJ37" s="190"/>
      <c r="CK37" s="190"/>
      <c r="CL37" s="190"/>
    </row>
    <row r="38" spans="1:90" x14ac:dyDescent="0.25">
      <c r="A38" s="17" t="s">
        <v>24</v>
      </c>
      <c r="B38" s="190">
        <v>0</v>
      </c>
      <c r="C38" s="190">
        <v>0</v>
      </c>
      <c r="D38" s="190">
        <v>0</v>
      </c>
      <c r="E38" s="190">
        <v>0</v>
      </c>
      <c r="F38" s="190">
        <v>0</v>
      </c>
      <c r="G38" s="190">
        <v>0</v>
      </c>
      <c r="H38" s="190">
        <v>0</v>
      </c>
      <c r="I38" s="190">
        <v>0</v>
      </c>
      <c r="J38" s="190">
        <v>0</v>
      </c>
      <c r="K38" s="190">
        <v>0</v>
      </c>
      <c r="L38" s="190">
        <v>0</v>
      </c>
      <c r="M38" s="190">
        <v>0</v>
      </c>
      <c r="N38" s="190">
        <v>0</v>
      </c>
      <c r="O38" s="190">
        <v>0</v>
      </c>
      <c r="P38" s="190">
        <v>0</v>
      </c>
      <c r="Q38" s="190">
        <v>0</v>
      </c>
      <c r="R38" s="190">
        <v>0</v>
      </c>
      <c r="S38" s="190">
        <v>0</v>
      </c>
      <c r="T38" s="190">
        <v>0</v>
      </c>
      <c r="U38" s="190">
        <v>0</v>
      </c>
      <c r="V38" s="190">
        <v>0</v>
      </c>
      <c r="W38" s="190">
        <v>0</v>
      </c>
      <c r="X38" s="190">
        <v>0</v>
      </c>
      <c r="Y38" s="190">
        <v>0</v>
      </c>
      <c r="Z38" s="190">
        <v>0</v>
      </c>
      <c r="AA38" s="190">
        <v>0</v>
      </c>
      <c r="AB38" s="190">
        <v>0</v>
      </c>
      <c r="AC38" s="190">
        <v>0</v>
      </c>
      <c r="AD38" s="190">
        <v>0</v>
      </c>
      <c r="AE38" s="190">
        <v>0</v>
      </c>
      <c r="AF38" s="190">
        <v>0</v>
      </c>
      <c r="AG38" s="190">
        <v>0</v>
      </c>
      <c r="AH38" s="190">
        <v>0</v>
      </c>
      <c r="AI38" s="190">
        <v>0</v>
      </c>
      <c r="AJ38" s="190">
        <v>0</v>
      </c>
      <c r="AK38" s="190">
        <v>0</v>
      </c>
      <c r="AL38" s="190">
        <v>0</v>
      </c>
      <c r="AM38" s="190">
        <v>0</v>
      </c>
      <c r="AN38" s="190">
        <v>0</v>
      </c>
      <c r="AO38" s="190">
        <v>0</v>
      </c>
      <c r="AP38" s="190">
        <v>0</v>
      </c>
      <c r="AQ38" s="190">
        <v>0</v>
      </c>
      <c r="AR38" s="190">
        <v>0</v>
      </c>
      <c r="AS38" s="190">
        <v>0</v>
      </c>
      <c r="AT38" s="190">
        <v>0</v>
      </c>
      <c r="AU38" s="190">
        <v>0</v>
      </c>
      <c r="AV38" s="190">
        <v>0</v>
      </c>
      <c r="AW38" s="190">
        <v>0</v>
      </c>
      <c r="AX38" s="190">
        <v>0</v>
      </c>
      <c r="AY38" s="190">
        <v>0</v>
      </c>
      <c r="AZ38" s="190">
        <v>0</v>
      </c>
      <c r="BA38" s="190">
        <v>0</v>
      </c>
      <c r="BB38" s="190">
        <v>0</v>
      </c>
      <c r="BC38" s="190">
        <v>0</v>
      </c>
      <c r="BD38" s="190">
        <v>0</v>
      </c>
      <c r="BE38" s="190">
        <v>0</v>
      </c>
      <c r="BF38" s="190">
        <v>0</v>
      </c>
      <c r="BG38" s="190">
        <v>0</v>
      </c>
      <c r="BH38" s="190">
        <v>0</v>
      </c>
      <c r="BI38" s="190">
        <v>0</v>
      </c>
      <c r="BJ38" s="190">
        <v>0</v>
      </c>
      <c r="BK38" s="190">
        <v>0</v>
      </c>
      <c r="BL38" s="190">
        <v>0</v>
      </c>
      <c r="BM38" s="190">
        <v>0</v>
      </c>
      <c r="BN38" s="190">
        <v>0</v>
      </c>
      <c r="BO38" s="190">
        <v>0</v>
      </c>
      <c r="BP38" s="190">
        <v>0</v>
      </c>
      <c r="BQ38" s="190">
        <v>0</v>
      </c>
      <c r="BR38" s="190">
        <v>0</v>
      </c>
      <c r="BS38" s="190">
        <v>0</v>
      </c>
      <c r="BT38" s="190">
        <v>0</v>
      </c>
      <c r="BU38" s="190"/>
      <c r="BV38" s="190"/>
      <c r="BW38" s="190"/>
      <c r="BX38" s="190"/>
      <c r="BY38" s="190"/>
      <c r="BZ38" s="190"/>
      <c r="CA38" s="190"/>
      <c r="CB38" s="190"/>
      <c r="CC38" s="190"/>
      <c r="CD38" s="190"/>
      <c r="CE38" s="190"/>
      <c r="CF38" s="190"/>
      <c r="CG38" s="190"/>
      <c r="CH38" s="190"/>
      <c r="CI38" s="190"/>
      <c r="CJ38" s="190"/>
      <c r="CK38" s="190"/>
      <c r="CL38" s="190"/>
    </row>
    <row r="39" spans="1:90" x14ac:dyDescent="0.25">
      <c r="A39" s="17" t="s">
        <v>25</v>
      </c>
      <c r="B39" s="190">
        <v>11922000000</v>
      </c>
      <c r="C39" s="190">
        <v>12467000000</v>
      </c>
      <c r="D39" s="190">
        <v>8425000000</v>
      </c>
      <c r="E39" s="190">
        <v>7162000000</v>
      </c>
      <c r="F39" s="190">
        <v>5710000000</v>
      </c>
      <c r="G39" s="190">
        <v>4190000000</v>
      </c>
      <c r="H39" s="190">
        <v>3621000000</v>
      </c>
      <c r="I39" s="190">
        <v>1618000000</v>
      </c>
      <c r="J39" s="190">
        <v>4549000000</v>
      </c>
      <c r="K39" s="190">
        <v>3619000000</v>
      </c>
      <c r="L39" s="190">
        <v>2736000000</v>
      </c>
      <c r="M39" s="190">
        <v>1185000000</v>
      </c>
      <c r="N39" s="190">
        <v>3781000000</v>
      </c>
      <c r="O39" s="190">
        <v>3366000000</v>
      </c>
      <c r="P39" s="190">
        <v>2398000000</v>
      </c>
      <c r="Q39" s="190">
        <v>839000000</v>
      </c>
      <c r="R39" s="190">
        <v>3463000000</v>
      </c>
      <c r="S39" s="190">
        <v>3120000000</v>
      </c>
      <c r="T39" s="190">
        <v>2267000000</v>
      </c>
      <c r="U39" s="190">
        <v>818000000</v>
      </c>
      <c r="V39" s="190">
        <v>2518000000</v>
      </c>
      <c r="W39" s="190">
        <v>3059000000</v>
      </c>
      <c r="X39" s="190">
        <v>2445000000</v>
      </c>
      <c r="Y39" s="190">
        <v>1838000000</v>
      </c>
      <c r="Z39" s="190">
        <v>2887000000</v>
      </c>
      <c r="AA39" s="190">
        <v>5985000000</v>
      </c>
      <c r="AB39" s="190">
        <v>4537000000</v>
      </c>
      <c r="AC39" s="190">
        <v>1795000000</v>
      </c>
      <c r="AD39" s="190">
        <v>12976000000</v>
      </c>
      <c r="AE39" s="190">
        <v>11238000000</v>
      </c>
      <c r="AF39" s="190">
        <v>9827000000</v>
      </c>
      <c r="AG39" s="190">
        <v>7444000000</v>
      </c>
      <c r="AH39" s="190">
        <v>9263000000</v>
      </c>
      <c r="AI39" s="190">
        <v>8714000000</v>
      </c>
      <c r="AJ39" s="190">
        <v>6244000000</v>
      </c>
      <c r="AK39" s="190">
        <v>4526000000</v>
      </c>
      <c r="AL39" s="190">
        <v>4469000000</v>
      </c>
      <c r="AM39" s="190">
        <v>3981000000</v>
      </c>
      <c r="AN39" s="190">
        <v>4359000000</v>
      </c>
      <c r="AO39" s="190">
        <v>1778000000</v>
      </c>
      <c r="AP39" s="190">
        <v>7414000000</v>
      </c>
      <c r="AQ39" s="190">
        <v>7091000000</v>
      </c>
      <c r="AR39" s="190">
        <v>5391000000</v>
      </c>
      <c r="AS39" s="190">
        <v>5905000000</v>
      </c>
      <c r="AT39" s="190">
        <v>7223000000</v>
      </c>
      <c r="AU39" s="190">
        <v>6267000000</v>
      </c>
      <c r="AV39" s="190">
        <v>4886000000</v>
      </c>
      <c r="AW39" s="190">
        <v>4163000000</v>
      </c>
      <c r="AX39" s="190">
        <v>4553000000</v>
      </c>
      <c r="AY39" s="190">
        <v>4443000000</v>
      </c>
      <c r="AZ39" s="190">
        <v>4085000000</v>
      </c>
      <c r="BA39" s="190">
        <v>4488000000</v>
      </c>
      <c r="BB39" s="190">
        <v>4949000000</v>
      </c>
      <c r="BC39" s="190">
        <v>4710000000</v>
      </c>
      <c r="BD39" s="190">
        <v>4533000000</v>
      </c>
      <c r="BE39" s="190">
        <v>4324000000</v>
      </c>
      <c r="BF39" s="190">
        <v>3689000000</v>
      </c>
      <c r="BG39" s="190">
        <v>3556000000</v>
      </c>
      <c r="BH39" s="190">
        <v>3008000000</v>
      </c>
      <c r="BI39" s="190">
        <v>3080000000</v>
      </c>
      <c r="BJ39" s="190">
        <v>4364000000</v>
      </c>
      <c r="BK39" s="190">
        <v>4011000000</v>
      </c>
      <c r="BL39" s="190">
        <v>2390000000</v>
      </c>
      <c r="BM39" s="190">
        <v>2471000000</v>
      </c>
      <c r="BN39" s="190">
        <v>2215000000</v>
      </c>
      <c r="BO39" s="190">
        <v>2236000000</v>
      </c>
      <c r="BP39" s="190">
        <v>1872000000</v>
      </c>
      <c r="BQ39" s="190">
        <v>1908000000</v>
      </c>
      <c r="BR39" s="190">
        <v>1585000000</v>
      </c>
      <c r="BS39" s="190">
        <v>1338000000</v>
      </c>
      <c r="BT39" s="190">
        <v>0</v>
      </c>
      <c r="BU39" s="190"/>
      <c r="BV39" s="190"/>
      <c r="BW39" s="190"/>
      <c r="BX39" s="190"/>
      <c r="BY39" s="190"/>
      <c r="BZ39" s="190"/>
      <c r="CA39" s="190"/>
      <c r="CB39" s="190"/>
      <c r="CC39" s="190"/>
      <c r="CD39" s="190"/>
      <c r="CE39" s="190"/>
      <c r="CF39" s="190"/>
      <c r="CG39" s="190"/>
      <c r="CH39" s="190"/>
      <c r="CI39" s="190"/>
      <c r="CJ39" s="190"/>
      <c r="CK39" s="190"/>
      <c r="CL39" s="190"/>
    </row>
    <row r="40" spans="1:90" x14ac:dyDescent="0.25">
      <c r="A40" s="17" t="s">
        <v>26</v>
      </c>
      <c r="B40" s="190">
        <v>43349000000</v>
      </c>
      <c r="C40" s="190">
        <v>39831000000</v>
      </c>
      <c r="D40" s="190">
        <v>45124000000</v>
      </c>
      <c r="E40" s="190">
        <v>71940000000</v>
      </c>
      <c r="F40" s="190">
        <v>39722000000</v>
      </c>
      <c r="G40" s="190">
        <v>31857000000</v>
      </c>
      <c r="H40" s="190">
        <v>44431000000</v>
      </c>
      <c r="I40" s="190">
        <v>52886000000</v>
      </c>
      <c r="J40" s="190">
        <v>33717000000</v>
      </c>
      <c r="K40" s="190">
        <v>30696000000</v>
      </c>
      <c r="L40" s="190">
        <v>26632000000</v>
      </c>
      <c r="M40" s="190">
        <v>32473000000</v>
      </c>
      <c r="N40" s="190">
        <v>29244000000</v>
      </c>
      <c r="O40" s="190">
        <v>30585000000</v>
      </c>
      <c r="P40" s="190">
        <v>28168000000</v>
      </c>
      <c r="Q40" s="190">
        <v>28677000000</v>
      </c>
      <c r="R40" s="190">
        <v>34821000000</v>
      </c>
      <c r="S40" s="190">
        <v>33227000000</v>
      </c>
      <c r="T40" s="190">
        <v>32515000000</v>
      </c>
      <c r="U40" s="190">
        <v>35888000000</v>
      </c>
      <c r="V40" s="190">
        <v>29264000000</v>
      </c>
      <c r="W40" s="190">
        <v>29829000000</v>
      </c>
      <c r="X40" s="190">
        <v>18521000000</v>
      </c>
      <c r="Y40" s="190">
        <v>21985000000</v>
      </c>
      <c r="Z40" s="190">
        <v>21271000000</v>
      </c>
      <c r="AA40" s="190">
        <v>16722000000</v>
      </c>
      <c r="AB40" s="190">
        <v>25176000000</v>
      </c>
      <c r="AC40" s="190">
        <v>39622000000</v>
      </c>
      <c r="AD40" s="190">
        <v>24543000000</v>
      </c>
      <c r="AE40" s="190">
        <v>24205000000</v>
      </c>
      <c r="AF40" s="190">
        <v>29167000000</v>
      </c>
      <c r="AG40" s="190">
        <v>33814000000</v>
      </c>
      <c r="AH40" s="190">
        <v>19073000000</v>
      </c>
      <c r="AI40" s="190">
        <v>17997000000</v>
      </c>
      <c r="AJ40" s="190">
        <v>15445000000</v>
      </c>
      <c r="AK40" s="190">
        <v>16489000000</v>
      </c>
      <c r="AL40" s="190">
        <v>11464000000</v>
      </c>
      <c r="AM40" s="190">
        <v>15246000000</v>
      </c>
      <c r="AN40" s="190">
        <v>19759000000</v>
      </c>
      <c r="AO40" s="190">
        <v>7057000000</v>
      </c>
      <c r="AP40" s="190">
        <v>907000000</v>
      </c>
      <c r="AQ40" s="190">
        <v>9324000000</v>
      </c>
      <c r="AR40" s="190">
        <v>17735000000</v>
      </c>
      <c r="AS40" s="190">
        <v>17562000000</v>
      </c>
      <c r="AT40" s="190">
        <v>16797000000</v>
      </c>
      <c r="AU40" s="190">
        <v>16620000000</v>
      </c>
      <c r="AV40" s="190">
        <v>19820000000</v>
      </c>
      <c r="AW40" s="190">
        <v>11348000000</v>
      </c>
      <c r="AX40" s="190">
        <v>5209000000</v>
      </c>
      <c r="AY40" s="190">
        <v>4105000000</v>
      </c>
      <c r="AZ40" s="190">
        <v>5430000000</v>
      </c>
      <c r="BA40" s="190">
        <v>5262000000</v>
      </c>
      <c r="BB40" s="190">
        <v>4695000000</v>
      </c>
      <c r="BC40" s="190">
        <v>3552000000</v>
      </c>
      <c r="BD40" s="190">
        <v>8274000000</v>
      </c>
      <c r="BE40" s="190">
        <v>6741000000</v>
      </c>
      <c r="BF40" s="190">
        <v>8113000000</v>
      </c>
      <c r="BG40" s="190">
        <v>6025000000</v>
      </c>
      <c r="BH40" s="190">
        <v>7623000000</v>
      </c>
      <c r="BI40" s="190">
        <v>6986000000</v>
      </c>
      <c r="BJ40" s="190">
        <v>4508000000</v>
      </c>
      <c r="BK40" s="190">
        <v>3937000000</v>
      </c>
      <c r="BL40" s="190">
        <v>4620000000</v>
      </c>
      <c r="BM40" s="190">
        <v>3380000000</v>
      </c>
      <c r="BN40" s="190">
        <v>4569000000</v>
      </c>
      <c r="BO40" s="190">
        <v>3053000000</v>
      </c>
      <c r="BP40" s="190">
        <v>4223000000</v>
      </c>
      <c r="BQ40" s="190">
        <v>3587000000</v>
      </c>
      <c r="BR40" s="190">
        <v>2328000000</v>
      </c>
      <c r="BS40" s="190">
        <v>4093000000</v>
      </c>
      <c r="BT40" s="190">
        <v>0</v>
      </c>
      <c r="BU40" s="190"/>
      <c r="BV40" s="190"/>
      <c r="BW40" s="190"/>
      <c r="BX40" s="190"/>
      <c r="BY40" s="190"/>
      <c r="BZ40" s="190"/>
      <c r="CA40" s="190"/>
      <c r="CB40" s="190"/>
      <c r="CC40" s="190"/>
      <c r="CD40" s="190"/>
      <c r="CE40" s="190"/>
      <c r="CF40" s="190"/>
      <c r="CG40" s="190"/>
      <c r="CH40" s="190"/>
      <c r="CI40" s="190"/>
      <c r="CJ40" s="190"/>
      <c r="CK40" s="190"/>
      <c r="CL40" s="190"/>
    </row>
    <row r="41" spans="1:90" x14ac:dyDescent="0.25">
      <c r="A41" s="17" t="s">
        <v>27</v>
      </c>
      <c r="B41" s="190">
        <v>94991000000</v>
      </c>
      <c r="C41" s="190">
        <v>88043000000</v>
      </c>
      <c r="D41" s="190">
        <v>75019000000</v>
      </c>
      <c r="E41" s="190">
        <v>84850000000</v>
      </c>
      <c r="F41" s="190">
        <v>66696000000</v>
      </c>
      <c r="G41" s="190">
        <v>64171000000</v>
      </c>
      <c r="H41" s="190">
        <v>66124000000</v>
      </c>
      <c r="I41" s="190">
        <v>79636000000</v>
      </c>
      <c r="J41" s="190">
        <v>58739000000</v>
      </c>
      <c r="K41" s="190">
        <v>63799000000</v>
      </c>
      <c r="L41" s="190">
        <v>60901000000</v>
      </c>
      <c r="M41" s="190">
        <v>86317000000</v>
      </c>
      <c r="N41" s="190">
        <v>55756000000</v>
      </c>
      <c r="O41" s="190">
        <v>67280000000</v>
      </c>
      <c r="P41" s="190">
        <v>61989000000</v>
      </c>
      <c r="Q41" s="190">
        <v>103302000000</v>
      </c>
      <c r="R41" s="190">
        <v>63751000000</v>
      </c>
      <c r="S41" s="190">
        <v>68100000000</v>
      </c>
      <c r="T41" s="190">
        <v>60569000000</v>
      </c>
      <c r="U41" s="190">
        <v>82917000000</v>
      </c>
      <c r="V41" s="190">
        <v>61812000000</v>
      </c>
      <c r="W41" s="190">
        <v>54676000000</v>
      </c>
      <c r="X41" s="190">
        <v>51023000000</v>
      </c>
      <c r="Y41" s="190">
        <v>61721000000</v>
      </c>
      <c r="Z41" s="190">
        <v>47925000000</v>
      </c>
      <c r="AA41" s="190">
        <v>53119000000</v>
      </c>
      <c r="AB41" s="190">
        <v>55696000000</v>
      </c>
      <c r="AC41" s="190">
        <v>57662000000</v>
      </c>
      <c r="AD41" s="190">
        <v>51282000000</v>
      </c>
      <c r="AE41" s="190">
        <v>55426000000</v>
      </c>
      <c r="AF41" s="190">
        <v>49099000000</v>
      </c>
      <c r="AG41" s="190">
        <v>54871000000</v>
      </c>
      <c r="AH41" s="190">
        <v>49312000000</v>
      </c>
      <c r="AI41" s="190">
        <v>47237000000</v>
      </c>
      <c r="AJ41" s="190">
        <v>44520000000</v>
      </c>
      <c r="AK41" s="190">
        <v>49676000000</v>
      </c>
      <c r="AL41" s="190">
        <v>50497000000</v>
      </c>
      <c r="AM41" s="190">
        <v>52924000000</v>
      </c>
      <c r="AN41" s="190">
        <v>39282000000</v>
      </c>
      <c r="AO41" s="190">
        <v>46972000000</v>
      </c>
      <c r="AP41" s="190">
        <v>44967000000</v>
      </c>
      <c r="AQ41" s="190">
        <v>65617000000</v>
      </c>
      <c r="AR41" s="190">
        <v>41443000000</v>
      </c>
      <c r="AS41" s="190">
        <v>47503000000</v>
      </c>
      <c r="AT41" s="190">
        <v>41239000000</v>
      </c>
      <c r="AU41" s="190">
        <v>41797000000</v>
      </c>
      <c r="AV41" s="190">
        <v>30069000000</v>
      </c>
      <c r="AW41" s="190">
        <v>36065000000</v>
      </c>
      <c r="AX41" s="190">
        <v>27357000000</v>
      </c>
      <c r="AY41" s="190">
        <v>30656000000</v>
      </c>
      <c r="AZ41" s="190">
        <v>21685000000</v>
      </c>
      <c r="BA41" s="190">
        <v>24161000000</v>
      </c>
      <c r="BB41" s="190">
        <v>26407000000</v>
      </c>
      <c r="BC41" s="190">
        <v>27384000000</v>
      </c>
      <c r="BD41" s="190">
        <v>23166000000</v>
      </c>
      <c r="BE41" s="190">
        <v>26459000000</v>
      </c>
      <c r="BF41" s="190">
        <v>23398000000</v>
      </c>
      <c r="BG41" s="190">
        <v>25334000000</v>
      </c>
      <c r="BH41" s="190">
        <v>26764000000</v>
      </c>
      <c r="BI41" s="190">
        <v>27537000000</v>
      </c>
      <c r="BJ41" s="190">
        <v>20714000000</v>
      </c>
      <c r="BK41" s="190">
        <v>21717000000</v>
      </c>
      <c r="BL41" s="190">
        <v>20297000000</v>
      </c>
      <c r="BM41" s="190">
        <v>19787000000</v>
      </c>
      <c r="BN41" s="190">
        <v>21062000000</v>
      </c>
      <c r="BO41" s="190">
        <v>21976000000</v>
      </c>
      <c r="BP41" s="190">
        <v>19993000000</v>
      </c>
      <c r="BQ41" s="190">
        <v>20112000000</v>
      </c>
      <c r="BR41" s="190">
        <v>22706000000</v>
      </c>
      <c r="BS41" s="190">
        <v>23122000000</v>
      </c>
      <c r="BT41" s="190">
        <v>0</v>
      </c>
      <c r="BU41" s="190"/>
      <c r="BV41" s="190"/>
      <c r="BW41" s="190"/>
      <c r="BX41" s="190"/>
      <c r="BY41" s="190"/>
      <c r="BZ41" s="190"/>
      <c r="CA41" s="190"/>
      <c r="CB41" s="190"/>
      <c r="CC41" s="190"/>
      <c r="CD41" s="190"/>
      <c r="CE41" s="190"/>
      <c r="CF41" s="190"/>
      <c r="CG41" s="190"/>
      <c r="CH41" s="190"/>
      <c r="CI41" s="190"/>
      <c r="CJ41" s="190"/>
      <c r="CK41" s="190"/>
      <c r="CL41" s="190"/>
    </row>
    <row r="42" spans="1:90" s="39" customFormat="1" x14ac:dyDescent="0.25">
      <c r="A42" s="124" t="s">
        <v>28</v>
      </c>
      <c r="B42" s="190">
        <v>0</v>
      </c>
      <c r="C42" s="190">
        <v>0</v>
      </c>
      <c r="D42" s="190">
        <v>0</v>
      </c>
      <c r="E42" s="190">
        <v>0</v>
      </c>
      <c r="F42" s="190">
        <v>0</v>
      </c>
      <c r="G42" s="190">
        <v>0</v>
      </c>
      <c r="H42" s="190">
        <v>0</v>
      </c>
      <c r="I42" s="190">
        <v>0</v>
      </c>
      <c r="J42" s="190">
        <v>0</v>
      </c>
      <c r="K42" s="190">
        <v>0</v>
      </c>
      <c r="L42" s="190">
        <v>0</v>
      </c>
      <c r="M42" s="190">
        <v>0</v>
      </c>
      <c r="N42" s="190">
        <v>0</v>
      </c>
      <c r="O42" s="190">
        <v>0</v>
      </c>
      <c r="P42" s="190">
        <v>0</v>
      </c>
      <c r="Q42" s="190">
        <v>0</v>
      </c>
      <c r="R42" s="190">
        <v>0</v>
      </c>
      <c r="S42" s="190">
        <v>0</v>
      </c>
      <c r="T42" s="190">
        <v>0</v>
      </c>
      <c r="U42" s="190">
        <v>0</v>
      </c>
      <c r="V42" s="190">
        <v>0</v>
      </c>
      <c r="W42" s="190">
        <v>0</v>
      </c>
      <c r="X42" s="190">
        <v>0</v>
      </c>
      <c r="Y42" s="190">
        <v>0</v>
      </c>
      <c r="Z42" s="190">
        <v>0</v>
      </c>
      <c r="AA42" s="190">
        <v>0</v>
      </c>
      <c r="AB42" s="190">
        <v>0</v>
      </c>
      <c r="AC42" s="190">
        <v>0</v>
      </c>
      <c r="AD42" s="190">
        <v>0</v>
      </c>
      <c r="AE42" s="190">
        <v>0</v>
      </c>
      <c r="AF42" s="190">
        <v>0</v>
      </c>
      <c r="AG42" s="190">
        <v>0</v>
      </c>
      <c r="AH42" s="190">
        <v>0</v>
      </c>
      <c r="AI42" s="190">
        <v>0</v>
      </c>
      <c r="AJ42" s="190">
        <v>0</v>
      </c>
      <c r="AK42" s="190">
        <v>0</v>
      </c>
      <c r="AL42" s="190">
        <v>0</v>
      </c>
      <c r="AM42" s="190">
        <v>0</v>
      </c>
      <c r="AN42" s="190">
        <v>0</v>
      </c>
      <c r="AO42" s="190">
        <v>0</v>
      </c>
      <c r="AP42" s="190">
        <v>0</v>
      </c>
      <c r="AQ42" s="190">
        <v>0</v>
      </c>
      <c r="AR42" s="190">
        <v>0</v>
      </c>
      <c r="AS42" s="190">
        <v>0</v>
      </c>
      <c r="AT42" s="190">
        <v>0</v>
      </c>
      <c r="AU42" s="190">
        <v>0</v>
      </c>
      <c r="AV42" s="190">
        <v>0</v>
      </c>
      <c r="AW42" s="190">
        <v>0</v>
      </c>
      <c r="AX42" s="190">
        <v>0</v>
      </c>
      <c r="AY42" s="190">
        <v>0</v>
      </c>
      <c r="AZ42" s="190">
        <v>0</v>
      </c>
      <c r="BA42" s="190">
        <v>0</v>
      </c>
      <c r="BB42" s="190">
        <v>0</v>
      </c>
      <c r="BC42" s="190">
        <v>0</v>
      </c>
      <c r="BD42" s="190">
        <v>0</v>
      </c>
      <c r="BE42" s="190">
        <v>0</v>
      </c>
      <c r="BF42" s="190">
        <v>0</v>
      </c>
      <c r="BG42" s="190">
        <v>0</v>
      </c>
      <c r="BH42" s="190">
        <v>0</v>
      </c>
      <c r="BI42" s="190">
        <v>0</v>
      </c>
      <c r="BJ42" s="190">
        <v>0</v>
      </c>
      <c r="BK42" s="190">
        <v>0</v>
      </c>
      <c r="BL42" s="190">
        <v>0</v>
      </c>
      <c r="BM42" s="190">
        <v>0</v>
      </c>
      <c r="BN42" s="190">
        <v>0</v>
      </c>
      <c r="BO42" s="190">
        <v>0</v>
      </c>
      <c r="BP42" s="190">
        <v>0</v>
      </c>
      <c r="BQ42" s="190">
        <v>0</v>
      </c>
      <c r="BR42" s="190">
        <v>0</v>
      </c>
      <c r="BS42" s="190">
        <v>0</v>
      </c>
      <c r="BT42" s="190">
        <v>0</v>
      </c>
      <c r="BU42" s="190"/>
      <c r="BV42" s="190"/>
      <c r="BW42" s="190"/>
      <c r="BX42" s="190"/>
      <c r="BY42" s="190"/>
      <c r="BZ42" s="190"/>
      <c r="CA42" s="190"/>
      <c r="CB42" s="190"/>
      <c r="CC42" s="190"/>
      <c r="CD42" s="190"/>
      <c r="CE42" s="190"/>
      <c r="CF42" s="190"/>
      <c r="CG42" s="190"/>
      <c r="CH42" s="190"/>
      <c r="CI42" s="190"/>
      <c r="CJ42" s="190"/>
      <c r="CK42" s="190"/>
      <c r="CL42" s="190"/>
    </row>
    <row r="43" spans="1:90" x14ac:dyDescent="0.25">
      <c r="A43" s="17" t="s">
        <v>29</v>
      </c>
      <c r="B43" s="190">
        <v>0</v>
      </c>
      <c r="C43" s="190">
        <v>0</v>
      </c>
      <c r="D43" s="190">
        <v>0</v>
      </c>
      <c r="E43" s="190">
        <v>0</v>
      </c>
      <c r="F43" s="190">
        <v>0</v>
      </c>
      <c r="G43" s="190">
        <v>0</v>
      </c>
      <c r="H43" s="190">
        <v>0</v>
      </c>
      <c r="I43" s="190">
        <v>0</v>
      </c>
      <c r="J43" s="190">
        <v>0</v>
      </c>
      <c r="K43" s="190">
        <v>0</v>
      </c>
      <c r="L43" s="190">
        <v>0</v>
      </c>
      <c r="M43" s="190">
        <v>0</v>
      </c>
      <c r="N43" s="190">
        <v>0</v>
      </c>
      <c r="O43" s="190">
        <v>0</v>
      </c>
      <c r="P43" s="190">
        <v>0</v>
      </c>
      <c r="Q43" s="190">
        <v>0</v>
      </c>
      <c r="R43" s="190">
        <v>0</v>
      </c>
      <c r="S43" s="190">
        <v>0</v>
      </c>
      <c r="T43" s="190">
        <v>0</v>
      </c>
      <c r="U43" s="190">
        <v>0</v>
      </c>
      <c r="V43" s="190">
        <v>0</v>
      </c>
      <c r="W43" s="190">
        <v>0</v>
      </c>
      <c r="X43" s="190">
        <v>0</v>
      </c>
      <c r="Y43" s="190">
        <v>0</v>
      </c>
      <c r="Z43" s="190">
        <v>0</v>
      </c>
      <c r="AA43" s="190">
        <v>0</v>
      </c>
      <c r="AB43" s="190">
        <v>0</v>
      </c>
      <c r="AC43" s="190">
        <v>0</v>
      </c>
      <c r="AD43" s="190">
        <v>0</v>
      </c>
      <c r="AE43" s="190">
        <v>0</v>
      </c>
      <c r="AF43" s="190">
        <v>0</v>
      </c>
      <c r="AG43" s="190">
        <v>0</v>
      </c>
      <c r="AH43" s="190">
        <v>0</v>
      </c>
      <c r="AI43" s="190">
        <v>0</v>
      </c>
      <c r="AJ43" s="190">
        <v>0</v>
      </c>
      <c r="AK43" s="190">
        <v>0</v>
      </c>
      <c r="AL43" s="190">
        <v>0</v>
      </c>
      <c r="AM43" s="190">
        <v>0</v>
      </c>
      <c r="AN43" s="190">
        <v>0</v>
      </c>
      <c r="AO43" s="190">
        <v>0</v>
      </c>
      <c r="AP43" s="190">
        <v>0</v>
      </c>
      <c r="AQ43" s="190">
        <v>0</v>
      </c>
      <c r="AR43" s="190">
        <v>0</v>
      </c>
      <c r="AS43" s="190">
        <v>0</v>
      </c>
      <c r="AT43" s="190">
        <v>0</v>
      </c>
      <c r="AU43" s="190">
        <v>0</v>
      </c>
      <c r="AV43" s="190">
        <v>0</v>
      </c>
      <c r="AW43" s="190">
        <v>0</v>
      </c>
      <c r="AX43" s="190">
        <v>0</v>
      </c>
      <c r="AY43" s="190">
        <v>0</v>
      </c>
      <c r="AZ43" s="190">
        <v>0</v>
      </c>
      <c r="BA43" s="190">
        <v>0</v>
      </c>
      <c r="BB43" s="190">
        <v>0</v>
      </c>
      <c r="BC43" s="190">
        <v>0</v>
      </c>
      <c r="BD43" s="190">
        <v>0</v>
      </c>
      <c r="BE43" s="190">
        <v>0</v>
      </c>
      <c r="BF43" s="190">
        <v>0</v>
      </c>
      <c r="BG43" s="190">
        <v>0</v>
      </c>
      <c r="BH43" s="190">
        <v>0</v>
      </c>
      <c r="BI43" s="190">
        <v>0</v>
      </c>
      <c r="BJ43" s="190">
        <v>0</v>
      </c>
      <c r="BK43" s="190">
        <v>0</v>
      </c>
      <c r="BL43" s="190">
        <v>0</v>
      </c>
      <c r="BM43" s="190">
        <v>0</v>
      </c>
      <c r="BN43" s="190">
        <v>0</v>
      </c>
      <c r="BO43" s="190">
        <v>0</v>
      </c>
      <c r="BP43" s="190">
        <v>0</v>
      </c>
      <c r="BQ43" s="190">
        <v>0</v>
      </c>
      <c r="BR43" s="190">
        <v>0</v>
      </c>
      <c r="BS43" s="190">
        <v>0</v>
      </c>
      <c r="BT43" s="190">
        <v>0</v>
      </c>
      <c r="BU43" s="190"/>
      <c r="BV43" s="190"/>
      <c r="BW43" s="190"/>
      <c r="BX43" s="190"/>
      <c r="BY43" s="190"/>
      <c r="BZ43" s="190"/>
      <c r="CA43" s="190"/>
      <c r="CB43" s="190"/>
      <c r="CC43" s="190"/>
      <c r="CD43" s="190"/>
      <c r="CE43" s="190"/>
      <c r="CF43" s="190"/>
      <c r="CG43" s="190"/>
      <c r="CH43" s="190"/>
      <c r="CI43" s="190"/>
      <c r="CJ43" s="190"/>
      <c r="CK43" s="190"/>
      <c r="CL43" s="190"/>
    </row>
    <row r="44" spans="1:90" x14ac:dyDescent="0.25">
      <c r="A44" s="17" t="s">
        <v>30</v>
      </c>
      <c r="B44" s="190">
        <v>0</v>
      </c>
      <c r="C44" s="190">
        <v>0</v>
      </c>
      <c r="D44" s="190">
        <v>0</v>
      </c>
      <c r="E44" s="190">
        <v>0</v>
      </c>
      <c r="F44" s="190">
        <v>0</v>
      </c>
      <c r="G44" s="190">
        <v>0</v>
      </c>
      <c r="H44" s="190">
        <v>0</v>
      </c>
      <c r="I44" s="190">
        <v>0</v>
      </c>
      <c r="J44" s="190">
        <v>0</v>
      </c>
      <c r="K44" s="190">
        <v>0</v>
      </c>
      <c r="L44" s="190">
        <v>0</v>
      </c>
      <c r="M44" s="190">
        <v>0</v>
      </c>
      <c r="N44" s="190">
        <v>0</v>
      </c>
      <c r="O44" s="190">
        <v>0</v>
      </c>
      <c r="P44" s="190">
        <v>0</v>
      </c>
      <c r="Q44" s="190">
        <v>0</v>
      </c>
      <c r="R44" s="190">
        <v>0</v>
      </c>
      <c r="S44" s="190">
        <v>0</v>
      </c>
      <c r="T44" s="190">
        <v>0</v>
      </c>
      <c r="U44" s="190">
        <v>0</v>
      </c>
      <c r="V44" s="190">
        <v>0</v>
      </c>
      <c r="W44" s="190">
        <v>0</v>
      </c>
      <c r="X44" s="190">
        <v>0</v>
      </c>
      <c r="Y44" s="190">
        <v>0</v>
      </c>
      <c r="Z44" s="190">
        <v>0</v>
      </c>
      <c r="AA44" s="190">
        <v>0</v>
      </c>
      <c r="AB44" s="190">
        <v>0</v>
      </c>
      <c r="AC44" s="190">
        <v>0</v>
      </c>
      <c r="AD44" s="190">
        <v>0</v>
      </c>
      <c r="AE44" s="190">
        <v>0</v>
      </c>
      <c r="AF44" s="190">
        <v>0</v>
      </c>
      <c r="AG44" s="190">
        <v>0</v>
      </c>
      <c r="AH44" s="190">
        <v>0</v>
      </c>
      <c r="AI44" s="190">
        <v>0</v>
      </c>
      <c r="AJ44" s="190">
        <v>0</v>
      </c>
      <c r="AK44" s="190">
        <v>0</v>
      </c>
      <c r="AL44" s="190">
        <v>0</v>
      </c>
      <c r="AM44" s="190">
        <v>0</v>
      </c>
      <c r="AN44" s="190">
        <v>0</v>
      </c>
      <c r="AO44" s="190">
        <v>0</v>
      </c>
      <c r="AP44" s="190">
        <v>0</v>
      </c>
      <c r="AQ44" s="190">
        <v>0</v>
      </c>
      <c r="AR44" s="190">
        <v>0</v>
      </c>
      <c r="AS44" s="190">
        <v>0</v>
      </c>
      <c r="AT44" s="190">
        <v>0</v>
      </c>
      <c r="AU44" s="190">
        <v>0</v>
      </c>
      <c r="AV44" s="190">
        <v>0</v>
      </c>
      <c r="AW44" s="190">
        <v>0</v>
      </c>
      <c r="AX44" s="190">
        <v>0</v>
      </c>
      <c r="AY44" s="190">
        <v>0</v>
      </c>
      <c r="AZ44" s="190">
        <v>0</v>
      </c>
      <c r="BA44" s="190">
        <v>0</v>
      </c>
      <c r="BB44" s="190">
        <v>0</v>
      </c>
      <c r="BC44" s="190">
        <v>0</v>
      </c>
      <c r="BD44" s="190">
        <v>0</v>
      </c>
      <c r="BE44" s="190">
        <v>0</v>
      </c>
      <c r="BF44" s="190">
        <v>0</v>
      </c>
      <c r="BG44" s="190">
        <v>0</v>
      </c>
      <c r="BH44" s="190">
        <v>0</v>
      </c>
      <c r="BI44" s="190">
        <v>0</v>
      </c>
      <c r="BJ44" s="190">
        <v>0</v>
      </c>
      <c r="BK44" s="190">
        <v>0</v>
      </c>
      <c r="BL44" s="190">
        <v>0</v>
      </c>
      <c r="BM44" s="190">
        <v>0</v>
      </c>
      <c r="BN44" s="190">
        <v>0</v>
      </c>
      <c r="BO44" s="190">
        <v>0</v>
      </c>
      <c r="BP44" s="190">
        <v>0</v>
      </c>
      <c r="BQ44" s="190">
        <v>0</v>
      </c>
      <c r="BR44" s="190">
        <v>0</v>
      </c>
      <c r="BS44" s="190">
        <v>0</v>
      </c>
      <c r="BT44" s="190">
        <v>0</v>
      </c>
      <c r="BU44" s="190"/>
      <c r="BV44" s="190"/>
      <c r="BW44" s="190"/>
      <c r="BX44" s="190"/>
      <c r="BY44" s="190"/>
      <c r="BZ44" s="190"/>
      <c r="CA44" s="190"/>
      <c r="CB44" s="190"/>
      <c r="CC44" s="190"/>
      <c r="CD44" s="190"/>
      <c r="CE44" s="190"/>
      <c r="CF44" s="190"/>
      <c r="CG44" s="190"/>
      <c r="CH44" s="190"/>
      <c r="CI44" s="190"/>
      <c r="CJ44" s="190"/>
      <c r="CK44" s="190"/>
      <c r="CL44" s="190"/>
    </row>
    <row r="45" spans="1:90" x14ac:dyDescent="0.25">
      <c r="A45" s="17" t="s">
        <v>31</v>
      </c>
      <c r="B45" s="190">
        <v>0</v>
      </c>
      <c r="C45" s="190">
        <v>0</v>
      </c>
      <c r="D45" s="190">
        <v>0</v>
      </c>
      <c r="E45" s="190">
        <v>0</v>
      </c>
      <c r="F45" s="190">
        <v>0</v>
      </c>
      <c r="G45" s="190">
        <v>0</v>
      </c>
      <c r="H45" s="190">
        <v>0</v>
      </c>
      <c r="I45" s="190">
        <v>0</v>
      </c>
      <c r="J45" s="190">
        <v>0</v>
      </c>
      <c r="K45" s="190">
        <v>0</v>
      </c>
      <c r="L45" s="190">
        <v>0</v>
      </c>
      <c r="M45" s="190">
        <v>0</v>
      </c>
      <c r="N45" s="190">
        <v>0</v>
      </c>
      <c r="O45" s="190">
        <v>0</v>
      </c>
      <c r="P45" s="190">
        <v>0</v>
      </c>
      <c r="Q45" s="190">
        <v>0</v>
      </c>
      <c r="R45" s="190">
        <v>0</v>
      </c>
      <c r="S45" s="190">
        <v>0</v>
      </c>
      <c r="T45" s="190">
        <v>0</v>
      </c>
      <c r="U45" s="190">
        <v>0</v>
      </c>
      <c r="V45" s="190">
        <v>0</v>
      </c>
      <c r="W45" s="190">
        <v>0</v>
      </c>
      <c r="X45" s="190">
        <v>0</v>
      </c>
      <c r="Y45" s="190">
        <v>0</v>
      </c>
      <c r="Z45" s="190">
        <v>0</v>
      </c>
      <c r="AA45" s="190">
        <v>0</v>
      </c>
      <c r="AB45" s="190">
        <v>0</v>
      </c>
      <c r="AC45" s="190">
        <v>0</v>
      </c>
      <c r="AD45" s="190">
        <v>0</v>
      </c>
      <c r="AE45" s="190">
        <v>0</v>
      </c>
      <c r="AF45" s="190">
        <v>0</v>
      </c>
      <c r="AG45" s="190">
        <v>0</v>
      </c>
      <c r="AH45" s="190">
        <v>0</v>
      </c>
      <c r="AI45" s="190">
        <v>0</v>
      </c>
      <c r="AJ45" s="190">
        <v>0</v>
      </c>
      <c r="AK45" s="190">
        <v>0</v>
      </c>
      <c r="AL45" s="190">
        <v>0</v>
      </c>
      <c r="AM45" s="190">
        <v>0</v>
      </c>
      <c r="AN45" s="190">
        <v>0</v>
      </c>
      <c r="AO45" s="190">
        <v>0</v>
      </c>
      <c r="AP45" s="190">
        <v>0</v>
      </c>
      <c r="AQ45" s="190">
        <v>0</v>
      </c>
      <c r="AR45" s="190">
        <v>0</v>
      </c>
      <c r="AS45" s="190">
        <v>0</v>
      </c>
      <c r="AT45" s="190">
        <v>0</v>
      </c>
      <c r="AU45" s="190">
        <v>0</v>
      </c>
      <c r="AV45" s="190">
        <v>0</v>
      </c>
      <c r="AW45" s="190">
        <v>0</v>
      </c>
      <c r="AX45" s="190">
        <v>0</v>
      </c>
      <c r="AY45" s="190">
        <v>0</v>
      </c>
      <c r="AZ45" s="190">
        <v>0</v>
      </c>
      <c r="BA45" s="190">
        <v>0</v>
      </c>
      <c r="BB45" s="190">
        <v>0</v>
      </c>
      <c r="BC45" s="190">
        <v>0</v>
      </c>
      <c r="BD45" s="190">
        <v>0</v>
      </c>
      <c r="BE45" s="190">
        <v>0</v>
      </c>
      <c r="BF45" s="190">
        <v>0</v>
      </c>
      <c r="BG45" s="190">
        <v>0</v>
      </c>
      <c r="BH45" s="190">
        <v>0</v>
      </c>
      <c r="BI45" s="190">
        <v>0</v>
      </c>
      <c r="BJ45" s="190">
        <v>0</v>
      </c>
      <c r="BK45" s="190">
        <v>0</v>
      </c>
      <c r="BL45" s="190">
        <v>0</v>
      </c>
      <c r="BM45" s="190">
        <v>0</v>
      </c>
      <c r="BN45" s="190">
        <v>0</v>
      </c>
      <c r="BO45" s="190">
        <v>0</v>
      </c>
      <c r="BP45" s="190">
        <v>0</v>
      </c>
      <c r="BQ45" s="190">
        <v>0</v>
      </c>
      <c r="BR45" s="190">
        <v>0</v>
      </c>
      <c r="BS45" s="190">
        <v>0</v>
      </c>
      <c r="BT45" s="190">
        <v>0</v>
      </c>
      <c r="BU45" s="190"/>
      <c r="BV45" s="190"/>
      <c r="BW45" s="190"/>
      <c r="BX45" s="190"/>
      <c r="BY45" s="190"/>
      <c r="BZ45" s="190"/>
      <c r="CA45" s="190"/>
      <c r="CB45" s="190"/>
      <c r="CC45" s="190"/>
      <c r="CD45" s="190"/>
      <c r="CE45" s="190"/>
      <c r="CF45" s="190"/>
      <c r="CG45" s="190"/>
      <c r="CH45" s="190"/>
      <c r="CI45" s="190"/>
      <c r="CJ45" s="190"/>
      <c r="CK45" s="190"/>
      <c r="CL45" s="190"/>
    </row>
    <row r="46" spans="1:90" hidden="1" x14ac:dyDescent="0.25">
      <c r="B46" s="26"/>
      <c r="C46" s="26"/>
      <c r="D46" s="26"/>
      <c r="E46" s="26"/>
      <c r="F46" s="26"/>
      <c r="G46" s="26"/>
      <c r="H46" s="26"/>
      <c r="I46" s="26"/>
      <c r="J46" s="26"/>
      <c r="K46" s="26"/>
      <c r="L46" s="23"/>
    </row>
    <row r="47" spans="1:90" hidden="1" x14ac:dyDescent="0.25">
      <c r="B47" s="26"/>
      <c r="C47" s="26"/>
      <c r="D47" s="26"/>
      <c r="E47" s="26"/>
      <c r="F47" s="26"/>
      <c r="G47" s="26"/>
      <c r="H47" s="26"/>
      <c r="I47" s="26"/>
      <c r="J47" s="26"/>
      <c r="K47" s="26"/>
      <c r="L47" s="23"/>
    </row>
    <row r="48" spans="1:90" hidden="1" x14ac:dyDescent="0.25">
      <c r="B48" s="26"/>
      <c r="C48" s="26"/>
      <c r="D48" s="26"/>
      <c r="E48" s="26"/>
      <c r="F48" s="26"/>
      <c r="G48" s="26"/>
      <c r="H48" s="26"/>
      <c r="I48" s="26"/>
      <c r="J48" s="26"/>
      <c r="K48" s="26"/>
      <c r="L48" s="23"/>
    </row>
    <row r="49" spans="1:90" s="10" customFormat="1" x14ac:dyDescent="0.25">
      <c r="A49" s="123" t="s">
        <v>32</v>
      </c>
      <c r="B49" s="35">
        <f>SUM(B35:B41)+SUM(B43:B45)</f>
        <v>150262000000</v>
      </c>
      <c r="C49" s="35">
        <f>SUM(C35:C41)+SUM(C43:C45)</f>
        <v>140341000000</v>
      </c>
      <c r="D49" s="35">
        <f>SUM(D35:D41)+SUM(D43:D45)</f>
        <v>438458000000</v>
      </c>
      <c r="E49" s="35">
        <f>SUM(E35:E45)</f>
        <v>491221000000</v>
      </c>
      <c r="F49" s="35">
        <f t="shared" ref="F49:BQ49" si="4">SUM(F35:F45)</f>
        <v>380983000000</v>
      </c>
      <c r="G49" s="35">
        <f t="shared" si="4"/>
        <v>372535000000</v>
      </c>
      <c r="H49" s="35">
        <f t="shared" si="4"/>
        <v>373477000000</v>
      </c>
      <c r="I49" s="35">
        <f t="shared" si="4"/>
        <v>410197000000</v>
      </c>
      <c r="J49" s="35">
        <f t="shared" si="4"/>
        <v>335864000000</v>
      </c>
      <c r="K49" s="35">
        <f t="shared" si="4"/>
        <v>339718000000</v>
      </c>
      <c r="L49" s="35">
        <f t="shared" si="4"/>
        <v>300894000000</v>
      </c>
      <c r="M49" s="35">
        <f t="shared" si="4"/>
        <v>346636000000</v>
      </c>
      <c r="N49" s="35">
        <f t="shared" si="4"/>
        <v>312101000000</v>
      </c>
      <c r="O49" s="35">
        <f t="shared" si="4"/>
        <v>351683000000</v>
      </c>
      <c r="P49" s="35">
        <f t="shared" si="4"/>
        <v>310303000000</v>
      </c>
      <c r="Q49" s="35">
        <f t="shared" si="4"/>
        <v>425679000000</v>
      </c>
      <c r="R49" s="35">
        <f t="shared" si="4"/>
        <v>399775000000</v>
      </c>
      <c r="S49" s="35">
        <f t="shared" si="4"/>
        <v>405122000000</v>
      </c>
      <c r="T49" s="35">
        <f t="shared" si="4"/>
        <v>383181000000</v>
      </c>
      <c r="U49" s="35">
        <f t="shared" si="4"/>
        <v>407952000000</v>
      </c>
      <c r="V49" s="35">
        <f t="shared" si="4"/>
        <v>359171000000</v>
      </c>
      <c r="W49" s="35">
        <f t="shared" si="4"/>
        <v>342807000000</v>
      </c>
      <c r="X49" s="35">
        <f t="shared" si="4"/>
        <v>350402000000</v>
      </c>
      <c r="Y49" s="35">
        <f t="shared" si="4"/>
        <v>377127000000</v>
      </c>
      <c r="Z49" s="35">
        <f t="shared" si="4"/>
        <v>332910000000</v>
      </c>
      <c r="AA49" s="35">
        <f t="shared" si="4"/>
        <v>306545000000</v>
      </c>
      <c r="AB49" s="35">
        <f t="shared" si="4"/>
        <v>332828000000</v>
      </c>
      <c r="AC49" s="35">
        <f t="shared" si="4"/>
        <v>348700000000</v>
      </c>
      <c r="AD49" s="35">
        <f t="shared" si="4"/>
        <v>316782000000</v>
      </c>
      <c r="AE49" s="35">
        <f t="shared" si="4"/>
        <v>311206000000</v>
      </c>
      <c r="AF49" s="35">
        <f t="shared" si="4"/>
        <v>309266000000</v>
      </c>
      <c r="AG49" s="35">
        <f t="shared" si="4"/>
        <v>289799000000</v>
      </c>
      <c r="AH49" s="35">
        <f t="shared" si="4"/>
        <v>251093000000</v>
      </c>
      <c r="AI49" s="35">
        <f t="shared" si="4"/>
        <v>243858000000</v>
      </c>
      <c r="AJ49" s="35">
        <f t="shared" si="4"/>
        <v>253915000000</v>
      </c>
      <c r="AK49" s="35">
        <f t="shared" si="4"/>
        <v>228821000000</v>
      </c>
      <c r="AL49" s="35">
        <f t="shared" si="4"/>
        <v>220229000000</v>
      </c>
      <c r="AM49" s="35">
        <f t="shared" si="4"/>
        <v>216500000000</v>
      </c>
      <c r="AN49" s="35">
        <f t="shared" si="4"/>
        <v>200470000000</v>
      </c>
      <c r="AO49" s="35">
        <f t="shared" si="4"/>
        <v>159750000000</v>
      </c>
      <c r="AP49" s="35">
        <f t="shared" si="4"/>
        <v>203871000000</v>
      </c>
      <c r="AQ49" s="35">
        <f t="shared" si="4"/>
        <v>253712000000</v>
      </c>
      <c r="AR49" s="35">
        <f t="shared" si="4"/>
        <v>220665000000</v>
      </c>
      <c r="AS49" s="35">
        <f t="shared" si="4"/>
        <v>201263000000</v>
      </c>
      <c r="AT49" s="35">
        <f t="shared" si="4"/>
        <v>182676000000</v>
      </c>
      <c r="AU49" s="35">
        <f t="shared" si="4"/>
        <v>172299000000</v>
      </c>
      <c r="AV49" s="35">
        <f t="shared" si="4"/>
        <v>155651000000</v>
      </c>
      <c r="AW49" s="35">
        <f t="shared" si="4"/>
        <v>145075000000</v>
      </c>
      <c r="AX49" s="35">
        <f t="shared" si="4"/>
        <v>136597000000</v>
      </c>
      <c r="AY49" s="35">
        <f t="shared" si="4"/>
        <v>131662000000</v>
      </c>
      <c r="AZ49" s="35">
        <f t="shared" si="4"/>
        <v>120802000000</v>
      </c>
      <c r="BA49" s="35">
        <f t="shared" si="4"/>
        <v>124207000000</v>
      </c>
      <c r="BB49" s="35">
        <f t="shared" si="4"/>
        <v>108716000000</v>
      </c>
      <c r="BC49" s="35">
        <f t="shared" si="4"/>
        <v>105880000000</v>
      </c>
      <c r="BD49" s="35">
        <f t="shared" si="4"/>
        <v>102567000000</v>
      </c>
      <c r="BE49" s="35">
        <f t="shared" si="4"/>
        <v>100718000000</v>
      </c>
      <c r="BF49" s="35">
        <f t="shared" si="4"/>
        <v>92610000000</v>
      </c>
      <c r="BG49" s="35">
        <f t="shared" si="4"/>
        <v>95333000000</v>
      </c>
      <c r="BH49" s="35">
        <f t="shared" si="4"/>
        <v>90483000000</v>
      </c>
      <c r="BI49" s="35">
        <f t="shared" si="4"/>
        <v>90173000000</v>
      </c>
      <c r="BJ49" s="35">
        <f t="shared" si="4"/>
        <v>81320000000</v>
      </c>
      <c r="BK49" s="35">
        <f t="shared" si="4"/>
        <v>83092000000</v>
      </c>
      <c r="BL49" s="35">
        <f t="shared" si="4"/>
        <v>83259000000</v>
      </c>
      <c r="BM49" s="35">
        <f t="shared" si="4"/>
        <v>78756000000</v>
      </c>
      <c r="BN49" s="35">
        <f t="shared" si="4"/>
        <v>81923000000</v>
      </c>
      <c r="BO49" s="35">
        <f t="shared" si="4"/>
        <v>80898000000</v>
      </c>
      <c r="BP49" s="35">
        <f t="shared" si="4"/>
        <v>75007000000</v>
      </c>
      <c r="BQ49" s="35">
        <f t="shared" si="4"/>
        <v>71306000000</v>
      </c>
      <c r="BR49" s="35">
        <f t="shared" ref="BR49:CK49" si="5">SUM(BR35:BR45)</f>
        <v>61033000000</v>
      </c>
      <c r="BS49" s="35">
        <f t="shared" si="5"/>
        <v>61615000000</v>
      </c>
      <c r="BT49" s="35">
        <f t="shared" si="5"/>
        <v>0</v>
      </c>
      <c r="BU49" s="35">
        <f t="shared" si="5"/>
        <v>0</v>
      </c>
      <c r="BV49" s="35">
        <f t="shared" si="5"/>
        <v>0</v>
      </c>
      <c r="BW49" s="35">
        <f t="shared" si="5"/>
        <v>0</v>
      </c>
      <c r="BX49" s="35">
        <f t="shared" si="5"/>
        <v>0</v>
      </c>
      <c r="BY49" s="35">
        <f t="shared" si="5"/>
        <v>0</v>
      </c>
      <c r="BZ49" s="35">
        <f t="shared" si="5"/>
        <v>0</v>
      </c>
      <c r="CA49" s="35">
        <f t="shared" si="5"/>
        <v>0</v>
      </c>
      <c r="CB49" s="35">
        <f t="shared" si="5"/>
        <v>0</v>
      </c>
      <c r="CC49" s="35">
        <f t="shared" si="5"/>
        <v>0</v>
      </c>
      <c r="CD49" s="35">
        <f t="shared" si="5"/>
        <v>0</v>
      </c>
      <c r="CE49" s="35">
        <f t="shared" si="5"/>
        <v>0</v>
      </c>
      <c r="CF49" s="35">
        <f t="shared" si="5"/>
        <v>0</v>
      </c>
      <c r="CG49" s="35">
        <f t="shared" si="5"/>
        <v>0</v>
      </c>
      <c r="CH49" s="35">
        <f t="shared" si="5"/>
        <v>0</v>
      </c>
      <c r="CI49" s="35">
        <f t="shared" si="5"/>
        <v>0</v>
      </c>
      <c r="CJ49" s="35">
        <f t="shared" si="5"/>
        <v>0</v>
      </c>
      <c r="CK49" s="35">
        <f t="shared" si="5"/>
        <v>0</v>
      </c>
    </row>
    <row r="50" spans="1:90" s="15" customFormat="1" x14ac:dyDescent="0.25">
      <c r="A50" s="125" t="s">
        <v>81</v>
      </c>
      <c r="B50" s="36">
        <f>B33-B49</f>
        <v>225300000000</v>
      </c>
      <c r="C50" s="36">
        <f t="shared" ref="C50:BN50" si="6">C33-C49</f>
        <v>136347000000</v>
      </c>
      <c r="D50" s="36">
        <f t="shared" si="6"/>
        <v>-130035000000</v>
      </c>
      <c r="E50" s="36">
        <f t="shared" si="6"/>
        <v>-178372000000</v>
      </c>
      <c r="F50" s="36">
        <f t="shared" si="6"/>
        <v>-105759000000</v>
      </c>
      <c r="G50" s="36">
        <f t="shared" si="6"/>
        <v>-99198000000</v>
      </c>
      <c r="H50" s="36">
        <f t="shared" si="6"/>
        <v>-95828000000</v>
      </c>
      <c r="I50" s="36">
        <f t="shared" si="6"/>
        <v>-140433000000</v>
      </c>
      <c r="J50" s="36">
        <f t="shared" si="6"/>
        <v>-83252000000</v>
      </c>
      <c r="K50" s="36">
        <f t="shared" si="6"/>
        <v>-69030000000</v>
      </c>
      <c r="L50" s="36">
        <f t="shared" si="6"/>
        <v>-57234000000</v>
      </c>
      <c r="M50" s="36">
        <f t="shared" si="6"/>
        <v>-82788000000</v>
      </c>
      <c r="N50" s="36">
        <f t="shared" si="6"/>
        <v>-32068000000</v>
      </c>
      <c r="O50" s="36">
        <f t="shared" si="6"/>
        <v>-30331000000</v>
      </c>
      <c r="P50" s="36">
        <f t="shared" si="6"/>
        <v>-26865000000</v>
      </c>
      <c r="Q50" s="36">
        <f t="shared" si="6"/>
        <v>-75635000000</v>
      </c>
      <c r="R50" s="36">
        <f t="shared" si="6"/>
        <v>-14578000000</v>
      </c>
      <c r="S50" s="36">
        <f t="shared" si="6"/>
        <v>1260000000</v>
      </c>
      <c r="T50" s="36">
        <f t="shared" si="6"/>
        <v>1955000000</v>
      </c>
      <c r="U50" s="36">
        <f t="shared" si="6"/>
        <v>-50043000000</v>
      </c>
      <c r="V50" s="36">
        <f t="shared" si="6"/>
        <v>5468000000</v>
      </c>
      <c r="W50" s="36">
        <f t="shared" si="6"/>
        <v>10938000000</v>
      </c>
      <c r="X50" s="36">
        <f t="shared" si="6"/>
        <v>20256000000</v>
      </c>
      <c r="Y50" s="36">
        <f t="shared" si="6"/>
        <v>-43240000000</v>
      </c>
      <c r="Z50" s="36">
        <f t="shared" si="6"/>
        <v>-6886000000</v>
      </c>
      <c r="AA50" s="36">
        <f t="shared" si="6"/>
        <v>23404000000</v>
      </c>
      <c r="AB50" s="36">
        <f t="shared" si="6"/>
        <v>33355000000</v>
      </c>
      <c r="AC50" s="36">
        <f t="shared" si="6"/>
        <v>-46309000000</v>
      </c>
      <c r="AD50" s="36">
        <f t="shared" si="6"/>
        <v>-9884000000</v>
      </c>
      <c r="AE50" s="36">
        <f t="shared" si="6"/>
        <v>6139000000</v>
      </c>
      <c r="AF50" s="36">
        <f t="shared" si="6"/>
        <v>-17615000000</v>
      </c>
      <c r="AG50" s="36">
        <f t="shared" si="6"/>
        <v>-58489000000</v>
      </c>
      <c r="AH50" s="36">
        <f t="shared" si="6"/>
        <v>-17611000000</v>
      </c>
      <c r="AI50" s="36">
        <f t="shared" si="6"/>
        <v>-10716000000</v>
      </c>
      <c r="AJ50" s="36">
        <f t="shared" si="6"/>
        <v>-17153000000</v>
      </c>
      <c r="AK50" s="36">
        <f t="shared" si="6"/>
        <v>-49584000000</v>
      </c>
      <c r="AL50" s="36">
        <f t="shared" si="6"/>
        <v>-26496000000</v>
      </c>
      <c r="AM50" s="36">
        <f t="shared" si="6"/>
        <v>-39223000000</v>
      </c>
      <c r="AN50" s="36">
        <f t="shared" si="6"/>
        <v>-47565000000</v>
      </c>
      <c r="AO50" s="36">
        <f t="shared" si="6"/>
        <v>-19443000000</v>
      </c>
      <c r="AP50" s="36">
        <f t="shared" si="6"/>
        <v>29568000000</v>
      </c>
      <c r="AQ50" s="36">
        <f t="shared" si="6"/>
        <v>-3445000000</v>
      </c>
      <c r="AR50" s="36">
        <f t="shared" si="6"/>
        <v>-19124000000</v>
      </c>
      <c r="AS50" s="36">
        <f t="shared" si="6"/>
        <v>-28092000000</v>
      </c>
      <c r="AT50" s="36">
        <f t="shared" si="6"/>
        <v>-21598000000</v>
      </c>
      <c r="AU50" s="36">
        <f t="shared" si="6"/>
        <v>-9573000000</v>
      </c>
      <c r="AV50" s="36">
        <f t="shared" si="6"/>
        <v>-13764000000</v>
      </c>
      <c r="AW50" s="36">
        <f t="shared" si="6"/>
        <v>-11698000000</v>
      </c>
      <c r="AX50" s="36">
        <f t="shared" si="6"/>
        <v>22660000000</v>
      </c>
      <c r="AY50" s="36">
        <f t="shared" si="6"/>
        <v>18912000000</v>
      </c>
      <c r="AZ50" s="36">
        <f t="shared" si="6"/>
        <v>20151000000</v>
      </c>
      <c r="BA50" s="36">
        <f t="shared" si="6"/>
        <v>2942000000</v>
      </c>
      <c r="BB50" s="36">
        <f t="shared" si="6"/>
        <v>10164000000</v>
      </c>
      <c r="BC50" s="36">
        <f t="shared" si="6"/>
        <v>14113000000</v>
      </c>
      <c r="BD50" s="36">
        <f t="shared" si="6"/>
        <v>6578000000</v>
      </c>
      <c r="BE50" s="36">
        <f t="shared" si="6"/>
        <v>-1942000000</v>
      </c>
      <c r="BF50" s="36">
        <f t="shared" si="6"/>
        <v>5892000000</v>
      </c>
      <c r="BG50" s="36">
        <f t="shared" si="6"/>
        <v>4701000000</v>
      </c>
      <c r="BH50" s="36">
        <f t="shared" si="6"/>
        <v>-2777000000</v>
      </c>
      <c r="BI50" s="36">
        <f t="shared" si="6"/>
        <v>-10660000000</v>
      </c>
      <c r="BJ50" s="36">
        <f t="shared" si="6"/>
        <v>-2026000000</v>
      </c>
      <c r="BK50" s="36">
        <f t="shared" si="6"/>
        <v>-251000000</v>
      </c>
      <c r="BL50" s="36">
        <f t="shared" si="6"/>
        <v>2661000000</v>
      </c>
      <c r="BM50" s="36">
        <f t="shared" si="6"/>
        <v>1540000000</v>
      </c>
      <c r="BN50" s="36">
        <f t="shared" si="6"/>
        <v>2517000000</v>
      </c>
      <c r="BO50" s="36">
        <f t="shared" ref="BO50:CK50" si="7">BO33-BO49</f>
        <v>8227000000</v>
      </c>
      <c r="BP50" s="36">
        <f t="shared" si="7"/>
        <v>9638000000</v>
      </c>
      <c r="BQ50" s="36">
        <f t="shared" si="7"/>
        <v>12589000000</v>
      </c>
      <c r="BR50" s="36">
        <f t="shared" si="7"/>
        <v>45687000000</v>
      </c>
      <c r="BS50" s="36">
        <f t="shared" si="7"/>
        <v>28806000000</v>
      </c>
      <c r="BT50" s="36">
        <f t="shared" si="7"/>
        <v>0</v>
      </c>
      <c r="BU50" s="36">
        <f t="shared" si="7"/>
        <v>0</v>
      </c>
      <c r="BV50" s="36">
        <f t="shared" si="7"/>
        <v>0</v>
      </c>
      <c r="BW50" s="36">
        <f t="shared" si="7"/>
        <v>0</v>
      </c>
      <c r="BX50" s="36">
        <f t="shared" si="7"/>
        <v>0</v>
      </c>
      <c r="BY50" s="36">
        <f t="shared" si="7"/>
        <v>0</v>
      </c>
      <c r="BZ50" s="36">
        <f t="shared" si="7"/>
        <v>0</v>
      </c>
      <c r="CA50" s="36">
        <f t="shared" si="7"/>
        <v>0</v>
      </c>
      <c r="CB50" s="36">
        <f t="shared" si="7"/>
        <v>0</v>
      </c>
      <c r="CC50" s="36">
        <f t="shared" si="7"/>
        <v>0</v>
      </c>
      <c r="CD50" s="36">
        <f t="shared" si="7"/>
        <v>0</v>
      </c>
      <c r="CE50" s="36">
        <f t="shared" si="7"/>
        <v>0</v>
      </c>
      <c r="CF50" s="36">
        <f t="shared" si="7"/>
        <v>0</v>
      </c>
      <c r="CG50" s="36">
        <f t="shared" si="7"/>
        <v>0</v>
      </c>
      <c r="CH50" s="36">
        <f t="shared" si="7"/>
        <v>0</v>
      </c>
      <c r="CI50" s="36">
        <f t="shared" si="7"/>
        <v>0</v>
      </c>
      <c r="CJ50" s="36">
        <f t="shared" si="7"/>
        <v>0</v>
      </c>
      <c r="CK50" s="36">
        <f t="shared" si="7"/>
        <v>0</v>
      </c>
    </row>
    <row r="51" spans="1:90" s="193" customFormat="1" x14ac:dyDescent="0.25">
      <c r="A51" s="193" t="s">
        <v>33</v>
      </c>
    </row>
    <row r="52" spans="1:90" s="193" customFormat="1" x14ac:dyDescent="0.25">
      <c r="A52" s="193" t="s">
        <v>34</v>
      </c>
      <c r="B52" s="190">
        <v>607926000000</v>
      </c>
      <c r="C52" s="190">
        <v>620044000000</v>
      </c>
      <c r="D52" s="190">
        <v>634081000000</v>
      </c>
      <c r="E52" s="190">
        <v>650774000000</v>
      </c>
      <c r="F52" s="190">
        <v>639889000000</v>
      </c>
      <c r="G52" s="190">
        <v>652294000000</v>
      </c>
      <c r="H52" s="190">
        <v>671709000000</v>
      </c>
      <c r="I52" s="190">
        <v>690594000000</v>
      </c>
      <c r="J52" s="190">
        <v>714847000000</v>
      </c>
      <c r="K52" s="190">
        <v>723465000000</v>
      </c>
      <c r="L52" s="190">
        <v>717052000000</v>
      </c>
      <c r="M52" s="190">
        <v>732577000000</v>
      </c>
      <c r="N52" s="190">
        <v>690675000000</v>
      </c>
      <c r="O52" s="190">
        <v>695624000000</v>
      </c>
      <c r="P52" s="190">
        <v>699356000000</v>
      </c>
      <c r="Q52" s="190">
        <v>703485000000</v>
      </c>
      <c r="R52" s="190">
        <v>439940000000</v>
      </c>
      <c r="S52" s="190">
        <v>653235000000</v>
      </c>
      <c r="T52" s="190">
        <v>658371000000</v>
      </c>
      <c r="U52" s="190">
        <v>669595000000</v>
      </c>
      <c r="V52" s="190">
        <v>617741000000</v>
      </c>
      <c r="W52" s="190">
        <v>597745000000</v>
      </c>
      <c r="X52" s="190">
        <v>582922000000</v>
      </c>
      <c r="Y52" s="190">
        <v>588969000000</v>
      </c>
      <c r="Z52" s="190">
        <v>544918000000</v>
      </c>
      <c r="AA52" s="190">
        <v>547671000000</v>
      </c>
      <c r="AB52" s="190">
        <v>550128000000</v>
      </c>
      <c r="AC52" s="190">
        <v>565936000000</v>
      </c>
      <c r="AD52" s="190">
        <v>528865000000</v>
      </c>
      <c r="AE52" s="190">
        <v>531953000000</v>
      </c>
      <c r="AF52" s="190">
        <v>531134000000</v>
      </c>
      <c r="AG52" s="190">
        <v>540700000000</v>
      </c>
      <c r="AH52" s="190">
        <v>505081000000</v>
      </c>
      <c r="AI52" s="190">
        <v>478177000000</v>
      </c>
      <c r="AJ52" s="190">
        <v>469251000000</v>
      </c>
      <c r="AK52" s="190">
        <v>465182000000</v>
      </c>
      <c r="AL52" s="190">
        <v>411026000000</v>
      </c>
      <c r="AM52" s="190">
        <v>405975000000</v>
      </c>
      <c r="AN52" s="190">
        <v>397189000000</v>
      </c>
      <c r="AO52" s="190">
        <v>403265000000</v>
      </c>
      <c r="AP52" s="190">
        <v>361911000000</v>
      </c>
      <c r="AQ52" s="190">
        <v>365785000000</v>
      </c>
      <c r="AR52" s="190">
        <v>353713000000</v>
      </c>
      <c r="AS52" s="190">
        <v>361148000000</v>
      </c>
      <c r="AT52" s="190">
        <v>338499000000</v>
      </c>
      <c r="AU52" s="190">
        <v>336750000000</v>
      </c>
      <c r="AV52" s="190">
        <v>338368000000</v>
      </c>
      <c r="AW52" s="190">
        <v>353513000000</v>
      </c>
      <c r="AX52" s="190">
        <v>313131000000</v>
      </c>
      <c r="AY52" s="190">
        <v>301379000000</v>
      </c>
      <c r="AZ52" s="190">
        <v>296536000000</v>
      </c>
      <c r="BA52" s="190">
        <v>300620000000</v>
      </c>
      <c r="BB52" s="190">
        <v>282303000000</v>
      </c>
      <c r="BC52" s="190">
        <v>283883000000</v>
      </c>
      <c r="BD52" s="190">
        <v>275747000000</v>
      </c>
      <c r="BE52" s="190">
        <v>270136000000</v>
      </c>
      <c r="BF52" s="190">
        <v>237103000000</v>
      </c>
      <c r="BG52" s="190">
        <v>239386000000</v>
      </c>
      <c r="BH52" s="190">
        <v>241039000000</v>
      </c>
      <c r="BI52" s="190">
        <v>245993000000</v>
      </c>
      <c r="BJ52" s="190">
        <v>224219000000</v>
      </c>
      <c r="BK52" s="190">
        <v>228650000000</v>
      </c>
      <c r="BL52" s="190">
        <v>226274000000</v>
      </c>
      <c r="BM52" s="190">
        <v>231398000000</v>
      </c>
      <c r="BN52" s="190">
        <v>212334000000</v>
      </c>
      <c r="BO52" s="190">
        <v>214798000000</v>
      </c>
      <c r="BP52" s="190">
        <v>210000000000</v>
      </c>
      <c r="BQ52" s="190">
        <v>213102000000</v>
      </c>
      <c r="BR52" s="190">
        <v>182852000000</v>
      </c>
      <c r="BS52" s="190">
        <v>185236000000</v>
      </c>
      <c r="BT52" s="190">
        <v>0</v>
      </c>
      <c r="BU52" s="190"/>
      <c r="BV52" s="190"/>
      <c r="BW52" s="190"/>
      <c r="BX52" s="190"/>
      <c r="BY52" s="190"/>
      <c r="BZ52" s="190"/>
      <c r="CA52" s="190"/>
      <c r="CB52" s="190"/>
      <c r="CC52" s="190"/>
      <c r="CD52" s="190"/>
      <c r="CE52" s="190"/>
      <c r="CF52" s="190"/>
      <c r="CG52" s="190"/>
      <c r="CH52" s="190"/>
      <c r="CI52" s="190"/>
      <c r="CJ52" s="190"/>
      <c r="CK52" s="190"/>
      <c r="CL52" s="190"/>
    </row>
    <row r="53" spans="1:90" s="193" customFormat="1" x14ac:dyDescent="0.25">
      <c r="A53" s="193" t="s">
        <v>35</v>
      </c>
      <c r="B53" s="190">
        <v>123180000000</v>
      </c>
      <c r="C53" s="190">
        <v>118957000000</v>
      </c>
      <c r="D53" s="190">
        <v>115816000000</v>
      </c>
      <c r="E53" s="190">
        <v>118645000000</v>
      </c>
      <c r="F53" s="190">
        <v>113293000000</v>
      </c>
      <c r="G53" s="190">
        <v>119548000000</v>
      </c>
      <c r="H53" s="190">
        <v>123242000000</v>
      </c>
      <c r="I53" s="190">
        <v>129581000000</v>
      </c>
      <c r="J53" s="190">
        <v>123022000000</v>
      </c>
      <c r="K53" s="190">
        <v>126790000000</v>
      </c>
      <c r="L53" s="190">
        <v>145745000000</v>
      </c>
      <c r="M53" s="190">
        <v>152276000000</v>
      </c>
      <c r="N53" s="190">
        <v>160372000000</v>
      </c>
      <c r="O53" s="190">
        <v>165173000000</v>
      </c>
      <c r="P53" s="190">
        <v>166652000000</v>
      </c>
      <c r="Q53" s="190">
        <v>177667000000</v>
      </c>
      <c r="R53" s="190">
        <v>172493000000</v>
      </c>
      <c r="S53" s="190">
        <v>160824000000</v>
      </c>
      <c r="T53" s="190">
        <v>159278000000</v>
      </c>
      <c r="U53" s="190">
        <v>160630000000</v>
      </c>
      <c r="V53" s="190">
        <v>158487000000</v>
      </c>
      <c r="W53" s="190">
        <v>166956000000</v>
      </c>
      <c r="X53" s="190">
        <v>172558000000</v>
      </c>
      <c r="Y53" s="190">
        <v>168977000000</v>
      </c>
      <c r="Z53" s="190">
        <v>155533000000</v>
      </c>
      <c r="AA53" s="190">
        <v>139955000000</v>
      </c>
      <c r="AB53" s="190">
        <v>124147000000</v>
      </c>
      <c r="AC53" s="190">
        <v>111311000000</v>
      </c>
      <c r="AD53" s="190">
        <v>110111000000</v>
      </c>
      <c r="AE53" s="190">
        <v>101299000000</v>
      </c>
      <c r="AF53" s="190">
        <v>97382000000</v>
      </c>
      <c r="AG53" s="190">
        <v>89599000000</v>
      </c>
      <c r="AH53" s="190">
        <v>89616000000</v>
      </c>
      <c r="AI53" s="190">
        <v>95326000000</v>
      </c>
      <c r="AJ53" s="190">
        <v>101052000000</v>
      </c>
      <c r="AK53" s="190">
        <v>119786000000</v>
      </c>
      <c r="AL53" s="190">
        <v>145853000000</v>
      </c>
      <c r="AM53" s="190">
        <v>142148000000</v>
      </c>
      <c r="AN53" s="190">
        <v>131962000000</v>
      </c>
      <c r="AO53" s="190">
        <v>121886000000</v>
      </c>
      <c r="AP53" s="190">
        <v>118816000000</v>
      </c>
      <c r="AQ53" s="190">
        <v>105503000000</v>
      </c>
      <c r="AR53" s="190">
        <v>106005000000</v>
      </c>
      <c r="AS53" s="190">
        <v>95408000000</v>
      </c>
      <c r="AT53" s="190">
        <v>84241000000</v>
      </c>
      <c r="AU53" s="190">
        <v>71755000000</v>
      </c>
      <c r="AV53" s="190">
        <v>62689000000</v>
      </c>
      <c r="AW53" s="190">
        <v>52757000000</v>
      </c>
      <c r="AX53" s="190">
        <v>56144000000</v>
      </c>
      <c r="AY53" s="190">
        <v>62628000000</v>
      </c>
      <c r="AZ53" s="190">
        <v>58760000000</v>
      </c>
      <c r="BA53" s="190">
        <v>48073000000</v>
      </c>
      <c r="BB53" s="190">
        <v>54725000000</v>
      </c>
      <c r="BC53" s="190">
        <v>47629000000</v>
      </c>
      <c r="BD53" s="190">
        <v>50841000000</v>
      </c>
      <c r="BE53" s="190">
        <v>45976000000</v>
      </c>
      <c r="BF53" s="190">
        <v>53673000000</v>
      </c>
      <c r="BG53" s="190">
        <v>44498000000</v>
      </c>
      <c r="BH53" s="190">
        <v>37304000000</v>
      </c>
      <c r="BI53" s="190">
        <v>28513000000</v>
      </c>
      <c r="BJ53" s="190">
        <v>34685000000</v>
      </c>
      <c r="BK53" s="190">
        <v>29891000000</v>
      </c>
      <c r="BL53" s="190">
        <v>28535000000</v>
      </c>
      <c r="BM53" s="190">
        <v>21122000000</v>
      </c>
      <c r="BN53" s="190">
        <v>35367000000</v>
      </c>
      <c r="BO53" s="190">
        <v>31022000000</v>
      </c>
      <c r="BP53" s="190">
        <v>33363000000</v>
      </c>
      <c r="BQ53" s="190">
        <v>26006000000</v>
      </c>
      <c r="BR53" s="190">
        <v>25654000000</v>
      </c>
      <c r="BS53" s="190">
        <v>16150000000</v>
      </c>
      <c r="BT53" s="190">
        <v>0</v>
      </c>
      <c r="BU53" s="190"/>
      <c r="BV53" s="190"/>
      <c r="BW53" s="190"/>
      <c r="BX53" s="190"/>
      <c r="BY53" s="190"/>
      <c r="BZ53" s="190"/>
      <c r="CA53" s="190"/>
      <c r="CB53" s="190"/>
      <c r="CC53" s="190"/>
      <c r="CD53" s="190"/>
      <c r="CE53" s="190"/>
      <c r="CF53" s="190"/>
      <c r="CG53" s="190"/>
      <c r="CH53" s="190"/>
      <c r="CI53" s="190"/>
      <c r="CJ53" s="190"/>
      <c r="CK53" s="190"/>
      <c r="CL53" s="190"/>
    </row>
    <row r="54" spans="1:90" s="193" customFormat="1" x14ac:dyDescent="0.25">
      <c r="A54" s="193" t="s">
        <v>36</v>
      </c>
      <c r="B54" s="190">
        <v>0</v>
      </c>
      <c r="C54" s="190">
        <v>0</v>
      </c>
      <c r="D54" s="190">
        <v>0</v>
      </c>
      <c r="E54" s="190">
        <v>0</v>
      </c>
      <c r="F54" s="190">
        <v>0</v>
      </c>
      <c r="G54" s="190">
        <v>0</v>
      </c>
      <c r="H54" s="190">
        <v>0</v>
      </c>
      <c r="I54" s="190">
        <v>0</v>
      </c>
      <c r="J54" s="190">
        <v>0</v>
      </c>
      <c r="K54" s="190">
        <v>0</v>
      </c>
      <c r="L54" s="190">
        <v>0</v>
      </c>
      <c r="M54" s="190">
        <v>0</v>
      </c>
      <c r="N54" s="190">
        <v>0</v>
      </c>
      <c r="O54" s="190">
        <v>0</v>
      </c>
      <c r="P54" s="190">
        <v>0</v>
      </c>
      <c r="Q54" s="190">
        <v>0</v>
      </c>
      <c r="R54" s="190">
        <v>0</v>
      </c>
      <c r="S54" s="190">
        <v>0</v>
      </c>
      <c r="T54" s="190">
        <v>0</v>
      </c>
      <c r="U54" s="190">
        <v>0</v>
      </c>
      <c r="V54" s="190">
        <v>0</v>
      </c>
      <c r="W54" s="190">
        <v>0</v>
      </c>
      <c r="X54" s="190">
        <v>0</v>
      </c>
      <c r="Y54" s="190">
        <v>0</v>
      </c>
      <c r="Z54" s="190">
        <v>0</v>
      </c>
      <c r="AA54" s="190">
        <v>0</v>
      </c>
      <c r="AB54" s="190">
        <v>0</v>
      </c>
      <c r="AC54" s="190">
        <v>0</v>
      </c>
      <c r="AD54" s="190">
        <v>0</v>
      </c>
      <c r="AE54" s="190">
        <v>0</v>
      </c>
      <c r="AF54" s="190">
        <v>0</v>
      </c>
      <c r="AG54" s="190">
        <v>0</v>
      </c>
      <c r="AH54" s="190">
        <v>0</v>
      </c>
      <c r="AI54" s="190">
        <v>0</v>
      </c>
      <c r="AJ54" s="190">
        <v>0</v>
      </c>
      <c r="AK54" s="190">
        <v>0</v>
      </c>
      <c r="AL54" s="190">
        <v>0</v>
      </c>
      <c r="AM54" s="190">
        <v>0</v>
      </c>
      <c r="AN54" s="190">
        <v>0</v>
      </c>
      <c r="AO54" s="190">
        <v>0</v>
      </c>
      <c r="AP54" s="190">
        <v>0</v>
      </c>
      <c r="AQ54" s="190">
        <v>0</v>
      </c>
      <c r="AR54" s="190">
        <v>0</v>
      </c>
      <c r="AS54" s="190">
        <v>0</v>
      </c>
      <c r="AT54" s="190">
        <v>0</v>
      </c>
      <c r="AU54" s="190">
        <v>0</v>
      </c>
      <c r="AV54" s="190">
        <v>0</v>
      </c>
      <c r="AW54" s="190">
        <v>413000000</v>
      </c>
      <c r="AX54" s="190">
        <v>398000000</v>
      </c>
      <c r="AY54" s="190">
        <v>419000000</v>
      </c>
      <c r="AZ54" s="190">
        <v>322000000</v>
      </c>
      <c r="BA54" s="190">
        <v>555000000</v>
      </c>
      <c r="BB54" s="190">
        <v>876000000</v>
      </c>
      <c r="BC54" s="190">
        <v>984000000</v>
      </c>
      <c r="BD54" s="190">
        <v>727000000</v>
      </c>
      <c r="BE54" s="190">
        <v>430000000</v>
      </c>
      <c r="BF54" s="190">
        <v>1575000000</v>
      </c>
      <c r="BG54" s="190">
        <v>1659000000</v>
      </c>
      <c r="BH54" s="190">
        <v>2129000000</v>
      </c>
      <c r="BI54" s="190">
        <v>1226000000</v>
      </c>
      <c r="BJ54" s="190">
        <v>1845000000</v>
      </c>
      <c r="BK54" s="190">
        <v>1360000000</v>
      </c>
      <c r="BL54" s="190">
        <v>1483000000</v>
      </c>
      <c r="BM54" s="190">
        <v>1403000000</v>
      </c>
      <c r="BN54" s="190">
        <v>1185000000</v>
      </c>
      <c r="BO54" s="190">
        <v>855000000</v>
      </c>
      <c r="BP54" s="190">
        <v>932000000</v>
      </c>
      <c r="BQ54" s="190">
        <v>774000000</v>
      </c>
      <c r="BR54" s="190">
        <v>285000000</v>
      </c>
      <c r="BS54" s="190">
        <v>468000000</v>
      </c>
      <c r="BT54" s="190">
        <v>0</v>
      </c>
      <c r="BU54" s="190"/>
      <c r="BV54" s="190"/>
      <c r="BW54" s="190"/>
      <c r="BX54" s="190"/>
      <c r="BY54" s="190"/>
      <c r="BZ54" s="190"/>
      <c r="CA54" s="190"/>
      <c r="CB54" s="190"/>
      <c r="CC54" s="190"/>
      <c r="CD54" s="190"/>
      <c r="CE54" s="190"/>
      <c r="CF54" s="190"/>
      <c r="CG54" s="190"/>
      <c r="CH54" s="190"/>
      <c r="CI54" s="190"/>
      <c r="CJ54" s="190"/>
      <c r="CK54" s="190"/>
      <c r="CL54" s="190"/>
    </row>
    <row r="55" spans="1:90" s="193" customFormat="1" x14ac:dyDescent="0.25">
      <c r="A55" s="193" t="s">
        <v>37</v>
      </c>
      <c r="B55" s="190">
        <v>0</v>
      </c>
      <c r="C55" s="190">
        <v>0</v>
      </c>
      <c r="D55" s="190">
        <v>0</v>
      </c>
      <c r="E55" s="190">
        <v>0</v>
      </c>
      <c r="F55" s="190">
        <v>0</v>
      </c>
      <c r="G55" s="190">
        <v>0</v>
      </c>
      <c r="H55" s="190">
        <v>0</v>
      </c>
      <c r="I55" s="190">
        <v>0</v>
      </c>
      <c r="J55" s="190">
        <v>0</v>
      </c>
      <c r="K55" s="190">
        <v>0</v>
      </c>
      <c r="L55" s="190">
        <v>0</v>
      </c>
      <c r="M55" s="190">
        <v>0</v>
      </c>
      <c r="N55" s="190">
        <v>0</v>
      </c>
      <c r="O55" s="190">
        <v>0</v>
      </c>
      <c r="P55" s="190">
        <v>0</v>
      </c>
      <c r="Q55" s="190">
        <v>0</v>
      </c>
      <c r="R55" s="190">
        <v>0</v>
      </c>
      <c r="S55" s="190">
        <v>0</v>
      </c>
      <c r="T55" s="190">
        <v>0</v>
      </c>
      <c r="U55" s="190">
        <v>0</v>
      </c>
      <c r="V55" s="190">
        <v>0</v>
      </c>
      <c r="W55" s="190">
        <v>0</v>
      </c>
      <c r="X55" s="190">
        <v>0</v>
      </c>
      <c r="Y55" s="190">
        <v>0</v>
      </c>
      <c r="Z55" s="190">
        <v>0</v>
      </c>
      <c r="AA55" s="190">
        <v>0</v>
      </c>
      <c r="AB55" s="190">
        <v>0</v>
      </c>
      <c r="AC55" s="190">
        <v>0</v>
      </c>
      <c r="AD55" s="190">
        <v>0</v>
      </c>
      <c r="AE55" s="190">
        <v>0</v>
      </c>
      <c r="AF55" s="190">
        <v>0</v>
      </c>
      <c r="AG55" s="190">
        <v>0</v>
      </c>
      <c r="AH55" s="190">
        <v>0</v>
      </c>
      <c r="AI55" s="190">
        <v>0</v>
      </c>
      <c r="AJ55" s="190">
        <v>0</v>
      </c>
      <c r="AK55" s="190">
        <v>0</v>
      </c>
      <c r="AL55" s="190">
        <v>0</v>
      </c>
      <c r="AM55" s="190">
        <v>0</v>
      </c>
      <c r="AN55" s="190">
        <v>0</v>
      </c>
      <c r="AO55" s="190">
        <v>0</v>
      </c>
      <c r="AP55" s="190">
        <v>0</v>
      </c>
      <c r="AQ55" s="190">
        <v>0</v>
      </c>
      <c r="AR55" s="190">
        <v>0</v>
      </c>
      <c r="AS55" s="190">
        <v>0</v>
      </c>
      <c r="AT55" s="190">
        <v>0</v>
      </c>
      <c r="AU55" s="190">
        <v>0</v>
      </c>
      <c r="AV55" s="190">
        <v>0</v>
      </c>
      <c r="AW55" s="190">
        <v>0</v>
      </c>
      <c r="AX55" s="190">
        <v>0</v>
      </c>
      <c r="AY55" s="190">
        <v>0</v>
      </c>
      <c r="AZ55" s="190">
        <v>0</v>
      </c>
      <c r="BA55" s="190">
        <v>0</v>
      </c>
      <c r="BB55" s="190">
        <v>0</v>
      </c>
      <c r="BC55" s="190">
        <v>0</v>
      </c>
      <c r="BD55" s="190">
        <v>0</v>
      </c>
      <c r="BE55" s="190">
        <v>0</v>
      </c>
      <c r="BF55" s="190">
        <v>0</v>
      </c>
      <c r="BG55" s="190">
        <v>0</v>
      </c>
      <c r="BH55" s="190">
        <v>0</v>
      </c>
      <c r="BI55" s="190">
        <v>0</v>
      </c>
      <c r="BJ55" s="190">
        <v>0</v>
      </c>
      <c r="BK55" s="190">
        <v>0</v>
      </c>
      <c r="BL55" s="190">
        <v>0</v>
      </c>
      <c r="BM55" s="190">
        <v>0</v>
      </c>
      <c r="BN55" s="190">
        <v>0</v>
      </c>
      <c r="BO55" s="190">
        <v>0</v>
      </c>
      <c r="BP55" s="190">
        <v>0</v>
      </c>
      <c r="BQ55" s="190">
        <v>0</v>
      </c>
      <c r="BR55" s="190">
        <v>0</v>
      </c>
      <c r="BS55" s="190">
        <v>0</v>
      </c>
      <c r="BT55" s="190">
        <v>0</v>
      </c>
      <c r="BU55" s="190"/>
      <c r="BV55" s="190"/>
      <c r="BW55" s="190"/>
      <c r="BX55" s="190"/>
      <c r="BY55" s="190"/>
      <c r="BZ55" s="190"/>
      <c r="CA55" s="190"/>
      <c r="CB55" s="190"/>
      <c r="CC55" s="190"/>
      <c r="CD55" s="190"/>
      <c r="CE55" s="190"/>
      <c r="CF55" s="190"/>
      <c r="CG55" s="190"/>
      <c r="CH55" s="190"/>
      <c r="CI55" s="190"/>
      <c r="CJ55" s="190"/>
      <c r="CK55" s="190"/>
      <c r="CL55" s="190"/>
    </row>
    <row r="56" spans="1:90" s="193" customFormat="1" x14ac:dyDescent="0.25">
      <c r="A56" s="193" t="s">
        <v>38</v>
      </c>
      <c r="B56" s="190">
        <v>0</v>
      </c>
      <c r="C56" s="190">
        <v>0</v>
      </c>
      <c r="D56" s="190">
        <v>0</v>
      </c>
      <c r="E56" s="190">
        <v>0</v>
      </c>
      <c r="F56" s="190">
        <v>0</v>
      </c>
      <c r="G56" s="190">
        <v>0</v>
      </c>
      <c r="H56" s="190">
        <v>0</v>
      </c>
      <c r="I56" s="190">
        <v>0</v>
      </c>
      <c r="J56" s="190">
        <v>0</v>
      </c>
      <c r="K56" s="190">
        <v>0</v>
      </c>
      <c r="L56" s="190">
        <v>0</v>
      </c>
      <c r="M56" s="190">
        <v>0</v>
      </c>
      <c r="N56" s="190">
        <v>0</v>
      </c>
      <c r="O56" s="190">
        <v>0</v>
      </c>
      <c r="P56" s="190">
        <v>0</v>
      </c>
      <c r="Q56" s="190">
        <v>0</v>
      </c>
      <c r="R56" s="190">
        <v>0</v>
      </c>
      <c r="S56" s="190">
        <v>0</v>
      </c>
      <c r="T56" s="190">
        <v>0</v>
      </c>
      <c r="U56" s="190">
        <v>0</v>
      </c>
      <c r="V56" s="190">
        <v>0</v>
      </c>
      <c r="W56" s="190">
        <v>0</v>
      </c>
      <c r="X56" s="190">
        <v>0</v>
      </c>
      <c r="Y56" s="190">
        <v>0</v>
      </c>
      <c r="Z56" s="190">
        <v>0</v>
      </c>
      <c r="AA56" s="190">
        <v>0</v>
      </c>
      <c r="AB56" s="190">
        <v>0</v>
      </c>
      <c r="AC56" s="190">
        <v>0</v>
      </c>
      <c r="AD56" s="190">
        <v>0</v>
      </c>
      <c r="AE56" s="190">
        <v>0</v>
      </c>
      <c r="AF56" s="190">
        <v>0</v>
      </c>
      <c r="AG56" s="190">
        <v>0</v>
      </c>
      <c r="AH56" s="190">
        <v>0</v>
      </c>
      <c r="AI56" s="190">
        <v>0</v>
      </c>
      <c r="AJ56" s="190">
        <v>0</v>
      </c>
      <c r="AK56" s="190">
        <v>0</v>
      </c>
      <c r="AL56" s="190">
        <v>0</v>
      </c>
      <c r="AM56" s="190">
        <v>0</v>
      </c>
      <c r="AN56" s="190">
        <v>0</v>
      </c>
      <c r="AO56" s="190">
        <v>0</v>
      </c>
      <c r="AP56" s="190">
        <v>0</v>
      </c>
      <c r="AQ56" s="190">
        <v>0</v>
      </c>
      <c r="AR56" s="190">
        <v>0</v>
      </c>
      <c r="AS56" s="190">
        <v>0</v>
      </c>
      <c r="AT56" s="190">
        <v>0</v>
      </c>
      <c r="AU56" s="190">
        <v>0</v>
      </c>
      <c r="AV56" s="190">
        <v>0</v>
      </c>
      <c r="AW56" s="190">
        <v>0</v>
      </c>
      <c r="AX56" s="190">
        <v>0</v>
      </c>
      <c r="AY56" s="190">
        <v>0</v>
      </c>
      <c r="AZ56" s="190">
        <v>0</v>
      </c>
      <c r="BA56" s="190">
        <v>0</v>
      </c>
      <c r="BB56" s="190">
        <v>0</v>
      </c>
      <c r="BC56" s="190">
        <v>0</v>
      </c>
      <c r="BD56" s="190">
        <v>0</v>
      </c>
      <c r="BE56" s="190">
        <v>0</v>
      </c>
      <c r="BF56" s="190">
        <v>0</v>
      </c>
      <c r="BG56" s="190">
        <v>0</v>
      </c>
      <c r="BH56" s="190">
        <v>0</v>
      </c>
      <c r="BI56" s="190">
        <v>0</v>
      </c>
      <c r="BJ56" s="190">
        <v>0</v>
      </c>
      <c r="BK56" s="190">
        <v>0</v>
      </c>
      <c r="BL56" s="190">
        <v>0</v>
      </c>
      <c r="BM56" s="190">
        <v>0</v>
      </c>
      <c r="BN56" s="190">
        <v>0</v>
      </c>
      <c r="BO56" s="190">
        <v>0</v>
      </c>
      <c r="BP56" s="190">
        <v>0</v>
      </c>
      <c r="BQ56" s="190">
        <v>0</v>
      </c>
      <c r="BR56" s="190">
        <v>0</v>
      </c>
      <c r="BS56" s="190">
        <v>0</v>
      </c>
      <c r="BT56" s="190">
        <v>0</v>
      </c>
      <c r="BU56" s="190"/>
      <c r="BV56" s="190"/>
      <c r="BW56" s="190"/>
      <c r="BX56" s="190"/>
      <c r="BY56" s="190"/>
      <c r="BZ56" s="190"/>
      <c r="CA56" s="190"/>
      <c r="CB56" s="190"/>
      <c r="CC56" s="190"/>
      <c r="CD56" s="190"/>
      <c r="CE56" s="190"/>
      <c r="CF56" s="190"/>
      <c r="CG56" s="190"/>
      <c r="CH56" s="190"/>
      <c r="CI56" s="190"/>
      <c r="CJ56" s="190"/>
      <c r="CK56" s="190"/>
      <c r="CL56" s="190"/>
    </row>
    <row r="57" spans="1:90" s="193" customFormat="1" x14ac:dyDescent="0.25">
      <c r="A57" s="193" t="s">
        <v>39</v>
      </c>
      <c r="B57" s="190">
        <v>0</v>
      </c>
      <c r="C57" s="190">
        <v>0</v>
      </c>
      <c r="D57" s="190">
        <v>0</v>
      </c>
      <c r="E57" s="190">
        <v>0</v>
      </c>
      <c r="F57" s="190">
        <v>0</v>
      </c>
      <c r="G57" s="190">
        <v>0</v>
      </c>
      <c r="H57" s="190">
        <v>0</v>
      </c>
      <c r="I57" s="190">
        <v>0</v>
      </c>
      <c r="J57" s="190">
        <v>0</v>
      </c>
      <c r="K57" s="190">
        <v>0</v>
      </c>
      <c r="L57" s="190">
        <v>0</v>
      </c>
      <c r="M57" s="190">
        <v>0</v>
      </c>
      <c r="N57" s="190">
        <v>0</v>
      </c>
      <c r="O57" s="190">
        <v>0</v>
      </c>
      <c r="P57" s="190">
        <v>0</v>
      </c>
      <c r="Q57" s="190">
        <v>0</v>
      </c>
      <c r="R57" s="190">
        <v>223398000000</v>
      </c>
      <c r="S57" s="190">
        <v>0</v>
      </c>
      <c r="T57" s="190">
        <v>0</v>
      </c>
      <c r="U57" s="190">
        <v>0</v>
      </c>
      <c r="V57" s="190">
        <v>0</v>
      </c>
      <c r="W57" s="190">
        <v>0</v>
      </c>
      <c r="X57" s="190">
        <v>0</v>
      </c>
      <c r="Y57" s="190">
        <v>0</v>
      </c>
      <c r="Z57" s="190">
        <v>0</v>
      </c>
      <c r="AA57" s="190">
        <v>0</v>
      </c>
      <c r="AB57" s="190">
        <v>0</v>
      </c>
      <c r="AC57" s="190">
        <v>0</v>
      </c>
      <c r="AD57" s="190">
        <v>0</v>
      </c>
      <c r="AE57" s="190">
        <v>0</v>
      </c>
      <c r="AF57" s="190">
        <v>0</v>
      </c>
      <c r="AG57" s="190">
        <v>0</v>
      </c>
      <c r="AH57" s="190">
        <v>0</v>
      </c>
      <c r="AI57" s="190">
        <v>0</v>
      </c>
      <c r="AJ57" s="190">
        <v>0</v>
      </c>
      <c r="AK57" s="190">
        <v>0</v>
      </c>
      <c r="AL57" s="190">
        <v>0</v>
      </c>
      <c r="AM57" s="190">
        <v>0</v>
      </c>
      <c r="AN57" s="190">
        <v>0</v>
      </c>
      <c r="AO57" s="190">
        <v>0</v>
      </c>
      <c r="AP57" s="190">
        <v>0</v>
      </c>
      <c r="AQ57" s="190">
        <v>0</v>
      </c>
      <c r="AR57" s="190">
        <v>0</v>
      </c>
      <c r="AS57" s="190">
        <v>0</v>
      </c>
      <c r="AT57" s="190">
        <v>0</v>
      </c>
      <c r="AU57" s="190">
        <v>0</v>
      </c>
      <c r="AV57" s="190">
        <v>0</v>
      </c>
      <c r="AW57" s="190">
        <v>0</v>
      </c>
      <c r="AX57" s="190">
        <v>0</v>
      </c>
      <c r="AY57" s="190">
        <v>0</v>
      </c>
      <c r="AZ57" s="190">
        <v>0</v>
      </c>
      <c r="BA57" s="190">
        <v>0</v>
      </c>
      <c r="BB57" s="190">
        <v>0</v>
      </c>
      <c r="BC57" s="190">
        <v>0</v>
      </c>
      <c r="BD57" s="190">
        <v>0</v>
      </c>
      <c r="BE57" s="190">
        <v>0</v>
      </c>
      <c r="BF57" s="190">
        <v>0</v>
      </c>
      <c r="BG57" s="190">
        <v>0</v>
      </c>
      <c r="BH57" s="190">
        <v>0</v>
      </c>
      <c r="BI57" s="190">
        <v>0</v>
      </c>
      <c r="BJ57" s="190">
        <v>0</v>
      </c>
      <c r="BK57" s="190">
        <v>0</v>
      </c>
      <c r="BL57" s="190">
        <v>0</v>
      </c>
      <c r="BM57" s="190">
        <v>0</v>
      </c>
      <c r="BN57" s="190">
        <v>0</v>
      </c>
      <c r="BO57" s="190">
        <v>0</v>
      </c>
      <c r="BP57" s="190">
        <v>0</v>
      </c>
      <c r="BQ57" s="190">
        <v>0</v>
      </c>
      <c r="BR57" s="190">
        <v>0</v>
      </c>
      <c r="BS57" s="190">
        <v>0</v>
      </c>
      <c r="BT57" s="190">
        <v>0</v>
      </c>
      <c r="BU57" s="190"/>
      <c r="BV57" s="190"/>
      <c r="BW57" s="190"/>
      <c r="BX57" s="190"/>
      <c r="BY57" s="190"/>
      <c r="BZ57" s="190"/>
      <c r="CA57" s="190"/>
      <c r="CB57" s="190"/>
      <c r="CC57" s="190"/>
      <c r="CD57" s="190"/>
      <c r="CE57" s="190"/>
      <c r="CF57" s="190"/>
      <c r="CG57" s="190"/>
      <c r="CH57" s="190"/>
      <c r="CI57" s="190"/>
      <c r="CJ57" s="190"/>
      <c r="CK57" s="190"/>
      <c r="CL57" s="190"/>
    </row>
    <row r="58" spans="1:90" s="193" customFormat="1" x14ac:dyDescent="0.25">
      <c r="A58" s="193" t="s">
        <v>40</v>
      </c>
      <c r="B58" s="190">
        <v>99411000000</v>
      </c>
      <c r="C58" s="190">
        <v>97396000000</v>
      </c>
      <c r="D58" s="190">
        <v>96446000000</v>
      </c>
      <c r="E58" s="190">
        <v>97126000000</v>
      </c>
      <c r="F58" s="190">
        <v>91132000000</v>
      </c>
      <c r="G58" s="190">
        <v>90230000000</v>
      </c>
      <c r="H58" s="190">
        <v>86246000000</v>
      </c>
      <c r="I58" s="190">
        <v>85023000000</v>
      </c>
      <c r="J58" s="190">
        <v>82007000000</v>
      </c>
      <c r="K58" s="190">
        <v>82156000000</v>
      </c>
      <c r="L58" s="190">
        <v>81151000000</v>
      </c>
      <c r="M58" s="190">
        <v>81081000000</v>
      </c>
      <c r="N58" s="190">
        <v>78402000000</v>
      </c>
      <c r="O58" s="190">
        <v>78218000000</v>
      </c>
      <c r="P58" s="190">
        <v>78331000000</v>
      </c>
      <c r="Q58" s="190">
        <v>78681000000</v>
      </c>
      <c r="R58" s="190">
        <v>68250000000</v>
      </c>
      <c r="S58" s="190">
        <v>66246000000</v>
      </c>
      <c r="T58" s="190">
        <v>60763000000</v>
      </c>
      <c r="U58" s="190">
        <v>60263000000</v>
      </c>
      <c r="V58" s="190">
        <v>55075000000</v>
      </c>
      <c r="W58" s="190">
        <v>53016000000</v>
      </c>
      <c r="X58" s="190">
        <v>51234000000</v>
      </c>
      <c r="Y58" s="190">
        <v>49834000000</v>
      </c>
      <c r="Z58" s="190">
        <v>46273000000</v>
      </c>
      <c r="AA58" s="190">
        <v>44459000000</v>
      </c>
      <c r="AB58" s="190">
        <v>38177000000</v>
      </c>
      <c r="AC58" s="190">
        <v>34842000000</v>
      </c>
      <c r="AD58" s="190">
        <v>29438000000</v>
      </c>
      <c r="AE58" s="190">
        <v>28634000000</v>
      </c>
      <c r="AF58" s="190">
        <v>27895000000</v>
      </c>
      <c r="AG58" s="190">
        <v>27440000000</v>
      </c>
      <c r="AH58" s="190">
        <v>24605000000</v>
      </c>
      <c r="AI58" s="190">
        <v>24025000000</v>
      </c>
      <c r="AJ58" s="190">
        <v>23263000000</v>
      </c>
      <c r="AK58" s="190">
        <v>22862000000</v>
      </c>
      <c r="AL58" s="190">
        <v>19317000000</v>
      </c>
      <c r="AM58" s="190">
        <v>17533000000</v>
      </c>
      <c r="AN58" s="190">
        <v>15976000000</v>
      </c>
      <c r="AO58" s="190">
        <v>15965000000</v>
      </c>
      <c r="AP58" s="190">
        <v>16985000000</v>
      </c>
      <c r="AQ58" s="190">
        <v>16730000000</v>
      </c>
      <c r="AR58" s="190">
        <v>15618000000</v>
      </c>
      <c r="AS58" s="190">
        <v>15232000000</v>
      </c>
      <c r="AT58" s="190">
        <v>12674000000</v>
      </c>
      <c r="AU58" s="190">
        <v>12182000000</v>
      </c>
      <c r="AV58" s="190">
        <v>9293000000</v>
      </c>
      <c r="AW58" s="190">
        <v>6676000000</v>
      </c>
      <c r="AX58" s="190">
        <v>6008000000</v>
      </c>
      <c r="AY58" s="190">
        <v>5835000000</v>
      </c>
      <c r="AZ58" s="190">
        <v>5752000000</v>
      </c>
      <c r="BA58" s="190">
        <v>5924000000</v>
      </c>
      <c r="BB58" s="190">
        <v>5721000000</v>
      </c>
      <c r="BC58" s="190">
        <v>6125000000</v>
      </c>
      <c r="BD58" s="190">
        <v>6075000000</v>
      </c>
      <c r="BE58" s="190">
        <v>5345000000</v>
      </c>
      <c r="BF58" s="190">
        <v>4601000000</v>
      </c>
      <c r="BG58" s="190">
        <v>4526000000</v>
      </c>
      <c r="BH58" s="190">
        <v>4504000000</v>
      </c>
      <c r="BI58" s="190">
        <v>4564000000</v>
      </c>
      <c r="BJ58" s="190">
        <v>4001000000</v>
      </c>
      <c r="BK58" s="190">
        <v>3945000000</v>
      </c>
      <c r="BL58" s="190">
        <v>4059000000</v>
      </c>
      <c r="BM58" s="190">
        <v>4062000000</v>
      </c>
      <c r="BN58" s="190">
        <v>3810000000</v>
      </c>
      <c r="BO58" s="190">
        <v>3904000000</v>
      </c>
      <c r="BP58" s="190">
        <v>4055000000</v>
      </c>
      <c r="BQ58" s="190">
        <v>3977000000</v>
      </c>
      <c r="BR58" s="190">
        <v>1007000000</v>
      </c>
      <c r="BS58" s="190">
        <v>1049000000</v>
      </c>
      <c r="BT58" s="190">
        <v>0</v>
      </c>
      <c r="BU58" s="190"/>
      <c r="BV58" s="190"/>
      <c r="BW58" s="190"/>
      <c r="BX58" s="190"/>
      <c r="BY58" s="190"/>
      <c r="BZ58" s="190"/>
      <c r="CA58" s="190"/>
      <c r="CB58" s="190"/>
      <c r="CC58" s="190"/>
      <c r="CD58" s="190"/>
      <c r="CE58" s="190"/>
      <c r="CF58" s="190"/>
      <c r="CG58" s="190"/>
      <c r="CH58" s="190"/>
      <c r="CI58" s="190"/>
      <c r="CJ58" s="190"/>
      <c r="CK58" s="190"/>
      <c r="CL58" s="190"/>
    </row>
    <row r="59" spans="1:90" s="193" customFormat="1" x14ac:dyDescent="0.25">
      <c r="A59" s="193" t="s">
        <v>41</v>
      </c>
      <c r="B59" s="190">
        <v>0</v>
      </c>
      <c r="C59" s="190">
        <v>0</v>
      </c>
      <c r="D59" s="190">
        <v>0</v>
      </c>
      <c r="E59" s="190">
        <v>0</v>
      </c>
      <c r="F59" s="190">
        <v>0</v>
      </c>
      <c r="G59" s="190">
        <v>0</v>
      </c>
      <c r="H59" s="190">
        <v>0</v>
      </c>
      <c r="I59" s="190">
        <v>0</v>
      </c>
      <c r="J59" s="190">
        <v>0</v>
      </c>
      <c r="K59" s="190">
        <v>0</v>
      </c>
      <c r="L59" s="190">
        <v>0</v>
      </c>
      <c r="M59" s="190">
        <v>0</v>
      </c>
      <c r="N59" s="190">
        <v>0</v>
      </c>
      <c r="O59" s="190">
        <v>0</v>
      </c>
      <c r="P59" s="190">
        <v>0</v>
      </c>
      <c r="Q59" s="190">
        <v>0</v>
      </c>
      <c r="R59" s="190">
        <v>0</v>
      </c>
      <c r="S59" s="190">
        <v>0</v>
      </c>
      <c r="T59" s="190">
        <v>0</v>
      </c>
      <c r="U59" s="190">
        <v>0</v>
      </c>
      <c r="V59" s="190">
        <v>0</v>
      </c>
      <c r="W59" s="190">
        <v>0</v>
      </c>
      <c r="X59" s="190">
        <v>0</v>
      </c>
      <c r="Y59" s="190">
        <v>0</v>
      </c>
      <c r="Z59" s="190">
        <v>0</v>
      </c>
      <c r="AA59" s="190">
        <v>0</v>
      </c>
      <c r="AB59" s="190">
        <v>0</v>
      </c>
      <c r="AC59" s="190">
        <v>0</v>
      </c>
      <c r="AD59" s="190">
        <v>0</v>
      </c>
      <c r="AE59" s="190">
        <v>0</v>
      </c>
      <c r="AF59" s="190">
        <v>0</v>
      </c>
      <c r="AG59" s="190">
        <v>0</v>
      </c>
      <c r="AH59" s="190">
        <v>0</v>
      </c>
      <c r="AI59" s="190">
        <v>0</v>
      </c>
      <c r="AJ59" s="190">
        <v>0</v>
      </c>
      <c r="AK59" s="190">
        <v>0</v>
      </c>
      <c r="AL59" s="190">
        <v>0</v>
      </c>
      <c r="AM59" s="190">
        <v>0</v>
      </c>
      <c r="AN59" s="190">
        <v>0</v>
      </c>
      <c r="AO59" s="190">
        <v>0</v>
      </c>
      <c r="AP59" s="190">
        <v>0</v>
      </c>
      <c r="AQ59" s="190">
        <v>0</v>
      </c>
      <c r="AR59" s="190">
        <v>0</v>
      </c>
      <c r="AS59" s="190">
        <v>0</v>
      </c>
      <c r="AT59" s="190">
        <v>0</v>
      </c>
      <c r="AU59" s="190">
        <v>0</v>
      </c>
      <c r="AV59" s="190">
        <v>0</v>
      </c>
      <c r="AW59" s="190">
        <v>0</v>
      </c>
      <c r="AX59" s="190">
        <v>0</v>
      </c>
      <c r="AY59" s="190">
        <v>0</v>
      </c>
      <c r="AZ59" s="190">
        <v>0</v>
      </c>
      <c r="BA59" s="190">
        <v>0</v>
      </c>
      <c r="BB59" s="190">
        <v>0</v>
      </c>
      <c r="BC59" s="190">
        <v>0</v>
      </c>
      <c r="BD59" s="190">
        <v>0</v>
      </c>
      <c r="BE59" s="190">
        <v>0</v>
      </c>
      <c r="BF59" s="190">
        <v>0</v>
      </c>
      <c r="BG59" s="190">
        <v>0</v>
      </c>
      <c r="BH59" s="190">
        <v>0</v>
      </c>
      <c r="BI59" s="190">
        <v>0</v>
      </c>
      <c r="BJ59" s="190">
        <v>0</v>
      </c>
      <c r="BK59" s="190">
        <v>0</v>
      </c>
      <c r="BL59" s="190">
        <v>0</v>
      </c>
      <c r="BM59" s="190">
        <v>0</v>
      </c>
      <c r="BN59" s="190">
        <v>0</v>
      </c>
      <c r="BO59" s="190">
        <v>0</v>
      </c>
      <c r="BP59" s="190">
        <v>0</v>
      </c>
      <c r="BQ59" s="190">
        <v>0</v>
      </c>
      <c r="BR59" s="190">
        <v>0</v>
      </c>
      <c r="BS59" s="190">
        <v>0</v>
      </c>
      <c r="BT59" s="190">
        <v>0</v>
      </c>
      <c r="BU59" s="190"/>
      <c r="BV59" s="190"/>
      <c r="BW59" s="190"/>
      <c r="BX59" s="190"/>
      <c r="BY59" s="190"/>
      <c r="BZ59" s="190"/>
      <c r="CA59" s="190"/>
      <c r="CB59" s="190"/>
      <c r="CC59" s="190"/>
      <c r="CD59" s="190"/>
      <c r="CE59" s="190"/>
      <c r="CF59" s="190"/>
      <c r="CG59" s="190"/>
      <c r="CH59" s="190"/>
      <c r="CI59" s="190"/>
      <c r="CJ59" s="190"/>
      <c r="CK59" s="190"/>
      <c r="CL59" s="190"/>
    </row>
    <row r="60" spans="1:90" s="193" customFormat="1" x14ac:dyDescent="0.25">
      <c r="A60" s="193" t="s">
        <v>42</v>
      </c>
      <c r="B60" s="190">
        <v>8680000000</v>
      </c>
      <c r="C60" s="190">
        <v>8642000000</v>
      </c>
      <c r="D60" s="190">
        <v>8598000000</v>
      </c>
      <c r="E60" s="190">
        <v>8634000000</v>
      </c>
      <c r="F60" s="190">
        <v>6326000000</v>
      </c>
      <c r="G60" s="190">
        <v>6325000000</v>
      </c>
      <c r="H60" s="190">
        <v>6346000000</v>
      </c>
      <c r="I60" s="190">
        <v>6353000000</v>
      </c>
      <c r="J60" s="190">
        <v>6324000000</v>
      </c>
      <c r="K60" s="190">
        <v>6317000000</v>
      </c>
      <c r="L60" s="190">
        <v>6300000000</v>
      </c>
      <c r="M60" s="190">
        <v>6271000000</v>
      </c>
      <c r="N60" s="190">
        <v>6281000000</v>
      </c>
      <c r="O60" s="190">
        <v>6281000000</v>
      </c>
      <c r="P60" s="190">
        <v>6281000000</v>
      </c>
      <c r="Q60" s="190">
        <v>6281000000</v>
      </c>
      <c r="R60" s="190">
        <v>6255000000</v>
      </c>
      <c r="S60" s="190">
        <v>6255000000</v>
      </c>
      <c r="T60" s="190">
        <v>6255000000</v>
      </c>
      <c r="U60" s="190">
        <v>6255000000</v>
      </c>
      <c r="V60" s="190">
        <v>6254000000</v>
      </c>
      <c r="W60" s="190">
        <v>6257000000</v>
      </c>
      <c r="X60" s="190">
        <v>6257000000</v>
      </c>
      <c r="Y60" s="190">
        <v>6257000000</v>
      </c>
      <c r="Z60" s="190">
        <v>6662000000</v>
      </c>
      <c r="AA60" s="190">
        <v>6536000000</v>
      </c>
      <c r="AB60" s="190">
        <v>8302000000</v>
      </c>
      <c r="AC60" s="190">
        <v>8212000000</v>
      </c>
      <c r="AD60" s="190">
        <v>8917000000</v>
      </c>
      <c r="AE60" s="190">
        <v>8775000000</v>
      </c>
      <c r="AF60" s="190">
        <v>8417000000</v>
      </c>
      <c r="AG60" s="190">
        <v>8298000000</v>
      </c>
      <c r="AH60" s="190">
        <v>14268000000</v>
      </c>
      <c r="AI60" s="190">
        <v>14290000000</v>
      </c>
      <c r="AJ60" s="190">
        <v>14294000000</v>
      </c>
      <c r="AK60" s="190">
        <v>14163000000</v>
      </c>
      <c r="AL60" s="190">
        <v>14009000000</v>
      </c>
      <c r="AM60" s="190">
        <v>14393000000</v>
      </c>
      <c r="AN60" s="190">
        <v>14395000000</v>
      </c>
      <c r="AO60" s="190">
        <v>14328000000</v>
      </c>
      <c r="AP60" s="190">
        <v>15686000000</v>
      </c>
      <c r="AQ60" s="190">
        <v>15707000000</v>
      </c>
      <c r="AR60" s="190">
        <v>15701000000</v>
      </c>
      <c r="AS60" s="190">
        <v>15690000000</v>
      </c>
      <c r="AT60" s="190">
        <v>15407000000</v>
      </c>
      <c r="AU60" s="190">
        <v>15407000000</v>
      </c>
      <c r="AV60" s="190">
        <v>14510000000</v>
      </c>
      <c r="AW60" s="190">
        <v>0</v>
      </c>
      <c r="AX60" s="190">
        <v>0</v>
      </c>
      <c r="AY60" s="190">
        <v>0</v>
      </c>
      <c r="AZ60" s="190">
        <v>0</v>
      </c>
      <c r="BA60" s="190">
        <v>0</v>
      </c>
      <c r="BB60" s="190">
        <v>0</v>
      </c>
      <c r="BC60" s="190">
        <v>0</v>
      </c>
      <c r="BD60" s="190">
        <v>0</v>
      </c>
      <c r="BE60" s="190">
        <v>0</v>
      </c>
      <c r="BF60" s="190">
        <v>0</v>
      </c>
      <c r="BG60" s="190">
        <v>0</v>
      </c>
      <c r="BH60" s="190">
        <v>0</v>
      </c>
      <c r="BI60" s="190">
        <v>0</v>
      </c>
      <c r="BJ60" s="190">
        <v>0</v>
      </c>
      <c r="BK60" s="190">
        <v>0</v>
      </c>
      <c r="BL60" s="190">
        <v>0</v>
      </c>
      <c r="BM60" s="190">
        <v>0</v>
      </c>
      <c r="BN60" s="190">
        <v>0</v>
      </c>
      <c r="BO60" s="190">
        <v>0</v>
      </c>
      <c r="BP60" s="190">
        <v>0</v>
      </c>
      <c r="BQ60" s="190">
        <v>0</v>
      </c>
      <c r="BR60" s="190">
        <v>0</v>
      </c>
      <c r="BS60" s="190">
        <v>0</v>
      </c>
      <c r="BT60" s="190">
        <v>0</v>
      </c>
      <c r="BU60" s="190"/>
      <c r="BV60" s="190"/>
      <c r="BW60" s="190"/>
      <c r="BX60" s="190"/>
      <c r="BY60" s="190"/>
      <c r="BZ60" s="190"/>
      <c r="CA60" s="190"/>
      <c r="CB60" s="190"/>
      <c r="CC60" s="190"/>
      <c r="CD60" s="190"/>
      <c r="CE60" s="190"/>
      <c r="CF60" s="190"/>
      <c r="CG60" s="190"/>
      <c r="CH60" s="190"/>
      <c r="CI60" s="190"/>
      <c r="CJ60" s="190"/>
      <c r="CK60" s="190"/>
      <c r="CL60" s="190"/>
    </row>
    <row r="61" spans="1:90" s="193" customFormat="1" x14ac:dyDescent="0.25">
      <c r="A61" s="193" t="s">
        <v>43</v>
      </c>
      <c r="B61" s="190">
        <v>14443000000</v>
      </c>
      <c r="C61" s="190">
        <v>14387000000</v>
      </c>
      <c r="D61" s="190">
        <v>14637000000</v>
      </c>
      <c r="E61" s="190">
        <v>14720000000</v>
      </c>
      <c r="F61" s="190">
        <v>13883000000</v>
      </c>
      <c r="G61" s="190">
        <v>13764000000</v>
      </c>
      <c r="H61" s="190">
        <v>13274000000</v>
      </c>
      <c r="I61" s="190">
        <v>13537000000</v>
      </c>
      <c r="J61" s="190">
        <v>13663000000</v>
      </c>
      <c r="K61" s="190">
        <v>13634000000</v>
      </c>
      <c r="L61" s="190">
        <v>13321000000</v>
      </c>
      <c r="M61" s="190">
        <v>13919000000</v>
      </c>
      <c r="N61" s="190">
        <v>13599000000</v>
      </c>
      <c r="O61" s="190">
        <v>13983000000</v>
      </c>
      <c r="P61" s="190">
        <v>14107000000</v>
      </c>
      <c r="Q61" s="190">
        <v>14158000000</v>
      </c>
      <c r="R61" s="190">
        <v>13894000000</v>
      </c>
      <c r="S61" s="190">
        <v>12987000000</v>
      </c>
      <c r="T61" s="190">
        <v>11821000000</v>
      </c>
      <c r="U61" s="190">
        <v>11961000000</v>
      </c>
      <c r="V61" s="190">
        <v>10555000000</v>
      </c>
      <c r="W61" s="190">
        <v>10322000000</v>
      </c>
      <c r="X61" s="190">
        <v>9803000000</v>
      </c>
      <c r="Y61" s="190">
        <v>10246000000</v>
      </c>
      <c r="Z61" s="190">
        <v>9720000000</v>
      </c>
      <c r="AA61" s="190">
        <v>9305000000</v>
      </c>
      <c r="AB61" s="190">
        <v>9337000000</v>
      </c>
      <c r="AC61" s="190">
        <v>9076000000</v>
      </c>
      <c r="AD61" s="190">
        <v>8381000000</v>
      </c>
      <c r="AE61" s="190">
        <v>7764000000</v>
      </c>
      <c r="AF61" s="190">
        <v>7499000000</v>
      </c>
      <c r="AG61" s="190">
        <v>7560000000</v>
      </c>
      <c r="AH61" s="190">
        <v>6920000000</v>
      </c>
      <c r="AI61" s="190">
        <v>6447000000</v>
      </c>
      <c r="AJ61" s="190">
        <v>6142000000</v>
      </c>
      <c r="AK61" s="190">
        <v>6281000000</v>
      </c>
      <c r="AL61" s="190">
        <v>6524000000</v>
      </c>
      <c r="AM61" s="190">
        <v>6175000000</v>
      </c>
      <c r="AN61" s="190">
        <v>6418000000</v>
      </c>
      <c r="AO61" s="190">
        <v>6557000000</v>
      </c>
      <c r="AP61" s="190">
        <v>6643000000</v>
      </c>
      <c r="AQ61" s="190">
        <v>6348000000</v>
      </c>
      <c r="AR61" s="190">
        <v>5774000000</v>
      </c>
      <c r="AS61" s="190">
        <v>5842000000</v>
      </c>
      <c r="AT61" s="190">
        <v>4433000000</v>
      </c>
      <c r="AU61" s="190">
        <v>4226000000</v>
      </c>
      <c r="AV61" s="190">
        <v>4662000000</v>
      </c>
      <c r="AW61" s="190">
        <v>4898000000</v>
      </c>
      <c r="AX61" s="190">
        <v>3984000000</v>
      </c>
      <c r="AY61" s="190">
        <v>4088000000</v>
      </c>
      <c r="AZ61" s="190">
        <v>4127000000</v>
      </c>
      <c r="BA61" s="190">
        <v>3657000000</v>
      </c>
      <c r="BB61" s="190">
        <v>4248000000</v>
      </c>
      <c r="BC61" s="190">
        <v>3783000000</v>
      </c>
      <c r="BD61" s="190">
        <v>3581000000</v>
      </c>
      <c r="BE61" s="190">
        <v>3563000000</v>
      </c>
      <c r="BF61" s="190">
        <v>943000000</v>
      </c>
      <c r="BG61" s="190">
        <v>573000000</v>
      </c>
      <c r="BH61" s="190">
        <v>125000000</v>
      </c>
      <c r="BI61" s="190">
        <v>97000000</v>
      </c>
      <c r="BJ61" s="190">
        <v>76000000</v>
      </c>
      <c r="BK61" s="190">
        <v>58000000</v>
      </c>
      <c r="BL61" s="190">
        <v>0</v>
      </c>
      <c r="BM61" s="190">
        <v>0</v>
      </c>
      <c r="BN61" s="190">
        <v>0</v>
      </c>
      <c r="BO61" s="190">
        <v>0</v>
      </c>
      <c r="BP61" s="190">
        <v>0</v>
      </c>
      <c r="BQ61" s="190">
        <v>0</v>
      </c>
      <c r="BR61" s="190">
        <v>0</v>
      </c>
      <c r="BS61" s="190">
        <v>0</v>
      </c>
      <c r="BT61" s="190">
        <v>0</v>
      </c>
      <c r="BU61" s="190"/>
      <c r="BV61" s="190"/>
      <c r="BW61" s="190"/>
      <c r="BX61" s="190"/>
      <c r="BY61" s="190"/>
      <c r="BZ61" s="190"/>
      <c r="CA61" s="190"/>
      <c r="CB61" s="190"/>
      <c r="CC61" s="190"/>
      <c r="CD61" s="190"/>
      <c r="CE61" s="190"/>
      <c r="CF61" s="190"/>
      <c r="CG61" s="190"/>
      <c r="CH61" s="190"/>
      <c r="CI61" s="190"/>
      <c r="CJ61" s="190"/>
      <c r="CK61" s="190"/>
      <c r="CL61" s="190"/>
    </row>
    <row r="62" spans="1:90" s="193" customFormat="1" x14ac:dyDescent="0.25">
      <c r="A62" s="193" t="s">
        <v>44</v>
      </c>
      <c r="B62" s="190">
        <v>19912000000</v>
      </c>
      <c r="C62" s="190">
        <v>19000000000</v>
      </c>
      <c r="D62" s="190">
        <v>16892000000</v>
      </c>
      <c r="E62" s="190">
        <v>15131000000</v>
      </c>
      <c r="F62" s="190">
        <v>11107000000</v>
      </c>
      <c r="G62" s="190">
        <v>9761000000</v>
      </c>
      <c r="H62" s="190">
        <v>8112000000</v>
      </c>
      <c r="I62" s="190">
        <v>7214000000</v>
      </c>
      <c r="J62" s="190">
        <v>7183000000</v>
      </c>
      <c r="K62" s="190">
        <v>6818000000</v>
      </c>
      <c r="L62" s="190">
        <v>7687000000</v>
      </c>
      <c r="M62" s="190">
        <v>7469000000</v>
      </c>
      <c r="N62" s="190">
        <v>7171000000</v>
      </c>
      <c r="O62" s="190">
        <v>6376000000</v>
      </c>
      <c r="P62" s="190">
        <v>7495000000</v>
      </c>
      <c r="Q62" s="190">
        <v>6979000000</v>
      </c>
      <c r="R62" s="190">
        <v>5610000000</v>
      </c>
      <c r="S62" s="190">
        <v>5563000000</v>
      </c>
      <c r="T62" s="190">
        <v>4751000000</v>
      </c>
      <c r="U62" s="190">
        <v>4141000000</v>
      </c>
      <c r="V62" s="190">
        <v>4424000000</v>
      </c>
      <c r="W62" s="190">
        <v>5089000000</v>
      </c>
      <c r="X62" s="190">
        <v>15092000000</v>
      </c>
      <c r="Y62" s="190">
        <v>6381000000</v>
      </c>
      <c r="Z62" s="190">
        <v>13740000000</v>
      </c>
      <c r="AA62" s="190">
        <v>15167000000</v>
      </c>
      <c r="AB62" s="190">
        <v>13640000000</v>
      </c>
      <c r="AC62" s="190">
        <v>13398000000</v>
      </c>
      <c r="AD62" s="190">
        <v>13425000000</v>
      </c>
      <c r="AE62" s="190">
        <v>14748000000</v>
      </c>
      <c r="AF62" s="190">
        <v>15541000000</v>
      </c>
      <c r="AG62" s="190">
        <v>15578000000</v>
      </c>
      <c r="AH62" s="190">
        <v>12728000000</v>
      </c>
      <c r="AI62" s="190">
        <v>12577000000</v>
      </c>
      <c r="AJ62" s="190">
        <v>13282000000</v>
      </c>
      <c r="AK62" s="190">
        <v>13683000000</v>
      </c>
      <c r="AL62" s="190">
        <v>11869000000</v>
      </c>
      <c r="AM62" s="190">
        <v>12010000000</v>
      </c>
      <c r="AN62" s="190">
        <v>11720000000</v>
      </c>
      <c r="AO62" s="190">
        <v>12510000000</v>
      </c>
      <c r="AP62" s="190">
        <v>16088000000</v>
      </c>
      <c r="AQ62" s="190">
        <v>18037000000</v>
      </c>
      <c r="AR62" s="190">
        <v>12623000000</v>
      </c>
      <c r="AS62" s="190">
        <v>10192000000</v>
      </c>
      <c r="AT62" s="190">
        <v>8416000000</v>
      </c>
      <c r="AU62" s="190">
        <v>8107000000</v>
      </c>
      <c r="AV62" s="190">
        <v>9663000000</v>
      </c>
      <c r="AW62" s="190">
        <v>6710000000</v>
      </c>
      <c r="AX62" s="190">
        <v>5787000000</v>
      </c>
      <c r="AY62" s="190">
        <v>5796000000</v>
      </c>
      <c r="AZ62" s="190">
        <v>5835000000</v>
      </c>
      <c r="BA62" s="190">
        <v>5701000000</v>
      </c>
      <c r="BB62" s="190">
        <v>5459000000</v>
      </c>
      <c r="BC62" s="190">
        <v>4718000000</v>
      </c>
      <c r="BD62" s="190">
        <v>4971000000</v>
      </c>
      <c r="BE62" s="190">
        <v>4166000000</v>
      </c>
      <c r="BF62" s="190">
        <v>4049000000</v>
      </c>
      <c r="BG62" s="190">
        <v>3115000000</v>
      </c>
      <c r="BH62" s="190">
        <v>2297000000</v>
      </c>
      <c r="BI62" s="190">
        <v>1752000000</v>
      </c>
      <c r="BJ62" s="190">
        <v>543000000</v>
      </c>
      <c r="BK62" s="190">
        <v>689000000</v>
      </c>
      <c r="BL62" s="190">
        <v>843000000</v>
      </c>
      <c r="BM62" s="190">
        <v>357000000</v>
      </c>
      <c r="BN62" s="190">
        <v>451000000</v>
      </c>
      <c r="BO62" s="190">
        <v>621000000</v>
      </c>
      <c r="BP62" s="190">
        <v>800000000</v>
      </c>
      <c r="BQ62" s="190">
        <v>760000000</v>
      </c>
      <c r="BR62" s="190">
        <v>1201000000</v>
      </c>
      <c r="BS62" s="190">
        <v>1155000000</v>
      </c>
      <c r="BT62" s="190">
        <v>0</v>
      </c>
      <c r="BU62" s="190"/>
      <c r="BV62" s="190"/>
      <c r="BW62" s="190"/>
      <c r="BX62" s="190"/>
      <c r="BY62" s="190"/>
      <c r="BZ62" s="190"/>
      <c r="CA62" s="190"/>
      <c r="CB62" s="190"/>
      <c r="CC62" s="190"/>
      <c r="CD62" s="190"/>
      <c r="CE62" s="190"/>
      <c r="CF62" s="190"/>
      <c r="CG62" s="190"/>
      <c r="CH62" s="190"/>
      <c r="CI62" s="190"/>
      <c r="CJ62" s="190"/>
      <c r="CK62" s="190"/>
      <c r="CL62" s="190"/>
    </row>
    <row r="63" spans="1:90" s="193" customFormat="1" x14ac:dyDescent="0.25">
      <c r="A63" s="193" t="s">
        <v>45</v>
      </c>
      <c r="B63" s="190">
        <v>5906000000</v>
      </c>
      <c r="C63" s="190">
        <v>5814000000</v>
      </c>
      <c r="D63" s="190">
        <v>6322000000</v>
      </c>
      <c r="E63" s="190">
        <v>6466000000</v>
      </c>
      <c r="F63" s="190">
        <v>5375000000</v>
      </c>
      <c r="G63" s="190">
        <v>6146000000</v>
      </c>
      <c r="H63" s="190">
        <v>6967000000</v>
      </c>
      <c r="I63" s="190">
        <v>7661000000</v>
      </c>
      <c r="J63" s="190">
        <v>7954000000</v>
      </c>
      <c r="K63" s="190">
        <v>8431000000</v>
      </c>
      <c r="L63" s="190">
        <v>7962000000</v>
      </c>
      <c r="M63" s="190">
        <v>8259000000</v>
      </c>
      <c r="N63" s="190">
        <v>10129000000</v>
      </c>
      <c r="O63" s="190">
        <v>10071000000</v>
      </c>
      <c r="P63" s="190">
        <v>7174000000</v>
      </c>
      <c r="Q63" s="190">
        <v>7820000000</v>
      </c>
      <c r="R63" s="190">
        <v>8776000000</v>
      </c>
      <c r="S63" s="190">
        <v>9224000000</v>
      </c>
      <c r="T63" s="190">
        <v>7882000000</v>
      </c>
      <c r="U63" s="190">
        <v>7977000000</v>
      </c>
      <c r="V63" s="190">
        <v>6997000000</v>
      </c>
      <c r="W63" s="190">
        <v>7069000000</v>
      </c>
      <c r="X63" s="190">
        <v>15839000000</v>
      </c>
      <c r="Y63" s="190">
        <v>7294000000</v>
      </c>
      <c r="Z63" s="190">
        <v>15601000000</v>
      </c>
      <c r="AA63" s="190">
        <v>15423000000</v>
      </c>
      <c r="AB63" s="190">
        <v>15157000000</v>
      </c>
      <c r="AC63" s="190">
        <v>15181000000</v>
      </c>
      <c r="AD63" s="190">
        <v>14951000000</v>
      </c>
      <c r="AE63" s="190">
        <v>15266000000</v>
      </c>
      <c r="AF63" s="190">
        <v>15662000000</v>
      </c>
      <c r="AG63" s="190">
        <v>15017000000</v>
      </c>
      <c r="AH63" s="190">
        <v>13077000000</v>
      </c>
      <c r="AI63" s="190">
        <v>6607000000</v>
      </c>
      <c r="AJ63" s="190">
        <v>4990000000</v>
      </c>
      <c r="AK63" s="190">
        <v>4979000000</v>
      </c>
      <c r="AL63" s="190">
        <v>4958000000</v>
      </c>
      <c r="AM63" s="190">
        <v>5130000000</v>
      </c>
      <c r="AN63" s="190">
        <v>5101000000</v>
      </c>
      <c r="AO63" s="190">
        <v>5235000000</v>
      </c>
      <c r="AP63" s="190">
        <v>1651000000</v>
      </c>
      <c r="AQ63" s="190">
        <v>1471000000</v>
      </c>
      <c r="AR63" s="190">
        <v>1433000000</v>
      </c>
      <c r="AS63" s="190">
        <v>1492000000</v>
      </c>
      <c r="AT63" s="190">
        <v>2348000000</v>
      </c>
      <c r="AU63" s="190">
        <v>2285000000</v>
      </c>
      <c r="AV63" s="190">
        <v>2568000000</v>
      </c>
      <c r="AW63" s="190">
        <v>0</v>
      </c>
      <c r="AX63" s="190">
        <v>0</v>
      </c>
      <c r="AY63" s="190">
        <v>0</v>
      </c>
      <c r="AZ63" s="190">
        <v>0</v>
      </c>
      <c r="BA63" s="190">
        <v>0</v>
      </c>
      <c r="BB63" s="190">
        <v>3000000</v>
      </c>
      <c r="BC63" s="190">
        <v>3000000</v>
      </c>
      <c r="BD63" s="190">
        <v>188000000</v>
      </c>
      <c r="BE63" s="190">
        <v>198000000</v>
      </c>
      <c r="BF63" s="190">
        <v>223000000</v>
      </c>
      <c r="BG63" s="190">
        <v>238000000</v>
      </c>
      <c r="BH63" s="190">
        <v>275000000</v>
      </c>
      <c r="BI63" s="190">
        <v>289000000</v>
      </c>
      <c r="BJ63" s="190">
        <v>347000000</v>
      </c>
      <c r="BK63" s="190">
        <v>379000000</v>
      </c>
      <c r="BL63" s="190">
        <v>487000000</v>
      </c>
      <c r="BM63" s="190">
        <v>474000000</v>
      </c>
      <c r="BN63" s="190">
        <v>659000000</v>
      </c>
      <c r="BO63" s="190">
        <v>688000000</v>
      </c>
      <c r="BP63" s="190">
        <v>669000000</v>
      </c>
      <c r="BQ63" s="190">
        <v>679000000</v>
      </c>
      <c r="BR63" s="190">
        <v>329000000</v>
      </c>
      <c r="BS63" s="190">
        <v>427000000</v>
      </c>
      <c r="BT63" s="190">
        <v>0</v>
      </c>
      <c r="BU63" s="190"/>
      <c r="BV63" s="190"/>
      <c r="BW63" s="190"/>
      <c r="BX63" s="190"/>
      <c r="BY63" s="190"/>
      <c r="BZ63" s="190"/>
      <c r="CA63" s="190"/>
      <c r="CB63" s="190"/>
      <c r="CC63" s="190"/>
      <c r="CD63" s="190"/>
      <c r="CE63" s="190"/>
      <c r="CF63" s="190"/>
      <c r="CG63" s="190"/>
      <c r="CH63" s="190"/>
      <c r="CI63" s="190"/>
      <c r="CJ63" s="190"/>
      <c r="CK63" s="190"/>
      <c r="CL63" s="190"/>
    </row>
    <row r="64" spans="1:90" s="193" customFormat="1" x14ac:dyDescent="0.25">
      <c r="A64" s="193" t="s">
        <v>46</v>
      </c>
      <c r="B64" s="190">
        <v>35739000000</v>
      </c>
      <c r="C64" s="190">
        <v>33539000000</v>
      </c>
      <c r="D64" s="190">
        <v>29705000000</v>
      </c>
      <c r="E64" s="190">
        <v>28662000000</v>
      </c>
      <c r="F64" s="190">
        <v>26700000000</v>
      </c>
      <c r="G64" s="190">
        <v>27836000000</v>
      </c>
      <c r="H64" s="190">
        <v>25607000000</v>
      </c>
      <c r="I64" s="190">
        <v>25826000000</v>
      </c>
      <c r="J64" s="190">
        <v>25842000000</v>
      </c>
      <c r="K64" s="190">
        <v>25922000000</v>
      </c>
      <c r="L64" s="190">
        <v>23346000000</v>
      </c>
      <c r="M64" s="190">
        <v>23835000000</v>
      </c>
      <c r="N64" s="190">
        <v>23757000000</v>
      </c>
      <c r="O64" s="190">
        <v>23226000000</v>
      </c>
      <c r="P64" s="190">
        <v>22754000000</v>
      </c>
      <c r="Q64" s="190">
        <v>22512000000</v>
      </c>
      <c r="R64" s="190">
        <v>22759000000</v>
      </c>
      <c r="S64" s="190">
        <v>24228000000</v>
      </c>
      <c r="T64" s="190">
        <v>21813000000</v>
      </c>
      <c r="U64" s="190">
        <v>19983000000</v>
      </c>
      <c r="V64" s="190">
        <v>31707000000</v>
      </c>
      <c r="W64" s="190">
        <v>13580000000</v>
      </c>
      <c r="X64" s="190">
        <v>12194000000</v>
      </c>
      <c r="Y64" s="190">
        <v>11046000000</v>
      </c>
      <c r="Z64" s="190">
        <v>14459000000</v>
      </c>
      <c r="AA64" s="190">
        <v>13678000000</v>
      </c>
      <c r="AB64" s="190">
        <v>14258000000</v>
      </c>
      <c r="AC64" s="190">
        <v>12232000000</v>
      </c>
      <c r="AD64" s="190">
        <v>1885000000</v>
      </c>
      <c r="AE64" s="190">
        <v>1502000000</v>
      </c>
      <c r="AF64" s="190">
        <v>1103000000</v>
      </c>
      <c r="AG64" s="190">
        <v>1727000000</v>
      </c>
      <c r="AH64" s="190">
        <v>1042000000</v>
      </c>
      <c r="AI64" s="190">
        <v>1009000000</v>
      </c>
      <c r="AJ64" s="190">
        <v>1124000000</v>
      </c>
      <c r="AK64" s="190">
        <v>1792000000</v>
      </c>
      <c r="AL64" s="190">
        <v>1027000000</v>
      </c>
      <c r="AM64" s="190">
        <v>1167000000</v>
      </c>
      <c r="AN64" s="190">
        <v>1016000000</v>
      </c>
      <c r="AO64" s="190">
        <v>1012000000</v>
      </c>
      <c r="AP64" s="190">
        <v>1215000000</v>
      </c>
      <c r="AQ64" s="190">
        <v>1216000000</v>
      </c>
      <c r="AR64" s="190">
        <v>1072000000</v>
      </c>
      <c r="AS64" s="190">
        <v>2190000000</v>
      </c>
      <c r="AT64" s="190">
        <v>1960000000</v>
      </c>
      <c r="AU64" s="190">
        <v>1997000000</v>
      </c>
      <c r="AV64" s="190">
        <v>1531000000</v>
      </c>
      <c r="AW64" s="190">
        <v>0</v>
      </c>
      <c r="AX64" s="190">
        <v>0</v>
      </c>
      <c r="AY64" s="190">
        <v>0</v>
      </c>
      <c r="AZ64" s="190">
        <v>0</v>
      </c>
      <c r="BA64" s="190">
        <v>0</v>
      </c>
      <c r="BB64" s="190">
        <v>0</v>
      </c>
      <c r="BC64" s="190">
        <v>0</v>
      </c>
      <c r="BD64" s="190">
        <v>0</v>
      </c>
      <c r="BE64" s="190">
        <v>0</v>
      </c>
      <c r="BF64" s="190">
        <v>0</v>
      </c>
      <c r="BG64" s="190">
        <v>0</v>
      </c>
      <c r="BH64" s="190">
        <v>0</v>
      </c>
      <c r="BI64" s="190">
        <v>0</v>
      </c>
      <c r="BJ64" s="190">
        <v>0</v>
      </c>
      <c r="BK64" s="190">
        <v>0</v>
      </c>
      <c r="BL64" s="190">
        <v>0</v>
      </c>
      <c r="BM64" s="190">
        <v>0</v>
      </c>
      <c r="BN64" s="190">
        <v>0</v>
      </c>
      <c r="BO64" s="190">
        <v>0</v>
      </c>
      <c r="BP64" s="190">
        <v>0</v>
      </c>
      <c r="BQ64" s="190">
        <v>0</v>
      </c>
      <c r="BR64" s="190">
        <v>0</v>
      </c>
      <c r="BS64" s="190">
        <v>0</v>
      </c>
      <c r="BT64" s="190">
        <v>0</v>
      </c>
      <c r="BU64" s="190"/>
      <c r="BV64" s="190"/>
      <c r="BW64" s="190"/>
      <c r="BX64" s="190"/>
      <c r="BY64" s="190"/>
      <c r="BZ64" s="190"/>
      <c r="CA64" s="190"/>
      <c r="CB64" s="190"/>
      <c r="CC64" s="190"/>
      <c r="CD64" s="190"/>
      <c r="CE64" s="190"/>
      <c r="CF64" s="190"/>
      <c r="CG64" s="190"/>
      <c r="CH64" s="190"/>
      <c r="CI64" s="190"/>
      <c r="CJ64" s="190"/>
      <c r="CK64" s="190"/>
      <c r="CL64" s="190"/>
    </row>
    <row r="65" spans="1:90" hidden="1" x14ac:dyDescent="0.25">
      <c r="B65" s="26"/>
      <c r="C65" s="26"/>
      <c r="D65" s="26"/>
      <c r="E65" s="26"/>
      <c r="F65" s="26"/>
      <c r="G65" s="26"/>
      <c r="H65" s="26"/>
      <c r="I65" s="26"/>
      <c r="J65" s="26"/>
      <c r="K65" s="26"/>
      <c r="L65" s="23"/>
    </row>
    <row r="66" spans="1:90" hidden="1" x14ac:dyDescent="0.25">
      <c r="B66" s="26"/>
      <c r="C66" s="26"/>
      <c r="D66" s="26"/>
      <c r="E66" s="26"/>
      <c r="F66" s="26"/>
      <c r="G66" s="26"/>
      <c r="H66" s="26"/>
      <c r="I66" s="26"/>
      <c r="J66" s="26"/>
      <c r="K66" s="26"/>
      <c r="L66" s="23"/>
    </row>
    <row r="67" spans="1:90" hidden="1" x14ac:dyDescent="0.25">
      <c r="B67" s="26"/>
      <c r="C67" s="26"/>
      <c r="D67" s="26"/>
      <c r="E67" s="26"/>
      <c r="F67" s="26"/>
      <c r="G67" s="26"/>
      <c r="H67" s="26"/>
      <c r="I67" s="26"/>
      <c r="J67" s="26"/>
      <c r="K67" s="26"/>
      <c r="L67" s="23"/>
    </row>
    <row r="68" spans="1:90" s="12" customFormat="1" x14ac:dyDescent="0.25">
      <c r="A68" s="125" t="s">
        <v>47</v>
      </c>
      <c r="B68" s="36">
        <f>SUM(B52:B64)-2*B63</f>
        <v>903385000000</v>
      </c>
      <c r="C68" s="36">
        <f t="shared" ref="C68:BN68" si="8">SUM(C52:C64)-2*C63</f>
        <v>906151000000</v>
      </c>
      <c r="D68" s="36">
        <f t="shared" si="8"/>
        <v>909853000000</v>
      </c>
      <c r="E68" s="36">
        <f t="shared" si="8"/>
        <v>927226000000</v>
      </c>
      <c r="F68" s="36">
        <f t="shared" si="8"/>
        <v>896955000000</v>
      </c>
      <c r="G68" s="36">
        <f t="shared" si="8"/>
        <v>913612000000</v>
      </c>
      <c r="H68" s="36">
        <f t="shared" si="8"/>
        <v>927569000000</v>
      </c>
      <c r="I68" s="36">
        <f t="shared" si="8"/>
        <v>950467000000</v>
      </c>
      <c r="J68" s="36">
        <f t="shared" si="8"/>
        <v>964934000000</v>
      </c>
      <c r="K68" s="36">
        <f t="shared" si="8"/>
        <v>976671000000</v>
      </c>
      <c r="L68" s="36">
        <f t="shared" si="8"/>
        <v>986640000000</v>
      </c>
      <c r="M68" s="36">
        <f t="shared" si="8"/>
        <v>1009169000000</v>
      </c>
      <c r="N68" s="36">
        <f t="shared" si="8"/>
        <v>970128000000</v>
      </c>
      <c r="O68" s="36">
        <f t="shared" si="8"/>
        <v>978810000000</v>
      </c>
      <c r="P68" s="36">
        <f t="shared" si="8"/>
        <v>987802000000</v>
      </c>
      <c r="Q68" s="36">
        <f t="shared" si="8"/>
        <v>1001943000000</v>
      </c>
      <c r="R68" s="36">
        <f t="shared" si="8"/>
        <v>943823000000</v>
      </c>
      <c r="S68" s="36">
        <f t="shared" si="8"/>
        <v>920114000000</v>
      </c>
      <c r="T68" s="36">
        <f t="shared" si="8"/>
        <v>915170000000</v>
      </c>
      <c r="U68" s="36">
        <f t="shared" si="8"/>
        <v>924851000000</v>
      </c>
      <c r="V68" s="36">
        <f t="shared" si="8"/>
        <v>877246000000</v>
      </c>
      <c r="W68" s="36">
        <f t="shared" si="8"/>
        <v>845896000000</v>
      </c>
      <c r="X68" s="36">
        <f t="shared" si="8"/>
        <v>834221000000</v>
      </c>
      <c r="Y68" s="36">
        <f t="shared" si="8"/>
        <v>834416000000</v>
      </c>
      <c r="Z68" s="36">
        <f t="shared" si="8"/>
        <v>775704000000</v>
      </c>
      <c r="AA68" s="36">
        <f t="shared" si="8"/>
        <v>761348000000</v>
      </c>
      <c r="AB68" s="36">
        <f t="shared" si="8"/>
        <v>742832000000</v>
      </c>
      <c r="AC68" s="36">
        <f t="shared" si="8"/>
        <v>739826000000</v>
      </c>
      <c r="AD68" s="36">
        <f t="shared" si="8"/>
        <v>686071000000</v>
      </c>
      <c r="AE68" s="36">
        <f t="shared" si="8"/>
        <v>679409000000</v>
      </c>
      <c r="AF68" s="36">
        <f t="shared" si="8"/>
        <v>673309000000</v>
      </c>
      <c r="AG68" s="36">
        <f t="shared" si="8"/>
        <v>675885000000</v>
      </c>
      <c r="AH68" s="36">
        <f t="shared" si="8"/>
        <v>641183000000</v>
      </c>
      <c r="AI68" s="36">
        <f t="shared" si="8"/>
        <v>625244000000</v>
      </c>
      <c r="AJ68" s="36">
        <f t="shared" si="8"/>
        <v>623418000000</v>
      </c>
      <c r="AK68" s="36">
        <f t="shared" si="8"/>
        <v>638770000000</v>
      </c>
      <c r="AL68" s="36">
        <f t="shared" si="8"/>
        <v>604667000000</v>
      </c>
      <c r="AM68" s="36">
        <f t="shared" si="8"/>
        <v>594271000000</v>
      </c>
      <c r="AN68" s="36">
        <f t="shared" si="8"/>
        <v>573575000000</v>
      </c>
      <c r="AO68" s="36">
        <f t="shared" si="8"/>
        <v>570288000000</v>
      </c>
      <c r="AP68" s="36">
        <f t="shared" si="8"/>
        <v>535693000000</v>
      </c>
      <c r="AQ68" s="36">
        <f t="shared" si="8"/>
        <v>527855000000</v>
      </c>
      <c r="AR68" s="36">
        <f t="shared" si="8"/>
        <v>509073000000</v>
      </c>
      <c r="AS68" s="36">
        <f t="shared" si="8"/>
        <v>504210000000</v>
      </c>
      <c r="AT68" s="36">
        <f t="shared" si="8"/>
        <v>463282000000</v>
      </c>
      <c r="AU68" s="36">
        <f t="shared" si="8"/>
        <v>448139000000</v>
      </c>
      <c r="AV68" s="36">
        <f t="shared" si="8"/>
        <v>438148000000</v>
      </c>
      <c r="AW68" s="36">
        <f t="shared" si="8"/>
        <v>424967000000</v>
      </c>
      <c r="AX68" s="36">
        <f t="shared" si="8"/>
        <v>385452000000</v>
      </c>
      <c r="AY68" s="36">
        <f t="shared" si="8"/>
        <v>380145000000</v>
      </c>
      <c r="AZ68" s="36">
        <f t="shared" si="8"/>
        <v>371332000000</v>
      </c>
      <c r="BA68" s="36">
        <f t="shared" si="8"/>
        <v>364530000000</v>
      </c>
      <c r="BB68" s="36">
        <f t="shared" si="8"/>
        <v>353329000000</v>
      </c>
      <c r="BC68" s="36">
        <f t="shared" si="8"/>
        <v>347119000000</v>
      </c>
      <c r="BD68" s="36">
        <f t="shared" si="8"/>
        <v>341754000000</v>
      </c>
      <c r="BE68" s="36">
        <f t="shared" si="8"/>
        <v>329418000000</v>
      </c>
      <c r="BF68" s="36">
        <f t="shared" si="8"/>
        <v>301721000000</v>
      </c>
      <c r="BG68" s="36">
        <f t="shared" si="8"/>
        <v>293519000000</v>
      </c>
      <c r="BH68" s="36">
        <f t="shared" si="8"/>
        <v>287123000000</v>
      </c>
      <c r="BI68" s="36">
        <f t="shared" si="8"/>
        <v>281856000000</v>
      </c>
      <c r="BJ68" s="36">
        <f t="shared" si="8"/>
        <v>265022000000</v>
      </c>
      <c r="BK68" s="36">
        <f t="shared" si="8"/>
        <v>264214000000</v>
      </c>
      <c r="BL68" s="36">
        <f t="shared" si="8"/>
        <v>260707000000</v>
      </c>
      <c r="BM68" s="36">
        <f t="shared" si="8"/>
        <v>257868000000</v>
      </c>
      <c r="BN68" s="36">
        <f t="shared" si="8"/>
        <v>252488000000</v>
      </c>
      <c r="BO68" s="36">
        <f t="shared" ref="BO68:CK68" si="9">SUM(BO52:BO64)-2*BO63</f>
        <v>250512000000</v>
      </c>
      <c r="BP68" s="36">
        <f t="shared" si="9"/>
        <v>248481000000</v>
      </c>
      <c r="BQ68" s="36">
        <f t="shared" si="9"/>
        <v>243940000000</v>
      </c>
      <c r="BR68" s="36">
        <f t="shared" si="9"/>
        <v>210670000000</v>
      </c>
      <c r="BS68" s="36">
        <f t="shared" si="9"/>
        <v>203631000000</v>
      </c>
      <c r="BT68" s="36">
        <f t="shared" si="9"/>
        <v>0</v>
      </c>
      <c r="BU68" s="36">
        <f t="shared" si="9"/>
        <v>0</v>
      </c>
      <c r="BV68" s="36">
        <f t="shared" si="9"/>
        <v>0</v>
      </c>
      <c r="BW68" s="36">
        <f t="shared" si="9"/>
        <v>0</v>
      </c>
      <c r="BX68" s="36">
        <f t="shared" si="9"/>
        <v>0</v>
      </c>
      <c r="BY68" s="36">
        <f t="shared" si="9"/>
        <v>0</v>
      </c>
      <c r="BZ68" s="36">
        <f t="shared" si="9"/>
        <v>0</v>
      </c>
      <c r="CA68" s="36">
        <f t="shared" si="9"/>
        <v>0</v>
      </c>
      <c r="CB68" s="36">
        <f t="shared" si="9"/>
        <v>0</v>
      </c>
      <c r="CC68" s="36">
        <f t="shared" si="9"/>
        <v>0</v>
      </c>
      <c r="CD68" s="36">
        <f t="shared" si="9"/>
        <v>0</v>
      </c>
      <c r="CE68" s="36">
        <f t="shared" si="9"/>
        <v>0</v>
      </c>
      <c r="CF68" s="36">
        <f t="shared" si="9"/>
        <v>0</v>
      </c>
      <c r="CG68" s="36">
        <f t="shared" si="9"/>
        <v>0</v>
      </c>
      <c r="CH68" s="36">
        <f t="shared" si="9"/>
        <v>0</v>
      </c>
      <c r="CI68" s="36">
        <f t="shared" si="9"/>
        <v>0</v>
      </c>
      <c r="CJ68" s="36">
        <f t="shared" si="9"/>
        <v>0</v>
      </c>
      <c r="CK68" s="36">
        <f t="shared" si="9"/>
        <v>0</v>
      </c>
    </row>
    <row r="69" spans="1:90" s="5" customFormat="1" x14ac:dyDescent="0.25">
      <c r="A69" s="126" t="s">
        <v>48</v>
      </c>
      <c r="B69" s="33">
        <f>B50+B68</f>
        <v>1128685000000</v>
      </c>
      <c r="C69" s="33">
        <f t="shared" ref="C69:BN69" si="10">C50+C68</f>
        <v>1042498000000</v>
      </c>
      <c r="D69" s="33">
        <f t="shared" si="10"/>
        <v>779818000000</v>
      </c>
      <c r="E69" s="33">
        <f t="shared" si="10"/>
        <v>748854000000</v>
      </c>
      <c r="F69" s="33">
        <f t="shared" si="10"/>
        <v>791196000000</v>
      </c>
      <c r="G69" s="33">
        <f t="shared" si="10"/>
        <v>814414000000</v>
      </c>
      <c r="H69" s="33">
        <f t="shared" si="10"/>
        <v>831741000000</v>
      </c>
      <c r="I69" s="33">
        <f t="shared" si="10"/>
        <v>810034000000</v>
      </c>
      <c r="J69" s="33">
        <f t="shared" si="10"/>
        <v>881682000000</v>
      </c>
      <c r="K69" s="33">
        <f t="shared" si="10"/>
        <v>907641000000</v>
      </c>
      <c r="L69" s="33">
        <f t="shared" si="10"/>
        <v>929406000000</v>
      </c>
      <c r="M69" s="33">
        <f t="shared" si="10"/>
        <v>926381000000</v>
      </c>
      <c r="N69" s="33">
        <f t="shared" si="10"/>
        <v>938060000000</v>
      </c>
      <c r="O69" s="33">
        <f t="shared" si="10"/>
        <v>948479000000</v>
      </c>
      <c r="P69" s="33">
        <f t="shared" si="10"/>
        <v>960937000000</v>
      </c>
      <c r="Q69" s="33">
        <f t="shared" si="10"/>
        <v>926308000000</v>
      </c>
      <c r="R69" s="33">
        <f t="shared" si="10"/>
        <v>929245000000</v>
      </c>
      <c r="S69" s="33">
        <f t="shared" si="10"/>
        <v>921374000000</v>
      </c>
      <c r="T69" s="33">
        <f t="shared" si="10"/>
        <v>917125000000</v>
      </c>
      <c r="U69" s="33">
        <f t="shared" si="10"/>
        <v>874808000000</v>
      </c>
      <c r="V69" s="33">
        <f t="shared" si="10"/>
        <v>882714000000</v>
      </c>
      <c r="W69" s="33">
        <f t="shared" si="10"/>
        <v>856834000000</v>
      </c>
      <c r="X69" s="33">
        <f t="shared" si="10"/>
        <v>854477000000</v>
      </c>
      <c r="Y69" s="33">
        <f t="shared" si="10"/>
        <v>791176000000</v>
      </c>
      <c r="Z69" s="33">
        <f t="shared" si="10"/>
        <v>768818000000</v>
      </c>
      <c r="AA69" s="33">
        <f t="shared" si="10"/>
        <v>784752000000</v>
      </c>
      <c r="AB69" s="33">
        <f t="shared" si="10"/>
        <v>776187000000</v>
      </c>
      <c r="AC69" s="33">
        <f t="shared" si="10"/>
        <v>693517000000</v>
      </c>
      <c r="AD69" s="33">
        <f t="shared" si="10"/>
        <v>676187000000</v>
      </c>
      <c r="AE69" s="33">
        <f t="shared" si="10"/>
        <v>685548000000</v>
      </c>
      <c r="AF69" s="33">
        <f t="shared" si="10"/>
        <v>655694000000</v>
      </c>
      <c r="AG69" s="33">
        <f t="shared" si="10"/>
        <v>617396000000</v>
      </c>
      <c r="AH69" s="33">
        <f t="shared" si="10"/>
        <v>623572000000</v>
      </c>
      <c r="AI69" s="33">
        <f t="shared" si="10"/>
        <v>614528000000</v>
      </c>
      <c r="AJ69" s="33">
        <f t="shared" si="10"/>
        <v>606265000000</v>
      </c>
      <c r="AK69" s="33">
        <f t="shared" si="10"/>
        <v>589186000000</v>
      </c>
      <c r="AL69" s="33">
        <f t="shared" si="10"/>
        <v>578171000000</v>
      </c>
      <c r="AM69" s="33">
        <f t="shared" si="10"/>
        <v>555048000000</v>
      </c>
      <c r="AN69" s="33">
        <f t="shared" si="10"/>
        <v>526010000000</v>
      </c>
      <c r="AO69" s="33">
        <f t="shared" si="10"/>
        <v>550845000000</v>
      </c>
      <c r="AP69" s="33">
        <f t="shared" si="10"/>
        <v>565261000000</v>
      </c>
      <c r="AQ69" s="33">
        <f t="shared" si="10"/>
        <v>524410000000</v>
      </c>
      <c r="AR69" s="33">
        <f t="shared" si="10"/>
        <v>489949000000</v>
      </c>
      <c r="AS69" s="33">
        <f t="shared" si="10"/>
        <v>476118000000</v>
      </c>
      <c r="AT69" s="33">
        <f t="shared" si="10"/>
        <v>441684000000</v>
      </c>
      <c r="AU69" s="33">
        <f t="shared" si="10"/>
        <v>438566000000</v>
      </c>
      <c r="AV69" s="33">
        <f t="shared" si="10"/>
        <v>424384000000</v>
      </c>
      <c r="AW69" s="33">
        <f t="shared" si="10"/>
        <v>413269000000</v>
      </c>
      <c r="AX69" s="33">
        <f t="shared" si="10"/>
        <v>408112000000</v>
      </c>
      <c r="AY69" s="33">
        <f t="shared" si="10"/>
        <v>399057000000</v>
      </c>
      <c r="AZ69" s="33">
        <f t="shared" si="10"/>
        <v>391483000000</v>
      </c>
      <c r="BA69" s="33">
        <f t="shared" si="10"/>
        <v>367472000000</v>
      </c>
      <c r="BB69" s="33">
        <f t="shared" si="10"/>
        <v>363493000000</v>
      </c>
      <c r="BC69" s="33">
        <f t="shared" si="10"/>
        <v>361232000000</v>
      </c>
      <c r="BD69" s="33">
        <f t="shared" si="10"/>
        <v>348332000000</v>
      </c>
      <c r="BE69" s="33">
        <f t="shared" si="10"/>
        <v>327476000000</v>
      </c>
      <c r="BF69" s="33">
        <f t="shared" si="10"/>
        <v>307613000000</v>
      </c>
      <c r="BG69" s="33">
        <f t="shared" si="10"/>
        <v>298220000000</v>
      </c>
      <c r="BH69" s="33">
        <f t="shared" si="10"/>
        <v>284346000000</v>
      </c>
      <c r="BI69" s="33">
        <f t="shared" si="10"/>
        <v>271196000000</v>
      </c>
      <c r="BJ69" s="33">
        <f t="shared" si="10"/>
        <v>262996000000</v>
      </c>
      <c r="BK69" s="33">
        <f t="shared" si="10"/>
        <v>263963000000</v>
      </c>
      <c r="BL69" s="33">
        <f t="shared" si="10"/>
        <v>263368000000</v>
      </c>
      <c r="BM69" s="33">
        <f t="shared" si="10"/>
        <v>259408000000</v>
      </c>
      <c r="BN69" s="33">
        <f t="shared" si="10"/>
        <v>255005000000</v>
      </c>
      <c r="BO69" s="33">
        <f t="shared" ref="BO69:CL69" si="11">BO50+BO68</f>
        <v>258739000000</v>
      </c>
      <c r="BP69" s="33">
        <f t="shared" si="11"/>
        <v>258119000000</v>
      </c>
      <c r="BQ69" s="33">
        <f t="shared" si="11"/>
        <v>256529000000</v>
      </c>
      <c r="BR69" s="33">
        <f t="shared" si="11"/>
        <v>256357000000</v>
      </c>
      <c r="BS69" s="33">
        <f t="shared" si="11"/>
        <v>232437000000</v>
      </c>
      <c r="BT69" s="33">
        <f t="shared" si="11"/>
        <v>0</v>
      </c>
      <c r="BU69" s="33">
        <f t="shared" si="11"/>
        <v>0</v>
      </c>
      <c r="BV69" s="33">
        <f t="shared" si="11"/>
        <v>0</v>
      </c>
      <c r="BW69" s="33">
        <f t="shared" si="11"/>
        <v>0</v>
      </c>
      <c r="BX69" s="33">
        <f t="shared" si="11"/>
        <v>0</v>
      </c>
      <c r="BY69" s="33">
        <f t="shared" si="11"/>
        <v>0</v>
      </c>
      <c r="BZ69" s="33">
        <f t="shared" si="11"/>
        <v>0</v>
      </c>
      <c r="CA69" s="33">
        <f t="shared" si="11"/>
        <v>0</v>
      </c>
      <c r="CB69" s="33">
        <f t="shared" si="11"/>
        <v>0</v>
      </c>
      <c r="CC69" s="33">
        <f t="shared" si="11"/>
        <v>0</v>
      </c>
      <c r="CD69" s="33">
        <f t="shared" si="11"/>
        <v>0</v>
      </c>
      <c r="CE69" s="33">
        <f t="shared" si="11"/>
        <v>0</v>
      </c>
      <c r="CF69" s="33">
        <f t="shared" si="11"/>
        <v>0</v>
      </c>
      <c r="CG69" s="33">
        <f t="shared" si="11"/>
        <v>0</v>
      </c>
      <c r="CH69" s="33">
        <f t="shared" si="11"/>
        <v>0</v>
      </c>
      <c r="CI69" s="33">
        <f t="shared" si="11"/>
        <v>0</v>
      </c>
      <c r="CJ69" s="33">
        <f t="shared" si="11"/>
        <v>0</v>
      </c>
      <c r="CK69" s="33">
        <f t="shared" si="11"/>
        <v>0</v>
      </c>
      <c r="CL69" s="33">
        <f t="shared" si="11"/>
        <v>0</v>
      </c>
    </row>
    <row r="70" spans="1:90" s="9" customFormat="1" x14ac:dyDescent="0.25">
      <c r="A70" s="127" t="s">
        <v>49</v>
      </c>
      <c r="B70" s="37">
        <f>B17+B19+B69</f>
        <v>1506707000000</v>
      </c>
      <c r="C70" s="37">
        <f t="shared" ref="C70:BN70" si="12">C17+C19+C69</f>
        <v>1389841000000</v>
      </c>
      <c r="D70" s="37">
        <f t="shared" si="12"/>
        <v>1126592000000</v>
      </c>
      <c r="E70" s="37">
        <f t="shared" si="12"/>
        <v>1097817000000</v>
      </c>
      <c r="F70" s="37">
        <f t="shared" si="12"/>
        <v>1090297000000</v>
      </c>
      <c r="G70" s="37">
        <f t="shared" si="12"/>
        <v>1108857000000</v>
      </c>
      <c r="H70" s="37">
        <f t="shared" si="12"/>
        <v>1098473000000</v>
      </c>
      <c r="I70" s="37">
        <f t="shared" si="12"/>
        <v>1080751000000</v>
      </c>
      <c r="J70" s="37">
        <f t="shared" si="12"/>
        <v>1069330000000</v>
      </c>
      <c r="K70" s="37">
        <f t="shared" si="12"/>
        <v>1084475000000</v>
      </c>
      <c r="L70" s="37">
        <f t="shared" si="12"/>
        <v>1088832000000</v>
      </c>
      <c r="M70" s="37">
        <f t="shared" si="12"/>
        <v>1088234000000</v>
      </c>
      <c r="N70" s="37">
        <f t="shared" si="12"/>
        <v>1082184000000</v>
      </c>
      <c r="O70" s="37">
        <f t="shared" si="12"/>
        <v>1108601000000</v>
      </c>
      <c r="P70" s="37">
        <f t="shared" si="12"/>
        <v>1118574000000</v>
      </c>
      <c r="Q70" s="37">
        <f t="shared" si="12"/>
        <v>1017869000000</v>
      </c>
      <c r="R70" s="37">
        <f t="shared" si="12"/>
        <v>1029039000000</v>
      </c>
      <c r="S70" s="37">
        <f t="shared" si="12"/>
        <v>1015197000000</v>
      </c>
      <c r="T70" s="37">
        <f t="shared" si="12"/>
        <v>1017304000000</v>
      </c>
      <c r="U70" s="37">
        <f t="shared" si="12"/>
        <v>966987000000</v>
      </c>
      <c r="V70" s="37">
        <f t="shared" si="12"/>
        <v>953370000000</v>
      </c>
      <c r="W70" s="37">
        <f t="shared" si="12"/>
        <v>924357000000</v>
      </c>
      <c r="X70" s="37">
        <f t="shared" si="12"/>
        <v>923777000000</v>
      </c>
      <c r="Y70" s="37">
        <f t="shared" si="12"/>
        <v>854101000000</v>
      </c>
      <c r="Z70" s="37">
        <f t="shared" si="12"/>
        <v>831404000000</v>
      </c>
      <c r="AA70" s="37">
        <f t="shared" si="12"/>
        <v>846210000000</v>
      </c>
      <c r="AB70" s="37">
        <f t="shared" si="12"/>
        <v>849278000000</v>
      </c>
      <c r="AC70" s="37">
        <f t="shared" si="12"/>
        <v>766172000000</v>
      </c>
      <c r="AD70" s="37">
        <f t="shared" si="12"/>
        <v>750198000000</v>
      </c>
      <c r="AE70" s="37">
        <f t="shared" si="12"/>
        <v>745440000000</v>
      </c>
      <c r="AF70" s="37">
        <f t="shared" si="12"/>
        <v>729500000000</v>
      </c>
      <c r="AG70" s="37">
        <f t="shared" si="12"/>
        <v>680573000000</v>
      </c>
      <c r="AH70" s="37">
        <f t="shared" si="12"/>
        <v>675439000000</v>
      </c>
      <c r="AI70" s="37">
        <f t="shared" si="12"/>
        <v>670330000000</v>
      </c>
      <c r="AJ70" s="37">
        <f t="shared" si="12"/>
        <v>655371000000</v>
      </c>
      <c r="AK70" s="37">
        <f t="shared" si="12"/>
        <v>632675000000</v>
      </c>
      <c r="AL70" s="37">
        <f t="shared" si="12"/>
        <v>618547000000</v>
      </c>
      <c r="AM70" s="37">
        <f t="shared" si="12"/>
        <v>594712000000</v>
      </c>
      <c r="AN70" s="37">
        <f t="shared" si="12"/>
        <v>568007000000</v>
      </c>
      <c r="AO70" s="37">
        <f t="shared" si="12"/>
        <v>587250000000</v>
      </c>
      <c r="AP70" s="37">
        <f t="shared" si="12"/>
        <v>608235000000</v>
      </c>
      <c r="AQ70" s="37">
        <f t="shared" si="12"/>
        <v>565373000000</v>
      </c>
      <c r="AR70" s="37">
        <f t="shared" si="12"/>
        <v>551663000000</v>
      </c>
      <c r="AS70" s="37">
        <f t="shared" si="12"/>
        <v>515817000000</v>
      </c>
      <c r="AT70" s="37">
        <f t="shared" si="12"/>
        <v>475255000000</v>
      </c>
      <c r="AU70" s="37">
        <f t="shared" si="12"/>
        <v>475963000000</v>
      </c>
      <c r="AV70" s="37">
        <f t="shared" si="12"/>
        <v>464847000000</v>
      </c>
      <c r="AW70" s="37">
        <f t="shared" si="12"/>
        <v>449475000000</v>
      </c>
      <c r="AX70" s="37">
        <f t="shared" si="12"/>
        <v>446000000000</v>
      </c>
      <c r="AY70" s="37">
        <f t="shared" si="12"/>
        <v>437226000000</v>
      </c>
      <c r="AZ70" s="37">
        <f t="shared" si="12"/>
        <v>419125000000</v>
      </c>
      <c r="BA70" s="37">
        <f t="shared" si="12"/>
        <v>396365000000</v>
      </c>
      <c r="BB70" s="37">
        <f t="shared" si="12"/>
        <v>391977000000</v>
      </c>
      <c r="BC70" s="37">
        <f t="shared" si="12"/>
        <v>387103000000</v>
      </c>
      <c r="BD70" s="37">
        <f t="shared" si="12"/>
        <v>379030000000</v>
      </c>
      <c r="BE70" s="37">
        <f t="shared" si="12"/>
        <v>359165000000</v>
      </c>
      <c r="BF70" s="37">
        <f t="shared" si="12"/>
        <v>337471000000</v>
      </c>
      <c r="BG70" s="37">
        <f t="shared" si="12"/>
        <v>327354000000</v>
      </c>
      <c r="BH70" s="37">
        <f t="shared" si="12"/>
        <v>316142000000</v>
      </c>
      <c r="BI70" s="37">
        <f t="shared" si="12"/>
        <v>299751000000</v>
      </c>
      <c r="BJ70" s="37">
        <f t="shared" si="12"/>
        <v>293009000000</v>
      </c>
      <c r="BK70" s="37">
        <f t="shared" si="12"/>
        <v>296643000000</v>
      </c>
      <c r="BL70" s="37">
        <f t="shared" si="12"/>
        <v>296584000000</v>
      </c>
      <c r="BM70" s="37">
        <f t="shared" si="12"/>
        <v>289145000000</v>
      </c>
      <c r="BN70" s="37">
        <f t="shared" si="12"/>
        <v>284805000000</v>
      </c>
      <c r="BO70" s="37">
        <f t="shared" ref="BO70:CL70" si="13">BO17+BO19+BO69</f>
        <v>290079000000</v>
      </c>
      <c r="BP70" s="37">
        <f t="shared" si="13"/>
        <v>288719000000</v>
      </c>
      <c r="BQ70" s="37">
        <f t="shared" si="13"/>
        <v>288309000000</v>
      </c>
      <c r="BR70" s="37">
        <f t="shared" si="13"/>
        <v>303562000000</v>
      </c>
      <c r="BS70" s="37">
        <f t="shared" si="13"/>
        <v>278876000000</v>
      </c>
      <c r="BT70" s="37">
        <f t="shared" si="13"/>
        <v>0</v>
      </c>
      <c r="BU70" s="37">
        <f t="shared" si="13"/>
        <v>0</v>
      </c>
      <c r="BV70" s="37">
        <f t="shared" si="13"/>
        <v>0</v>
      </c>
      <c r="BW70" s="37">
        <f t="shared" si="13"/>
        <v>0</v>
      </c>
      <c r="BX70" s="37">
        <f t="shared" si="13"/>
        <v>0</v>
      </c>
      <c r="BY70" s="37">
        <f t="shared" si="13"/>
        <v>0</v>
      </c>
      <c r="BZ70" s="37">
        <f t="shared" si="13"/>
        <v>0</v>
      </c>
      <c r="CA70" s="37">
        <f t="shared" si="13"/>
        <v>0</v>
      </c>
      <c r="CB70" s="37">
        <f t="shared" si="13"/>
        <v>0</v>
      </c>
      <c r="CC70" s="37">
        <f t="shared" si="13"/>
        <v>0</v>
      </c>
      <c r="CD70" s="37">
        <f t="shared" si="13"/>
        <v>0</v>
      </c>
      <c r="CE70" s="37">
        <f t="shared" si="13"/>
        <v>0</v>
      </c>
      <c r="CF70" s="37">
        <f t="shared" si="13"/>
        <v>0</v>
      </c>
      <c r="CG70" s="37">
        <f t="shared" si="13"/>
        <v>0</v>
      </c>
      <c r="CH70" s="37">
        <f t="shared" si="13"/>
        <v>0</v>
      </c>
      <c r="CI70" s="37">
        <f t="shared" si="13"/>
        <v>0</v>
      </c>
      <c r="CJ70" s="37">
        <f t="shared" si="13"/>
        <v>0</v>
      </c>
      <c r="CK70" s="37">
        <f t="shared" si="13"/>
        <v>0</v>
      </c>
      <c r="CL70" s="37">
        <f t="shared" si="13"/>
        <v>0</v>
      </c>
    </row>
    <row r="71" spans="1:90" x14ac:dyDescent="0.25">
      <c r="A71" s="20" t="s">
        <v>50</v>
      </c>
      <c r="B71" s="26"/>
      <c r="C71" s="26"/>
      <c r="D71" s="26"/>
      <c r="E71" s="26"/>
      <c r="F71" s="26"/>
      <c r="G71" s="26"/>
      <c r="H71" s="26"/>
      <c r="I71" s="26"/>
      <c r="J71" s="26"/>
      <c r="K71" s="26"/>
      <c r="L71" s="23"/>
      <c r="M71" s="13"/>
      <c r="N71" s="13"/>
    </row>
    <row r="72" spans="1:90" s="2" customFormat="1" x14ac:dyDescent="0.25">
      <c r="A72" s="20" t="s">
        <v>51</v>
      </c>
      <c r="B72" s="28"/>
      <c r="C72" s="28"/>
      <c r="D72" s="28"/>
      <c r="E72" s="28">
        <f>SUM(E73:E77)</f>
        <v>81382000000</v>
      </c>
      <c r="F72" s="28">
        <f t="shared" ref="F72:BQ72" si="14">SUM(F73:F77)</f>
        <v>68409000000</v>
      </c>
      <c r="G72" s="28">
        <f t="shared" si="14"/>
        <v>67538000000</v>
      </c>
      <c r="H72" s="28">
        <f t="shared" si="14"/>
        <v>66498000000</v>
      </c>
      <c r="I72" s="28">
        <f t="shared" si="14"/>
        <v>75346000000</v>
      </c>
      <c r="J72" s="28">
        <f t="shared" si="14"/>
        <v>72133000000</v>
      </c>
      <c r="K72" s="28">
        <f t="shared" si="14"/>
        <v>105678000000</v>
      </c>
      <c r="L72" s="28">
        <f t="shared" si="14"/>
        <v>107748000000</v>
      </c>
      <c r="M72" s="28">
        <f t="shared" si="14"/>
        <v>116006000000</v>
      </c>
      <c r="N72" s="28">
        <f t="shared" si="14"/>
        <v>130578000000</v>
      </c>
      <c r="O72" s="28">
        <f t="shared" si="14"/>
        <v>155230000000</v>
      </c>
      <c r="P72" s="28">
        <f t="shared" si="14"/>
        <v>172341000000</v>
      </c>
      <c r="Q72" s="28">
        <f t="shared" si="14"/>
        <v>178578000000</v>
      </c>
      <c r="R72" s="28">
        <f t="shared" si="14"/>
        <v>192946000000</v>
      </c>
      <c r="S72" s="28">
        <f t="shared" si="14"/>
        <v>199829000000</v>
      </c>
      <c r="T72" s="28">
        <f t="shared" si="14"/>
        <v>195378000000</v>
      </c>
      <c r="U72" s="28">
        <f t="shared" si="14"/>
        <v>163870000000</v>
      </c>
      <c r="V72" s="28">
        <f t="shared" si="14"/>
        <v>182899000000</v>
      </c>
      <c r="W72" s="28">
        <f t="shared" si="14"/>
        <v>167547000000</v>
      </c>
      <c r="X72" s="28">
        <f t="shared" si="14"/>
        <v>177396000000</v>
      </c>
      <c r="Y72" s="28">
        <f t="shared" si="14"/>
        <v>115982000000</v>
      </c>
      <c r="Z72" s="28">
        <f t="shared" si="14"/>
        <v>110542000000</v>
      </c>
      <c r="AA72" s="28">
        <f t="shared" si="14"/>
        <v>131675000000</v>
      </c>
      <c r="AB72" s="28">
        <f t="shared" si="14"/>
        <v>149417000000</v>
      </c>
      <c r="AC72" s="28">
        <f t="shared" si="14"/>
        <v>80373000000</v>
      </c>
      <c r="AD72" s="28">
        <f t="shared" si="14"/>
        <v>67482000000</v>
      </c>
      <c r="AE72" s="28">
        <f t="shared" si="14"/>
        <v>74420000000</v>
      </c>
      <c r="AF72" s="28">
        <f t="shared" si="14"/>
        <v>38225000000</v>
      </c>
      <c r="AG72" s="28">
        <f t="shared" si="14"/>
        <v>35828000000</v>
      </c>
      <c r="AH72" s="28">
        <f t="shared" si="14"/>
        <v>49058000000</v>
      </c>
      <c r="AI72" s="28">
        <f t="shared" si="14"/>
        <v>57829000000</v>
      </c>
      <c r="AJ72" s="28">
        <f t="shared" si="14"/>
        <v>74982000000</v>
      </c>
      <c r="AK72" s="28">
        <f t="shared" si="14"/>
        <v>72541000000</v>
      </c>
      <c r="AL72" s="28">
        <f t="shared" si="14"/>
        <v>72007000000</v>
      </c>
      <c r="AM72" s="28">
        <f t="shared" si="14"/>
        <v>54506000000</v>
      </c>
      <c r="AN72" s="28">
        <f t="shared" si="14"/>
        <v>60530000000</v>
      </c>
      <c r="AO72" s="28">
        <f t="shared" si="14"/>
        <v>98483000000</v>
      </c>
      <c r="AP72" s="28">
        <f t="shared" si="14"/>
        <v>133357000000</v>
      </c>
      <c r="AQ72" s="28">
        <f t="shared" si="14"/>
        <v>86014000000</v>
      </c>
      <c r="AR72" s="28">
        <f t="shared" si="14"/>
        <v>65551000000</v>
      </c>
      <c r="AS72" s="28">
        <f t="shared" si="14"/>
        <v>60494000000</v>
      </c>
      <c r="AT72" s="28">
        <f t="shared" si="14"/>
        <v>44261000000</v>
      </c>
      <c r="AU72" s="28">
        <f t="shared" si="14"/>
        <v>53854000000</v>
      </c>
      <c r="AV72" s="28">
        <f t="shared" si="14"/>
        <v>63824000000</v>
      </c>
      <c r="AW72" s="28">
        <f t="shared" si="14"/>
        <v>58760000000</v>
      </c>
      <c r="AX72" s="28">
        <f t="shared" si="14"/>
        <v>73686000000</v>
      </c>
      <c r="AY72" s="28">
        <f t="shared" si="14"/>
        <v>72494000000</v>
      </c>
      <c r="AZ72" s="28">
        <f t="shared" si="14"/>
        <v>52057000000</v>
      </c>
      <c r="BA72" s="28">
        <f t="shared" si="14"/>
        <v>41243000000</v>
      </c>
      <c r="BB72" s="28">
        <f t="shared" si="14"/>
        <v>39341000000</v>
      </c>
      <c r="BC72" s="28">
        <f t="shared" si="14"/>
        <v>41664000000</v>
      </c>
      <c r="BD72" s="28">
        <f t="shared" si="14"/>
        <v>40901000000</v>
      </c>
      <c r="BE72" s="28">
        <f t="shared" si="14"/>
        <v>41021000000</v>
      </c>
      <c r="BF72" s="28">
        <f t="shared" si="14"/>
        <v>34118000000</v>
      </c>
      <c r="BG72" s="28">
        <f t="shared" si="14"/>
        <v>37340000000</v>
      </c>
      <c r="BH72" s="28">
        <f t="shared" si="14"/>
        <v>28888000000</v>
      </c>
      <c r="BI72" s="28">
        <f t="shared" si="14"/>
        <v>29079000000</v>
      </c>
      <c r="BJ72" s="28">
        <f t="shared" si="14"/>
        <v>28684000000</v>
      </c>
      <c r="BK72" s="28">
        <f t="shared" si="14"/>
        <v>31327000000</v>
      </c>
      <c r="BL72" s="28">
        <f t="shared" si="14"/>
        <v>30019000000</v>
      </c>
      <c r="BM72" s="28">
        <f t="shared" si="14"/>
        <v>35552000000</v>
      </c>
      <c r="BN72" s="28">
        <f t="shared" si="14"/>
        <v>43848000000</v>
      </c>
      <c r="BO72" s="28">
        <f t="shared" si="14"/>
        <v>41826000000</v>
      </c>
      <c r="BP72" s="28">
        <f t="shared" si="14"/>
        <v>48835000000</v>
      </c>
      <c r="BQ72" s="28">
        <f t="shared" si="14"/>
        <v>49211000000</v>
      </c>
      <c r="BR72" s="28">
        <f t="shared" ref="BR72:CL72" si="15">SUM(BR73:BR77)</f>
        <v>70532000000</v>
      </c>
      <c r="BS72" s="28">
        <f t="shared" si="15"/>
        <v>58664000000</v>
      </c>
      <c r="BT72" s="28">
        <f t="shared" si="15"/>
        <v>0</v>
      </c>
      <c r="BU72" s="28">
        <f t="shared" si="15"/>
        <v>0</v>
      </c>
      <c r="BV72" s="28">
        <f t="shared" si="15"/>
        <v>0</v>
      </c>
      <c r="BW72" s="28">
        <f t="shared" si="15"/>
        <v>0</v>
      </c>
      <c r="BX72" s="28">
        <f t="shared" si="15"/>
        <v>0</v>
      </c>
      <c r="BY72" s="28">
        <f t="shared" si="15"/>
        <v>0</v>
      </c>
      <c r="BZ72" s="28">
        <f t="shared" si="15"/>
        <v>0</v>
      </c>
      <c r="CA72" s="28">
        <f t="shared" si="15"/>
        <v>0</v>
      </c>
      <c r="CB72" s="28">
        <f t="shared" si="15"/>
        <v>0</v>
      </c>
      <c r="CC72" s="28">
        <f t="shared" si="15"/>
        <v>0</v>
      </c>
      <c r="CD72" s="28">
        <f t="shared" si="15"/>
        <v>0</v>
      </c>
      <c r="CE72" s="28">
        <f t="shared" si="15"/>
        <v>0</v>
      </c>
      <c r="CF72" s="28">
        <f t="shared" si="15"/>
        <v>0</v>
      </c>
      <c r="CG72" s="28">
        <f t="shared" si="15"/>
        <v>0</v>
      </c>
      <c r="CH72" s="28">
        <f t="shared" si="15"/>
        <v>0</v>
      </c>
      <c r="CI72" s="28">
        <f t="shared" si="15"/>
        <v>0</v>
      </c>
      <c r="CJ72" s="28">
        <f t="shared" si="15"/>
        <v>0</v>
      </c>
      <c r="CK72" s="28">
        <f t="shared" si="15"/>
        <v>0</v>
      </c>
      <c r="CL72" s="28">
        <f t="shared" si="15"/>
        <v>0</v>
      </c>
    </row>
    <row r="73" spans="1:90" x14ac:dyDescent="0.25">
      <c r="A73" s="128" t="s">
        <v>52</v>
      </c>
      <c r="B73" s="190">
        <v>69864000000</v>
      </c>
      <c r="C73" s="190">
        <v>57985000000</v>
      </c>
      <c r="D73" s="190">
        <v>57358000000</v>
      </c>
      <c r="E73" s="190">
        <v>54701000000</v>
      </c>
      <c r="F73" s="190">
        <v>45698000000</v>
      </c>
      <c r="G73" s="190">
        <v>42032000000</v>
      </c>
      <c r="H73" s="190">
        <v>29748000000</v>
      </c>
      <c r="I73" s="190">
        <v>30374000000</v>
      </c>
      <c r="J73" s="190">
        <v>41581000000</v>
      </c>
      <c r="K73" s="190">
        <v>70327000000</v>
      </c>
      <c r="L73" s="190">
        <v>65404000000</v>
      </c>
      <c r="M73" s="190">
        <v>74729000000</v>
      </c>
      <c r="N73" s="190">
        <v>89977000000</v>
      </c>
      <c r="O73" s="190">
        <v>147376000000</v>
      </c>
      <c r="P73" s="190">
        <v>159184000000</v>
      </c>
      <c r="Q73" s="190">
        <v>166688000000</v>
      </c>
      <c r="R73" s="190">
        <v>170640000000</v>
      </c>
      <c r="S73" s="190">
        <v>177361000000</v>
      </c>
      <c r="T73" s="190">
        <v>172742000000</v>
      </c>
      <c r="U73" s="190">
        <v>108121000000</v>
      </c>
      <c r="V73" s="190">
        <v>124769000000</v>
      </c>
      <c r="W73" s="190">
        <v>101507000000</v>
      </c>
      <c r="X73" s="190">
        <v>107677000000</v>
      </c>
      <c r="Y73" s="190">
        <v>70228000000</v>
      </c>
      <c r="Z73" s="190">
        <v>67660000000</v>
      </c>
      <c r="AA73" s="190">
        <v>86720000000</v>
      </c>
      <c r="AB73" s="190">
        <v>83599000000</v>
      </c>
      <c r="AC73" s="190">
        <v>36985000000</v>
      </c>
      <c r="AD73" s="190">
        <v>34520000000</v>
      </c>
      <c r="AE73" s="190">
        <v>35426000000</v>
      </c>
      <c r="AF73" s="190">
        <v>27244000000</v>
      </c>
      <c r="AG73" s="190">
        <v>29298000000</v>
      </c>
      <c r="AH73" s="190">
        <v>28399000000</v>
      </c>
      <c r="AI73" s="190">
        <v>23796000000</v>
      </c>
      <c r="AJ73" s="190">
        <v>41463000000</v>
      </c>
      <c r="AK73" s="190">
        <v>34900000000</v>
      </c>
      <c r="AL73" s="190">
        <v>48377000000</v>
      </c>
      <c r="AM73" s="190">
        <v>44068000000</v>
      </c>
      <c r="AN73" s="190">
        <v>30675000000</v>
      </c>
      <c r="AO73" s="190">
        <v>63972000000</v>
      </c>
      <c r="AP73" s="190">
        <v>111891000000</v>
      </c>
      <c r="AQ73" s="190">
        <v>67229000000</v>
      </c>
      <c r="AR73" s="190">
        <v>39148000000</v>
      </c>
      <c r="AS73" s="190">
        <v>36954000000</v>
      </c>
      <c r="AT73" s="190">
        <v>22004000000</v>
      </c>
      <c r="AU73" s="190">
        <v>31440000000</v>
      </c>
      <c r="AV73" s="190">
        <v>32156000000</v>
      </c>
      <c r="AW73" s="190">
        <v>30515000000</v>
      </c>
      <c r="AX73" s="190">
        <v>47974000000</v>
      </c>
      <c r="AY73" s="190">
        <v>46785000000</v>
      </c>
      <c r="AZ73" s="190">
        <v>29878000000</v>
      </c>
      <c r="BA73" s="190">
        <v>16124000000</v>
      </c>
      <c r="BB73" s="190">
        <v>33195000000</v>
      </c>
      <c r="BC73" s="190">
        <v>34419000000</v>
      </c>
      <c r="BD73" s="190">
        <v>26267000000</v>
      </c>
      <c r="BE73" s="190">
        <v>26723000000</v>
      </c>
      <c r="BF73" s="190">
        <v>24482000000</v>
      </c>
      <c r="BG73" s="190">
        <v>26445000000</v>
      </c>
      <c r="BH73" s="190">
        <v>21624000000</v>
      </c>
      <c r="BI73" s="190">
        <v>20904000000</v>
      </c>
      <c r="BJ73" s="190">
        <v>18438000000</v>
      </c>
      <c r="BK73" s="190">
        <v>22532000000</v>
      </c>
      <c r="BL73" s="190">
        <v>22757000000</v>
      </c>
      <c r="BM73" s="190">
        <v>26979000000</v>
      </c>
      <c r="BN73" s="190">
        <v>35013000000</v>
      </c>
      <c r="BO73" s="190">
        <v>31808000000</v>
      </c>
      <c r="BP73" s="190">
        <v>37737000000</v>
      </c>
      <c r="BQ73" s="190">
        <v>37915000000</v>
      </c>
      <c r="BR73" s="190">
        <v>62572000000</v>
      </c>
      <c r="BS73" s="190">
        <v>50654000000</v>
      </c>
      <c r="BT73" s="190">
        <v>0</v>
      </c>
      <c r="BU73" s="190"/>
      <c r="BV73" s="190"/>
      <c r="BW73" s="190"/>
      <c r="BX73" s="190"/>
      <c r="BY73" s="190"/>
      <c r="BZ73" s="190"/>
      <c r="CA73" s="190"/>
      <c r="CB73" s="190"/>
      <c r="CC73" s="190"/>
      <c r="CD73" s="190"/>
      <c r="CE73" s="190"/>
      <c r="CF73" s="190"/>
      <c r="CG73" s="190"/>
      <c r="CH73" s="190"/>
      <c r="CI73" s="190"/>
      <c r="CJ73" s="190"/>
      <c r="CK73" s="190"/>
      <c r="CL73" s="190"/>
    </row>
    <row r="74" spans="1:90" x14ac:dyDescent="0.25">
      <c r="A74" s="128" t="s">
        <v>77</v>
      </c>
      <c r="B74" s="190">
        <v>1191000000</v>
      </c>
      <c r="C74" s="190">
        <v>0</v>
      </c>
      <c r="D74" s="190">
        <v>0</v>
      </c>
      <c r="E74" s="190">
        <v>0</v>
      </c>
      <c r="F74" s="190">
        <v>0</v>
      </c>
      <c r="G74" s="190">
        <v>0</v>
      </c>
      <c r="H74" s="190">
        <v>0</v>
      </c>
      <c r="I74" s="190">
        <v>0</v>
      </c>
      <c r="J74" s="190">
        <v>0</v>
      </c>
      <c r="K74" s="190">
        <v>0</v>
      </c>
      <c r="L74" s="190">
        <v>0</v>
      </c>
      <c r="M74" s="190">
        <v>0</v>
      </c>
      <c r="N74" s="190">
        <v>0</v>
      </c>
      <c r="O74" s="190">
        <v>0</v>
      </c>
      <c r="P74" s="190">
        <v>0</v>
      </c>
      <c r="Q74" s="190">
        <v>0</v>
      </c>
      <c r="R74" s="190">
        <v>0</v>
      </c>
      <c r="S74" s="190">
        <v>0</v>
      </c>
      <c r="T74" s="190">
        <v>0</v>
      </c>
      <c r="U74" s="190">
        <v>0</v>
      </c>
      <c r="V74" s="190">
        <v>0</v>
      </c>
      <c r="W74" s="190">
        <v>0</v>
      </c>
      <c r="X74" s="190">
        <v>0</v>
      </c>
      <c r="Y74" s="190">
        <v>0</v>
      </c>
      <c r="Z74" s="190">
        <v>0</v>
      </c>
      <c r="AA74" s="190">
        <v>0</v>
      </c>
      <c r="AB74" s="190">
        <v>0</v>
      </c>
      <c r="AC74" s="190">
        <v>0</v>
      </c>
      <c r="AD74" s="190">
        <v>0</v>
      </c>
      <c r="AE74" s="190">
        <v>0</v>
      </c>
      <c r="AF74" s="190">
        <v>0</v>
      </c>
      <c r="AG74" s="190">
        <v>0</v>
      </c>
      <c r="AH74" s="190">
        <v>0</v>
      </c>
      <c r="AI74" s="190">
        <v>0</v>
      </c>
      <c r="AJ74" s="190">
        <v>0</v>
      </c>
      <c r="AK74" s="190">
        <v>0</v>
      </c>
      <c r="AL74" s="190">
        <v>0</v>
      </c>
      <c r="AM74" s="190">
        <v>0</v>
      </c>
      <c r="AN74" s="190">
        <v>0</v>
      </c>
      <c r="AO74" s="190">
        <v>0</v>
      </c>
      <c r="AP74" s="190">
        <v>0</v>
      </c>
      <c r="AQ74" s="190">
        <v>0</v>
      </c>
      <c r="AR74" s="190">
        <v>0</v>
      </c>
      <c r="AS74" s="190">
        <v>0</v>
      </c>
      <c r="AT74" s="190">
        <v>0</v>
      </c>
      <c r="AU74" s="190">
        <v>0</v>
      </c>
      <c r="AV74" s="190">
        <v>0</v>
      </c>
      <c r="AW74" s="190">
        <v>0</v>
      </c>
      <c r="AX74" s="190">
        <v>0</v>
      </c>
      <c r="AY74" s="190">
        <v>0</v>
      </c>
      <c r="AZ74" s="190">
        <v>0</v>
      </c>
      <c r="BA74" s="190">
        <v>0</v>
      </c>
      <c r="BB74" s="190">
        <v>0</v>
      </c>
      <c r="BC74" s="190">
        <v>0</v>
      </c>
      <c r="BD74" s="190">
        <v>0</v>
      </c>
      <c r="BE74" s="190">
        <v>0</v>
      </c>
      <c r="BF74" s="190">
        <v>0</v>
      </c>
      <c r="BG74" s="190">
        <v>0</v>
      </c>
      <c r="BH74" s="190">
        <v>0</v>
      </c>
      <c r="BI74" s="190">
        <v>0</v>
      </c>
      <c r="BJ74" s="190">
        <v>0</v>
      </c>
      <c r="BK74" s="190">
        <v>0</v>
      </c>
      <c r="BL74" s="190">
        <v>0</v>
      </c>
      <c r="BM74" s="190">
        <v>0</v>
      </c>
      <c r="BN74" s="190">
        <v>0</v>
      </c>
      <c r="BO74" s="190">
        <v>0</v>
      </c>
      <c r="BP74" s="190">
        <v>0</v>
      </c>
      <c r="BQ74" s="190">
        <v>0</v>
      </c>
      <c r="BR74" s="190">
        <v>0</v>
      </c>
      <c r="BS74" s="190">
        <v>0</v>
      </c>
      <c r="BT74" s="190">
        <v>0</v>
      </c>
      <c r="BU74" s="190"/>
      <c r="BV74" s="190"/>
      <c r="BW74" s="190"/>
      <c r="BX74" s="190"/>
      <c r="BY74" s="190"/>
      <c r="BZ74" s="190"/>
      <c r="CA74" s="190"/>
      <c r="CB74" s="190"/>
      <c r="CC74" s="190"/>
      <c r="CD74" s="190"/>
      <c r="CE74" s="190"/>
      <c r="CF74" s="190"/>
      <c r="CG74" s="190"/>
      <c r="CH74" s="190"/>
      <c r="CI74" s="190"/>
      <c r="CJ74" s="190"/>
      <c r="CK74" s="190"/>
      <c r="CL74" s="190"/>
    </row>
    <row r="75" spans="1:90" x14ac:dyDescent="0.25">
      <c r="A75" s="128" t="s">
        <v>53</v>
      </c>
      <c r="B75" s="190">
        <v>0</v>
      </c>
      <c r="C75" s="190">
        <v>0</v>
      </c>
      <c r="D75" s="190">
        <v>0</v>
      </c>
      <c r="E75" s="190">
        <v>0</v>
      </c>
      <c r="F75" s="190">
        <v>0</v>
      </c>
      <c r="G75" s="190">
        <v>0</v>
      </c>
      <c r="H75" s="190">
        <v>0</v>
      </c>
      <c r="I75" s="190">
        <v>0</v>
      </c>
      <c r="J75" s="190">
        <v>0</v>
      </c>
      <c r="K75" s="190">
        <v>0</v>
      </c>
      <c r="L75" s="190">
        <v>0</v>
      </c>
      <c r="M75" s="190">
        <v>0</v>
      </c>
      <c r="N75" s="190">
        <v>0</v>
      </c>
      <c r="O75" s="190">
        <v>0</v>
      </c>
      <c r="P75" s="190">
        <v>0</v>
      </c>
      <c r="Q75" s="190">
        <v>0</v>
      </c>
      <c r="R75" s="190">
        <v>0</v>
      </c>
      <c r="S75" s="190">
        <v>0</v>
      </c>
      <c r="T75" s="190">
        <v>0</v>
      </c>
      <c r="U75" s="190">
        <v>0</v>
      </c>
      <c r="V75" s="190">
        <v>0</v>
      </c>
      <c r="W75" s="190">
        <v>0</v>
      </c>
      <c r="X75" s="190">
        <v>0</v>
      </c>
      <c r="Y75" s="190">
        <v>0</v>
      </c>
      <c r="Z75" s="190">
        <v>0</v>
      </c>
      <c r="AA75" s="190">
        <v>0</v>
      </c>
      <c r="AB75" s="190">
        <v>0</v>
      </c>
      <c r="AC75" s="190">
        <v>0</v>
      </c>
      <c r="AD75" s="190">
        <v>0</v>
      </c>
      <c r="AE75" s="190">
        <v>0</v>
      </c>
      <c r="AF75" s="190">
        <v>0</v>
      </c>
      <c r="AG75" s="190">
        <v>0</v>
      </c>
      <c r="AH75" s="190">
        <v>0</v>
      </c>
      <c r="AI75" s="190">
        <v>0</v>
      </c>
      <c r="AJ75" s="190">
        <v>0</v>
      </c>
      <c r="AK75" s="190">
        <v>0</v>
      </c>
      <c r="AL75" s="190">
        <v>0</v>
      </c>
      <c r="AM75" s="190">
        <v>1000000000</v>
      </c>
      <c r="AN75" s="190">
        <v>15000000000</v>
      </c>
      <c r="AO75" s="190">
        <v>0</v>
      </c>
      <c r="AP75" s="190">
        <v>0</v>
      </c>
      <c r="AQ75" s="190">
        <v>0</v>
      </c>
      <c r="AR75" s="190">
        <v>0</v>
      </c>
      <c r="AS75" s="190">
        <v>0</v>
      </c>
      <c r="AT75" s="190">
        <v>0</v>
      </c>
      <c r="AU75" s="190">
        <v>0</v>
      </c>
      <c r="AV75" s="190">
        <v>0</v>
      </c>
      <c r="AW75" s="190">
        <v>0</v>
      </c>
      <c r="AX75" s="190">
        <v>0</v>
      </c>
      <c r="AY75" s="190">
        <v>0</v>
      </c>
      <c r="AZ75" s="190">
        <v>0</v>
      </c>
      <c r="BA75" s="190">
        <v>0</v>
      </c>
      <c r="BB75" s="190">
        <v>0</v>
      </c>
      <c r="BC75" s="190">
        <v>0</v>
      </c>
      <c r="BD75" s="190">
        <v>0</v>
      </c>
      <c r="BE75" s="190">
        <v>0</v>
      </c>
      <c r="BF75" s="190">
        <v>0</v>
      </c>
      <c r="BG75" s="190">
        <v>0</v>
      </c>
      <c r="BH75" s="190">
        <v>0</v>
      </c>
      <c r="BI75" s="190">
        <v>0</v>
      </c>
      <c r="BJ75" s="190">
        <v>0</v>
      </c>
      <c r="BK75" s="190">
        <v>0</v>
      </c>
      <c r="BL75" s="190">
        <v>0</v>
      </c>
      <c r="BM75" s="190">
        <v>0</v>
      </c>
      <c r="BN75" s="190">
        <v>0</v>
      </c>
      <c r="BO75" s="190">
        <v>0</v>
      </c>
      <c r="BP75" s="190">
        <v>0</v>
      </c>
      <c r="BQ75" s="190">
        <v>0</v>
      </c>
      <c r="BR75" s="190">
        <v>0</v>
      </c>
      <c r="BS75" s="190">
        <v>0</v>
      </c>
      <c r="BT75" s="190">
        <v>0</v>
      </c>
      <c r="BU75" s="190"/>
      <c r="BV75" s="190"/>
      <c r="BW75" s="190"/>
      <c r="BX75" s="190"/>
      <c r="BY75" s="190"/>
      <c r="BZ75" s="190"/>
      <c r="CA75" s="190"/>
      <c r="CB75" s="190"/>
      <c r="CC75" s="190"/>
      <c r="CD75" s="190"/>
      <c r="CE75" s="190"/>
      <c r="CF75" s="190"/>
      <c r="CG75" s="190"/>
      <c r="CH75" s="190"/>
      <c r="CI75" s="190"/>
      <c r="CJ75" s="190"/>
      <c r="CK75" s="190"/>
      <c r="CL75" s="190"/>
    </row>
    <row r="76" spans="1:90" x14ac:dyDescent="0.25">
      <c r="A76" s="128" t="s">
        <v>54</v>
      </c>
      <c r="B76" s="190">
        <v>24342000000</v>
      </c>
      <c r="C76" s="190">
        <v>20786000000</v>
      </c>
      <c r="D76" s="190">
        <v>27155000000</v>
      </c>
      <c r="E76" s="190">
        <v>26681000000</v>
      </c>
      <c r="F76" s="190">
        <v>22711000000</v>
      </c>
      <c r="G76" s="190">
        <v>25506000000</v>
      </c>
      <c r="H76" s="190">
        <v>36750000000</v>
      </c>
      <c r="I76" s="190">
        <v>38972000000</v>
      </c>
      <c r="J76" s="190">
        <v>24552000000</v>
      </c>
      <c r="K76" s="190">
        <v>25351000000</v>
      </c>
      <c r="L76" s="190">
        <v>12344000000</v>
      </c>
      <c r="M76" s="190">
        <v>11277000000</v>
      </c>
      <c r="N76" s="190">
        <v>10601000000</v>
      </c>
      <c r="O76" s="190">
        <v>7854000000</v>
      </c>
      <c r="P76" s="190">
        <v>13157000000</v>
      </c>
      <c r="Q76" s="190">
        <v>11890000000</v>
      </c>
      <c r="R76" s="190">
        <v>12306000000</v>
      </c>
      <c r="S76" s="190">
        <v>12468000000</v>
      </c>
      <c r="T76" s="190">
        <v>12636000000</v>
      </c>
      <c r="U76" s="190">
        <v>45749000000</v>
      </c>
      <c r="V76" s="190">
        <v>48130000000</v>
      </c>
      <c r="W76" s="190">
        <v>56040000000</v>
      </c>
      <c r="X76" s="190">
        <v>44719000000</v>
      </c>
      <c r="Y76" s="190">
        <v>15754000000</v>
      </c>
      <c r="Z76" s="190">
        <v>17882000000</v>
      </c>
      <c r="AA76" s="190">
        <v>14955000000</v>
      </c>
      <c r="AB76" s="190">
        <v>35818000000</v>
      </c>
      <c r="AC76" s="190">
        <v>43388000000</v>
      </c>
      <c r="AD76" s="190">
        <v>32962000000</v>
      </c>
      <c r="AE76" s="190">
        <v>33994000000</v>
      </c>
      <c r="AF76" s="190">
        <v>4981000000</v>
      </c>
      <c r="AG76" s="190">
        <v>5530000000</v>
      </c>
      <c r="AH76" s="190">
        <v>4659000000</v>
      </c>
      <c r="AI76" s="190">
        <v>3033000000</v>
      </c>
      <c r="AJ76" s="190">
        <v>3519000000</v>
      </c>
      <c r="AK76" s="190">
        <v>6641000000</v>
      </c>
      <c r="AL76" s="190">
        <v>7630000000</v>
      </c>
      <c r="AM76" s="190">
        <v>9438000000</v>
      </c>
      <c r="AN76" s="190">
        <v>14855000000</v>
      </c>
      <c r="AO76" s="190">
        <v>19511000000</v>
      </c>
      <c r="AP76" s="190">
        <v>21466000000</v>
      </c>
      <c r="AQ76" s="190">
        <v>18785000000</v>
      </c>
      <c r="AR76" s="190">
        <v>16215000000</v>
      </c>
      <c r="AS76" s="190">
        <v>13466000000</v>
      </c>
      <c r="AT76" s="190">
        <v>20257000000</v>
      </c>
      <c r="AU76" s="190">
        <v>20414000000</v>
      </c>
      <c r="AV76" s="190">
        <v>19699000000</v>
      </c>
      <c r="AW76" s="190">
        <v>16360000000</v>
      </c>
      <c r="AX76" s="190">
        <v>14748000000</v>
      </c>
      <c r="AY76" s="190">
        <v>14818000000</v>
      </c>
      <c r="AZ76" s="190">
        <v>11213000000</v>
      </c>
      <c r="BA76" s="190">
        <v>15198000000</v>
      </c>
      <c r="BB76" s="190">
        <v>6146000000</v>
      </c>
      <c r="BC76" s="190">
        <v>7245000000</v>
      </c>
      <c r="BD76" s="190">
        <v>14634000000</v>
      </c>
      <c r="BE76" s="190">
        <v>14298000000</v>
      </c>
      <c r="BF76" s="190">
        <v>9636000000</v>
      </c>
      <c r="BG76" s="190">
        <v>10895000000</v>
      </c>
      <c r="BH76" s="190">
        <v>7264000000</v>
      </c>
      <c r="BI76" s="190">
        <v>8175000000</v>
      </c>
      <c r="BJ76" s="190">
        <v>10246000000</v>
      </c>
      <c r="BK76" s="190">
        <v>8795000000</v>
      </c>
      <c r="BL76" s="190">
        <v>7262000000</v>
      </c>
      <c r="BM76" s="190">
        <v>8573000000</v>
      </c>
      <c r="BN76" s="190">
        <v>8835000000</v>
      </c>
      <c r="BO76" s="190">
        <v>10018000000</v>
      </c>
      <c r="BP76" s="190">
        <v>11098000000</v>
      </c>
      <c r="BQ76" s="190">
        <v>11296000000</v>
      </c>
      <c r="BR76" s="190">
        <v>7960000000</v>
      </c>
      <c r="BS76" s="190">
        <v>8010000000</v>
      </c>
      <c r="BT76" s="190">
        <v>0</v>
      </c>
      <c r="BU76" s="190"/>
      <c r="BV76" s="190"/>
      <c r="BW76" s="190"/>
      <c r="BX76" s="190"/>
      <c r="BY76" s="190"/>
      <c r="BZ76" s="190"/>
      <c r="CA76" s="190"/>
      <c r="CB76" s="190"/>
      <c r="CC76" s="190"/>
      <c r="CD76" s="190"/>
      <c r="CE76" s="190"/>
      <c r="CF76" s="190"/>
      <c r="CG76" s="190"/>
      <c r="CH76" s="190"/>
      <c r="CI76" s="190"/>
      <c r="CJ76" s="190"/>
      <c r="CK76" s="190"/>
      <c r="CL76" s="190"/>
    </row>
    <row r="77" spans="1:90" x14ac:dyDescent="0.25">
      <c r="A77" s="128" t="s">
        <v>55</v>
      </c>
      <c r="B77" s="190">
        <v>0</v>
      </c>
      <c r="C77" s="190">
        <v>0</v>
      </c>
      <c r="D77" s="190">
        <v>0</v>
      </c>
      <c r="E77" s="190">
        <v>0</v>
      </c>
      <c r="F77" s="190">
        <v>0</v>
      </c>
      <c r="G77" s="190">
        <v>0</v>
      </c>
      <c r="H77" s="190">
        <v>0</v>
      </c>
      <c r="I77" s="190">
        <v>6000000000</v>
      </c>
      <c r="J77" s="190">
        <v>6000000000</v>
      </c>
      <c r="K77" s="190">
        <v>10000000000</v>
      </c>
      <c r="L77" s="190">
        <v>30000000000</v>
      </c>
      <c r="M77" s="190">
        <v>30000000000</v>
      </c>
      <c r="N77" s="190">
        <v>30000000000</v>
      </c>
      <c r="O77" s="190">
        <v>0</v>
      </c>
      <c r="P77" s="190">
        <v>0</v>
      </c>
      <c r="Q77" s="190">
        <v>0</v>
      </c>
      <c r="R77" s="190">
        <v>10000000000</v>
      </c>
      <c r="S77" s="190">
        <v>10000000000</v>
      </c>
      <c r="T77" s="190">
        <v>10000000000</v>
      </c>
      <c r="U77" s="190">
        <v>10000000000</v>
      </c>
      <c r="V77" s="190">
        <v>10000000000</v>
      </c>
      <c r="W77" s="190">
        <v>10000000000</v>
      </c>
      <c r="X77" s="190">
        <v>25000000000</v>
      </c>
      <c r="Y77" s="190">
        <v>30000000000</v>
      </c>
      <c r="Z77" s="190">
        <v>25000000000</v>
      </c>
      <c r="AA77" s="190">
        <v>30000000000</v>
      </c>
      <c r="AB77" s="190">
        <v>30000000000</v>
      </c>
      <c r="AC77" s="190">
        <v>0</v>
      </c>
      <c r="AD77" s="190">
        <v>0</v>
      </c>
      <c r="AE77" s="190">
        <v>5000000000</v>
      </c>
      <c r="AF77" s="190">
        <v>6000000000</v>
      </c>
      <c r="AG77" s="190">
        <v>1000000000</v>
      </c>
      <c r="AH77" s="190">
        <v>16000000000</v>
      </c>
      <c r="AI77" s="190">
        <v>31000000000</v>
      </c>
      <c r="AJ77" s="190">
        <v>30000000000</v>
      </c>
      <c r="AK77" s="190">
        <v>31000000000</v>
      </c>
      <c r="AL77" s="190">
        <v>16000000000</v>
      </c>
      <c r="AM77" s="190">
        <v>0</v>
      </c>
      <c r="AN77" s="190">
        <v>0</v>
      </c>
      <c r="AO77" s="190">
        <v>15000000000</v>
      </c>
      <c r="AP77" s="190">
        <v>0</v>
      </c>
      <c r="AQ77" s="190">
        <v>0</v>
      </c>
      <c r="AR77" s="190">
        <v>10188000000</v>
      </c>
      <c r="AS77" s="190">
        <v>10074000000</v>
      </c>
      <c r="AT77" s="190">
        <v>2000000000</v>
      </c>
      <c r="AU77" s="190">
        <v>2000000000</v>
      </c>
      <c r="AV77" s="190">
        <v>11969000000</v>
      </c>
      <c r="AW77" s="190">
        <v>11885000000</v>
      </c>
      <c r="AX77" s="190">
        <v>10964000000</v>
      </c>
      <c r="AY77" s="190">
        <v>10891000000</v>
      </c>
      <c r="AZ77" s="190">
        <v>10966000000</v>
      </c>
      <c r="BA77" s="190">
        <v>9921000000</v>
      </c>
      <c r="BB77" s="190">
        <v>0</v>
      </c>
      <c r="BC77" s="190">
        <v>0</v>
      </c>
      <c r="BD77" s="190">
        <v>0</v>
      </c>
      <c r="BE77" s="190">
        <v>0</v>
      </c>
      <c r="BF77" s="190">
        <v>0</v>
      </c>
      <c r="BG77" s="190">
        <v>0</v>
      </c>
      <c r="BH77" s="190">
        <v>0</v>
      </c>
      <c r="BI77" s="190">
        <v>0</v>
      </c>
      <c r="BJ77" s="190">
        <v>0</v>
      </c>
      <c r="BK77" s="190">
        <v>0</v>
      </c>
      <c r="BL77" s="190">
        <v>0</v>
      </c>
      <c r="BM77" s="190">
        <v>0</v>
      </c>
      <c r="BN77" s="190">
        <v>0</v>
      </c>
      <c r="BO77" s="190">
        <v>0</v>
      </c>
      <c r="BP77" s="190">
        <v>0</v>
      </c>
      <c r="BQ77" s="190">
        <v>0</v>
      </c>
      <c r="BR77" s="190">
        <v>0</v>
      </c>
      <c r="BS77" s="190">
        <v>0</v>
      </c>
      <c r="BT77" s="190">
        <v>0</v>
      </c>
      <c r="BU77" s="190"/>
      <c r="BV77" s="190"/>
      <c r="BW77" s="190"/>
      <c r="BX77" s="190"/>
      <c r="BY77" s="190"/>
      <c r="BZ77" s="190"/>
      <c r="CA77" s="190"/>
      <c r="CB77" s="190"/>
      <c r="CC77" s="190"/>
      <c r="CD77" s="190"/>
      <c r="CE77" s="190"/>
      <c r="CF77" s="190"/>
      <c r="CG77" s="190"/>
      <c r="CH77" s="190"/>
      <c r="CI77" s="190"/>
      <c r="CJ77" s="190"/>
      <c r="CK77" s="190"/>
      <c r="CL77" s="190"/>
    </row>
    <row r="78" spans="1:90" hidden="1" x14ac:dyDescent="0.25">
      <c r="A78" s="128"/>
      <c r="B78" s="26"/>
      <c r="C78" s="26"/>
      <c r="D78" s="26"/>
      <c r="E78" s="26"/>
      <c r="F78" s="26"/>
      <c r="G78" s="26"/>
      <c r="H78" s="26"/>
      <c r="I78" s="26"/>
      <c r="J78" s="26"/>
      <c r="K78" s="26"/>
      <c r="L78" s="23"/>
    </row>
    <row r="79" spans="1:90" hidden="1" x14ac:dyDescent="0.25">
      <c r="A79" s="128"/>
      <c r="B79" s="26"/>
      <c r="C79" s="26"/>
      <c r="D79" s="26"/>
      <c r="E79" s="26"/>
      <c r="F79" s="26"/>
      <c r="G79" s="26"/>
      <c r="H79" s="26"/>
      <c r="I79" s="26"/>
      <c r="J79" s="26"/>
      <c r="K79" s="26"/>
      <c r="L79" s="23"/>
    </row>
    <row r="80" spans="1:90" hidden="1" x14ac:dyDescent="0.25">
      <c r="A80" s="128"/>
      <c r="B80" s="26"/>
      <c r="C80" s="26"/>
      <c r="D80" s="26"/>
      <c r="E80" s="26"/>
      <c r="F80" s="26"/>
      <c r="G80" s="26"/>
      <c r="H80" s="26"/>
      <c r="I80" s="26"/>
      <c r="J80" s="26"/>
      <c r="K80" s="26"/>
      <c r="L80" s="23"/>
    </row>
    <row r="81" spans="1:90" s="2" customFormat="1" x14ac:dyDescent="0.25">
      <c r="A81" s="20" t="s">
        <v>56</v>
      </c>
      <c r="B81" s="28"/>
      <c r="C81" s="28"/>
      <c r="D81" s="28"/>
      <c r="E81" s="28">
        <f>SUM(E82:E85)</f>
        <v>115564000000</v>
      </c>
      <c r="F81" s="28">
        <f t="shared" ref="F81:BQ81" si="16">SUM(F82:F85)</f>
        <v>133746000000</v>
      </c>
      <c r="G81" s="28">
        <f t="shared" si="16"/>
        <v>132950000000</v>
      </c>
      <c r="H81" s="28">
        <f t="shared" si="16"/>
        <v>138662000000</v>
      </c>
      <c r="I81" s="28">
        <f t="shared" si="16"/>
        <v>133582000000</v>
      </c>
      <c r="J81" s="28">
        <f t="shared" si="16"/>
        <v>147876000000</v>
      </c>
      <c r="K81" s="28">
        <f t="shared" si="16"/>
        <v>133581000000</v>
      </c>
      <c r="L81" s="28">
        <f t="shared" si="16"/>
        <v>150933000000</v>
      </c>
      <c r="M81" s="28">
        <f t="shared" si="16"/>
        <v>153419000000</v>
      </c>
      <c r="N81" s="28">
        <f t="shared" si="16"/>
        <v>134513000000</v>
      </c>
      <c r="O81" s="28">
        <f t="shared" si="16"/>
        <v>133788000000</v>
      </c>
      <c r="P81" s="28">
        <f t="shared" si="16"/>
        <v>141878000000</v>
      </c>
      <c r="Q81" s="28">
        <f t="shared" si="16"/>
        <v>162481000000</v>
      </c>
      <c r="R81" s="28">
        <f t="shared" si="16"/>
        <v>157328000000</v>
      </c>
      <c r="S81" s="28">
        <f t="shared" si="16"/>
        <v>145106000000</v>
      </c>
      <c r="T81" s="28">
        <f t="shared" si="16"/>
        <v>154617000000</v>
      </c>
      <c r="U81" s="28">
        <f t="shared" si="16"/>
        <v>153777000000</v>
      </c>
      <c r="V81" s="28">
        <f t="shared" si="16"/>
        <v>146781000000</v>
      </c>
      <c r="W81" s="28">
        <f t="shared" si="16"/>
        <v>146054000000</v>
      </c>
      <c r="X81" s="28">
        <f t="shared" si="16"/>
        <v>136556000000</v>
      </c>
      <c r="Y81" s="28">
        <f t="shared" si="16"/>
        <v>165927000000</v>
      </c>
      <c r="Z81" s="28">
        <f t="shared" si="16"/>
        <v>171018000000</v>
      </c>
      <c r="AA81" s="28">
        <f t="shared" si="16"/>
        <v>176010000000</v>
      </c>
      <c r="AB81" s="28">
        <f t="shared" si="16"/>
        <v>155909000000</v>
      </c>
      <c r="AC81" s="28">
        <f t="shared" si="16"/>
        <v>157893000000</v>
      </c>
      <c r="AD81" s="28">
        <f t="shared" si="16"/>
        <v>165172000000</v>
      </c>
      <c r="AE81" s="28">
        <f t="shared" si="16"/>
        <v>166066000000</v>
      </c>
      <c r="AF81" s="28">
        <f t="shared" si="16"/>
        <v>196726000000</v>
      </c>
      <c r="AG81" s="28">
        <f t="shared" si="16"/>
        <v>176490000000</v>
      </c>
      <c r="AH81" s="28">
        <f t="shared" si="16"/>
        <v>177256000000</v>
      </c>
      <c r="AI81" s="28">
        <f t="shared" si="16"/>
        <v>172048000000</v>
      </c>
      <c r="AJ81" s="28">
        <f t="shared" si="16"/>
        <v>151256000000</v>
      </c>
      <c r="AK81" s="28">
        <f t="shared" si="16"/>
        <v>148020000000</v>
      </c>
      <c r="AL81" s="28">
        <f t="shared" si="16"/>
        <v>148876000000</v>
      </c>
      <c r="AM81" s="28">
        <f t="shared" si="16"/>
        <v>153639000000</v>
      </c>
      <c r="AN81" s="28">
        <f t="shared" si="16"/>
        <v>135268000000</v>
      </c>
      <c r="AO81" s="28">
        <f t="shared" si="16"/>
        <v>128541000000</v>
      </c>
      <c r="AP81" s="28">
        <f t="shared" si="16"/>
        <v>132604000000</v>
      </c>
      <c r="AQ81" s="28">
        <f t="shared" si="16"/>
        <v>139892000000</v>
      </c>
      <c r="AR81" s="28">
        <f t="shared" si="16"/>
        <v>138154000000</v>
      </c>
      <c r="AS81" s="28">
        <f t="shared" si="16"/>
        <v>121363000000</v>
      </c>
      <c r="AT81" s="28">
        <f t="shared" si="16"/>
        <v>108118000000</v>
      </c>
      <c r="AU81" s="28">
        <f t="shared" si="16"/>
        <v>109438000000</v>
      </c>
      <c r="AV81" s="28">
        <f t="shared" si="16"/>
        <v>95523000000</v>
      </c>
      <c r="AW81" s="28">
        <f t="shared" si="16"/>
        <v>109860000000</v>
      </c>
      <c r="AX81" s="28">
        <f t="shared" si="16"/>
        <v>106884000000</v>
      </c>
      <c r="AY81" s="28">
        <f t="shared" si="16"/>
        <v>108516000000</v>
      </c>
      <c r="AZ81" s="28">
        <f t="shared" si="16"/>
        <v>108713000000</v>
      </c>
      <c r="BA81" s="28">
        <f t="shared" si="16"/>
        <v>107774000000</v>
      </c>
      <c r="BB81" s="28">
        <f t="shared" si="16"/>
        <v>117101000000</v>
      </c>
      <c r="BC81" s="28">
        <f t="shared" si="16"/>
        <v>114491000000</v>
      </c>
      <c r="BD81" s="28">
        <f t="shared" si="16"/>
        <v>106887000000</v>
      </c>
      <c r="BE81" s="28">
        <f t="shared" si="16"/>
        <v>98407000000</v>
      </c>
      <c r="BF81" s="28">
        <f t="shared" si="16"/>
        <v>92317000000</v>
      </c>
      <c r="BG81" s="28">
        <f t="shared" si="16"/>
        <v>86187000000</v>
      </c>
      <c r="BH81" s="28">
        <f t="shared" si="16"/>
        <v>87314000000</v>
      </c>
      <c r="BI81" s="28">
        <f t="shared" si="16"/>
        <v>80109000000</v>
      </c>
      <c r="BJ81" s="28">
        <f t="shared" si="16"/>
        <v>77958000000</v>
      </c>
      <c r="BK81" s="28">
        <f t="shared" si="16"/>
        <v>81639000000</v>
      </c>
      <c r="BL81" s="28">
        <f t="shared" si="16"/>
        <v>81993000000</v>
      </c>
      <c r="BM81" s="28">
        <f t="shared" si="16"/>
        <v>76152000000</v>
      </c>
      <c r="BN81" s="28">
        <f t="shared" si="16"/>
        <v>68484000000</v>
      </c>
      <c r="BO81" s="28">
        <f t="shared" si="16"/>
        <v>71169000000</v>
      </c>
      <c r="BP81" s="28">
        <f t="shared" si="16"/>
        <v>68311000000</v>
      </c>
      <c r="BQ81" s="28">
        <f t="shared" si="16"/>
        <v>67807000000</v>
      </c>
      <c r="BR81" s="28">
        <f t="shared" ref="BR81:CG81" si="17">SUM(BR82:BR85)</f>
        <v>72256000000</v>
      </c>
      <c r="BS81" s="28">
        <f t="shared" si="17"/>
        <v>69108000000</v>
      </c>
      <c r="BT81" s="28">
        <f t="shared" si="17"/>
        <v>0</v>
      </c>
      <c r="BU81" s="28">
        <f t="shared" si="17"/>
        <v>0</v>
      </c>
      <c r="BV81" s="28">
        <f t="shared" si="17"/>
        <v>0</v>
      </c>
      <c r="BW81" s="28">
        <f t="shared" si="17"/>
        <v>0</v>
      </c>
      <c r="BX81" s="28">
        <f t="shared" si="17"/>
        <v>0</v>
      </c>
      <c r="BY81" s="28">
        <f t="shared" si="17"/>
        <v>0</v>
      </c>
      <c r="BZ81" s="28">
        <f t="shared" si="17"/>
        <v>0</v>
      </c>
      <c r="CA81" s="28">
        <f t="shared" si="17"/>
        <v>0</v>
      </c>
      <c r="CB81" s="28">
        <f t="shared" si="17"/>
        <v>0</v>
      </c>
      <c r="CC81" s="28">
        <f t="shared" si="17"/>
        <v>0</v>
      </c>
      <c r="CD81" s="28">
        <f t="shared" si="17"/>
        <v>0</v>
      </c>
      <c r="CE81" s="28">
        <f t="shared" si="17"/>
        <v>0</v>
      </c>
      <c r="CF81" s="28">
        <f t="shared" si="17"/>
        <v>0</v>
      </c>
      <c r="CG81" s="28">
        <f t="shared" si="17"/>
        <v>0</v>
      </c>
      <c r="CH81" s="28">
        <f>SUM(CH82:CH85)</f>
        <v>0</v>
      </c>
      <c r="CI81" s="28">
        <f>SUM(CI82:CI85)</f>
        <v>0</v>
      </c>
      <c r="CJ81" s="28">
        <f>SUM(CJ82:CJ85)</f>
        <v>0</v>
      </c>
      <c r="CK81" s="28">
        <f>SUM(CK82:CK85)</f>
        <v>0</v>
      </c>
    </row>
    <row r="82" spans="1:90" x14ac:dyDescent="0.25">
      <c r="A82" s="128" t="s">
        <v>57</v>
      </c>
      <c r="B82" s="190">
        <v>70972000000</v>
      </c>
      <c r="C82" s="190">
        <v>79274000000</v>
      </c>
      <c r="D82" s="190">
        <v>71724000000</v>
      </c>
      <c r="E82" s="190">
        <v>67754000000</v>
      </c>
      <c r="F82" s="190">
        <v>68934000000</v>
      </c>
      <c r="G82" s="190">
        <v>68045000000</v>
      </c>
      <c r="H82" s="190">
        <v>67858000000</v>
      </c>
      <c r="I82" s="190">
        <v>62461000000</v>
      </c>
      <c r="J82" s="190">
        <v>66561000000</v>
      </c>
      <c r="K82" s="190">
        <v>54404000000</v>
      </c>
      <c r="L82" s="190">
        <v>54499000000</v>
      </c>
      <c r="M82" s="190">
        <v>56493000000</v>
      </c>
      <c r="N82" s="190">
        <v>57619000000</v>
      </c>
      <c r="O82" s="190">
        <v>59232000000</v>
      </c>
      <c r="P82" s="190">
        <v>62897000000</v>
      </c>
      <c r="Q82" s="190">
        <v>67426000000</v>
      </c>
      <c r="R82" s="190">
        <v>56990000000</v>
      </c>
      <c r="S82" s="190">
        <v>45717000000</v>
      </c>
      <c r="T82" s="190">
        <v>45940000000</v>
      </c>
      <c r="U82" s="190">
        <v>46452000000</v>
      </c>
      <c r="V82" s="190">
        <v>42839000000</v>
      </c>
      <c r="W82" s="190">
        <v>41433000000</v>
      </c>
      <c r="X82" s="190">
        <v>40812000000</v>
      </c>
      <c r="Y82" s="190">
        <v>40267000000</v>
      </c>
      <c r="Z82" s="190">
        <v>46766000000</v>
      </c>
      <c r="AA82" s="190">
        <v>51997000000</v>
      </c>
      <c r="AB82" s="190">
        <v>51810000000</v>
      </c>
      <c r="AC82" s="190">
        <v>54320000000</v>
      </c>
      <c r="AD82" s="190">
        <v>57006000000</v>
      </c>
      <c r="AE82" s="190">
        <v>58351000000</v>
      </c>
      <c r="AF82" s="190">
        <v>59139000000</v>
      </c>
      <c r="AG82" s="190">
        <v>58895000000</v>
      </c>
      <c r="AH82" s="190">
        <v>59774000000</v>
      </c>
      <c r="AI82" s="190">
        <v>54819000000</v>
      </c>
      <c r="AJ82" s="190">
        <v>54714000000</v>
      </c>
      <c r="AK82" s="190">
        <v>52065000000</v>
      </c>
      <c r="AL82" s="190">
        <v>53609000000</v>
      </c>
      <c r="AM82" s="190">
        <v>59174000000</v>
      </c>
      <c r="AN82" s="190">
        <v>61404000000</v>
      </c>
      <c r="AO82" s="190">
        <v>64937000000</v>
      </c>
      <c r="AP82" s="190">
        <v>68963000000</v>
      </c>
      <c r="AQ82" s="190">
        <v>75920000000</v>
      </c>
      <c r="AR82" s="190">
        <v>74769000000</v>
      </c>
      <c r="AS82" s="190">
        <v>77708000000</v>
      </c>
      <c r="AT82" s="190">
        <v>85347000000</v>
      </c>
      <c r="AU82" s="190">
        <v>87215000000</v>
      </c>
      <c r="AV82" s="190">
        <v>90851000000</v>
      </c>
      <c r="AW82" s="190">
        <v>105565000000</v>
      </c>
      <c r="AX82" s="190">
        <v>102580000000</v>
      </c>
      <c r="AY82" s="190">
        <v>104232000000</v>
      </c>
      <c r="AZ82" s="190">
        <v>104381000000</v>
      </c>
      <c r="BA82" s="190">
        <v>103492000000</v>
      </c>
      <c r="BB82" s="190">
        <v>112664000000</v>
      </c>
      <c r="BC82" s="190">
        <v>110099000000</v>
      </c>
      <c r="BD82" s="190">
        <v>102475000000</v>
      </c>
      <c r="BE82" s="190">
        <v>94087000000</v>
      </c>
      <c r="BF82" s="190">
        <v>88100000000</v>
      </c>
      <c r="BG82" s="190">
        <v>82038000000</v>
      </c>
      <c r="BH82" s="190">
        <v>82888000000</v>
      </c>
      <c r="BI82" s="190">
        <v>79221000000</v>
      </c>
      <c r="BJ82" s="190">
        <v>76993000000</v>
      </c>
      <c r="BK82" s="190">
        <v>79019000000</v>
      </c>
      <c r="BL82" s="190">
        <v>79509000000</v>
      </c>
      <c r="BM82" s="190">
        <v>73708000000</v>
      </c>
      <c r="BN82" s="190">
        <v>66330000000</v>
      </c>
      <c r="BO82" s="190">
        <v>68968000000</v>
      </c>
      <c r="BP82" s="190">
        <v>65819000000</v>
      </c>
      <c r="BQ82" s="190">
        <v>65501000000</v>
      </c>
      <c r="BR82" s="190">
        <v>68921000000</v>
      </c>
      <c r="BS82" s="190">
        <v>65904000000</v>
      </c>
      <c r="BT82" s="190">
        <v>0</v>
      </c>
      <c r="BU82" s="190"/>
      <c r="BV82" s="190"/>
      <c r="BW82" s="190"/>
      <c r="BX82" s="190"/>
      <c r="BY82" s="190"/>
      <c r="BZ82" s="190"/>
      <c r="CA82" s="190"/>
      <c r="CB82" s="190"/>
      <c r="CC82" s="190"/>
      <c r="CD82" s="190"/>
      <c r="CE82" s="190"/>
      <c r="CF82" s="190"/>
      <c r="CG82" s="190"/>
      <c r="CH82" s="190"/>
      <c r="CI82" s="190"/>
      <c r="CJ82" s="190"/>
      <c r="CK82" s="190"/>
      <c r="CL82" s="190"/>
    </row>
    <row r="83" spans="1:90" x14ac:dyDescent="0.25">
      <c r="A83" s="128" t="s">
        <v>58</v>
      </c>
      <c r="B83" s="190">
        <v>31977000000</v>
      </c>
      <c r="C83" s="190">
        <v>31518000000</v>
      </c>
      <c r="D83" s="190">
        <v>30944000000</v>
      </c>
      <c r="E83" s="190">
        <v>31370000000</v>
      </c>
      <c r="F83" s="190">
        <v>47547000000</v>
      </c>
      <c r="G83" s="190">
        <v>47784000000</v>
      </c>
      <c r="H83" s="190">
        <v>54887000000</v>
      </c>
      <c r="I83" s="190">
        <v>54985000000</v>
      </c>
      <c r="J83" s="190">
        <v>65771000000</v>
      </c>
      <c r="K83" s="190">
        <v>65638000000</v>
      </c>
      <c r="L83" s="190">
        <v>83169000000</v>
      </c>
      <c r="M83" s="190">
        <v>83253000000</v>
      </c>
      <c r="N83" s="190">
        <v>62886000000</v>
      </c>
      <c r="O83" s="190">
        <v>62205000000</v>
      </c>
      <c r="P83" s="190">
        <v>66926000000</v>
      </c>
      <c r="Q83" s="190">
        <v>83506000000</v>
      </c>
      <c r="R83" s="190">
        <v>89854000000</v>
      </c>
      <c r="S83" s="190">
        <v>89705000000</v>
      </c>
      <c r="T83" s="190">
        <v>99797000000</v>
      </c>
      <c r="U83" s="190">
        <v>99138000000</v>
      </c>
      <c r="V83" s="190">
        <v>99532000000</v>
      </c>
      <c r="W83" s="190">
        <v>100234000000</v>
      </c>
      <c r="X83" s="190">
        <v>91920000000</v>
      </c>
      <c r="Y83" s="190">
        <v>121849000000</v>
      </c>
      <c r="Z83" s="190">
        <v>120092000000</v>
      </c>
      <c r="AA83" s="190">
        <v>120074000000</v>
      </c>
      <c r="AB83" s="190">
        <v>100386000000</v>
      </c>
      <c r="AC83" s="190">
        <v>100137000000</v>
      </c>
      <c r="AD83" s="190">
        <v>105439000000</v>
      </c>
      <c r="AE83" s="190">
        <v>105096000000</v>
      </c>
      <c r="AF83" s="190">
        <v>134945000000</v>
      </c>
      <c r="AG83" s="190">
        <v>115180000000</v>
      </c>
      <c r="AH83" s="190">
        <v>114558000000</v>
      </c>
      <c r="AI83" s="190">
        <v>114262000000</v>
      </c>
      <c r="AJ83" s="190">
        <v>93894000000</v>
      </c>
      <c r="AK83" s="190">
        <v>93763000000</v>
      </c>
      <c r="AL83" s="190">
        <v>93498000000</v>
      </c>
      <c r="AM83" s="190">
        <v>92983000000</v>
      </c>
      <c r="AN83" s="190">
        <v>72522000000</v>
      </c>
      <c r="AO83" s="190">
        <v>62207000000</v>
      </c>
      <c r="AP83" s="190">
        <v>62033000000</v>
      </c>
      <c r="AQ83" s="190">
        <v>62479000000</v>
      </c>
      <c r="AR83" s="190">
        <v>62108000000</v>
      </c>
      <c r="AS83" s="190">
        <v>42606000000</v>
      </c>
      <c r="AT83" s="190">
        <v>21207000000</v>
      </c>
      <c r="AU83" s="190">
        <v>20667000000</v>
      </c>
      <c r="AV83" s="190">
        <v>3500000000</v>
      </c>
      <c r="AW83" s="190">
        <v>3500000000</v>
      </c>
      <c r="AX83" s="190">
        <v>3500000000</v>
      </c>
      <c r="AY83" s="190">
        <v>3500000000</v>
      </c>
      <c r="AZ83" s="190">
        <v>3500000000</v>
      </c>
      <c r="BA83" s="190">
        <v>3500000000</v>
      </c>
      <c r="BB83" s="190">
        <v>3500000000</v>
      </c>
      <c r="BC83" s="190">
        <v>3500000000</v>
      </c>
      <c r="BD83" s="190">
        <v>3500000000</v>
      </c>
      <c r="BE83" s="190">
        <v>3500000000</v>
      </c>
      <c r="BF83" s="190">
        <v>3500000000</v>
      </c>
      <c r="BG83" s="190">
        <v>3500000000</v>
      </c>
      <c r="BH83" s="190">
        <v>3500000000</v>
      </c>
      <c r="BI83" s="190">
        <v>0</v>
      </c>
      <c r="BJ83" s="190">
        <v>0</v>
      </c>
      <c r="BK83" s="190">
        <v>1500000000</v>
      </c>
      <c r="BL83" s="190">
        <v>1500000000</v>
      </c>
      <c r="BM83" s="190">
        <v>1500000000</v>
      </c>
      <c r="BN83" s="190">
        <v>1500000000</v>
      </c>
      <c r="BO83" s="190">
        <v>1500000000</v>
      </c>
      <c r="BP83" s="190">
        <v>1500000000</v>
      </c>
      <c r="BQ83" s="190">
        <v>1500000000</v>
      </c>
      <c r="BR83" s="190">
        <v>2770000000</v>
      </c>
      <c r="BS83" s="190">
        <v>2770000000</v>
      </c>
      <c r="BT83" s="190">
        <v>0</v>
      </c>
      <c r="BU83" s="190"/>
      <c r="BV83" s="190"/>
      <c r="BW83" s="190"/>
      <c r="BX83" s="190"/>
      <c r="BY83" s="190"/>
      <c r="BZ83" s="190"/>
      <c r="CA83" s="190"/>
      <c r="CB83" s="190"/>
      <c r="CC83" s="190"/>
      <c r="CD83" s="190"/>
      <c r="CE83" s="190"/>
      <c r="CF83" s="190"/>
      <c r="CG83" s="190"/>
      <c r="CH83" s="190"/>
      <c r="CI83" s="190"/>
      <c r="CJ83" s="190"/>
      <c r="CK83" s="190"/>
      <c r="CL83" s="190"/>
    </row>
    <row r="84" spans="1:90" x14ac:dyDescent="0.25">
      <c r="A84" s="128" t="s">
        <v>59</v>
      </c>
      <c r="B84" s="190">
        <v>0</v>
      </c>
      <c r="C84" s="190">
        <v>0</v>
      </c>
      <c r="D84" s="190">
        <v>0</v>
      </c>
      <c r="E84" s="190">
        <v>0</v>
      </c>
      <c r="F84" s="190">
        <v>0</v>
      </c>
      <c r="G84" s="190">
        <v>0</v>
      </c>
      <c r="H84" s="190">
        <v>0</v>
      </c>
      <c r="I84" s="190">
        <v>0</v>
      </c>
      <c r="J84" s="190">
        <v>0</v>
      </c>
      <c r="K84" s="190">
        <v>0</v>
      </c>
      <c r="L84" s="190">
        <v>0</v>
      </c>
      <c r="M84" s="190">
        <v>0</v>
      </c>
      <c r="N84" s="190">
        <v>0</v>
      </c>
      <c r="O84" s="190">
        <v>0</v>
      </c>
      <c r="P84" s="190">
        <v>0</v>
      </c>
      <c r="Q84" s="190">
        <v>0</v>
      </c>
      <c r="R84" s="190">
        <v>0</v>
      </c>
      <c r="S84" s="190">
        <v>0</v>
      </c>
      <c r="T84" s="190">
        <v>0</v>
      </c>
      <c r="U84" s="190">
        <v>0</v>
      </c>
      <c r="V84" s="190">
        <v>0</v>
      </c>
      <c r="W84" s="190">
        <v>0</v>
      </c>
      <c r="X84" s="190">
        <v>0</v>
      </c>
      <c r="Y84" s="190">
        <v>0</v>
      </c>
      <c r="Z84" s="190">
        <v>0</v>
      </c>
      <c r="AA84" s="190">
        <v>0</v>
      </c>
      <c r="AB84" s="190">
        <v>0</v>
      </c>
      <c r="AC84" s="190">
        <v>0</v>
      </c>
      <c r="AD84" s="190">
        <v>0</v>
      </c>
      <c r="AE84" s="190">
        <v>0</v>
      </c>
      <c r="AF84" s="190">
        <v>0</v>
      </c>
      <c r="AG84" s="190">
        <v>0</v>
      </c>
      <c r="AH84" s="190">
        <v>0</v>
      </c>
      <c r="AI84" s="190">
        <v>0</v>
      </c>
      <c r="AJ84" s="190">
        <v>0</v>
      </c>
      <c r="AK84" s="190">
        <v>0</v>
      </c>
      <c r="AL84" s="190">
        <v>0</v>
      </c>
      <c r="AM84" s="190">
        <v>0</v>
      </c>
      <c r="AN84" s="190">
        <v>0</v>
      </c>
      <c r="AO84" s="190">
        <v>0</v>
      </c>
      <c r="AP84" s="190">
        <v>0</v>
      </c>
      <c r="AQ84" s="190">
        <v>0</v>
      </c>
      <c r="AR84" s="190">
        <v>0</v>
      </c>
      <c r="AS84" s="190">
        <v>0</v>
      </c>
      <c r="AT84" s="190">
        <v>0</v>
      </c>
      <c r="AU84" s="190">
        <v>0</v>
      </c>
      <c r="AV84" s="190">
        <v>0</v>
      </c>
      <c r="AW84" s="190">
        <v>0</v>
      </c>
      <c r="AX84" s="190">
        <v>0</v>
      </c>
      <c r="AY84" s="190">
        <v>0</v>
      </c>
      <c r="AZ84" s="190">
        <v>0</v>
      </c>
      <c r="BA84" s="190">
        <v>0</v>
      </c>
      <c r="BB84" s="190">
        <v>0</v>
      </c>
      <c r="BC84" s="190">
        <v>0</v>
      </c>
      <c r="BD84" s="190">
        <v>0</v>
      </c>
      <c r="BE84" s="190">
        <v>0</v>
      </c>
      <c r="BF84" s="190">
        <v>0</v>
      </c>
      <c r="BG84" s="190">
        <v>0</v>
      </c>
      <c r="BH84" s="190">
        <v>0</v>
      </c>
      <c r="BI84" s="190">
        <v>0</v>
      </c>
      <c r="BJ84" s="190">
        <v>0</v>
      </c>
      <c r="BK84" s="190">
        <v>0</v>
      </c>
      <c r="BL84" s="190">
        <v>0</v>
      </c>
      <c r="BM84" s="190">
        <v>0</v>
      </c>
      <c r="BN84" s="190">
        <v>0</v>
      </c>
      <c r="BO84" s="190">
        <v>0</v>
      </c>
      <c r="BP84" s="190">
        <v>0</v>
      </c>
      <c r="BQ84" s="190">
        <v>0</v>
      </c>
      <c r="BR84" s="190">
        <v>0</v>
      </c>
      <c r="BS84" s="190">
        <v>0</v>
      </c>
      <c r="BT84" s="190">
        <v>0</v>
      </c>
      <c r="BU84" s="190"/>
      <c r="BV84" s="190"/>
      <c r="BW84" s="190"/>
      <c r="BX84" s="190"/>
      <c r="BY84" s="190"/>
      <c r="BZ84" s="190"/>
      <c r="CA84" s="190"/>
      <c r="CB84" s="190"/>
      <c r="CC84" s="190"/>
      <c r="CD84" s="190"/>
      <c r="CE84" s="190"/>
      <c r="CF84" s="190"/>
      <c r="CG84" s="190"/>
      <c r="CH84" s="190"/>
      <c r="CI84" s="190"/>
      <c r="CJ84" s="190"/>
      <c r="CK84" s="190"/>
      <c r="CL84" s="190"/>
    </row>
    <row r="85" spans="1:90" x14ac:dyDescent="0.25">
      <c r="A85" s="128" t="s">
        <v>83</v>
      </c>
      <c r="B85" s="190">
        <v>28480000000</v>
      </c>
      <c r="C85" s="190">
        <v>24899000000</v>
      </c>
      <c r="D85" s="190">
        <v>16173000000</v>
      </c>
      <c r="E85" s="190">
        <v>16440000000</v>
      </c>
      <c r="F85" s="190">
        <v>17265000000</v>
      </c>
      <c r="G85" s="190">
        <v>17121000000</v>
      </c>
      <c r="H85" s="190">
        <v>15917000000</v>
      </c>
      <c r="I85" s="190">
        <v>16136000000</v>
      </c>
      <c r="J85" s="190">
        <v>15544000000</v>
      </c>
      <c r="K85" s="190">
        <v>13539000000</v>
      </c>
      <c r="L85" s="190">
        <v>13265000000</v>
      </c>
      <c r="M85" s="190">
        <v>13673000000</v>
      </c>
      <c r="N85" s="190">
        <v>14008000000</v>
      </c>
      <c r="O85" s="190">
        <v>12351000000</v>
      </c>
      <c r="P85" s="190">
        <v>12055000000</v>
      </c>
      <c r="Q85" s="190">
        <v>11549000000</v>
      </c>
      <c r="R85" s="190">
        <v>10484000000</v>
      </c>
      <c r="S85" s="190">
        <v>9684000000</v>
      </c>
      <c r="T85" s="190">
        <v>8880000000</v>
      </c>
      <c r="U85" s="190">
        <v>8187000000</v>
      </c>
      <c r="V85" s="190">
        <v>4410000000</v>
      </c>
      <c r="W85" s="190">
        <v>4387000000</v>
      </c>
      <c r="X85" s="190">
        <v>3824000000</v>
      </c>
      <c r="Y85" s="190">
        <v>3811000000</v>
      </c>
      <c r="Z85" s="190">
        <v>4160000000</v>
      </c>
      <c r="AA85" s="190">
        <v>3939000000</v>
      </c>
      <c r="AB85" s="190">
        <v>3713000000</v>
      </c>
      <c r="AC85" s="190">
        <v>3436000000</v>
      </c>
      <c r="AD85" s="190">
        <v>2727000000</v>
      </c>
      <c r="AE85" s="190">
        <v>2619000000</v>
      </c>
      <c r="AF85" s="190">
        <v>2642000000</v>
      </c>
      <c r="AG85" s="190">
        <v>2415000000</v>
      </c>
      <c r="AH85" s="190">
        <v>2924000000</v>
      </c>
      <c r="AI85" s="190">
        <v>2967000000</v>
      </c>
      <c r="AJ85" s="190">
        <v>2648000000</v>
      </c>
      <c r="AK85" s="190">
        <v>2192000000</v>
      </c>
      <c r="AL85" s="190">
        <v>1769000000</v>
      </c>
      <c r="AM85" s="190">
        <v>1482000000</v>
      </c>
      <c r="AN85" s="190">
        <v>1342000000</v>
      </c>
      <c r="AO85" s="190">
        <v>1397000000</v>
      </c>
      <c r="AP85" s="190">
        <v>1608000000</v>
      </c>
      <c r="AQ85" s="190">
        <v>1493000000</v>
      </c>
      <c r="AR85" s="190">
        <v>1277000000</v>
      </c>
      <c r="AS85" s="190">
        <v>1049000000</v>
      </c>
      <c r="AT85" s="190">
        <v>1564000000</v>
      </c>
      <c r="AU85" s="190">
        <v>1556000000</v>
      </c>
      <c r="AV85" s="190">
        <v>1172000000</v>
      </c>
      <c r="AW85" s="190">
        <v>795000000</v>
      </c>
      <c r="AX85" s="190">
        <v>804000000</v>
      </c>
      <c r="AY85" s="190">
        <v>784000000</v>
      </c>
      <c r="AZ85" s="190">
        <v>832000000</v>
      </c>
      <c r="BA85" s="190">
        <v>782000000</v>
      </c>
      <c r="BB85" s="190">
        <v>937000000</v>
      </c>
      <c r="BC85" s="190">
        <v>892000000</v>
      </c>
      <c r="BD85" s="190">
        <v>912000000</v>
      </c>
      <c r="BE85" s="190">
        <v>820000000</v>
      </c>
      <c r="BF85" s="190">
        <v>717000000</v>
      </c>
      <c r="BG85" s="190">
        <v>649000000</v>
      </c>
      <c r="BH85" s="190">
        <v>926000000</v>
      </c>
      <c r="BI85" s="190">
        <v>888000000</v>
      </c>
      <c r="BJ85" s="190">
        <v>965000000</v>
      </c>
      <c r="BK85" s="190">
        <v>1120000000</v>
      </c>
      <c r="BL85" s="190">
        <v>984000000</v>
      </c>
      <c r="BM85" s="190">
        <v>944000000</v>
      </c>
      <c r="BN85" s="190">
        <v>654000000</v>
      </c>
      <c r="BO85" s="190">
        <v>701000000</v>
      </c>
      <c r="BP85" s="190">
        <v>992000000</v>
      </c>
      <c r="BQ85" s="190">
        <v>806000000</v>
      </c>
      <c r="BR85" s="190">
        <v>565000000</v>
      </c>
      <c r="BS85" s="190">
        <v>434000000</v>
      </c>
      <c r="BT85" s="190">
        <v>0</v>
      </c>
      <c r="BU85" s="190"/>
      <c r="BV85" s="190"/>
      <c r="BW85" s="190"/>
      <c r="BX85" s="190"/>
      <c r="BY85" s="190"/>
      <c r="BZ85" s="190"/>
      <c r="CA85" s="190"/>
      <c r="CB85" s="190"/>
      <c r="CC85" s="190"/>
      <c r="CD85" s="190"/>
      <c r="CE85" s="190"/>
      <c r="CF85" s="190"/>
      <c r="CG85" s="190"/>
      <c r="CH85" s="190"/>
      <c r="CI85" s="190"/>
      <c r="CJ85" s="190"/>
      <c r="CK85" s="190"/>
      <c r="CL85" s="190"/>
    </row>
    <row r="86" spans="1:90" hidden="1" x14ac:dyDescent="0.25">
      <c r="A86" s="128"/>
      <c r="B86" s="26"/>
      <c r="C86" s="26"/>
      <c r="D86" s="26"/>
      <c r="E86" s="26"/>
      <c r="F86" s="26"/>
      <c r="G86" s="26"/>
      <c r="H86" s="26"/>
      <c r="I86" s="26"/>
      <c r="J86" s="26"/>
      <c r="K86" s="26"/>
      <c r="L86" s="23"/>
    </row>
    <row r="87" spans="1:90" hidden="1" x14ac:dyDescent="0.25">
      <c r="A87" s="128"/>
      <c r="B87" s="26"/>
      <c r="C87" s="26"/>
      <c r="D87" s="26"/>
      <c r="E87" s="26"/>
      <c r="F87" s="26"/>
      <c r="G87" s="26"/>
      <c r="H87" s="26"/>
      <c r="I87" s="26"/>
      <c r="J87" s="26"/>
      <c r="K87" s="26"/>
      <c r="L87" s="23"/>
    </row>
    <row r="88" spans="1:90" hidden="1" x14ac:dyDescent="0.25">
      <c r="A88" s="128"/>
      <c r="B88" s="26"/>
      <c r="C88" s="26"/>
      <c r="D88" s="26"/>
      <c r="E88" s="26"/>
      <c r="F88" s="26"/>
      <c r="G88" s="26"/>
      <c r="H88" s="26"/>
      <c r="I88" s="26"/>
      <c r="J88" s="26"/>
      <c r="K88" s="26"/>
      <c r="L88" s="23"/>
    </row>
    <row r="89" spans="1:90" s="5" customFormat="1" x14ac:dyDescent="0.25">
      <c r="A89" s="129" t="s">
        <v>60</v>
      </c>
      <c r="B89" s="33">
        <f>SUM(B73:B85)</f>
        <v>226826000000</v>
      </c>
      <c r="C89" s="33">
        <f>SUM(C73:C85)</f>
        <v>214462000000</v>
      </c>
      <c r="D89" s="33">
        <f>SUM(D73:D85)</f>
        <v>203354000000</v>
      </c>
      <c r="E89" s="33">
        <f>E72+E81</f>
        <v>196946000000</v>
      </c>
      <c r="F89" s="33">
        <f t="shared" ref="F89:BQ89" si="18">F72+F81</f>
        <v>202155000000</v>
      </c>
      <c r="G89" s="33">
        <f t="shared" si="18"/>
        <v>200488000000</v>
      </c>
      <c r="H89" s="33">
        <f t="shared" si="18"/>
        <v>205160000000</v>
      </c>
      <c r="I89" s="33">
        <f t="shared" si="18"/>
        <v>208928000000</v>
      </c>
      <c r="J89" s="33">
        <f t="shared" si="18"/>
        <v>220009000000</v>
      </c>
      <c r="K89" s="33">
        <f t="shared" si="18"/>
        <v>239259000000</v>
      </c>
      <c r="L89" s="33">
        <f t="shared" si="18"/>
        <v>258681000000</v>
      </c>
      <c r="M89" s="33">
        <f t="shared" si="18"/>
        <v>269425000000</v>
      </c>
      <c r="N89" s="33">
        <f t="shared" si="18"/>
        <v>265091000000</v>
      </c>
      <c r="O89" s="33">
        <f t="shared" si="18"/>
        <v>289018000000</v>
      </c>
      <c r="P89" s="33">
        <f t="shared" si="18"/>
        <v>314219000000</v>
      </c>
      <c r="Q89" s="33">
        <f t="shared" si="18"/>
        <v>341059000000</v>
      </c>
      <c r="R89" s="33">
        <f t="shared" si="18"/>
        <v>350274000000</v>
      </c>
      <c r="S89" s="33">
        <f t="shared" si="18"/>
        <v>344935000000</v>
      </c>
      <c r="T89" s="33">
        <f t="shared" si="18"/>
        <v>349995000000</v>
      </c>
      <c r="U89" s="33">
        <f t="shared" si="18"/>
        <v>317647000000</v>
      </c>
      <c r="V89" s="33">
        <f t="shared" si="18"/>
        <v>329680000000</v>
      </c>
      <c r="W89" s="33">
        <f t="shared" si="18"/>
        <v>313601000000</v>
      </c>
      <c r="X89" s="33">
        <f t="shared" si="18"/>
        <v>313952000000</v>
      </c>
      <c r="Y89" s="33">
        <f t="shared" si="18"/>
        <v>281909000000</v>
      </c>
      <c r="Z89" s="33">
        <f t="shared" si="18"/>
        <v>281560000000</v>
      </c>
      <c r="AA89" s="33">
        <f t="shared" si="18"/>
        <v>307685000000</v>
      </c>
      <c r="AB89" s="33">
        <f t="shared" si="18"/>
        <v>305326000000</v>
      </c>
      <c r="AC89" s="33">
        <f t="shared" si="18"/>
        <v>238266000000</v>
      </c>
      <c r="AD89" s="33">
        <f t="shared" si="18"/>
        <v>232654000000</v>
      </c>
      <c r="AE89" s="33">
        <f t="shared" si="18"/>
        <v>240486000000</v>
      </c>
      <c r="AF89" s="33">
        <f t="shared" si="18"/>
        <v>234951000000</v>
      </c>
      <c r="AG89" s="33">
        <f t="shared" si="18"/>
        <v>212318000000</v>
      </c>
      <c r="AH89" s="33">
        <f t="shared" si="18"/>
        <v>226314000000</v>
      </c>
      <c r="AI89" s="33">
        <f t="shared" si="18"/>
        <v>229877000000</v>
      </c>
      <c r="AJ89" s="33">
        <f t="shared" si="18"/>
        <v>226238000000</v>
      </c>
      <c r="AK89" s="33">
        <f t="shared" si="18"/>
        <v>220561000000</v>
      </c>
      <c r="AL89" s="33">
        <f t="shared" si="18"/>
        <v>220883000000</v>
      </c>
      <c r="AM89" s="33">
        <f t="shared" si="18"/>
        <v>208145000000</v>
      </c>
      <c r="AN89" s="33">
        <f t="shared" si="18"/>
        <v>195798000000</v>
      </c>
      <c r="AO89" s="33">
        <f t="shared" si="18"/>
        <v>227024000000</v>
      </c>
      <c r="AP89" s="33">
        <f t="shared" si="18"/>
        <v>265961000000</v>
      </c>
      <c r="AQ89" s="33">
        <f t="shared" si="18"/>
        <v>225906000000</v>
      </c>
      <c r="AR89" s="33">
        <f t="shared" si="18"/>
        <v>203705000000</v>
      </c>
      <c r="AS89" s="33">
        <f t="shared" si="18"/>
        <v>181857000000</v>
      </c>
      <c r="AT89" s="33">
        <f t="shared" si="18"/>
        <v>152379000000</v>
      </c>
      <c r="AU89" s="33">
        <f t="shared" si="18"/>
        <v>163292000000</v>
      </c>
      <c r="AV89" s="33">
        <f t="shared" si="18"/>
        <v>159347000000</v>
      </c>
      <c r="AW89" s="33">
        <f t="shared" si="18"/>
        <v>168620000000</v>
      </c>
      <c r="AX89" s="33">
        <f t="shared" si="18"/>
        <v>180570000000</v>
      </c>
      <c r="AY89" s="33">
        <f t="shared" si="18"/>
        <v>181010000000</v>
      </c>
      <c r="AZ89" s="33">
        <f t="shared" si="18"/>
        <v>160770000000</v>
      </c>
      <c r="BA89" s="33">
        <f t="shared" si="18"/>
        <v>149017000000</v>
      </c>
      <c r="BB89" s="33">
        <f t="shared" si="18"/>
        <v>156442000000</v>
      </c>
      <c r="BC89" s="33">
        <f t="shared" si="18"/>
        <v>156155000000</v>
      </c>
      <c r="BD89" s="33">
        <f t="shared" si="18"/>
        <v>147788000000</v>
      </c>
      <c r="BE89" s="33">
        <f t="shared" si="18"/>
        <v>139428000000</v>
      </c>
      <c r="BF89" s="33">
        <f t="shared" si="18"/>
        <v>126435000000</v>
      </c>
      <c r="BG89" s="33">
        <f t="shared" si="18"/>
        <v>123527000000</v>
      </c>
      <c r="BH89" s="33">
        <f t="shared" si="18"/>
        <v>116202000000</v>
      </c>
      <c r="BI89" s="33">
        <f t="shared" si="18"/>
        <v>109188000000</v>
      </c>
      <c r="BJ89" s="33">
        <f t="shared" si="18"/>
        <v>106642000000</v>
      </c>
      <c r="BK89" s="33">
        <f t="shared" si="18"/>
        <v>112966000000</v>
      </c>
      <c r="BL89" s="33">
        <f t="shared" si="18"/>
        <v>112012000000</v>
      </c>
      <c r="BM89" s="33">
        <f t="shared" si="18"/>
        <v>111704000000</v>
      </c>
      <c r="BN89" s="33">
        <f t="shared" si="18"/>
        <v>112332000000</v>
      </c>
      <c r="BO89" s="33">
        <f t="shared" si="18"/>
        <v>112995000000</v>
      </c>
      <c r="BP89" s="33">
        <f t="shared" si="18"/>
        <v>117146000000</v>
      </c>
      <c r="BQ89" s="33">
        <f t="shared" si="18"/>
        <v>117018000000</v>
      </c>
      <c r="BR89" s="33">
        <f t="shared" ref="BR89:CK89" si="19">BR72+BR81</f>
        <v>142788000000</v>
      </c>
      <c r="BS89" s="33">
        <f t="shared" si="19"/>
        <v>127772000000</v>
      </c>
      <c r="BT89" s="33">
        <f t="shared" si="19"/>
        <v>0</v>
      </c>
      <c r="BU89" s="33">
        <f t="shared" si="19"/>
        <v>0</v>
      </c>
      <c r="BV89" s="33">
        <f t="shared" si="19"/>
        <v>0</v>
      </c>
      <c r="BW89" s="33">
        <f t="shared" si="19"/>
        <v>0</v>
      </c>
      <c r="BX89" s="33">
        <f t="shared" si="19"/>
        <v>0</v>
      </c>
      <c r="BY89" s="33">
        <f t="shared" si="19"/>
        <v>0</v>
      </c>
      <c r="BZ89" s="33">
        <f t="shared" si="19"/>
        <v>0</v>
      </c>
      <c r="CA89" s="33">
        <f t="shared" si="19"/>
        <v>0</v>
      </c>
      <c r="CB89" s="33">
        <f t="shared" si="19"/>
        <v>0</v>
      </c>
      <c r="CC89" s="33">
        <f t="shared" si="19"/>
        <v>0</v>
      </c>
      <c r="CD89" s="33">
        <f t="shared" si="19"/>
        <v>0</v>
      </c>
      <c r="CE89" s="33">
        <f t="shared" si="19"/>
        <v>0</v>
      </c>
      <c r="CF89" s="33">
        <f t="shared" si="19"/>
        <v>0</v>
      </c>
      <c r="CG89" s="33">
        <f t="shared" si="19"/>
        <v>0</v>
      </c>
      <c r="CH89" s="33">
        <f t="shared" si="19"/>
        <v>0</v>
      </c>
      <c r="CI89" s="33">
        <f t="shared" si="19"/>
        <v>0</v>
      </c>
      <c r="CJ89" s="33">
        <f t="shared" si="19"/>
        <v>0</v>
      </c>
      <c r="CK89" s="33">
        <f t="shared" si="19"/>
        <v>0</v>
      </c>
    </row>
    <row r="90" spans="1:90" x14ac:dyDescent="0.25">
      <c r="A90" s="20" t="s">
        <v>61</v>
      </c>
      <c r="B90" s="26"/>
      <c r="C90" s="26"/>
      <c r="D90" s="26"/>
      <c r="E90" s="26"/>
      <c r="F90" s="26"/>
      <c r="G90" s="26"/>
      <c r="H90" s="26"/>
      <c r="I90" s="26"/>
      <c r="J90" s="26"/>
      <c r="K90" s="26"/>
      <c r="L90" s="23"/>
      <c r="M90" s="13"/>
      <c r="N90" s="13"/>
    </row>
    <row r="91" spans="1:90" x14ac:dyDescent="0.25">
      <c r="A91" s="128" t="s">
        <v>62</v>
      </c>
      <c r="B91" s="190">
        <v>121071000000</v>
      </c>
      <c r="C91" s="190">
        <v>121071000000</v>
      </c>
      <c r="D91" s="190">
        <v>121071000000</v>
      </c>
      <c r="E91" s="190">
        <v>121071000000</v>
      </c>
      <c r="F91" s="190">
        <v>121071000000</v>
      </c>
      <c r="G91" s="190">
        <v>121071000000</v>
      </c>
      <c r="H91" s="190">
        <v>121071000000</v>
      </c>
      <c r="I91" s="190">
        <v>121071000000</v>
      </c>
      <c r="J91" s="190">
        <v>121071000000</v>
      </c>
      <c r="K91" s="190">
        <v>121071000000</v>
      </c>
      <c r="L91" s="190">
        <v>121071000000</v>
      </c>
      <c r="M91" s="190">
        <v>121071000000</v>
      </c>
      <c r="N91" s="190">
        <v>121071000000</v>
      </c>
      <c r="O91" s="190">
        <v>121071000000</v>
      </c>
      <c r="P91" s="190">
        <v>121071000000</v>
      </c>
      <c r="Q91" s="190">
        <v>118280000000</v>
      </c>
      <c r="R91" s="190">
        <v>116795000000</v>
      </c>
      <c r="S91" s="190">
        <v>116795000000</v>
      </c>
      <c r="T91" s="190">
        <v>116795000000</v>
      </c>
      <c r="U91" s="190">
        <v>116565000000</v>
      </c>
      <c r="V91" s="190">
        <v>116565000000</v>
      </c>
      <c r="W91" s="190">
        <v>116565000000</v>
      </c>
      <c r="X91" s="190">
        <v>89666000000</v>
      </c>
      <c r="Y91" s="190">
        <v>86820000000</v>
      </c>
      <c r="Z91" s="190">
        <v>86820000000</v>
      </c>
      <c r="AA91" s="190">
        <v>86820000000</v>
      </c>
      <c r="AB91" s="190">
        <v>86820000000</v>
      </c>
      <c r="AC91" s="190">
        <v>86702000000</v>
      </c>
      <c r="AD91" s="190">
        <v>86702000000</v>
      </c>
      <c r="AE91" s="190">
        <v>86702000000</v>
      </c>
      <c r="AF91" s="190">
        <v>86702000000</v>
      </c>
      <c r="AG91" s="190">
        <v>86702000000</v>
      </c>
      <c r="AH91" s="190">
        <v>86702000000</v>
      </c>
      <c r="AI91" s="190">
        <v>86702000000</v>
      </c>
      <c r="AJ91" s="190">
        <v>86703000000</v>
      </c>
      <c r="AK91" s="190">
        <v>86702000000</v>
      </c>
      <c r="AL91" s="190">
        <v>86702000000</v>
      </c>
      <c r="AM91" s="190">
        <v>86702000000</v>
      </c>
      <c r="AN91" s="190">
        <v>86702000000</v>
      </c>
      <c r="AO91" s="190">
        <v>86702000000</v>
      </c>
      <c r="AP91" s="190">
        <v>86702000000</v>
      </c>
      <c r="AQ91" s="190">
        <v>86702000000</v>
      </c>
      <c r="AR91" s="190">
        <v>86702000000</v>
      </c>
      <c r="AS91" s="190">
        <v>86702000000</v>
      </c>
      <c r="AT91" s="190">
        <v>86702000000</v>
      </c>
      <c r="AU91" s="190">
        <v>86702000000</v>
      </c>
      <c r="AV91" s="190">
        <v>86702000000</v>
      </c>
      <c r="AW91" s="190">
        <v>86702000000</v>
      </c>
      <c r="AX91" s="190">
        <v>86702000000</v>
      </c>
      <c r="AY91" s="190">
        <v>86702000000</v>
      </c>
      <c r="AZ91" s="190">
        <v>86702000000</v>
      </c>
      <c r="BA91" s="190">
        <v>86702000000</v>
      </c>
      <c r="BB91" s="190">
        <v>86702000000</v>
      </c>
      <c r="BC91" s="190">
        <v>86702000000</v>
      </c>
      <c r="BD91" s="190">
        <v>86702000000</v>
      </c>
      <c r="BE91" s="190">
        <v>86702000000</v>
      </c>
      <c r="BF91" s="190">
        <v>86702000000</v>
      </c>
      <c r="BG91" s="190">
        <v>86702000000</v>
      </c>
      <c r="BH91" s="190">
        <v>86702000000</v>
      </c>
      <c r="BI91" s="190">
        <v>86702000000</v>
      </c>
      <c r="BJ91" s="190">
        <v>86702000000</v>
      </c>
      <c r="BK91" s="190">
        <v>86702000000</v>
      </c>
      <c r="BL91" s="190">
        <v>86702000000</v>
      </c>
      <c r="BM91" s="190">
        <v>86702000000</v>
      </c>
      <c r="BN91" s="190">
        <v>86702000000</v>
      </c>
      <c r="BO91" s="190">
        <v>86702000000</v>
      </c>
      <c r="BP91" s="190">
        <v>86702000000</v>
      </c>
      <c r="BQ91" s="190">
        <v>86702000000</v>
      </c>
      <c r="BR91" s="190">
        <v>83902000000</v>
      </c>
      <c r="BS91" s="190">
        <v>83902000000</v>
      </c>
      <c r="BT91" s="190">
        <v>0</v>
      </c>
      <c r="BU91" s="190"/>
      <c r="BV91" s="190"/>
      <c r="BW91" s="190"/>
      <c r="BX91" s="190"/>
      <c r="BY91" s="190"/>
      <c r="BZ91" s="190"/>
      <c r="CA91" s="190"/>
      <c r="CB91" s="190"/>
      <c r="CC91" s="190"/>
      <c r="CD91" s="190"/>
      <c r="CE91" s="190"/>
      <c r="CF91" s="190"/>
      <c r="CG91" s="190"/>
      <c r="CH91" s="190"/>
      <c r="CI91" s="190"/>
      <c r="CJ91" s="190"/>
      <c r="CK91" s="190"/>
      <c r="CL91" s="190"/>
    </row>
    <row r="92" spans="1:90" x14ac:dyDescent="0.25">
      <c r="A92" s="128" t="s">
        <v>63</v>
      </c>
      <c r="B92" s="190">
        <v>119549000000</v>
      </c>
      <c r="C92" s="190">
        <v>119577000000</v>
      </c>
      <c r="D92" s="190">
        <v>119551000000</v>
      </c>
      <c r="E92" s="190">
        <v>119557000000</v>
      </c>
      <c r="F92" s="190">
        <v>119479000000</v>
      </c>
      <c r="G92" s="190">
        <v>119529000000</v>
      </c>
      <c r="H92" s="190">
        <v>119527000000</v>
      </c>
      <c r="I92" s="190">
        <v>119525000000</v>
      </c>
      <c r="J92" s="190">
        <v>119411000000</v>
      </c>
      <c r="K92" s="190">
        <v>119430000000</v>
      </c>
      <c r="L92" s="190">
        <v>119410000000</v>
      </c>
      <c r="M92" s="190">
        <v>119408000000</v>
      </c>
      <c r="N92" s="190">
        <v>119072000000</v>
      </c>
      <c r="O92" s="190">
        <v>119073000000</v>
      </c>
      <c r="P92" s="190">
        <v>117655000000</v>
      </c>
      <c r="Q92" s="190">
        <v>48703000000</v>
      </c>
      <c r="R92" s="190">
        <v>37803000000</v>
      </c>
      <c r="S92" s="190">
        <v>41242000000</v>
      </c>
      <c r="T92" s="190">
        <v>39744000000</v>
      </c>
      <c r="U92" s="190">
        <v>39413000000</v>
      </c>
      <c r="V92" s="190">
        <v>38440000000</v>
      </c>
      <c r="W92" s="190">
        <v>39504000000</v>
      </c>
      <c r="X92" s="190">
        <v>47061000000</v>
      </c>
      <c r="Y92" s="190">
        <v>30574000000</v>
      </c>
      <c r="Z92" s="190">
        <v>30275000000</v>
      </c>
      <c r="AA92" s="190">
        <v>30337000000</v>
      </c>
      <c r="AB92" s="190">
        <v>30600000000</v>
      </c>
      <c r="AC92" s="190">
        <v>29583000000</v>
      </c>
      <c r="AD92" s="190">
        <v>33072000000</v>
      </c>
      <c r="AE92" s="190">
        <v>33203000000</v>
      </c>
      <c r="AF92" s="190">
        <v>33329000000</v>
      </c>
      <c r="AG92" s="190">
        <v>29414000000</v>
      </c>
      <c r="AH92" s="190">
        <v>29760000000</v>
      </c>
      <c r="AI92" s="190">
        <v>37685000000</v>
      </c>
      <c r="AJ92" s="190">
        <v>31190000000</v>
      </c>
      <c r="AK92" s="190">
        <v>38202000000</v>
      </c>
      <c r="AL92" s="190">
        <v>37463000000</v>
      </c>
      <c r="AM92" s="190">
        <v>37545000000</v>
      </c>
      <c r="AN92" s="190">
        <v>38784000000</v>
      </c>
      <c r="AO92" s="190">
        <v>38518000000</v>
      </c>
      <c r="AP92" s="190">
        <v>43194000000</v>
      </c>
      <c r="AQ92" s="190">
        <v>43545000000</v>
      </c>
      <c r="AR92" s="190">
        <v>45270000000</v>
      </c>
      <c r="AS92" s="190">
        <v>38391000000</v>
      </c>
      <c r="AT92" s="190">
        <v>37216000000</v>
      </c>
      <c r="AU92" s="190">
        <v>37216000000</v>
      </c>
      <c r="AV92" s="190">
        <v>37046000000</v>
      </c>
      <c r="AW92" s="190">
        <v>37607000000</v>
      </c>
      <c r="AX92" s="190">
        <v>37121000000</v>
      </c>
      <c r="AY92" s="190">
        <v>37121000000</v>
      </c>
      <c r="AZ92" s="190">
        <v>37121000000</v>
      </c>
      <c r="BA92" s="190">
        <v>37121000000</v>
      </c>
      <c r="BB92" s="190">
        <v>37121000000</v>
      </c>
      <c r="BC92" s="190">
        <v>37121000000</v>
      </c>
      <c r="BD92" s="190">
        <v>37121000000</v>
      </c>
      <c r="BE92" s="190">
        <v>37121000000</v>
      </c>
      <c r="BF92" s="190">
        <v>36852000000</v>
      </c>
      <c r="BG92" s="190">
        <v>36852000000</v>
      </c>
      <c r="BH92" s="190">
        <v>36852000000</v>
      </c>
      <c r="BI92" s="190">
        <v>36852000000</v>
      </c>
      <c r="BJ92" s="190">
        <v>36588000000</v>
      </c>
      <c r="BK92" s="190">
        <v>36588000000</v>
      </c>
      <c r="BL92" s="190">
        <v>36588000000</v>
      </c>
      <c r="BM92" s="190">
        <v>36588000000</v>
      </c>
      <c r="BN92" s="190">
        <v>36297000000</v>
      </c>
      <c r="BO92" s="190">
        <v>36297000000</v>
      </c>
      <c r="BP92" s="190">
        <v>36297000000</v>
      </c>
      <c r="BQ92" s="190">
        <v>36297000000</v>
      </c>
      <c r="BR92" s="190">
        <v>27449000000</v>
      </c>
      <c r="BS92" s="190">
        <v>27449000000</v>
      </c>
      <c r="BT92" s="190">
        <v>0</v>
      </c>
      <c r="BU92" s="190"/>
      <c r="BV92" s="190"/>
      <c r="BW92" s="190"/>
      <c r="BX92" s="190"/>
      <c r="BY92" s="190"/>
      <c r="BZ92" s="190"/>
      <c r="CA92" s="190"/>
      <c r="CB92" s="190"/>
      <c r="CC92" s="190"/>
      <c r="CD92" s="190"/>
      <c r="CE92" s="190"/>
      <c r="CF92" s="190"/>
      <c r="CG92" s="190"/>
      <c r="CH92" s="190"/>
      <c r="CI92" s="190"/>
      <c r="CJ92" s="190"/>
      <c r="CK92" s="190"/>
      <c r="CL92" s="190"/>
    </row>
    <row r="93" spans="1:90" x14ac:dyDescent="0.25">
      <c r="A93" s="128" t="s">
        <v>64</v>
      </c>
      <c r="B93" s="190">
        <v>0</v>
      </c>
      <c r="C93" s="190">
        <v>0</v>
      </c>
      <c r="D93" s="190">
        <v>0</v>
      </c>
      <c r="E93" s="190">
        <v>0</v>
      </c>
      <c r="F93" s="190">
        <v>0</v>
      </c>
      <c r="G93" s="190">
        <v>0</v>
      </c>
      <c r="H93" s="190">
        <v>0</v>
      </c>
      <c r="I93" s="190">
        <v>0</v>
      </c>
      <c r="J93" s="190">
        <v>0</v>
      </c>
      <c r="K93" s="190">
        <v>0</v>
      </c>
      <c r="L93" s="190">
        <v>0</v>
      </c>
      <c r="M93" s="190">
        <v>0</v>
      </c>
      <c r="N93" s="190">
        <v>0</v>
      </c>
      <c r="O93" s="190">
        <v>0</v>
      </c>
      <c r="P93" s="190">
        <v>0</v>
      </c>
      <c r="Q93" s="190">
        <v>0</v>
      </c>
      <c r="R93" s="190">
        <v>0</v>
      </c>
      <c r="S93" s="190">
        <v>0</v>
      </c>
      <c r="T93" s="190">
        <v>0</v>
      </c>
      <c r="U93" s="190">
        <v>0</v>
      </c>
      <c r="V93" s="190">
        <v>0</v>
      </c>
      <c r="W93" s="190">
        <v>0</v>
      </c>
      <c r="X93" s="190">
        <v>0</v>
      </c>
      <c r="Y93" s="190">
        <v>0</v>
      </c>
      <c r="Z93" s="190">
        <v>0</v>
      </c>
      <c r="AA93" s="190">
        <v>0</v>
      </c>
      <c r="AB93" s="190">
        <v>0</v>
      </c>
      <c r="AC93" s="190">
        <v>0</v>
      </c>
      <c r="AD93" s="190">
        <v>0</v>
      </c>
      <c r="AE93" s="190">
        <v>0</v>
      </c>
      <c r="AF93" s="190">
        <v>0</v>
      </c>
      <c r="AG93" s="190">
        <v>0</v>
      </c>
      <c r="AH93" s="190">
        <v>0</v>
      </c>
      <c r="AI93" s="190">
        <v>0</v>
      </c>
      <c r="AJ93" s="190">
        <v>0</v>
      </c>
      <c r="AK93" s="190">
        <v>0</v>
      </c>
      <c r="AL93" s="190">
        <v>0</v>
      </c>
      <c r="AM93" s="190">
        <v>0</v>
      </c>
      <c r="AN93" s="190">
        <v>0</v>
      </c>
      <c r="AO93" s="190">
        <v>0</v>
      </c>
      <c r="AP93" s="190">
        <v>0</v>
      </c>
      <c r="AQ93" s="190">
        <v>0</v>
      </c>
      <c r="AR93" s="190">
        <v>0</v>
      </c>
      <c r="AS93" s="190">
        <v>0</v>
      </c>
      <c r="AT93" s="190">
        <v>0</v>
      </c>
      <c r="AU93" s="190">
        <v>0</v>
      </c>
      <c r="AV93" s="190">
        <v>0</v>
      </c>
      <c r="AW93" s="190">
        <v>0</v>
      </c>
      <c r="AX93" s="190">
        <v>0</v>
      </c>
      <c r="AY93" s="190">
        <v>0</v>
      </c>
      <c r="AZ93" s="190">
        <v>0</v>
      </c>
      <c r="BA93" s="190">
        <v>0</v>
      </c>
      <c r="BB93" s="190">
        <v>0</v>
      </c>
      <c r="BC93" s="190">
        <v>0</v>
      </c>
      <c r="BD93" s="190">
        <v>0</v>
      </c>
      <c r="BE93" s="190">
        <v>0</v>
      </c>
      <c r="BF93" s="190">
        <v>0</v>
      </c>
      <c r="BG93" s="190">
        <v>0</v>
      </c>
      <c r="BH93" s="190">
        <v>0</v>
      </c>
      <c r="BI93" s="190">
        <v>0</v>
      </c>
      <c r="BJ93" s="190">
        <v>0</v>
      </c>
      <c r="BK93" s="190">
        <v>0</v>
      </c>
      <c r="BL93" s="190">
        <v>0</v>
      </c>
      <c r="BM93" s="190">
        <v>0</v>
      </c>
      <c r="BN93" s="190">
        <v>0</v>
      </c>
      <c r="BO93" s="190">
        <v>0</v>
      </c>
      <c r="BP93" s="190">
        <v>0</v>
      </c>
      <c r="BQ93" s="190">
        <v>0</v>
      </c>
      <c r="BR93" s="190">
        <v>0</v>
      </c>
      <c r="BS93" s="190">
        <v>0</v>
      </c>
      <c r="BT93" s="190">
        <v>0</v>
      </c>
      <c r="BU93" s="190">
        <v>0</v>
      </c>
      <c r="BV93" s="190">
        <v>0</v>
      </c>
      <c r="BW93" s="190">
        <v>0</v>
      </c>
      <c r="BX93" s="190">
        <v>0</v>
      </c>
      <c r="BY93" s="190">
        <v>0</v>
      </c>
      <c r="BZ93" s="190">
        <v>0</v>
      </c>
      <c r="CA93" s="190">
        <v>0</v>
      </c>
      <c r="CB93" s="190">
        <v>0</v>
      </c>
      <c r="CC93" s="190">
        <v>0</v>
      </c>
      <c r="CD93" s="190">
        <v>0</v>
      </c>
      <c r="CE93" s="190">
        <v>0</v>
      </c>
      <c r="CF93" s="190">
        <v>0</v>
      </c>
      <c r="CG93" s="190">
        <v>0</v>
      </c>
      <c r="CH93" s="190">
        <v>0</v>
      </c>
      <c r="CI93" s="190">
        <v>0</v>
      </c>
      <c r="CJ93" s="190">
        <v>0</v>
      </c>
      <c r="CK93" s="190">
        <v>0</v>
      </c>
      <c r="CL93" s="190">
        <v>0</v>
      </c>
    </row>
    <row r="94" spans="1:90" x14ac:dyDescent="0.25">
      <c r="A94" s="128" t="s">
        <v>65</v>
      </c>
      <c r="B94" s="190">
        <v>-1677000000</v>
      </c>
      <c r="C94" s="190">
        <v>-4422000000</v>
      </c>
      <c r="D94" s="190">
        <v>-5228000000</v>
      </c>
      <c r="E94" s="190">
        <v>-4413000000</v>
      </c>
      <c r="F94" s="190">
        <v>-3247000000</v>
      </c>
      <c r="G94" s="190">
        <v>-1574000000</v>
      </c>
      <c r="H94" s="190">
        <v>-1661000000</v>
      </c>
      <c r="I94" s="190">
        <v>-932000000</v>
      </c>
      <c r="J94" s="190">
        <v>-3800000000</v>
      </c>
      <c r="K94" s="190">
        <v>-3001000000</v>
      </c>
      <c r="L94" s="190">
        <v>-3706000000</v>
      </c>
      <c r="M94" s="190">
        <v>-7984000000</v>
      </c>
      <c r="N94" s="190">
        <v>-2148000000</v>
      </c>
      <c r="O94" s="190">
        <v>-5454000000</v>
      </c>
      <c r="P94" s="190">
        <v>-4120000000</v>
      </c>
      <c r="Q94" s="190">
        <v>-7261000000</v>
      </c>
      <c r="R94" s="190">
        <v>-892000000</v>
      </c>
      <c r="S94" s="190">
        <v>0</v>
      </c>
      <c r="T94" s="190">
        <v>0</v>
      </c>
      <c r="U94" s="190">
        <v>0</v>
      </c>
      <c r="V94" s="190">
        <v>0</v>
      </c>
      <c r="W94" s="190">
        <v>0</v>
      </c>
      <c r="X94" s="190">
        <v>0</v>
      </c>
      <c r="Y94" s="190">
        <v>0</v>
      </c>
      <c r="Z94" s="190">
        <v>0</v>
      </c>
      <c r="AA94" s="190">
        <v>0</v>
      </c>
      <c r="AB94" s="190">
        <v>0</v>
      </c>
      <c r="AC94" s="190">
        <v>0</v>
      </c>
      <c r="AD94" s="190">
        <v>0</v>
      </c>
      <c r="AE94" s="190">
        <v>0</v>
      </c>
      <c r="AF94" s="190">
        <v>0</v>
      </c>
      <c r="AG94" s="190">
        <v>0</v>
      </c>
      <c r="AH94" s="190">
        <v>0</v>
      </c>
      <c r="AI94" s="190">
        <v>0</v>
      </c>
      <c r="AJ94" s="190">
        <v>0</v>
      </c>
      <c r="AK94" s="190">
        <v>0</v>
      </c>
      <c r="AL94" s="190">
        <v>0</v>
      </c>
      <c r="AM94" s="190">
        <v>0</v>
      </c>
      <c r="AN94" s="190">
        <v>0</v>
      </c>
      <c r="AO94" s="190">
        <v>0</v>
      </c>
      <c r="AP94" s="190">
        <v>0</v>
      </c>
      <c r="AQ94" s="190">
        <v>0</v>
      </c>
      <c r="AR94" s="190">
        <v>0</v>
      </c>
      <c r="AS94" s="190">
        <v>0</v>
      </c>
      <c r="AT94" s="190">
        <v>0</v>
      </c>
      <c r="AU94" s="190">
        <v>0</v>
      </c>
      <c r="AV94" s="190">
        <v>0</v>
      </c>
      <c r="AW94" s="190">
        <v>0</v>
      </c>
      <c r="AX94" s="190">
        <v>0</v>
      </c>
      <c r="AY94" s="190">
        <v>0</v>
      </c>
      <c r="AZ94" s="190">
        <v>0</v>
      </c>
      <c r="BA94" s="190">
        <v>0</v>
      </c>
      <c r="BB94" s="190">
        <v>0</v>
      </c>
      <c r="BC94" s="190">
        <v>0</v>
      </c>
      <c r="BD94" s="190">
        <v>0</v>
      </c>
      <c r="BE94" s="190">
        <v>0</v>
      </c>
      <c r="BF94" s="190">
        <v>0</v>
      </c>
      <c r="BG94" s="190">
        <v>0</v>
      </c>
      <c r="BH94" s="190">
        <v>0</v>
      </c>
      <c r="BI94" s="190">
        <v>0</v>
      </c>
      <c r="BJ94" s="190">
        <v>0</v>
      </c>
      <c r="BK94" s="190">
        <v>0</v>
      </c>
      <c r="BL94" s="190">
        <v>0</v>
      </c>
      <c r="BM94" s="190">
        <v>0</v>
      </c>
      <c r="BN94" s="190">
        <v>0</v>
      </c>
      <c r="BO94" s="190">
        <v>0</v>
      </c>
      <c r="BP94" s="190">
        <v>0</v>
      </c>
      <c r="BQ94" s="190">
        <v>0</v>
      </c>
      <c r="BR94" s="190">
        <v>0</v>
      </c>
      <c r="BS94" s="190">
        <v>0</v>
      </c>
      <c r="BT94" s="190">
        <v>0</v>
      </c>
      <c r="BU94" s="190">
        <v>0</v>
      </c>
      <c r="BV94" s="190">
        <v>0</v>
      </c>
      <c r="BW94" s="190">
        <v>0</v>
      </c>
      <c r="BX94" s="190">
        <v>0</v>
      </c>
      <c r="BY94" s="190">
        <v>0</v>
      </c>
      <c r="BZ94" s="190">
        <v>0</v>
      </c>
      <c r="CA94" s="190">
        <v>0</v>
      </c>
      <c r="CB94" s="190">
        <v>0</v>
      </c>
      <c r="CC94" s="190">
        <v>0</v>
      </c>
      <c r="CD94" s="190">
        <v>0</v>
      </c>
      <c r="CE94" s="190">
        <v>0</v>
      </c>
      <c r="CF94" s="190">
        <v>0</v>
      </c>
      <c r="CG94" s="190">
        <v>0</v>
      </c>
      <c r="CH94" s="190">
        <v>0</v>
      </c>
      <c r="CI94" s="190">
        <v>0</v>
      </c>
      <c r="CJ94" s="190">
        <v>0</v>
      </c>
      <c r="CK94" s="190">
        <v>0</v>
      </c>
      <c r="CL94" s="190">
        <v>0</v>
      </c>
    </row>
    <row r="95" spans="1:90" x14ac:dyDescent="0.25">
      <c r="A95" s="128" t="s">
        <v>66</v>
      </c>
      <c r="B95" s="190">
        <v>1889000000</v>
      </c>
      <c r="C95" s="190">
        <v>1752000000</v>
      </c>
      <c r="D95" s="190">
        <v>1411000000</v>
      </c>
      <c r="E95" s="190">
        <v>888000000</v>
      </c>
      <c r="F95" s="190">
        <v>1722000000</v>
      </c>
      <c r="G95" s="190">
        <v>1539000000</v>
      </c>
      <c r="H95" s="190">
        <v>1245000000</v>
      </c>
      <c r="I95" s="190">
        <v>765000000</v>
      </c>
      <c r="J95" s="190">
        <v>1476000000</v>
      </c>
      <c r="K95" s="190">
        <v>1232000000</v>
      </c>
      <c r="L95" s="190">
        <v>1063000000</v>
      </c>
      <c r="M95" s="190">
        <v>612000000</v>
      </c>
      <c r="N95" s="190">
        <v>1597000000</v>
      </c>
      <c r="O95" s="190">
        <v>1405000000</v>
      </c>
      <c r="P95" s="190">
        <v>953000000</v>
      </c>
      <c r="Q95" s="190">
        <v>491000000</v>
      </c>
      <c r="R95" s="190">
        <v>2108000000</v>
      </c>
      <c r="S95" s="190">
        <v>2620000000</v>
      </c>
      <c r="T95" s="190">
        <v>2176000000</v>
      </c>
      <c r="U95" s="190">
        <v>1556000000</v>
      </c>
      <c r="V95" s="190">
        <v>4283000000</v>
      </c>
      <c r="W95" s="190">
        <v>4623000000</v>
      </c>
      <c r="X95" s="190">
        <v>4487000000</v>
      </c>
      <c r="Y95" s="190">
        <v>3550000000</v>
      </c>
      <c r="Z95" s="190">
        <v>4218000000</v>
      </c>
      <c r="AA95" s="190">
        <v>4182000000</v>
      </c>
      <c r="AB95" s="190">
        <v>3868000000</v>
      </c>
      <c r="AC95" s="190">
        <v>3115000000</v>
      </c>
      <c r="AD95" s="190">
        <v>3197000000</v>
      </c>
      <c r="AE95" s="190">
        <v>2540000000</v>
      </c>
      <c r="AF95" s="190">
        <v>1494000000</v>
      </c>
      <c r="AG95" s="190">
        <v>1325000000</v>
      </c>
      <c r="AH95" s="190">
        <v>501000000</v>
      </c>
      <c r="AI95" s="190">
        <v>373000000</v>
      </c>
      <c r="AJ95" s="190">
        <v>0</v>
      </c>
      <c r="AK95" s="190">
        <v>0</v>
      </c>
      <c r="AL95" s="190">
        <v>0</v>
      </c>
      <c r="AM95" s="190">
        <v>0</v>
      </c>
      <c r="AN95" s="190">
        <v>0</v>
      </c>
      <c r="AO95" s="190">
        <v>0</v>
      </c>
      <c r="AP95" s="190">
        <v>0</v>
      </c>
      <c r="AQ95" s="190">
        <v>0</v>
      </c>
      <c r="AR95" s="190">
        <v>0</v>
      </c>
      <c r="AS95" s="190">
        <v>0</v>
      </c>
      <c r="AT95" s="190">
        <v>0</v>
      </c>
      <c r="AU95" s="190">
        <v>0</v>
      </c>
      <c r="AV95" s="190">
        <v>0</v>
      </c>
      <c r="AW95" s="190">
        <v>0</v>
      </c>
      <c r="AX95" s="190">
        <v>0</v>
      </c>
      <c r="AY95" s="190">
        <v>0</v>
      </c>
      <c r="AZ95" s="190">
        <v>0</v>
      </c>
      <c r="BA95" s="190">
        <v>0</v>
      </c>
      <c r="BB95" s="190">
        <v>0</v>
      </c>
      <c r="BC95" s="190">
        <v>0</v>
      </c>
      <c r="BD95" s="190">
        <v>0</v>
      </c>
      <c r="BE95" s="190">
        <v>0</v>
      </c>
      <c r="BF95" s="190">
        <v>0</v>
      </c>
      <c r="BG95" s="190">
        <v>0</v>
      </c>
      <c r="BH95" s="190">
        <v>0</v>
      </c>
      <c r="BI95" s="190">
        <v>0</v>
      </c>
      <c r="BJ95" s="190">
        <v>0</v>
      </c>
      <c r="BK95" s="190">
        <v>0</v>
      </c>
      <c r="BL95" s="190">
        <v>0</v>
      </c>
      <c r="BM95" s="190">
        <v>0</v>
      </c>
      <c r="BN95" s="190">
        <v>0</v>
      </c>
      <c r="BO95" s="190">
        <v>0</v>
      </c>
      <c r="BP95" s="190">
        <v>0</v>
      </c>
      <c r="BQ95" s="190">
        <v>0</v>
      </c>
      <c r="BR95" s="190">
        <v>0</v>
      </c>
      <c r="BS95" s="190">
        <v>0</v>
      </c>
      <c r="BT95" s="190">
        <v>0</v>
      </c>
      <c r="BU95" s="190">
        <v>0</v>
      </c>
      <c r="BV95" s="190">
        <v>0</v>
      </c>
      <c r="BW95" s="190">
        <v>0</v>
      </c>
      <c r="BX95" s="190">
        <v>0</v>
      </c>
      <c r="BY95" s="190">
        <v>0</v>
      </c>
      <c r="BZ95" s="190">
        <v>0</v>
      </c>
      <c r="CA95" s="190">
        <v>0</v>
      </c>
      <c r="CB95" s="190">
        <v>0</v>
      </c>
      <c r="CC95" s="190">
        <v>0</v>
      </c>
      <c r="CD95" s="190">
        <v>0</v>
      </c>
      <c r="CE95" s="190">
        <v>0</v>
      </c>
      <c r="CF95" s="190">
        <v>0</v>
      </c>
      <c r="CG95" s="190">
        <v>0</v>
      </c>
      <c r="CH95" s="190">
        <v>0</v>
      </c>
      <c r="CI95" s="190">
        <v>0</v>
      </c>
      <c r="CJ95" s="190">
        <v>0</v>
      </c>
      <c r="CK95" s="190">
        <v>0</v>
      </c>
      <c r="CL95" s="190">
        <v>0</v>
      </c>
    </row>
    <row r="96" spans="1:90" x14ac:dyDescent="0.25">
      <c r="A96" s="128" t="s">
        <v>67</v>
      </c>
      <c r="B96" s="190">
        <v>199682000000</v>
      </c>
      <c r="C96" s="190">
        <v>199682000000</v>
      </c>
      <c r="D96" s="190">
        <v>199682000000</v>
      </c>
      <c r="E96" s="190">
        <v>199682000000</v>
      </c>
      <c r="F96" s="190">
        <v>196640000000</v>
      </c>
      <c r="G96" s="190">
        <v>196640000000</v>
      </c>
      <c r="H96" s="190">
        <v>196640000000</v>
      </c>
      <c r="I96" s="190">
        <v>196640000000</v>
      </c>
      <c r="J96" s="190">
        <v>196640000000</v>
      </c>
      <c r="K96" s="190">
        <v>196640000000</v>
      </c>
      <c r="L96" s="190">
        <v>196640000000</v>
      </c>
      <c r="M96" s="190">
        <v>196640000000</v>
      </c>
      <c r="N96" s="190">
        <v>193552000000</v>
      </c>
      <c r="O96" s="190">
        <v>193552000000</v>
      </c>
      <c r="P96" s="190">
        <v>193552000000</v>
      </c>
      <c r="Q96" s="190">
        <v>193552000000</v>
      </c>
      <c r="R96" s="190">
        <v>190337000000</v>
      </c>
      <c r="S96" s="190">
        <v>190337000000</v>
      </c>
      <c r="T96" s="190">
        <v>190337000000</v>
      </c>
      <c r="U96" s="190">
        <v>190337000000</v>
      </c>
      <c r="V96" s="190">
        <v>187096000000</v>
      </c>
      <c r="W96" s="190">
        <v>187096000000</v>
      </c>
      <c r="X96" s="190">
        <v>184603000000</v>
      </c>
      <c r="Y96" s="190">
        <v>184603000000</v>
      </c>
      <c r="Z96" s="190">
        <v>180683000000</v>
      </c>
      <c r="AA96" s="190">
        <v>180683000000</v>
      </c>
      <c r="AB96" s="190">
        <v>178263000000</v>
      </c>
      <c r="AC96" s="190">
        <v>178263000000</v>
      </c>
      <c r="AD96" s="190">
        <v>145124000000</v>
      </c>
      <c r="AE96" s="190">
        <v>145124000000</v>
      </c>
      <c r="AF96" s="190">
        <v>141711000000</v>
      </c>
      <c r="AG96" s="190">
        <v>141711000000</v>
      </c>
      <c r="AH96" s="190">
        <v>115031000000</v>
      </c>
      <c r="AI96" s="190">
        <v>115031000000</v>
      </c>
      <c r="AJ96" s="190">
        <v>115031000000</v>
      </c>
      <c r="AK96" s="190">
        <v>115031000000</v>
      </c>
      <c r="AL96" s="190">
        <v>92712000000</v>
      </c>
      <c r="AM96" s="190">
        <v>92712000000</v>
      </c>
      <c r="AN96" s="190">
        <v>90078000000</v>
      </c>
      <c r="AO96" s="190">
        <v>90078000000</v>
      </c>
      <c r="AP96" s="190">
        <v>65392000000</v>
      </c>
      <c r="AQ96" s="190">
        <v>65392000000</v>
      </c>
      <c r="AR96" s="190">
        <v>64797000000</v>
      </c>
      <c r="AS96" s="190">
        <v>64797000000</v>
      </c>
      <c r="AT96" s="190">
        <v>61777000000</v>
      </c>
      <c r="AU96" s="190">
        <v>61777000000</v>
      </c>
      <c r="AV96" s="190">
        <v>59330000000</v>
      </c>
      <c r="AW96" s="190">
        <v>39094000000</v>
      </c>
      <c r="AX96" s="190">
        <v>36096000000</v>
      </c>
      <c r="AY96" s="190">
        <v>36096000000</v>
      </c>
      <c r="AZ96" s="190">
        <v>34028000000</v>
      </c>
      <c r="BA96" s="190">
        <v>34028000000</v>
      </c>
      <c r="BB96" s="190">
        <v>29724000000</v>
      </c>
      <c r="BC96" s="190">
        <v>29724000000</v>
      </c>
      <c r="BD96" s="190">
        <v>26116000000</v>
      </c>
      <c r="BE96" s="190">
        <v>26116000000</v>
      </c>
      <c r="BF96" s="190">
        <v>22668000000</v>
      </c>
      <c r="BG96" s="190">
        <v>22668000000</v>
      </c>
      <c r="BH96" s="190">
        <v>19660000000</v>
      </c>
      <c r="BI96" s="190">
        <v>19660000000</v>
      </c>
      <c r="BJ96" s="190">
        <v>17812000000</v>
      </c>
      <c r="BK96" s="190">
        <v>17812000000</v>
      </c>
      <c r="BL96" s="190">
        <v>15858000000</v>
      </c>
      <c r="BM96" s="190">
        <v>15858000000</v>
      </c>
      <c r="BN96" s="190">
        <v>6934000000</v>
      </c>
      <c r="BO96" s="190">
        <v>6934000000</v>
      </c>
      <c r="BP96" s="190">
        <v>6034000000</v>
      </c>
      <c r="BQ96" s="190">
        <v>6034000000</v>
      </c>
      <c r="BR96" s="190">
        <v>3230000000</v>
      </c>
      <c r="BS96" s="190">
        <v>3230000000</v>
      </c>
      <c r="BT96" s="190">
        <v>0</v>
      </c>
      <c r="BU96" s="190">
        <v>309989497.47000003</v>
      </c>
      <c r="BV96" s="190">
        <v>259244599.52000001</v>
      </c>
      <c r="BW96" s="190">
        <v>194772679.46000001</v>
      </c>
      <c r="BX96" s="190">
        <v>144007744.87</v>
      </c>
      <c r="BY96" s="190">
        <v>96446307.129999995</v>
      </c>
      <c r="BZ96" s="190">
        <v>51390553.909999996</v>
      </c>
      <c r="CA96" s="190">
        <v>13452642.869999999</v>
      </c>
      <c r="CB96" s="190">
        <v>0</v>
      </c>
      <c r="CC96" s="190">
        <v>0</v>
      </c>
      <c r="CD96" s="190">
        <v>0</v>
      </c>
      <c r="CE96" s="190">
        <v>34778000</v>
      </c>
      <c r="CF96" s="190">
        <v>10546287.800000001</v>
      </c>
      <c r="CG96" s="190">
        <v>1136843.69</v>
      </c>
      <c r="CH96" s="190">
        <v>0</v>
      </c>
      <c r="CI96" s="190">
        <v>0</v>
      </c>
      <c r="CJ96" s="190">
        <v>0</v>
      </c>
      <c r="CK96" s="190">
        <v>0</v>
      </c>
      <c r="CL96" s="190">
        <v>0</v>
      </c>
    </row>
    <row r="97" spans="1:90" x14ac:dyDescent="0.25">
      <c r="A97" s="128" t="s">
        <v>68</v>
      </c>
      <c r="B97" s="190">
        <v>0</v>
      </c>
      <c r="C97" s="190">
        <v>0</v>
      </c>
      <c r="D97" s="190">
        <v>0</v>
      </c>
      <c r="E97" s="190">
        <v>0</v>
      </c>
      <c r="F97" s="190">
        <v>0</v>
      </c>
      <c r="G97" s="190">
        <v>0</v>
      </c>
      <c r="H97" s="190">
        <v>0</v>
      </c>
      <c r="I97" s="190">
        <v>0</v>
      </c>
      <c r="J97" s="190">
        <v>0</v>
      </c>
      <c r="K97" s="190">
        <v>0</v>
      </c>
      <c r="L97" s="190">
        <v>0</v>
      </c>
      <c r="M97" s="190">
        <v>0</v>
      </c>
      <c r="N97" s="190">
        <v>0</v>
      </c>
      <c r="O97" s="190">
        <v>0</v>
      </c>
      <c r="P97" s="190">
        <v>0</v>
      </c>
      <c r="Q97" s="190">
        <v>0</v>
      </c>
      <c r="R97" s="190">
        <v>0</v>
      </c>
      <c r="S97" s="190">
        <v>0</v>
      </c>
      <c r="T97" s="190">
        <v>0</v>
      </c>
      <c r="U97" s="190">
        <v>0</v>
      </c>
      <c r="V97" s="190">
        <v>0</v>
      </c>
      <c r="W97" s="190">
        <v>0</v>
      </c>
      <c r="X97" s="190">
        <v>0</v>
      </c>
      <c r="Y97" s="190">
        <v>0</v>
      </c>
      <c r="Z97" s="190">
        <v>0</v>
      </c>
      <c r="AA97" s="190">
        <v>0</v>
      </c>
      <c r="AB97" s="190">
        <v>0</v>
      </c>
      <c r="AC97" s="190">
        <v>0</v>
      </c>
      <c r="AD97" s="190">
        <v>0</v>
      </c>
      <c r="AE97" s="190">
        <v>0</v>
      </c>
      <c r="AF97" s="190">
        <v>0</v>
      </c>
      <c r="AG97" s="190">
        <v>0</v>
      </c>
      <c r="AH97" s="190">
        <v>0</v>
      </c>
      <c r="AI97" s="190">
        <v>0</v>
      </c>
      <c r="AJ97" s="190">
        <v>0</v>
      </c>
      <c r="AK97" s="190">
        <v>0</v>
      </c>
      <c r="AL97" s="190">
        <v>0</v>
      </c>
      <c r="AM97" s="190">
        <v>0</v>
      </c>
      <c r="AN97" s="190">
        <v>0</v>
      </c>
      <c r="AO97" s="190">
        <v>0</v>
      </c>
      <c r="AP97" s="190">
        <v>0</v>
      </c>
      <c r="AQ97" s="190">
        <v>0</v>
      </c>
      <c r="AR97" s="190">
        <v>0</v>
      </c>
      <c r="AS97" s="190">
        <v>0</v>
      </c>
      <c r="AT97" s="190">
        <v>0</v>
      </c>
      <c r="AU97" s="190">
        <v>0</v>
      </c>
      <c r="AV97" s="190">
        <v>0</v>
      </c>
      <c r="AW97" s="190">
        <v>0</v>
      </c>
      <c r="AX97" s="190">
        <v>0</v>
      </c>
      <c r="AY97" s="190">
        <v>0</v>
      </c>
      <c r="AZ97" s="190">
        <v>0</v>
      </c>
      <c r="BA97" s="190">
        <v>0</v>
      </c>
      <c r="BB97" s="190">
        <v>0</v>
      </c>
      <c r="BC97" s="190">
        <v>0</v>
      </c>
      <c r="BD97" s="190">
        <v>0</v>
      </c>
      <c r="BE97" s="190">
        <v>0</v>
      </c>
      <c r="BF97" s="190">
        <v>0</v>
      </c>
      <c r="BG97" s="190">
        <v>0</v>
      </c>
      <c r="BH97" s="190">
        <v>0</v>
      </c>
      <c r="BI97" s="190">
        <v>0</v>
      </c>
      <c r="BJ97" s="190">
        <v>0</v>
      </c>
      <c r="BK97" s="190">
        <v>0</v>
      </c>
      <c r="BL97" s="190">
        <v>0</v>
      </c>
      <c r="BM97" s="190">
        <v>0</v>
      </c>
      <c r="BN97" s="190">
        <v>0</v>
      </c>
      <c r="BO97" s="190">
        <v>0</v>
      </c>
      <c r="BP97" s="190">
        <v>0</v>
      </c>
      <c r="BQ97" s="190">
        <v>0</v>
      </c>
      <c r="BR97" s="190">
        <v>0</v>
      </c>
      <c r="BS97" s="190">
        <v>0</v>
      </c>
      <c r="BT97" s="190">
        <v>0</v>
      </c>
      <c r="BU97" s="190">
        <v>0</v>
      </c>
      <c r="BV97" s="190">
        <v>0</v>
      </c>
      <c r="BW97" s="190">
        <v>0</v>
      </c>
      <c r="BX97" s="190">
        <v>0</v>
      </c>
      <c r="BY97" s="190">
        <v>0</v>
      </c>
      <c r="BZ97" s="190">
        <v>0</v>
      </c>
      <c r="CA97" s="190">
        <v>0</v>
      </c>
      <c r="CB97" s="190">
        <v>0</v>
      </c>
      <c r="CC97" s="190">
        <v>0</v>
      </c>
      <c r="CD97" s="190">
        <v>0</v>
      </c>
      <c r="CE97" s="190">
        <v>0</v>
      </c>
      <c r="CF97" s="190">
        <v>0</v>
      </c>
      <c r="CG97" s="190">
        <v>0</v>
      </c>
      <c r="CH97" s="190">
        <v>0</v>
      </c>
      <c r="CI97" s="190">
        <v>0</v>
      </c>
      <c r="CJ97" s="190">
        <v>0</v>
      </c>
      <c r="CK97" s="190">
        <v>0</v>
      </c>
      <c r="CL97" s="190">
        <v>0</v>
      </c>
    </row>
    <row r="98" spans="1:90" x14ac:dyDescent="0.25">
      <c r="A98" s="128" t="s">
        <v>69</v>
      </c>
      <c r="B98" s="190">
        <v>281803000000</v>
      </c>
      <c r="C98" s="190">
        <v>283533000000</v>
      </c>
      <c r="D98" s="190">
        <v>309312000000</v>
      </c>
      <c r="E98" s="190">
        <v>290459000000</v>
      </c>
      <c r="F98" s="190">
        <v>280846000000</v>
      </c>
      <c r="G98" s="190">
        <v>281673000000</v>
      </c>
      <c r="H98" s="190">
        <v>291796000000</v>
      </c>
      <c r="I98" s="190">
        <v>275163000000</v>
      </c>
      <c r="J98" s="190">
        <v>257913000000</v>
      </c>
      <c r="K98" s="190">
        <v>257562000000</v>
      </c>
      <c r="L98" s="190">
        <v>251808000000</v>
      </c>
      <c r="M98" s="190">
        <v>245623000000</v>
      </c>
      <c r="N98" s="190">
        <v>242352000000</v>
      </c>
      <c r="O98" s="190">
        <v>251827000000</v>
      </c>
      <c r="P98" s="190">
        <v>242403000000</v>
      </c>
      <c r="Q98" s="190">
        <v>240718000000</v>
      </c>
      <c r="R98" s="190">
        <v>247672000000</v>
      </c>
      <c r="S98" s="190">
        <v>238445000000</v>
      </c>
      <c r="T98" s="190">
        <v>238011000000</v>
      </c>
      <c r="U98" s="190">
        <v>224534000000</v>
      </c>
      <c r="V98" s="190">
        <v>212197000000</v>
      </c>
      <c r="W98" s="190">
        <v>200504000000</v>
      </c>
      <c r="X98" s="190">
        <v>225280000000</v>
      </c>
      <c r="Y98" s="190">
        <v>209446000000</v>
      </c>
      <c r="Z98" s="190">
        <v>191821000000</v>
      </c>
      <c r="AA98" s="190">
        <v>182249000000</v>
      </c>
      <c r="AB98" s="190">
        <v>191165000000</v>
      </c>
      <c r="AC98" s="190">
        <v>178336000000</v>
      </c>
      <c r="AD98" s="190">
        <v>199738000000</v>
      </c>
      <c r="AE98" s="190">
        <v>188687000000</v>
      </c>
      <c r="AF98" s="190">
        <v>183633000000</v>
      </c>
      <c r="AG98" s="190">
        <v>163132000000</v>
      </c>
      <c r="AH98" s="190">
        <v>175370000000</v>
      </c>
      <c r="AI98" s="190">
        <v>163139000000</v>
      </c>
      <c r="AJ98" s="190">
        <v>159892000000</v>
      </c>
      <c r="AK98" s="190">
        <v>137247000000</v>
      </c>
      <c r="AL98" s="190">
        <v>147990000000</v>
      </c>
      <c r="AM98" s="190">
        <v>137535000000</v>
      </c>
      <c r="AN98" s="190">
        <v>125972000000</v>
      </c>
      <c r="AO98" s="190">
        <v>114782000000</v>
      </c>
      <c r="AP98" s="190">
        <v>115534000000</v>
      </c>
      <c r="AQ98" s="190">
        <v>109832000000</v>
      </c>
      <c r="AR98" s="190">
        <v>117760000000</v>
      </c>
      <c r="AS98" s="190">
        <v>111059000000</v>
      </c>
      <c r="AT98" s="190">
        <v>107179000000</v>
      </c>
      <c r="AU98" s="190">
        <v>97756000000</v>
      </c>
      <c r="AV98" s="190">
        <v>94233000000</v>
      </c>
      <c r="AW98" s="190">
        <v>92693000000</v>
      </c>
      <c r="AX98" s="190">
        <v>78841000000</v>
      </c>
      <c r="AY98" s="190">
        <v>69174000000</v>
      </c>
      <c r="AZ98" s="190">
        <v>67496000000</v>
      </c>
      <c r="BA98" s="190">
        <v>58366000000</v>
      </c>
      <c r="BB98" s="190">
        <v>49588000000</v>
      </c>
      <c r="BC98" s="190">
        <v>44624000000</v>
      </c>
      <c r="BD98" s="190">
        <v>46128000000</v>
      </c>
      <c r="BE98" s="190">
        <v>37124000000</v>
      </c>
      <c r="BF98" s="190">
        <v>32339000000</v>
      </c>
      <c r="BG98" s="190">
        <v>26804000000</v>
      </c>
      <c r="BH98" s="190">
        <v>27405000000</v>
      </c>
      <c r="BI98" s="190">
        <v>19975000000</v>
      </c>
      <c r="BJ98" s="190">
        <v>17616000000</v>
      </c>
      <c r="BK98" s="190">
        <v>15178000000</v>
      </c>
      <c r="BL98" s="190">
        <v>13180000000</v>
      </c>
      <c r="BM98" s="190">
        <v>12569000000</v>
      </c>
      <c r="BN98" s="190">
        <v>16427000000</v>
      </c>
      <c r="BO98" s="190">
        <v>11876000000</v>
      </c>
      <c r="BP98" s="190">
        <v>10108000000</v>
      </c>
      <c r="BQ98" s="190">
        <v>10006000000</v>
      </c>
      <c r="BR98" s="190">
        <v>13835000000</v>
      </c>
      <c r="BS98" s="190">
        <v>6212000000</v>
      </c>
      <c r="BT98" s="190">
        <v>0</v>
      </c>
      <c r="BU98" s="190">
        <v>1356607152.1700001</v>
      </c>
      <c r="BV98" s="190">
        <v>1069052730.5</v>
      </c>
      <c r="BW98" s="190">
        <v>703711850.11000001</v>
      </c>
      <c r="BX98" s="190">
        <v>423675870.94999999</v>
      </c>
      <c r="BY98" s="190">
        <v>146529073.66</v>
      </c>
      <c r="BZ98" s="190">
        <v>291213138.67000002</v>
      </c>
      <c r="CA98" s="190">
        <v>76231642.829999998</v>
      </c>
      <c r="CB98" s="190">
        <v>0</v>
      </c>
      <c r="CC98" s="190">
        <v>0</v>
      </c>
      <c r="CD98" s="190">
        <v>0</v>
      </c>
      <c r="CE98" s="190">
        <v>129889000</v>
      </c>
      <c r="CF98" s="190">
        <v>81321459.170000002</v>
      </c>
      <c r="CG98" s="190">
        <v>12975517.09</v>
      </c>
      <c r="CH98" s="190">
        <v>0</v>
      </c>
      <c r="CI98" s="190">
        <v>0</v>
      </c>
      <c r="CJ98" s="190">
        <v>0</v>
      </c>
      <c r="CK98" s="190">
        <v>0</v>
      </c>
      <c r="CL98" s="190">
        <v>0</v>
      </c>
    </row>
    <row r="99" spans="1:90" x14ac:dyDescent="0.25">
      <c r="A99" s="128" t="s">
        <v>70</v>
      </c>
      <c r="B99" s="190">
        <v>660000000</v>
      </c>
      <c r="C99" s="190">
        <v>0</v>
      </c>
      <c r="D99" s="190">
        <v>6782000000</v>
      </c>
      <c r="E99" s="190">
        <v>6843000000</v>
      </c>
      <c r="F99" s="190">
        <v>2184000000</v>
      </c>
      <c r="G99" s="190">
        <v>22336000000</v>
      </c>
      <c r="H99" s="190">
        <v>0</v>
      </c>
      <c r="I99" s="190">
        <v>0</v>
      </c>
      <c r="J99" s="190">
        <v>0</v>
      </c>
      <c r="K99" s="190">
        <v>0</v>
      </c>
      <c r="L99" s="190">
        <v>0</v>
      </c>
      <c r="M99" s="190">
        <v>0</v>
      </c>
      <c r="N99" s="190">
        <v>0</v>
      </c>
      <c r="O99" s="190">
        <v>0</v>
      </c>
      <c r="P99" s="190">
        <v>0</v>
      </c>
      <c r="Q99" s="190">
        <v>0</v>
      </c>
      <c r="R99" s="190">
        <v>0</v>
      </c>
      <c r="S99" s="190">
        <v>0</v>
      </c>
      <c r="T99" s="190">
        <v>0</v>
      </c>
      <c r="U99" s="190">
        <v>0</v>
      </c>
      <c r="V99" s="190">
        <v>0</v>
      </c>
      <c r="W99" s="190">
        <v>0</v>
      </c>
      <c r="X99" s="190">
        <v>0</v>
      </c>
      <c r="Y99" s="190">
        <v>0</v>
      </c>
      <c r="Z99" s="190">
        <v>0</v>
      </c>
      <c r="AA99" s="190">
        <v>0</v>
      </c>
      <c r="AB99" s="190">
        <v>0</v>
      </c>
      <c r="AC99" s="190">
        <v>0</v>
      </c>
      <c r="AD99" s="190">
        <v>0</v>
      </c>
      <c r="AE99" s="190">
        <v>0</v>
      </c>
      <c r="AF99" s="190">
        <v>0</v>
      </c>
      <c r="AG99" s="190">
        <v>0</v>
      </c>
      <c r="AH99" s="190">
        <v>0</v>
      </c>
      <c r="AI99" s="190">
        <v>0</v>
      </c>
      <c r="AJ99" s="190">
        <v>0</v>
      </c>
      <c r="AK99" s="190">
        <v>0</v>
      </c>
      <c r="AL99" s="190">
        <v>0</v>
      </c>
      <c r="AM99" s="190">
        <v>0</v>
      </c>
      <c r="AN99" s="190">
        <v>0</v>
      </c>
      <c r="AO99" s="190">
        <v>0</v>
      </c>
      <c r="AP99" s="190">
        <v>0</v>
      </c>
      <c r="AQ99" s="190">
        <v>0</v>
      </c>
      <c r="AR99" s="190">
        <v>0</v>
      </c>
      <c r="AS99" s="190">
        <v>0</v>
      </c>
      <c r="AT99" s="190">
        <v>0</v>
      </c>
      <c r="AU99" s="190">
        <v>0</v>
      </c>
      <c r="AV99" s="190">
        <v>0</v>
      </c>
      <c r="AW99" s="190">
        <v>0</v>
      </c>
      <c r="AX99" s="190">
        <v>0</v>
      </c>
      <c r="AY99" s="190">
        <v>0</v>
      </c>
      <c r="AZ99" s="190">
        <v>0</v>
      </c>
      <c r="BA99" s="190">
        <v>0</v>
      </c>
      <c r="BB99" s="190">
        <v>0</v>
      </c>
      <c r="BC99" s="190">
        <v>0</v>
      </c>
      <c r="BD99" s="190">
        <v>0</v>
      </c>
      <c r="BE99" s="190">
        <v>0</v>
      </c>
      <c r="BF99" s="190">
        <v>0</v>
      </c>
      <c r="BG99" s="190">
        <v>0</v>
      </c>
      <c r="BH99" s="190">
        <v>0</v>
      </c>
      <c r="BI99" s="190">
        <v>0</v>
      </c>
      <c r="BJ99" s="190">
        <v>0</v>
      </c>
      <c r="BK99" s="190">
        <v>0</v>
      </c>
      <c r="BL99" s="190">
        <v>5202000000</v>
      </c>
      <c r="BM99" s="190">
        <v>5202000000</v>
      </c>
      <c r="BN99" s="190">
        <v>0</v>
      </c>
      <c r="BO99" s="190">
        <v>8670000000</v>
      </c>
      <c r="BP99" s="190">
        <v>6936000000</v>
      </c>
      <c r="BQ99" s="190">
        <v>6936000000</v>
      </c>
      <c r="BR99" s="190">
        <v>6712000000</v>
      </c>
      <c r="BS99" s="190">
        <v>6712000000</v>
      </c>
      <c r="BT99" s="190">
        <v>0</v>
      </c>
      <c r="BU99" s="190">
        <v>0</v>
      </c>
      <c r="BV99" s="190">
        <v>0</v>
      </c>
      <c r="BW99" s="190">
        <v>0</v>
      </c>
      <c r="BX99" s="190">
        <v>0</v>
      </c>
      <c r="BY99" s="190">
        <v>400000000</v>
      </c>
      <c r="BZ99" s="190">
        <v>0</v>
      </c>
      <c r="CA99" s="190">
        <v>0</v>
      </c>
      <c r="CB99" s="190">
        <v>0</v>
      </c>
      <c r="CC99" s="190">
        <v>0</v>
      </c>
      <c r="CD99" s="190">
        <v>0</v>
      </c>
      <c r="CE99" s="190">
        <v>0</v>
      </c>
      <c r="CF99" s="190">
        <v>0</v>
      </c>
      <c r="CG99" s="190">
        <v>0</v>
      </c>
      <c r="CH99" s="190">
        <v>0</v>
      </c>
      <c r="CI99" s="190">
        <v>0</v>
      </c>
      <c r="CJ99" s="190">
        <v>0</v>
      </c>
      <c r="CK99" s="190">
        <v>0</v>
      </c>
      <c r="CL99" s="190">
        <v>0</v>
      </c>
    </row>
    <row r="100" spans="1:90" x14ac:dyDescent="0.25">
      <c r="A100" s="128" t="s">
        <v>291</v>
      </c>
      <c r="B100" s="40"/>
      <c r="C100" s="40"/>
      <c r="D100" s="40"/>
      <c r="E100" s="26"/>
      <c r="F100" s="26"/>
      <c r="G100" s="26"/>
      <c r="H100" s="26"/>
      <c r="I100" s="26"/>
      <c r="J100" s="26"/>
      <c r="K100" s="26"/>
      <c r="L100" s="26"/>
      <c r="M100" s="26"/>
      <c r="N100" s="26"/>
      <c r="O100" s="26"/>
      <c r="P100" s="26"/>
      <c r="Q100" s="26"/>
      <c r="R100" s="26"/>
      <c r="S100" s="26"/>
      <c r="T100" s="26"/>
      <c r="U100" s="26"/>
      <c r="V100" s="26"/>
      <c r="W100" s="26"/>
      <c r="X100" s="26"/>
      <c r="Y100" s="26"/>
      <c r="Z100" s="26"/>
      <c r="AA100" s="26"/>
      <c r="AB100" s="26"/>
      <c r="AC100" s="26"/>
      <c r="AD100" s="26"/>
      <c r="AE100" s="26"/>
      <c r="AF100" s="26"/>
      <c r="AG100" s="26"/>
      <c r="AH100" s="26"/>
      <c r="AI100" s="26"/>
      <c r="AJ100" s="26"/>
      <c r="AK100" s="26"/>
      <c r="AL100" s="26"/>
      <c r="AM100" s="26"/>
      <c r="AN100" s="26"/>
      <c r="AO100" s="26"/>
      <c r="AP100" s="26"/>
      <c r="AQ100" s="26"/>
      <c r="AR100" s="26"/>
      <c r="AS100" s="26"/>
      <c r="AT100" s="26"/>
      <c r="AU100" s="26"/>
      <c r="AV100" s="26"/>
      <c r="AW100" s="26"/>
      <c r="AX100" s="26"/>
      <c r="AY100" s="26"/>
      <c r="AZ100" s="26"/>
      <c r="BA100" s="26"/>
      <c r="BB100" s="26"/>
      <c r="BC100" s="26"/>
      <c r="BD100" s="26"/>
      <c r="BE100" s="26"/>
      <c r="BF100" s="26"/>
      <c r="BG100" s="26"/>
      <c r="BH100" s="26"/>
      <c r="BI100" s="26"/>
      <c r="BJ100" s="26"/>
      <c r="BK100" s="26"/>
      <c r="BL100" s="26"/>
      <c r="BM100" s="26"/>
      <c r="BN100" s="26"/>
      <c r="BO100" s="26"/>
      <c r="BP100" s="26"/>
      <c r="BQ100" s="26"/>
      <c r="BR100" s="26"/>
      <c r="BS100" s="26"/>
      <c r="BT100" s="26"/>
      <c r="BU100" s="26"/>
      <c r="BV100" s="26"/>
      <c r="BW100" s="26"/>
      <c r="BX100" s="26"/>
      <c r="BY100" s="26"/>
      <c r="BZ100" s="26"/>
      <c r="CA100" s="26"/>
      <c r="CB100" s="26"/>
      <c r="CC100" s="26"/>
      <c r="CD100" s="26"/>
      <c r="CE100" s="26"/>
      <c r="CF100" s="26"/>
      <c r="CG100" s="26"/>
      <c r="CH100" s="26"/>
      <c r="CI100" s="26"/>
      <c r="CJ100" s="26"/>
      <c r="CK100" s="26"/>
      <c r="CL100" s="40"/>
    </row>
    <row r="101" spans="1:90" x14ac:dyDescent="0.25">
      <c r="A101" s="128" t="s">
        <v>71</v>
      </c>
      <c r="B101" s="190">
        <v>0</v>
      </c>
      <c r="C101" s="190">
        <v>0</v>
      </c>
      <c r="D101" s="190">
        <v>0</v>
      </c>
      <c r="E101" s="190">
        <v>0</v>
      </c>
      <c r="F101" s="190">
        <v>0</v>
      </c>
      <c r="G101" s="190">
        <v>0</v>
      </c>
      <c r="H101" s="190">
        <v>0</v>
      </c>
      <c r="I101" s="190">
        <v>0</v>
      </c>
      <c r="J101" s="190">
        <v>0</v>
      </c>
      <c r="K101" s="190">
        <v>0</v>
      </c>
      <c r="L101" s="190">
        <v>0</v>
      </c>
      <c r="M101" s="190">
        <v>0</v>
      </c>
      <c r="N101" s="190">
        <v>0</v>
      </c>
      <c r="O101" s="190">
        <v>0</v>
      </c>
      <c r="P101" s="190">
        <v>0</v>
      </c>
      <c r="Q101" s="190">
        <v>0</v>
      </c>
      <c r="R101" s="190">
        <v>0</v>
      </c>
      <c r="S101" s="190">
        <v>0</v>
      </c>
      <c r="T101" s="190">
        <v>0</v>
      </c>
      <c r="U101" s="190">
        <v>0</v>
      </c>
      <c r="V101" s="190">
        <v>0</v>
      </c>
      <c r="W101" s="190">
        <v>0</v>
      </c>
      <c r="X101" s="190">
        <v>0</v>
      </c>
      <c r="Y101" s="190">
        <v>0</v>
      </c>
      <c r="Z101" s="190">
        <v>0</v>
      </c>
      <c r="AA101" s="190">
        <v>0</v>
      </c>
      <c r="AB101" s="190">
        <v>0</v>
      </c>
      <c r="AC101" s="190">
        <v>0</v>
      </c>
      <c r="AD101" s="190">
        <v>0</v>
      </c>
      <c r="AE101" s="190">
        <v>0</v>
      </c>
      <c r="AF101" s="190">
        <v>0</v>
      </c>
      <c r="AG101" s="190">
        <v>0</v>
      </c>
      <c r="AH101" s="190">
        <v>0</v>
      </c>
      <c r="AI101" s="190">
        <v>0</v>
      </c>
      <c r="AJ101" s="190">
        <v>0</v>
      </c>
      <c r="AK101" s="190">
        <v>0</v>
      </c>
      <c r="AL101" s="190">
        <v>0</v>
      </c>
      <c r="AM101" s="190">
        <v>0</v>
      </c>
      <c r="AN101" s="190">
        <v>0</v>
      </c>
      <c r="AO101" s="190">
        <v>0</v>
      </c>
      <c r="AP101" s="190">
        <v>0</v>
      </c>
      <c r="AQ101" s="190">
        <v>0</v>
      </c>
      <c r="AR101" s="190">
        <v>0</v>
      </c>
      <c r="AS101" s="190">
        <v>0</v>
      </c>
      <c r="AT101" s="190">
        <v>0</v>
      </c>
      <c r="AU101" s="190">
        <v>0</v>
      </c>
      <c r="AV101" s="190">
        <v>0</v>
      </c>
      <c r="AW101" s="190">
        <v>0</v>
      </c>
      <c r="AX101" s="190">
        <v>0</v>
      </c>
      <c r="AY101" s="190">
        <v>0</v>
      </c>
      <c r="AZ101" s="190">
        <v>0</v>
      </c>
      <c r="BA101" s="190">
        <v>0</v>
      </c>
      <c r="BB101" s="190">
        <v>0</v>
      </c>
      <c r="BC101" s="190">
        <v>0</v>
      </c>
      <c r="BD101" s="190">
        <v>0</v>
      </c>
      <c r="BE101" s="190">
        <v>0</v>
      </c>
      <c r="BF101" s="190">
        <v>483000000</v>
      </c>
      <c r="BG101" s="190">
        <v>0</v>
      </c>
      <c r="BH101" s="190">
        <v>0</v>
      </c>
      <c r="BI101" s="190">
        <v>0</v>
      </c>
      <c r="BJ101" s="190">
        <v>0</v>
      </c>
      <c r="BK101" s="190">
        <v>0</v>
      </c>
      <c r="BL101" s="190">
        <v>0</v>
      </c>
      <c r="BM101" s="190">
        <v>0</v>
      </c>
      <c r="BN101" s="190">
        <v>0</v>
      </c>
      <c r="BO101" s="190">
        <v>0</v>
      </c>
      <c r="BP101" s="190">
        <v>0</v>
      </c>
      <c r="BQ101" s="190">
        <v>0</v>
      </c>
      <c r="BR101" s="190">
        <v>0</v>
      </c>
      <c r="BS101" s="190"/>
      <c r="BT101" s="190"/>
      <c r="BU101" s="190">
        <v>0</v>
      </c>
      <c r="BV101" s="190">
        <v>0</v>
      </c>
      <c r="BW101" s="190"/>
      <c r="BX101" s="190"/>
      <c r="BY101" s="190"/>
      <c r="BZ101" s="190"/>
      <c r="CA101" s="190"/>
      <c r="CB101" s="190"/>
      <c r="CC101" s="190"/>
      <c r="CD101" s="190"/>
      <c r="CE101" s="190"/>
      <c r="CF101" s="190"/>
      <c r="CG101" s="190"/>
      <c r="CH101" s="190"/>
      <c r="CI101" s="190"/>
      <c r="CJ101" s="190"/>
      <c r="CK101" s="190"/>
      <c r="CL101" s="190"/>
    </row>
    <row r="102" spans="1:90" x14ac:dyDescent="0.25">
      <c r="A102" s="128" t="s">
        <v>72</v>
      </c>
      <c r="B102" s="190">
        <v>722317000000</v>
      </c>
      <c r="C102" s="190">
        <v>721193000000</v>
      </c>
      <c r="D102" s="190">
        <v>745799000000</v>
      </c>
      <c r="E102" s="190">
        <v>727244000000</v>
      </c>
      <c r="F102" s="190">
        <v>716511000000</v>
      </c>
      <c r="G102" s="190">
        <v>718878000000</v>
      </c>
      <c r="H102" s="190">
        <v>728618000000</v>
      </c>
      <c r="I102" s="190">
        <v>712232000000</v>
      </c>
      <c r="J102" s="190">
        <v>692711000000</v>
      </c>
      <c r="K102" s="190">
        <v>692934000000</v>
      </c>
      <c r="L102" s="190">
        <v>686286000000</v>
      </c>
      <c r="M102" s="190">
        <v>675370000000</v>
      </c>
      <c r="N102" s="190">
        <v>675496000000</v>
      </c>
      <c r="O102" s="190">
        <v>681474000000</v>
      </c>
      <c r="P102" s="190">
        <v>671514000000</v>
      </c>
      <c r="Q102" s="190">
        <v>594483000000</v>
      </c>
      <c r="R102" s="190">
        <v>593823000000</v>
      </c>
      <c r="S102" s="190">
        <v>587604000000</v>
      </c>
      <c r="T102" s="190">
        <v>585225000000</v>
      </c>
      <c r="U102" s="190">
        <v>570346000000</v>
      </c>
      <c r="V102" s="190">
        <v>556623000000</v>
      </c>
      <c r="W102" s="190">
        <v>546386000000</v>
      </c>
      <c r="X102" s="190">
        <v>549425000000</v>
      </c>
      <c r="Y102" s="190">
        <v>513374000000</v>
      </c>
      <c r="Z102" s="190">
        <v>492307000000</v>
      </c>
      <c r="AA102" s="190">
        <v>482730000000</v>
      </c>
      <c r="AB102" s="190">
        <v>489103000000</v>
      </c>
      <c r="AC102" s="190">
        <v>474399000000</v>
      </c>
      <c r="AD102" s="190">
        <v>466575000000</v>
      </c>
      <c r="AE102" s="190">
        <v>454883000000</v>
      </c>
      <c r="AF102" s="190">
        <v>445664000000</v>
      </c>
      <c r="AG102" s="190">
        <v>421127000000</v>
      </c>
      <c r="AH102" s="190">
        <v>406266000000</v>
      </c>
      <c r="AI102" s="190">
        <v>402930000000</v>
      </c>
      <c r="AJ102" s="190">
        <v>392816000000</v>
      </c>
      <c r="AK102" s="190">
        <v>377182000000</v>
      </c>
      <c r="AL102" s="190">
        <v>364867000000</v>
      </c>
      <c r="AM102" s="190">
        <v>354494000000</v>
      </c>
      <c r="AN102" s="190">
        <v>341536000000</v>
      </c>
      <c r="AO102" s="190">
        <v>330080000000</v>
      </c>
      <c r="AP102" s="190">
        <v>310822000000</v>
      </c>
      <c r="AQ102" s="190">
        <v>305471000000</v>
      </c>
      <c r="AR102" s="190">
        <v>314529000000</v>
      </c>
      <c r="AS102" s="190">
        <v>300949000000</v>
      </c>
      <c r="AT102" s="190">
        <v>292874000000</v>
      </c>
      <c r="AU102" s="190">
        <v>283451000000</v>
      </c>
      <c r="AV102" s="190">
        <v>277311000000</v>
      </c>
      <c r="AW102" s="190">
        <v>254875000000</v>
      </c>
      <c r="AX102" s="190">
        <v>237468000000</v>
      </c>
      <c r="AY102" s="190">
        <v>228510000000</v>
      </c>
      <c r="AZ102" s="190">
        <v>224764000000</v>
      </c>
      <c r="BA102" s="190">
        <v>215623000000</v>
      </c>
      <c r="BB102" s="190">
        <v>202582000000</v>
      </c>
      <c r="BC102" s="190">
        <v>197571000000</v>
      </c>
      <c r="BD102" s="190">
        <v>195417000000</v>
      </c>
      <c r="BE102" s="190">
        <v>186350000000</v>
      </c>
      <c r="BF102" s="190">
        <v>177835000000</v>
      </c>
      <c r="BG102" s="190">
        <v>172276000000</v>
      </c>
      <c r="BH102" s="190">
        <v>170309000000</v>
      </c>
      <c r="BI102" s="190">
        <v>162946000000</v>
      </c>
      <c r="BJ102" s="190">
        <v>158718000000</v>
      </c>
      <c r="BK102" s="190">
        <v>156280000000</v>
      </c>
      <c r="BL102" s="190">
        <v>152328000000</v>
      </c>
      <c r="BM102" s="190">
        <v>151717000000</v>
      </c>
      <c r="BN102" s="190">
        <v>146360000000</v>
      </c>
      <c r="BO102" s="190">
        <v>141809000000</v>
      </c>
      <c r="BP102" s="190">
        <v>139141000000</v>
      </c>
      <c r="BQ102" s="190">
        <v>139039000000</v>
      </c>
      <c r="BR102" s="190">
        <v>128416000000</v>
      </c>
      <c r="BS102" s="190">
        <v>120793000000</v>
      </c>
      <c r="BT102" s="190">
        <v>0</v>
      </c>
      <c r="BU102" s="190">
        <v>3188611486.52</v>
      </c>
      <c r="BV102" s="190">
        <v>2850312166.9000001</v>
      </c>
      <c r="BW102" s="190">
        <v>2420499366.4499998</v>
      </c>
      <c r="BX102" s="190">
        <v>2089698452.7</v>
      </c>
      <c r="BY102" s="190">
        <v>1764990217.6700001</v>
      </c>
      <c r="BZ102" s="190">
        <v>1864618529.46</v>
      </c>
      <c r="CA102" s="190">
        <v>392384778.43000001</v>
      </c>
      <c r="CB102" s="190">
        <v>264958379.21000001</v>
      </c>
      <c r="CC102" s="190">
        <v>225967479.94999999</v>
      </c>
      <c r="CD102" s="190">
        <v>0</v>
      </c>
      <c r="CE102" s="190">
        <v>1079642000</v>
      </c>
      <c r="CF102" s="190">
        <v>1003922431.86</v>
      </c>
      <c r="CG102" s="190">
        <v>492362941.67000002</v>
      </c>
      <c r="CH102" s="190">
        <v>203800000</v>
      </c>
      <c r="CI102" s="190">
        <v>162870000</v>
      </c>
      <c r="CJ102" s="190">
        <v>92660000</v>
      </c>
      <c r="CK102" s="190">
        <v>75420000</v>
      </c>
      <c r="CL102" s="190">
        <v>0</v>
      </c>
    </row>
    <row r="103" spans="1:90" x14ac:dyDescent="0.25">
      <c r="A103" s="128" t="s">
        <v>73</v>
      </c>
      <c r="B103" s="190">
        <v>140408000000</v>
      </c>
      <c r="C103" s="190">
        <v>136118000000</v>
      </c>
      <c r="D103" s="190">
        <v>131517000000</v>
      </c>
      <c r="E103" s="190">
        <v>126826000000</v>
      </c>
      <c r="F103" s="190">
        <v>128914000000</v>
      </c>
      <c r="G103" s="190">
        <v>126948000000</v>
      </c>
      <c r="H103" s="190">
        <v>124989000000</v>
      </c>
      <c r="I103" s="190">
        <v>120293000000</v>
      </c>
      <c r="J103" s="190">
        <v>120791000000</v>
      </c>
      <c r="K103" s="190">
        <v>117049000000</v>
      </c>
      <c r="L103" s="190">
        <v>110219000000</v>
      </c>
      <c r="M103" s="190">
        <v>110253000000</v>
      </c>
      <c r="N103" s="190">
        <v>110025000000</v>
      </c>
      <c r="O103" s="190">
        <v>106944000000</v>
      </c>
      <c r="P103" s="190">
        <v>102540000000</v>
      </c>
      <c r="Q103" s="190">
        <v>52612000000</v>
      </c>
      <c r="R103" s="190">
        <v>57157000000</v>
      </c>
      <c r="S103" s="190">
        <v>55517000000</v>
      </c>
      <c r="T103" s="190">
        <v>55834000000</v>
      </c>
      <c r="U103" s="190">
        <v>52914000000</v>
      </c>
      <c r="V103" s="190">
        <v>43313000000</v>
      </c>
      <c r="W103" s="190">
        <v>40991000000</v>
      </c>
      <c r="X103" s="190">
        <v>38588000000</v>
      </c>
      <c r="Y103" s="190">
        <v>37227000000</v>
      </c>
      <c r="Z103" s="190">
        <v>37915000000</v>
      </c>
      <c r="AA103" s="190">
        <v>36491000000</v>
      </c>
      <c r="AB103" s="190">
        <v>36354000000</v>
      </c>
      <c r="AC103" s="190">
        <v>35126000000</v>
      </c>
      <c r="AD103" s="190">
        <v>34298000000</v>
      </c>
      <c r="AE103" s="190">
        <v>33732000000</v>
      </c>
      <c r="AF103" s="190">
        <v>33190000000</v>
      </c>
      <c r="AG103" s="190">
        <v>31555000000</v>
      </c>
      <c r="AH103" s="190">
        <v>29736000000</v>
      </c>
      <c r="AI103" s="190">
        <v>24953000000</v>
      </c>
      <c r="AJ103" s="190">
        <v>24137000000</v>
      </c>
      <c r="AK103" s="190">
        <v>23403000000</v>
      </c>
      <c r="AL103" s="190">
        <v>22883000000</v>
      </c>
      <c r="AM103" s="190">
        <v>22266000000</v>
      </c>
      <c r="AN103" s="190">
        <v>21344000000</v>
      </c>
      <c r="AO103" s="190">
        <v>20866000000</v>
      </c>
      <c r="AP103" s="190">
        <v>23494000000</v>
      </c>
      <c r="AQ103" s="190">
        <v>25828000000</v>
      </c>
      <c r="AR103" s="190">
        <v>25803000000</v>
      </c>
      <c r="AS103" s="190">
        <v>25398000000</v>
      </c>
      <c r="AT103" s="190">
        <v>24236000000</v>
      </c>
      <c r="AU103" s="190">
        <v>23572000000</v>
      </c>
      <c r="AV103" s="190">
        <v>22880000000</v>
      </c>
      <c r="AW103" s="190">
        <v>21985000000</v>
      </c>
      <c r="AX103" s="190">
        <v>19641000000</v>
      </c>
      <c r="AY103" s="190">
        <v>20118000000</v>
      </c>
      <c r="AZ103" s="190">
        <v>29442000000</v>
      </c>
      <c r="BA103" s="190">
        <v>29383000000</v>
      </c>
      <c r="BB103" s="190">
        <v>29147000000</v>
      </c>
      <c r="BC103" s="190">
        <v>29174000000</v>
      </c>
      <c r="BD103" s="190">
        <v>32785000000</v>
      </c>
      <c r="BE103" s="190">
        <v>31216000000</v>
      </c>
      <c r="BF103" s="190">
        <v>29692000000</v>
      </c>
      <c r="BG103" s="190">
        <v>27910000000</v>
      </c>
      <c r="BH103" s="190">
        <v>27254000000</v>
      </c>
      <c r="BI103" s="190">
        <v>26077000000</v>
      </c>
      <c r="BJ103" s="190">
        <v>25257000000</v>
      </c>
      <c r="BK103" s="190">
        <v>24525000000</v>
      </c>
      <c r="BL103" s="190">
        <v>24737000000</v>
      </c>
      <c r="BM103" s="190">
        <v>24109000000</v>
      </c>
      <c r="BN103" s="190">
        <v>23809000000</v>
      </c>
      <c r="BO103" s="190">
        <v>23918000000</v>
      </c>
      <c r="BP103" s="190">
        <v>23525000000</v>
      </c>
      <c r="BQ103" s="190">
        <v>23408000000</v>
      </c>
      <c r="BR103" s="190">
        <v>22974000000</v>
      </c>
      <c r="BS103" s="190">
        <v>23299000000</v>
      </c>
      <c r="BT103" s="190">
        <v>0</v>
      </c>
      <c r="BU103" s="190">
        <v>2604712.4300000002</v>
      </c>
      <c r="BV103" s="190">
        <v>0</v>
      </c>
      <c r="BW103" s="190">
        <v>0</v>
      </c>
      <c r="BX103" s="190">
        <v>0</v>
      </c>
      <c r="BY103" s="190">
        <v>0</v>
      </c>
      <c r="BZ103" s="190">
        <v>0</v>
      </c>
      <c r="CA103" s="190">
        <v>0</v>
      </c>
      <c r="CB103" s="190">
        <v>0</v>
      </c>
      <c r="CC103" s="190">
        <v>0</v>
      </c>
      <c r="CD103" s="190">
        <v>0</v>
      </c>
      <c r="CE103" s="190">
        <v>96000</v>
      </c>
      <c r="CF103" s="190">
        <v>305920.90000000002</v>
      </c>
      <c r="CG103" s="190">
        <v>326958.7</v>
      </c>
      <c r="CH103" s="190">
        <v>0</v>
      </c>
      <c r="CI103" s="190">
        <v>0</v>
      </c>
      <c r="CJ103" s="190">
        <v>0</v>
      </c>
      <c r="CK103" s="190">
        <v>0</v>
      </c>
      <c r="CL103" s="190">
        <v>0</v>
      </c>
    </row>
    <row r="104" spans="1:90" hidden="1" x14ac:dyDescent="0.25">
      <c r="A104" s="128"/>
      <c r="B104" s="26"/>
      <c r="C104" s="26"/>
      <c r="D104" s="26"/>
      <c r="E104" s="26"/>
      <c r="F104" s="26"/>
      <c r="G104" s="26"/>
      <c r="H104" s="26"/>
      <c r="I104" s="26"/>
      <c r="J104" s="26"/>
      <c r="K104" s="26"/>
      <c r="L104" s="23"/>
    </row>
    <row r="105" spans="1:90" hidden="1" x14ac:dyDescent="0.25">
      <c r="A105" s="128"/>
      <c r="B105" s="26"/>
      <c r="C105" s="26"/>
      <c r="D105" s="26"/>
      <c r="E105" s="26"/>
      <c r="F105" s="26"/>
      <c r="G105" s="26"/>
      <c r="H105" s="26"/>
      <c r="I105" s="26"/>
      <c r="J105" s="26"/>
      <c r="K105" s="26"/>
      <c r="L105" s="23"/>
    </row>
    <row r="106" spans="1:90" hidden="1" x14ac:dyDescent="0.25">
      <c r="A106" s="128"/>
      <c r="B106" s="26"/>
      <c r="C106" s="26"/>
      <c r="D106" s="26"/>
      <c r="E106" s="26"/>
      <c r="F106" s="26"/>
      <c r="G106" s="26"/>
      <c r="H106" s="26"/>
      <c r="I106" s="26"/>
      <c r="J106" s="26"/>
      <c r="K106" s="26"/>
      <c r="L106" s="23"/>
    </row>
    <row r="107" spans="1:90" s="5" customFormat="1" x14ac:dyDescent="0.25">
      <c r="A107" s="129" t="s">
        <v>74</v>
      </c>
      <c r="B107" s="33">
        <f>B102+B103</f>
        <v>862725000000</v>
      </c>
      <c r="C107" s="33">
        <f>C102+C103</f>
        <v>857311000000</v>
      </c>
      <c r="D107" s="33">
        <f>D102+D103</f>
        <v>877316000000</v>
      </c>
      <c r="E107" s="33">
        <f>E102+E103</f>
        <v>854070000000</v>
      </c>
      <c r="F107" s="33">
        <f t="shared" ref="F107:BQ107" si="20">F102+F103</f>
        <v>845425000000</v>
      </c>
      <c r="G107" s="33">
        <f t="shared" si="20"/>
        <v>845826000000</v>
      </c>
      <c r="H107" s="33">
        <f t="shared" si="20"/>
        <v>853607000000</v>
      </c>
      <c r="I107" s="33">
        <f t="shared" si="20"/>
        <v>832525000000</v>
      </c>
      <c r="J107" s="33">
        <f t="shared" si="20"/>
        <v>813502000000</v>
      </c>
      <c r="K107" s="33">
        <f t="shared" si="20"/>
        <v>809983000000</v>
      </c>
      <c r="L107" s="33">
        <f t="shared" si="20"/>
        <v>796505000000</v>
      </c>
      <c r="M107" s="33">
        <f t="shared" si="20"/>
        <v>785623000000</v>
      </c>
      <c r="N107" s="33">
        <f t="shared" si="20"/>
        <v>785521000000</v>
      </c>
      <c r="O107" s="33">
        <f t="shared" si="20"/>
        <v>788418000000</v>
      </c>
      <c r="P107" s="33">
        <f t="shared" si="20"/>
        <v>774054000000</v>
      </c>
      <c r="Q107" s="33">
        <f t="shared" si="20"/>
        <v>647095000000</v>
      </c>
      <c r="R107" s="33">
        <f t="shared" si="20"/>
        <v>650980000000</v>
      </c>
      <c r="S107" s="33">
        <f t="shared" si="20"/>
        <v>643121000000</v>
      </c>
      <c r="T107" s="33">
        <f t="shared" si="20"/>
        <v>641059000000</v>
      </c>
      <c r="U107" s="33">
        <f t="shared" si="20"/>
        <v>623260000000</v>
      </c>
      <c r="V107" s="33">
        <f t="shared" si="20"/>
        <v>599936000000</v>
      </c>
      <c r="W107" s="33">
        <f t="shared" si="20"/>
        <v>587377000000</v>
      </c>
      <c r="X107" s="33">
        <f t="shared" si="20"/>
        <v>588013000000</v>
      </c>
      <c r="Y107" s="33">
        <f t="shared" si="20"/>
        <v>550601000000</v>
      </c>
      <c r="Z107" s="33">
        <f t="shared" si="20"/>
        <v>530222000000</v>
      </c>
      <c r="AA107" s="33">
        <f t="shared" si="20"/>
        <v>519221000000</v>
      </c>
      <c r="AB107" s="33">
        <f t="shared" si="20"/>
        <v>525457000000</v>
      </c>
      <c r="AC107" s="33">
        <f t="shared" si="20"/>
        <v>509525000000</v>
      </c>
      <c r="AD107" s="33">
        <f t="shared" si="20"/>
        <v>500873000000</v>
      </c>
      <c r="AE107" s="33">
        <f t="shared" si="20"/>
        <v>488615000000</v>
      </c>
      <c r="AF107" s="33">
        <f t="shared" si="20"/>
        <v>478854000000</v>
      </c>
      <c r="AG107" s="33">
        <f t="shared" si="20"/>
        <v>452682000000</v>
      </c>
      <c r="AH107" s="33">
        <f t="shared" si="20"/>
        <v>436002000000</v>
      </c>
      <c r="AI107" s="33">
        <f t="shared" si="20"/>
        <v>427883000000</v>
      </c>
      <c r="AJ107" s="33">
        <f t="shared" si="20"/>
        <v>416953000000</v>
      </c>
      <c r="AK107" s="33">
        <f t="shared" si="20"/>
        <v>400585000000</v>
      </c>
      <c r="AL107" s="33">
        <f t="shared" si="20"/>
        <v>387750000000</v>
      </c>
      <c r="AM107" s="33">
        <f t="shared" si="20"/>
        <v>376760000000</v>
      </c>
      <c r="AN107" s="33">
        <f t="shared" si="20"/>
        <v>362880000000</v>
      </c>
      <c r="AO107" s="33">
        <f t="shared" si="20"/>
        <v>350946000000</v>
      </c>
      <c r="AP107" s="33">
        <f t="shared" si="20"/>
        <v>334316000000</v>
      </c>
      <c r="AQ107" s="33">
        <f t="shared" si="20"/>
        <v>331299000000</v>
      </c>
      <c r="AR107" s="33">
        <f t="shared" si="20"/>
        <v>340332000000</v>
      </c>
      <c r="AS107" s="33">
        <f t="shared" si="20"/>
        <v>326347000000</v>
      </c>
      <c r="AT107" s="33">
        <f t="shared" si="20"/>
        <v>317110000000</v>
      </c>
      <c r="AU107" s="33">
        <f t="shared" si="20"/>
        <v>307023000000</v>
      </c>
      <c r="AV107" s="33">
        <f t="shared" si="20"/>
        <v>300191000000</v>
      </c>
      <c r="AW107" s="33">
        <f t="shared" si="20"/>
        <v>276860000000</v>
      </c>
      <c r="AX107" s="33">
        <f t="shared" si="20"/>
        <v>257109000000</v>
      </c>
      <c r="AY107" s="33">
        <f t="shared" si="20"/>
        <v>248628000000</v>
      </c>
      <c r="AZ107" s="33">
        <f t="shared" si="20"/>
        <v>254206000000</v>
      </c>
      <c r="BA107" s="33">
        <f t="shared" si="20"/>
        <v>245006000000</v>
      </c>
      <c r="BB107" s="33">
        <f t="shared" si="20"/>
        <v>231729000000</v>
      </c>
      <c r="BC107" s="33">
        <f t="shared" si="20"/>
        <v>226745000000</v>
      </c>
      <c r="BD107" s="33">
        <f t="shared" si="20"/>
        <v>228202000000</v>
      </c>
      <c r="BE107" s="33">
        <f t="shared" si="20"/>
        <v>217566000000</v>
      </c>
      <c r="BF107" s="33">
        <f t="shared" si="20"/>
        <v>207527000000</v>
      </c>
      <c r="BG107" s="33">
        <f t="shared" si="20"/>
        <v>200186000000</v>
      </c>
      <c r="BH107" s="33">
        <f t="shared" si="20"/>
        <v>197563000000</v>
      </c>
      <c r="BI107" s="33">
        <f t="shared" si="20"/>
        <v>189023000000</v>
      </c>
      <c r="BJ107" s="33">
        <f t="shared" si="20"/>
        <v>183975000000</v>
      </c>
      <c r="BK107" s="33">
        <f t="shared" si="20"/>
        <v>180805000000</v>
      </c>
      <c r="BL107" s="33">
        <f t="shared" si="20"/>
        <v>177065000000</v>
      </c>
      <c r="BM107" s="33">
        <f t="shared" si="20"/>
        <v>175826000000</v>
      </c>
      <c r="BN107" s="33">
        <f t="shared" si="20"/>
        <v>170169000000</v>
      </c>
      <c r="BO107" s="33">
        <f t="shared" si="20"/>
        <v>165727000000</v>
      </c>
      <c r="BP107" s="33">
        <f t="shared" si="20"/>
        <v>162666000000</v>
      </c>
      <c r="BQ107" s="33">
        <f t="shared" si="20"/>
        <v>162447000000</v>
      </c>
      <c r="BR107" s="33">
        <f t="shared" ref="BR107:CK107" si="21">BR102+BR103</f>
        <v>151390000000</v>
      </c>
      <c r="BS107" s="33">
        <f t="shared" si="21"/>
        <v>144092000000</v>
      </c>
      <c r="BT107" s="33">
        <f t="shared" si="21"/>
        <v>0</v>
      </c>
      <c r="BU107" s="33">
        <f t="shared" si="21"/>
        <v>3191216198.9499998</v>
      </c>
      <c r="BV107" s="33">
        <f t="shared" si="21"/>
        <v>2850312166.9000001</v>
      </c>
      <c r="BW107" s="33">
        <f t="shared" si="21"/>
        <v>2420499366.4499998</v>
      </c>
      <c r="BX107" s="33">
        <f t="shared" si="21"/>
        <v>2089698452.7</v>
      </c>
      <c r="BY107" s="33">
        <f t="shared" si="21"/>
        <v>1764990217.6700001</v>
      </c>
      <c r="BZ107" s="33">
        <f t="shared" si="21"/>
        <v>1864618529.46</v>
      </c>
      <c r="CA107" s="33">
        <f t="shared" si="21"/>
        <v>392384778.43000001</v>
      </c>
      <c r="CB107" s="33">
        <f t="shared" si="21"/>
        <v>264958379.21000001</v>
      </c>
      <c r="CC107" s="33">
        <f t="shared" si="21"/>
        <v>225967479.94999999</v>
      </c>
      <c r="CD107" s="33">
        <f t="shared" si="21"/>
        <v>0</v>
      </c>
      <c r="CE107" s="33">
        <f t="shared" si="21"/>
        <v>1079738000</v>
      </c>
      <c r="CF107" s="33">
        <f t="shared" si="21"/>
        <v>1004228352.76</v>
      </c>
      <c r="CG107" s="33">
        <f t="shared" si="21"/>
        <v>492689900.37</v>
      </c>
      <c r="CH107" s="33">
        <f t="shared" si="21"/>
        <v>203800000</v>
      </c>
      <c r="CI107" s="33">
        <f t="shared" si="21"/>
        <v>162870000</v>
      </c>
      <c r="CJ107" s="33">
        <f t="shared" si="21"/>
        <v>92660000</v>
      </c>
      <c r="CK107" s="33">
        <f t="shared" si="21"/>
        <v>75420000</v>
      </c>
      <c r="CL107" s="33">
        <f>CL102+CL103</f>
        <v>0</v>
      </c>
    </row>
    <row r="108" spans="1:90" s="8" customFormat="1" x14ac:dyDescent="0.25">
      <c r="A108" s="130" t="s">
        <v>75</v>
      </c>
      <c r="B108" s="38">
        <f>SUM(B89+B107)</f>
        <v>1089551000000</v>
      </c>
      <c r="C108" s="38">
        <f t="shared" ref="C108:BN108" si="22">SUM(C89+C107)</f>
        <v>1071773000000</v>
      </c>
      <c r="D108" s="38">
        <f t="shared" si="22"/>
        <v>1080670000000</v>
      </c>
      <c r="E108" s="38">
        <f>SUM(E107+E89)</f>
        <v>1051016000000</v>
      </c>
      <c r="F108" s="38">
        <f t="shared" si="22"/>
        <v>1047580000000</v>
      </c>
      <c r="G108" s="38">
        <f t="shared" si="22"/>
        <v>1046314000000</v>
      </c>
      <c r="H108" s="38">
        <f t="shared" si="22"/>
        <v>1058767000000</v>
      </c>
      <c r="I108" s="38">
        <f t="shared" si="22"/>
        <v>1041453000000</v>
      </c>
      <c r="J108" s="38">
        <f t="shared" si="22"/>
        <v>1033511000000</v>
      </c>
      <c r="K108" s="38">
        <f t="shared" si="22"/>
        <v>1049242000000</v>
      </c>
      <c r="L108" s="38">
        <f t="shared" si="22"/>
        <v>1055186000000</v>
      </c>
      <c r="M108" s="38">
        <f t="shared" si="22"/>
        <v>1055048000000</v>
      </c>
      <c r="N108" s="38">
        <f t="shared" si="22"/>
        <v>1050612000000</v>
      </c>
      <c r="O108" s="38">
        <f t="shared" si="22"/>
        <v>1077436000000</v>
      </c>
      <c r="P108" s="38">
        <f t="shared" si="22"/>
        <v>1088273000000</v>
      </c>
      <c r="Q108" s="38">
        <f t="shared" si="22"/>
        <v>988154000000</v>
      </c>
      <c r="R108" s="38">
        <f t="shared" si="22"/>
        <v>1001254000000</v>
      </c>
      <c r="S108" s="38">
        <f t="shared" si="22"/>
        <v>988056000000</v>
      </c>
      <c r="T108" s="38">
        <f t="shared" si="22"/>
        <v>991054000000</v>
      </c>
      <c r="U108" s="38">
        <f t="shared" si="22"/>
        <v>940907000000</v>
      </c>
      <c r="V108" s="38">
        <f t="shared" si="22"/>
        <v>929616000000</v>
      </c>
      <c r="W108" s="38">
        <f t="shared" si="22"/>
        <v>900978000000</v>
      </c>
      <c r="X108" s="38">
        <f t="shared" si="22"/>
        <v>901965000000</v>
      </c>
      <c r="Y108" s="38">
        <f t="shared" si="22"/>
        <v>832510000000</v>
      </c>
      <c r="Z108" s="38">
        <f t="shared" si="22"/>
        <v>811782000000</v>
      </c>
      <c r="AA108" s="38">
        <f t="shared" si="22"/>
        <v>826906000000</v>
      </c>
      <c r="AB108" s="38">
        <f t="shared" si="22"/>
        <v>830783000000</v>
      </c>
      <c r="AC108" s="38">
        <f t="shared" si="22"/>
        <v>747791000000</v>
      </c>
      <c r="AD108" s="38">
        <f t="shared" si="22"/>
        <v>733527000000</v>
      </c>
      <c r="AE108" s="38">
        <f t="shared" si="22"/>
        <v>729101000000</v>
      </c>
      <c r="AF108" s="38">
        <f t="shared" si="22"/>
        <v>713805000000</v>
      </c>
      <c r="AG108" s="38">
        <f t="shared" si="22"/>
        <v>665000000000</v>
      </c>
      <c r="AH108" s="38">
        <f t="shared" si="22"/>
        <v>662316000000</v>
      </c>
      <c r="AI108" s="38">
        <f t="shared" si="22"/>
        <v>657760000000</v>
      </c>
      <c r="AJ108" s="38">
        <f t="shared" si="22"/>
        <v>643191000000</v>
      </c>
      <c r="AK108" s="38">
        <f t="shared" si="22"/>
        <v>621146000000</v>
      </c>
      <c r="AL108" s="38">
        <f t="shared" si="22"/>
        <v>608633000000</v>
      </c>
      <c r="AM108" s="38">
        <f t="shared" si="22"/>
        <v>584905000000</v>
      </c>
      <c r="AN108" s="38">
        <f t="shared" si="22"/>
        <v>558678000000</v>
      </c>
      <c r="AO108" s="38">
        <f t="shared" si="22"/>
        <v>577970000000</v>
      </c>
      <c r="AP108" s="38">
        <f t="shared" si="22"/>
        <v>600277000000</v>
      </c>
      <c r="AQ108" s="38">
        <f t="shared" si="22"/>
        <v>557205000000</v>
      </c>
      <c r="AR108" s="38">
        <f t="shared" si="22"/>
        <v>544037000000</v>
      </c>
      <c r="AS108" s="38">
        <f t="shared" si="22"/>
        <v>508204000000</v>
      </c>
      <c r="AT108" s="38">
        <f t="shared" si="22"/>
        <v>469489000000</v>
      </c>
      <c r="AU108" s="38">
        <f t="shared" si="22"/>
        <v>470315000000</v>
      </c>
      <c r="AV108" s="38">
        <f t="shared" si="22"/>
        <v>459538000000</v>
      </c>
      <c r="AW108" s="38">
        <f t="shared" si="22"/>
        <v>445480000000</v>
      </c>
      <c r="AX108" s="38">
        <f t="shared" si="22"/>
        <v>437679000000</v>
      </c>
      <c r="AY108" s="38">
        <f t="shared" si="22"/>
        <v>429638000000</v>
      </c>
      <c r="AZ108" s="38">
        <f t="shared" si="22"/>
        <v>414976000000</v>
      </c>
      <c r="BA108" s="38">
        <f t="shared" si="22"/>
        <v>394023000000</v>
      </c>
      <c r="BB108" s="38">
        <f t="shared" si="22"/>
        <v>388171000000</v>
      </c>
      <c r="BC108" s="38">
        <f t="shared" si="22"/>
        <v>382900000000</v>
      </c>
      <c r="BD108" s="38">
        <f t="shared" si="22"/>
        <v>375990000000</v>
      </c>
      <c r="BE108" s="38">
        <f t="shared" si="22"/>
        <v>356994000000</v>
      </c>
      <c r="BF108" s="38">
        <f t="shared" si="22"/>
        <v>333962000000</v>
      </c>
      <c r="BG108" s="38">
        <f t="shared" si="22"/>
        <v>323713000000</v>
      </c>
      <c r="BH108" s="38">
        <f t="shared" si="22"/>
        <v>313765000000</v>
      </c>
      <c r="BI108" s="38">
        <f t="shared" si="22"/>
        <v>298211000000</v>
      </c>
      <c r="BJ108" s="38">
        <f t="shared" si="22"/>
        <v>290617000000</v>
      </c>
      <c r="BK108" s="38">
        <f t="shared" si="22"/>
        <v>293771000000</v>
      </c>
      <c r="BL108" s="38">
        <f t="shared" si="22"/>
        <v>289077000000</v>
      </c>
      <c r="BM108" s="38">
        <f t="shared" si="22"/>
        <v>287530000000</v>
      </c>
      <c r="BN108" s="38">
        <f t="shared" si="22"/>
        <v>282501000000</v>
      </c>
      <c r="BO108" s="38">
        <f t="shared" ref="BO108:CK108" si="23">SUM(BO89+BO107)</f>
        <v>278722000000</v>
      </c>
      <c r="BP108" s="38">
        <f t="shared" si="23"/>
        <v>279812000000</v>
      </c>
      <c r="BQ108" s="38">
        <f t="shared" si="23"/>
        <v>279465000000</v>
      </c>
      <c r="BR108" s="38">
        <f t="shared" si="23"/>
        <v>294178000000</v>
      </c>
      <c r="BS108" s="38">
        <f t="shared" si="23"/>
        <v>271864000000</v>
      </c>
      <c r="BT108" s="38">
        <f t="shared" si="23"/>
        <v>0</v>
      </c>
      <c r="BU108" s="38">
        <f t="shared" si="23"/>
        <v>3191216198.9499998</v>
      </c>
      <c r="BV108" s="38">
        <f t="shared" si="23"/>
        <v>2850312166.9000001</v>
      </c>
      <c r="BW108" s="38">
        <f t="shared" si="23"/>
        <v>2420499366.4499998</v>
      </c>
      <c r="BX108" s="38">
        <f t="shared" si="23"/>
        <v>2089698452.7</v>
      </c>
      <c r="BY108" s="38">
        <f t="shared" si="23"/>
        <v>1764990217.6700001</v>
      </c>
      <c r="BZ108" s="38">
        <f t="shared" si="23"/>
        <v>1864618529.46</v>
      </c>
      <c r="CA108" s="38">
        <f t="shared" si="23"/>
        <v>392384778.43000001</v>
      </c>
      <c r="CB108" s="38">
        <f t="shared" si="23"/>
        <v>264958379.21000001</v>
      </c>
      <c r="CC108" s="38">
        <f t="shared" si="23"/>
        <v>225967479.94999999</v>
      </c>
      <c r="CD108" s="38">
        <f t="shared" si="23"/>
        <v>0</v>
      </c>
      <c r="CE108" s="38">
        <f t="shared" si="23"/>
        <v>1079738000</v>
      </c>
      <c r="CF108" s="38">
        <f t="shared" si="23"/>
        <v>1004228352.76</v>
      </c>
      <c r="CG108" s="38">
        <f t="shared" si="23"/>
        <v>492689900.37</v>
      </c>
      <c r="CH108" s="38">
        <f t="shared" si="23"/>
        <v>203800000</v>
      </c>
      <c r="CI108" s="38">
        <f t="shared" si="23"/>
        <v>162870000</v>
      </c>
      <c r="CJ108" s="38">
        <f t="shared" si="23"/>
        <v>92660000</v>
      </c>
      <c r="CK108" s="38">
        <f t="shared" si="23"/>
        <v>75420000</v>
      </c>
    </row>
    <row r="110" spans="1:90" x14ac:dyDescent="0.25">
      <c r="E110" s="26"/>
    </row>
  </sheetData>
  <phoneticPr fontId="1"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股权价值增加表"/>
  <dimension ref="A1:CK70"/>
  <sheetViews>
    <sheetView topLeftCell="M41" workbookViewId="0">
      <selection activeCell="AO55" sqref="AO55"/>
    </sheetView>
  </sheetViews>
  <sheetFormatPr defaultRowHeight="14.4" x14ac:dyDescent="0.25"/>
  <cols>
    <col min="1" max="1" width="57.21875" style="17" bestFit="1" customWidth="1"/>
    <col min="2" max="2" width="23.88671875" hidden="1" customWidth="1"/>
    <col min="3" max="3" width="22.6640625" hidden="1" customWidth="1"/>
    <col min="4" max="4" width="23.88671875" hidden="1" customWidth="1"/>
    <col min="5" max="5" width="22.6640625" bestFit="1" customWidth="1"/>
    <col min="6" max="8" width="23.88671875" hidden="1" customWidth="1"/>
    <col min="9" max="9" width="22.6640625" bestFit="1" customWidth="1"/>
    <col min="10" max="12" width="23.88671875" hidden="1" customWidth="1"/>
    <col min="13" max="13" width="22.6640625" bestFit="1" customWidth="1"/>
    <col min="14" max="16" width="23.88671875" hidden="1" customWidth="1"/>
    <col min="17" max="17" width="22.6640625" bestFit="1" customWidth="1"/>
    <col min="18" max="18" width="22.6640625" hidden="1" customWidth="1"/>
    <col min="19" max="20" width="23.88671875" hidden="1" customWidth="1"/>
    <col min="21" max="21" width="23.88671875" bestFit="1" customWidth="1"/>
    <col min="22" max="23" width="22.6640625" hidden="1" customWidth="1"/>
    <col min="24" max="24" width="23.88671875" hidden="1" customWidth="1"/>
    <col min="25" max="25" width="23.88671875" bestFit="1" customWidth="1"/>
    <col min="26" max="27" width="22.6640625" hidden="1" customWidth="1"/>
    <col min="28" max="28" width="23.88671875" hidden="1" customWidth="1"/>
    <col min="29" max="29" width="23.88671875" bestFit="1" customWidth="1"/>
    <col min="30" max="31" width="22.6640625" hidden="1" customWidth="1"/>
    <col min="32" max="32" width="23.88671875" hidden="1" customWidth="1"/>
    <col min="33" max="33" width="23.88671875" bestFit="1" customWidth="1"/>
    <col min="34" max="35" width="22.6640625" hidden="1" customWidth="1"/>
    <col min="36" max="36" width="23.88671875" hidden="1" customWidth="1"/>
    <col min="37" max="37" width="22.6640625" bestFit="1" customWidth="1"/>
    <col min="38" max="39" width="22.6640625" hidden="1" customWidth="1"/>
    <col min="40" max="40" width="23.88671875" hidden="1" customWidth="1"/>
    <col min="41" max="41" width="22.6640625" bestFit="1" customWidth="1"/>
    <col min="42" max="42" width="22.6640625" hidden="1" customWidth="1"/>
    <col min="43" max="44" width="23.88671875" hidden="1" customWidth="1"/>
    <col min="45" max="45" width="22.6640625" bestFit="1" customWidth="1"/>
    <col min="46" max="48" width="22.6640625" hidden="1" customWidth="1"/>
    <col min="49" max="49" width="22.6640625" bestFit="1" customWidth="1"/>
    <col min="50" max="52" width="22.6640625" hidden="1" customWidth="1"/>
    <col min="53" max="53" width="22.6640625" bestFit="1" customWidth="1"/>
    <col min="54" max="56" width="22.6640625" hidden="1" customWidth="1"/>
    <col min="57" max="57" width="22.6640625" bestFit="1" customWidth="1"/>
    <col min="58" max="60" width="22.6640625" hidden="1" customWidth="1"/>
    <col min="61" max="61" width="22.6640625" bestFit="1" customWidth="1"/>
    <col min="62" max="64" width="22.6640625" hidden="1" customWidth="1"/>
    <col min="65" max="65" width="22.6640625" bestFit="1" customWidth="1"/>
    <col min="66" max="67" width="22.6640625" hidden="1" customWidth="1"/>
    <col min="68" max="68" width="23.88671875" hidden="1" customWidth="1"/>
    <col min="69" max="69" width="22.6640625" bestFit="1" customWidth="1"/>
    <col min="70" max="70" width="22.6640625" hidden="1" customWidth="1"/>
    <col min="71" max="72" width="22.6640625" bestFit="1" customWidth="1"/>
    <col min="73" max="73" width="21.44140625" bestFit="1" customWidth="1"/>
    <col min="74" max="74" width="9.5546875" hidden="1" customWidth="1"/>
    <col min="75" max="81" width="20.21875" bestFit="1" customWidth="1"/>
    <col min="82" max="82" width="9.5546875" bestFit="1" customWidth="1"/>
    <col min="83" max="83" width="20.21875" bestFit="1" customWidth="1"/>
    <col min="84" max="85" width="19" bestFit="1" customWidth="1"/>
    <col min="86" max="86" width="17.77734375" bestFit="1" customWidth="1"/>
    <col min="87" max="87" width="19" bestFit="1" customWidth="1"/>
    <col min="88" max="88" width="17.77734375" bestFit="1" customWidth="1"/>
    <col min="89" max="89" width="9.5546875" bestFit="1" customWidth="1"/>
  </cols>
  <sheetData>
    <row r="1" spans="1:89" x14ac:dyDescent="0.25">
      <c r="A1" s="17">
        <v>600028</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37529</v>
      </c>
      <c r="BO1" s="1">
        <v>37437</v>
      </c>
      <c r="BP1" s="1">
        <v>37346</v>
      </c>
      <c r="BQ1" s="1">
        <v>37256</v>
      </c>
      <c r="BR1" s="1">
        <v>37072</v>
      </c>
      <c r="BS1" s="1">
        <v>36891</v>
      </c>
      <c r="BT1" s="1">
        <v>36525</v>
      </c>
      <c r="BU1" s="1">
        <v>36160</v>
      </c>
      <c r="BV1" s="1">
        <v>25569</v>
      </c>
      <c r="BW1" s="1"/>
      <c r="BX1" s="1"/>
      <c r="BY1" s="1"/>
      <c r="BZ1" s="1"/>
      <c r="CA1" s="1"/>
      <c r="CB1" s="1"/>
      <c r="CC1" s="1"/>
      <c r="CD1" s="1"/>
      <c r="CE1" s="1"/>
      <c r="CF1" s="1"/>
      <c r="CG1" s="1"/>
      <c r="CH1" s="1"/>
      <c r="CI1" s="1"/>
      <c r="CJ1" s="1"/>
      <c r="CK1" s="1"/>
    </row>
    <row r="2" spans="1:89" x14ac:dyDescent="0.25">
      <c r="A2" s="17" t="s">
        <v>84</v>
      </c>
    </row>
    <row r="3" spans="1:89" s="6" customFormat="1" x14ac:dyDescent="0.25">
      <c r="A3" s="18" t="s">
        <v>85</v>
      </c>
    </row>
    <row r="4" spans="1:89" x14ac:dyDescent="0.25">
      <c r="A4" s="17" t="s">
        <v>384</v>
      </c>
      <c r="B4" s="190">
        <v>2072970000000</v>
      </c>
      <c r="C4" s="190">
        <v>1300252000000</v>
      </c>
      <c r="D4" s="190">
        <v>621251000000</v>
      </c>
      <c r="E4" s="190">
        <v>2360193000000</v>
      </c>
      <c r="F4" s="190">
        <v>1744955000000</v>
      </c>
      <c r="G4" s="190">
        <v>1165837000000</v>
      </c>
      <c r="H4" s="190">
        <v>582185000000</v>
      </c>
      <c r="I4" s="190">
        <v>1930911000000</v>
      </c>
      <c r="J4" s="190">
        <v>1363945000000</v>
      </c>
      <c r="K4" s="190">
        <v>879220000000</v>
      </c>
      <c r="L4" s="190">
        <v>413790000000</v>
      </c>
      <c r="M4" s="190">
        <v>2018883000000</v>
      </c>
      <c r="N4" s="190">
        <v>1536837000000</v>
      </c>
      <c r="O4" s="190">
        <v>1040362000000</v>
      </c>
      <c r="P4" s="190">
        <v>478241000000</v>
      </c>
      <c r="Q4" s="190">
        <v>2825914000000</v>
      </c>
      <c r="R4" s="190">
        <v>2115648000000</v>
      </c>
      <c r="S4" s="190">
        <v>1356172000000</v>
      </c>
      <c r="T4" s="190">
        <v>641065000000</v>
      </c>
      <c r="U4" s="190">
        <v>2880311000000</v>
      </c>
      <c r="V4" s="190">
        <v>2139924000000</v>
      </c>
      <c r="W4" s="190">
        <v>1415244000000</v>
      </c>
      <c r="X4" s="190">
        <v>695571000000</v>
      </c>
      <c r="Y4" s="190">
        <v>2786045000000</v>
      </c>
      <c r="Z4" s="190">
        <v>2024766000000</v>
      </c>
      <c r="AA4" s="190">
        <v>1348072000000</v>
      </c>
      <c r="AB4" s="190">
        <v>671365000000</v>
      </c>
      <c r="AC4" s="190">
        <v>2505683000000</v>
      </c>
      <c r="AD4" s="190">
        <v>1875102000000</v>
      </c>
      <c r="AE4" s="190">
        <v>1233272000000</v>
      </c>
      <c r="AF4" s="190">
        <v>588842000000</v>
      </c>
      <c r="AG4" s="190">
        <v>1913182000000</v>
      </c>
      <c r="AH4" s="190">
        <v>1427622000000</v>
      </c>
      <c r="AI4" s="190">
        <v>936523000000</v>
      </c>
      <c r="AJ4" s="190">
        <v>438209000000</v>
      </c>
      <c r="AK4" s="190">
        <v>1345052000000</v>
      </c>
      <c r="AL4" s="190">
        <v>893448000000</v>
      </c>
      <c r="AM4" s="190">
        <v>534025000000</v>
      </c>
      <c r="AN4" s="190">
        <v>228585000000</v>
      </c>
      <c r="AO4" s="190">
        <v>1452101000000</v>
      </c>
      <c r="AP4" s="190">
        <v>1147397000000</v>
      </c>
      <c r="AQ4" s="190">
        <v>734783000000</v>
      </c>
      <c r="AR4" s="190">
        <v>332010000000</v>
      </c>
      <c r="AS4" s="190">
        <v>1204843000000</v>
      </c>
      <c r="AT4" s="190">
        <v>875218000000</v>
      </c>
      <c r="AU4" s="190">
        <v>566830000000</v>
      </c>
      <c r="AV4" s="190">
        <v>272964000000</v>
      </c>
      <c r="AW4" s="190">
        <v>1044579000000</v>
      </c>
      <c r="AX4" s="190">
        <v>755219000000</v>
      </c>
      <c r="AY4" s="190">
        <v>481988000000</v>
      </c>
      <c r="AZ4" s="190">
        <v>222699000000</v>
      </c>
      <c r="BA4" s="190">
        <v>799115000000</v>
      </c>
      <c r="BB4" s="190">
        <v>576990000000</v>
      </c>
      <c r="BC4" s="190">
        <v>359248000000</v>
      </c>
      <c r="BD4" s="190">
        <v>169040000000</v>
      </c>
      <c r="BE4" s="190">
        <v>590632000000</v>
      </c>
      <c r="BF4" s="190">
        <v>417695000000</v>
      </c>
      <c r="BG4" s="190">
        <v>265709000000</v>
      </c>
      <c r="BH4" s="190">
        <v>123490000000</v>
      </c>
      <c r="BI4" s="190">
        <v>417191000000</v>
      </c>
      <c r="BJ4" s="190">
        <v>300662000000</v>
      </c>
      <c r="BK4" s="190">
        <v>194842000000</v>
      </c>
      <c r="BL4" s="190">
        <v>98519000000</v>
      </c>
      <c r="BM4" s="190">
        <v>324184000000</v>
      </c>
      <c r="BN4" s="190">
        <v>226183000000</v>
      </c>
      <c r="BO4" s="190">
        <v>140628000000</v>
      </c>
      <c r="BP4" s="190">
        <v>62995000000</v>
      </c>
      <c r="BQ4" s="190">
        <v>304347000000</v>
      </c>
      <c r="BR4" s="190">
        <v>160314000000</v>
      </c>
      <c r="BS4" s="190">
        <v>322932000000</v>
      </c>
      <c r="BT4" s="190">
        <v>231047000000</v>
      </c>
      <c r="BU4" s="190">
        <v>190220000000</v>
      </c>
      <c r="BV4" s="190">
        <v>0</v>
      </c>
      <c r="BW4" s="190"/>
      <c r="BX4" s="190"/>
      <c r="BY4" s="190"/>
      <c r="BZ4" s="190"/>
      <c r="CA4" s="190"/>
      <c r="CB4" s="190"/>
      <c r="CC4" s="190"/>
      <c r="CD4" s="190"/>
      <c r="CE4" s="190"/>
      <c r="CF4" s="190"/>
      <c r="CG4" s="190"/>
      <c r="CH4" s="190"/>
      <c r="CI4" s="190"/>
      <c r="CJ4" s="190"/>
      <c r="CK4" s="190"/>
    </row>
    <row r="5" spans="1:89" x14ac:dyDescent="0.25">
      <c r="A5" s="19" t="s">
        <v>385</v>
      </c>
      <c r="B5" s="190">
        <v>1696680000000</v>
      </c>
      <c r="C5" s="190">
        <v>1050719000000</v>
      </c>
      <c r="D5" s="190">
        <v>501278000000</v>
      </c>
      <c r="E5" s="190">
        <v>1890398000000</v>
      </c>
      <c r="F5" s="190">
        <v>1405556000000</v>
      </c>
      <c r="G5" s="190">
        <v>942602000000</v>
      </c>
      <c r="H5" s="190">
        <v>466318000000</v>
      </c>
      <c r="I5" s="190">
        <v>1492165000000</v>
      </c>
      <c r="J5" s="190">
        <v>1042208000000</v>
      </c>
      <c r="K5" s="190">
        <v>665193000000</v>
      </c>
      <c r="L5" s="190">
        <v>313289000000</v>
      </c>
      <c r="M5" s="190">
        <v>1592771000000</v>
      </c>
      <c r="N5" s="190">
        <v>1217056000000</v>
      </c>
      <c r="O5" s="190">
        <v>819733000000</v>
      </c>
      <c r="P5" s="190">
        <v>385281000000</v>
      </c>
      <c r="Q5" s="190">
        <v>2429017000000</v>
      </c>
      <c r="R5" s="190">
        <v>1803729000000</v>
      </c>
      <c r="S5" s="190">
        <v>1148049000000</v>
      </c>
      <c r="T5" s="190">
        <v>540340000000</v>
      </c>
      <c r="U5" s="190">
        <v>2457041000000</v>
      </c>
      <c r="V5" s="190">
        <v>1827437000000</v>
      </c>
      <c r="W5" s="190">
        <v>1213550000000</v>
      </c>
      <c r="X5" s="190">
        <v>590055000000</v>
      </c>
      <c r="Y5" s="190">
        <v>2372235000000</v>
      </c>
      <c r="Z5" s="190">
        <v>1724711000000</v>
      </c>
      <c r="AA5" s="190">
        <v>1152431000000</v>
      </c>
      <c r="AB5" s="190">
        <v>574798000000</v>
      </c>
      <c r="AC5" s="190">
        <v>2093199000000</v>
      </c>
      <c r="AD5" s="190">
        <v>1564326000000</v>
      </c>
      <c r="AE5" s="190">
        <v>1029875000000</v>
      </c>
      <c r="AF5" s="190">
        <v>487346000000</v>
      </c>
      <c r="AG5" s="190">
        <v>1537131000000</v>
      </c>
      <c r="AH5" s="190">
        <v>1161324000000</v>
      </c>
      <c r="AI5" s="190">
        <v>767032000000</v>
      </c>
      <c r="AJ5" s="190">
        <v>358379000000</v>
      </c>
      <c r="AK5" s="190">
        <v>1035815000000</v>
      </c>
      <c r="AL5" s="190">
        <v>667113000000</v>
      </c>
      <c r="AM5" s="190">
        <v>389325000000</v>
      </c>
      <c r="AN5" s="190">
        <v>166444000000</v>
      </c>
      <c r="AO5" s="190">
        <v>1326783000000</v>
      </c>
      <c r="AP5" s="190">
        <v>1060029000000</v>
      </c>
      <c r="AQ5" s="190">
        <v>679678000000</v>
      </c>
      <c r="AR5" s="190">
        <v>295510000000</v>
      </c>
      <c r="AS5" s="190">
        <v>1012961000000</v>
      </c>
      <c r="AT5" s="190">
        <v>727637000000</v>
      </c>
      <c r="AU5" s="190">
        <v>465105000000</v>
      </c>
      <c r="AV5" s="190">
        <v>228232000000</v>
      </c>
      <c r="AW5" s="190">
        <v>880029000000</v>
      </c>
      <c r="AX5" s="190">
        <v>639519000000</v>
      </c>
      <c r="AY5" s="190">
        <v>409298000000</v>
      </c>
      <c r="AZ5" s="190">
        <v>191137000000</v>
      </c>
      <c r="BA5" s="190">
        <v>668249000000</v>
      </c>
      <c r="BB5" s="190">
        <v>479614000000</v>
      </c>
      <c r="BC5" s="190">
        <v>293181000000</v>
      </c>
      <c r="BD5" s="190">
        <v>136187000000</v>
      </c>
      <c r="BE5" s="190">
        <v>459207000000</v>
      </c>
      <c r="BF5" s="190">
        <v>323054000000</v>
      </c>
      <c r="BG5" s="190">
        <v>206098000000</v>
      </c>
      <c r="BH5" s="190">
        <v>94583000000</v>
      </c>
      <c r="BI5" s="190">
        <v>323104000000</v>
      </c>
      <c r="BJ5" s="190">
        <v>234209000000</v>
      </c>
      <c r="BK5" s="190">
        <v>152303000000</v>
      </c>
      <c r="BL5" s="190">
        <v>76178000000</v>
      </c>
      <c r="BM5" s="190">
        <v>251182000000</v>
      </c>
      <c r="BN5" s="190">
        <v>175233000000</v>
      </c>
      <c r="BO5" s="190">
        <v>109372000000</v>
      </c>
      <c r="BP5" s="190">
        <v>51667000000</v>
      </c>
      <c r="BQ5" s="190">
        <v>236135000000</v>
      </c>
      <c r="BR5" s="190">
        <v>124248000000</v>
      </c>
      <c r="BS5" s="190">
        <v>249234000000</v>
      </c>
      <c r="BT5" s="190">
        <v>175259000000</v>
      </c>
      <c r="BU5" s="190">
        <v>146753000000</v>
      </c>
      <c r="BV5" s="190">
        <v>0</v>
      </c>
      <c r="BW5" s="190"/>
      <c r="BX5" s="190"/>
      <c r="BY5" s="190"/>
      <c r="BZ5" s="190"/>
      <c r="CA5" s="190"/>
      <c r="CB5" s="190"/>
      <c r="CC5" s="190"/>
      <c r="CD5" s="190"/>
      <c r="CE5" s="190"/>
      <c r="CF5" s="190"/>
      <c r="CG5" s="190"/>
      <c r="CH5" s="190"/>
      <c r="CI5" s="190"/>
      <c r="CJ5" s="190"/>
      <c r="CK5" s="190"/>
    </row>
    <row r="6" spans="1:89" s="3" customFormat="1" x14ac:dyDescent="0.25">
      <c r="A6" s="20" t="s">
        <v>386</v>
      </c>
      <c r="B6" s="27">
        <f>B4-B5</f>
        <v>376290000000</v>
      </c>
      <c r="C6" s="27">
        <f t="shared" ref="C6:BN6" si="0">C4-C5</f>
        <v>249533000000</v>
      </c>
      <c r="D6" s="27">
        <f t="shared" si="0"/>
        <v>119973000000</v>
      </c>
      <c r="E6" s="27">
        <f t="shared" si="0"/>
        <v>469795000000</v>
      </c>
      <c r="F6" s="27">
        <f t="shared" si="0"/>
        <v>339399000000</v>
      </c>
      <c r="G6" s="27">
        <f t="shared" si="0"/>
        <v>223235000000</v>
      </c>
      <c r="H6" s="27">
        <f t="shared" si="0"/>
        <v>115867000000</v>
      </c>
      <c r="I6" s="27">
        <f t="shared" si="0"/>
        <v>438746000000</v>
      </c>
      <c r="J6" s="27">
        <f t="shared" si="0"/>
        <v>321737000000</v>
      </c>
      <c r="K6" s="27">
        <f t="shared" si="0"/>
        <v>214027000000</v>
      </c>
      <c r="L6" s="27">
        <f t="shared" si="0"/>
        <v>100501000000</v>
      </c>
      <c r="M6" s="27">
        <f t="shared" si="0"/>
        <v>426112000000</v>
      </c>
      <c r="N6" s="27">
        <f t="shared" si="0"/>
        <v>319781000000</v>
      </c>
      <c r="O6" s="27">
        <f t="shared" si="0"/>
        <v>220629000000</v>
      </c>
      <c r="P6" s="27">
        <f t="shared" si="0"/>
        <v>92960000000</v>
      </c>
      <c r="Q6" s="27">
        <f t="shared" si="0"/>
        <v>396897000000</v>
      </c>
      <c r="R6" s="27">
        <f t="shared" si="0"/>
        <v>311919000000</v>
      </c>
      <c r="S6" s="27">
        <f t="shared" si="0"/>
        <v>208123000000</v>
      </c>
      <c r="T6" s="27">
        <f t="shared" si="0"/>
        <v>100725000000</v>
      </c>
      <c r="U6" s="27">
        <f t="shared" si="0"/>
        <v>423270000000</v>
      </c>
      <c r="V6" s="27">
        <f t="shared" si="0"/>
        <v>312487000000</v>
      </c>
      <c r="W6" s="27">
        <f t="shared" si="0"/>
        <v>201694000000</v>
      </c>
      <c r="X6" s="27">
        <f t="shared" si="0"/>
        <v>105516000000</v>
      </c>
      <c r="Y6" s="27">
        <f t="shared" si="0"/>
        <v>413810000000</v>
      </c>
      <c r="Z6" s="27">
        <f t="shared" si="0"/>
        <v>300055000000</v>
      </c>
      <c r="AA6" s="27">
        <f t="shared" si="0"/>
        <v>195641000000</v>
      </c>
      <c r="AB6" s="27">
        <f t="shared" si="0"/>
        <v>96567000000</v>
      </c>
      <c r="AC6" s="27">
        <f t="shared" si="0"/>
        <v>412484000000</v>
      </c>
      <c r="AD6" s="27">
        <f t="shared" si="0"/>
        <v>310776000000</v>
      </c>
      <c r="AE6" s="27">
        <f t="shared" si="0"/>
        <v>203397000000</v>
      </c>
      <c r="AF6" s="27">
        <f t="shared" si="0"/>
        <v>101496000000</v>
      </c>
      <c r="AG6" s="27">
        <f t="shared" si="0"/>
        <v>376051000000</v>
      </c>
      <c r="AH6" s="27">
        <f t="shared" si="0"/>
        <v>266298000000</v>
      </c>
      <c r="AI6" s="27">
        <f t="shared" si="0"/>
        <v>169491000000</v>
      </c>
      <c r="AJ6" s="27">
        <f t="shared" si="0"/>
        <v>79830000000</v>
      </c>
      <c r="AK6" s="27">
        <f t="shared" si="0"/>
        <v>309237000000</v>
      </c>
      <c r="AL6" s="27">
        <f t="shared" si="0"/>
        <v>226335000000</v>
      </c>
      <c r="AM6" s="27">
        <f t="shared" si="0"/>
        <v>144700000000</v>
      </c>
      <c r="AN6" s="27">
        <f t="shared" si="0"/>
        <v>62141000000</v>
      </c>
      <c r="AO6" s="27">
        <f t="shared" si="0"/>
        <v>125318000000</v>
      </c>
      <c r="AP6" s="27">
        <f t="shared" si="0"/>
        <v>87368000000</v>
      </c>
      <c r="AQ6" s="27">
        <f t="shared" si="0"/>
        <v>55105000000</v>
      </c>
      <c r="AR6" s="27">
        <f t="shared" si="0"/>
        <v>36500000000</v>
      </c>
      <c r="AS6" s="27">
        <f t="shared" si="0"/>
        <v>191882000000</v>
      </c>
      <c r="AT6" s="27">
        <f t="shared" si="0"/>
        <v>147581000000</v>
      </c>
      <c r="AU6" s="27">
        <f t="shared" si="0"/>
        <v>101725000000</v>
      </c>
      <c r="AV6" s="27">
        <f t="shared" si="0"/>
        <v>44732000000</v>
      </c>
      <c r="AW6" s="27">
        <f t="shared" si="0"/>
        <v>164550000000</v>
      </c>
      <c r="AX6" s="27">
        <f t="shared" si="0"/>
        <v>115700000000</v>
      </c>
      <c r="AY6" s="27">
        <f t="shared" si="0"/>
        <v>72690000000</v>
      </c>
      <c r="AZ6" s="27">
        <f t="shared" si="0"/>
        <v>31562000000</v>
      </c>
      <c r="BA6" s="27">
        <f t="shared" si="0"/>
        <v>130866000000</v>
      </c>
      <c r="BB6" s="27">
        <f t="shared" si="0"/>
        <v>97376000000</v>
      </c>
      <c r="BC6" s="27">
        <f t="shared" si="0"/>
        <v>66067000000</v>
      </c>
      <c r="BD6" s="27">
        <f t="shared" si="0"/>
        <v>32853000000</v>
      </c>
      <c r="BE6" s="27">
        <f t="shared" si="0"/>
        <v>131425000000</v>
      </c>
      <c r="BF6" s="27">
        <f t="shared" si="0"/>
        <v>94641000000</v>
      </c>
      <c r="BG6" s="27">
        <f t="shared" si="0"/>
        <v>59611000000</v>
      </c>
      <c r="BH6" s="27">
        <f t="shared" si="0"/>
        <v>28907000000</v>
      </c>
      <c r="BI6" s="27">
        <f t="shared" si="0"/>
        <v>94087000000</v>
      </c>
      <c r="BJ6" s="27">
        <f t="shared" si="0"/>
        <v>66453000000</v>
      </c>
      <c r="BK6" s="27">
        <f t="shared" si="0"/>
        <v>42539000000</v>
      </c>
      <c r="BL6" s="27">
        <f t="shared" si="0"/>
        <v>22341000000</v>
      </c>
      <c r="BM6" s="27">
        <f t="shared" si="0"/>
        <v>73002000000</v>
      </c>
      <c r="BN6" s="27">
        <f t="shared" si="0"/>
        <v>50950000000</v>
      </c>
      <c r="BO6" s="27">
        <f t="shared" ref="BO6:CK6" si="1">BO4-BO5</f>
        <v>31256000000</v>
      </c>
      <c r="BP6" s="27">
        <f t="shared" si="1"/>
        <v>11328000000</v>
      </c>
      <c r="BQ6" s="27">
        <f t="shared" si="1"/>
        <v>68212000000</v>
      </c>
      <c r="BR6" s="27">
        <f t="shared" si="1"/>
        <v>36066000000</v>
      </c>
      <c r="BS6" s="27">
        <f t="shared" si="1"/>
        <v>73698000000</v>
      </c>
      <c r="BT6" s="27">
        <f t="shared" si="1"/>
        <v>55788000000</v>
      </c>
      <c r="BU6" s="27">
        <f t="shared" si="1"/>
        <v>43467000000</v>
      </c>
      <c r="BV6" s="27">
        <f t="shared" si="1"/>
        <v>0</v>
      </c>
      <c r="BW6" s="27">
        <f t="shared" si="1"/>
        <v>0</v>
      </c>
      <c r="BX6" s="27">
        <f t="shared" si="1"/>
        <v>0</v>
      </c>
      <c r="BY6" s="27">
        <f t="shared" si="1"/>
        <v>0</v>
      </c>
      <c r="BZ6" s="27">
        <f t="shared" si="1"/>
        <v>0</v>
      </c>
      <c r="CA6" s="27">
        <f t="shared" si="1"/>
        <v>0</v>
      </c>
      <c r="CB6" s="27">
        <f t="shared" si="1"/>
        <v>0</v>
      </c>
      <c r="CC6" s="27">
        <f t="shared" si="1"/>
        <v>0</v>
      </c>
      <c r="CD6" s="27">
        <f t="shared" si="1"/>
        <v>0</v>
      </c>
      <c r="CE6" s="27">
        <f t="shared" si="1"/>
        <v>0</v>
      </c>
      <c r="CF6" s="27">
        <f t="shared" si="1"/>
        <v>0</v>
      </c>
      <c r="CG6" s="27">
        <f t="shared" si="1"/>
        <v>0</v>
      </c>
      <c r="CH6" s="27">
        <f t="shared" si="1"/>
        <v>0</v>
      </c>
      <c r="CI6" s="27">
        <f t="shared" si="1"/>
        <v>0</v>
      </c>
      <c r="CJ6" s="27">
        <f t="shared" si="1"/>
        <v>0</v>
      </c>
      <c r="CK6" s="27">
        <f t="shared" si="1"/>
        <v>0</v>
      </c>
    </row>
    <row r="7" spans="1:89" s="57" customFormat="1" x14ac:dyDescent="0.25">
      <c r="A7" s="57" t="s">
        <v>387</v>
      </c>
      <c r="B7" s="57">
        <f>B6/B4*100</f>
        <v>18.15221638518647</v>
      </c>
      <c r="C7" s="57">
        <f t="shared" ref="C7:D7" si="2">C6/C4*100</f>
        <v>19.191126027877672</v>
      </c>
      <c r="D7" s="57">
        <f t="shared" si="2"/>
        <v>19.311518210835878</v>
      </c>
      <c r="E7" s="57">
        <f>E6/E4</f>
        <v>0.19904939977366257</v>
      </c>
      <c r="F7" s="57">
        <f t="shared" ref="F7:BQ7" si="3">F6/F4</f>
        <v>0.19450301010627782</v>
      </c>
      <c r="G7" s="57">
        <f t="shared" si="3"/>
        <v>0.19148045567261976</v>
      </c>
      <c r="H7" s="57">
        <f t="shared" si="3"/>
        <v>0.19902092977318206</v>
      </c>
      <c r="I7" s="57">
        <f t="shared" si="3"/>
        <v>0.22722228005330128</v>
      </c>
      <c r="J7" s="57">
        <f t="shared" si="3"/>
        <v>0.23588707755811267</v>
      </c>
      <c r="K7" s="57">
        <f t="shared" si="3"/>
        <v>0.24342826596301267</v>
      </c>
      <c r="L7" s="57">
        <f t="shared" si="3"/>
        <v>0.24287923826095362</v>
      </c>
      <c r="M7" s="57">
        <f t="shared" si="3"/>
        <v>0.2110632463594968</v>
      </c>
      <c r="N7" s="57">
        <f t="shared" si="3"/>
        <v>0.20807736929811033</v>
      </c>
      <c r="O7" s="57">
        <f t="shared" si="3"/>
        <v>0.21206945274817804</v>
      </c>
      <c r="P7" s="57">
        <f t="shared" si="3"/>
        <v>0.19437898465418063</v>
      </c>
      <c r="Q7" s="57">
        <f t="shared" si="3"/>
        <v>0.14044907240630819</v>
      </c>
      <c r="R7" s="57">
        <f t="shared" si="3"/>
        <v>0.14743426127597786</v>
      </c>
      <c r="S7" s="57">
        <f t="shared" si="3"/>
        <v>0.15346357246720918</v>
      </c>
      <c r="T7" s="57">
        <f t="shared" si="3"/>
        <v>0.15712135274894121</v>
      </c>
      <c r="U7" s="57">
        <f t="shared" si="3"/>
        <v>0.14695288112985022</v>
      </c>
      <c r="V7" s="57">
        <f t="shared" si="3"/>
        <v>0.14602714862770827</v>
      </c>
      <c r="W7" s="57">
        <f t="shared" si="3"/>
        <v>0.14251535424280196</v>
      </c>
      <c r="X7" s="57">
        <f t="shared" si="3"/>
        <v>0.15169695113798592</v>
      </c>
      <c r="Y7" s="57">
        <f t="shared" si="3"/>
        <v>0.14852954636411114</v>
      </c>
      <c r="Z7" s="57">
        <f t="shared" si="3"/>
        <v>0.1481924331009114</v>
      </c>
      <c r="AA7" s="57">
        <f t="shared" si="3"/>
        <v>0.14512652143208968</v>
      </c>
      <c r="AB7" s="57">
        <f t="shared" si="3"/>
        <v>0.14383681008095447</v>
      </c>
      <c r="AC7" s="57">
        <f t="shared" si="3"/>
        <v>0.16461938720899652</v>
      </c>
      <c r="AD7" s="57">
        <f t="shared" si="3"/>
        <v>0.16573818384279895</v>
      </c>
      <c r="AE7" s="57">
        <f t="shared" si="3"/>
        <v>0.16492468814665379</v>
      </c>
      <c r="AF7" s="57">
        <f t="shared" si="3"/>
        <v>0.17236542230343624</v>
      </c>
      <c r="AG7" s="57">
        <f t="shared" si="3"/>
        <v>0.19655788105888514</v>
      </c>
      <c r="AH7" s="57">
        <f t="shared" si="3"/>
        <v>0.18653256954572009</v>
      </c>
      <c r="AI7" s="57">
        <f t="shared" si="3"/>
        <v>0.18097900425296548</v>
      </c>
      <c r="AJ7" s="57">
        <f t="shared" si="3"/>
        <v>0.18217334650817305</v>
      </c>
      <c r="AK7" s="57">
        <f t="shared" si="3"/>
        <v>0.22990709652861005</v>
      </c>
      <c r="AL7" s="57">
        <f t="shared" si="3"/>
        <v>0.25332755795524753</v>
      </c>
      <c r="AM7" s="57">
        <f t="shared" si="3"/>
        <v>0.27096109732690415</v>
      </c>
      <c r="AN7" s="57">
        <f t="shared" si="3"/>
        <v>0.27185073386267689</v>
      </c>
      <c r="AO7" s="57">
        <f t="shared" si="3"/>
        <v>8.6301159492349358E-2</v>
      </c>
      <c r="AP7" s="57">
        <f t="shared" si="3"/>
        <v>7.6144525390950124E-2</v>
      </c>
      <c r="AQ7" s="57">
        <f t="shared" si="3"/>
        <v>7.499493047607253E-2</v>
      </c>
      <c r="AR7" s="57">
        <f t="shared" si="3"/>
        <v>0.10993644769735851</v>
      </c>
      <c r="AS7" s="57">
        <f t="shared" si="3"/>
        <v>0.15925892419178267</v>
      </c>
      <c r="AT7" s="57">
        <f t="shared" si="3"/>
        <v>0.1686219890358745</v>
      </c>
      <c r="AU7" s="57">
        <f t="shared" si="3"/>
        <v>0.17946297831801422</v>
      </c>
      <c r="AV7" s="57">
        <f t="shared" si="3"/>
        <v>0.16387508975542561</v>
      </c>
      <c r="AW7" s="57">
        <f t="shared" si="3"/>
        <v>0.15752757809605591</v>
      </c>
      <c r="AX7" s="57">
        <f t="shared" si="3"/>
        <v>0.15320059479435766</v>
      </c>
      <c r="AY7" s="57">
        <f t="shared" si="3"/>
        <v>0.15081288330829815</v>
      </c>
      <c r="AZ7" s="57">
        <f t="shared" si="3"/>
        <v>0.14172492916447763</v>
      </c>
      <c r="BA7" s="57">
        <f t="shared" si="3"/>
        <v>0.16376366355280528</v>
      </c>
      <c r="BB7" s="57">
        <f t="shared" si="3"/>
        <v>0.16876548986984177</v>
      </c>
      <c r="BC7" s="57">
        <f t="shared" si="3"/>
        <v>0.18390359862824568</v>
      </c>
      <c r="BD7" s="57">
        <f t="shared" si="3"/>
        <v>0.19435044959772835</v>
      </c>
      <c r="BE7" s="57">
        <f t="shared" si="3"/>
        <v>0.22251588129325875</v>
      </c>
      <c r="BF7" s="57">
        <f t="shared" si="3"/>
        <v>0.22657920252816049</v>
      </c>
      <c r="BG7" s="57">
        <f t="shared" si="3"/>
        <v>0.2243469359336718</v>
      </c>
      <c r="BH7" s="57">
        <f t="shared" si="3"/>
        <v>0.2340837314762329</v>
      </c>
      <c r="BI7" s="57">
        <f t="shared" si="3"/>
        <v>0.22552499934082951</v>
      </c>
      <c r="BJ7" s="57">
        <f t="shared" si="3"/>
        <v>0.22102227750763315</v>
      </c>
      <c r="BK7" s="57">
        <f t="shared" si="3"/>
        <v>0.21832561767996633</v>
      </c>
      <c r="BL7" s="57">
        <f t="shared" si="3"/>
        <v>0.22676844060536547</v>
      </c>
      <c r="BM7" s="57">
        <f t="shared" si="3"/>
        <v>0.22518693087876021</v>
      </c>
      <c r="BN7" s="57">
        <f t="shared" si="3"/>
        <v>0.22526007701728246</v>
      </c>
      <c r="BO7" s="57">
        <f t="shared" si="3"/>
        <v>0.22226014733907898</v>
      </c>
      <c r="BP7" s="57">
        <f t="shared" si="3"/>
        <v>0.17982379553932851</v>
      </c>
      <c r="BQ7" s="57">
        <f t="shared" si="3"/>
        <v>0.22412575119846753</v>
      </c>
      <c r="BR7" s="57">
        <f t="shared" ref="BR7:CK7" si="4">BR6/BR4</f>
        <v>0.22497099442344398</v>
      </c>
      <c r="BS7" s="57">
        <f t="shared" si="4"/>
        <v>0.22821522797369106</v>
      </c>
      <c r="BT7" s="57">
        <f t="shared" si="4"/>
        <v>0.24145736581734453</v>
      </c>
      <c r="BU7" s="57">
        <f t="shared" si="4"/>
        <v>0.2285090947324151</v>
      </c>
      <c r="BV7" s="57" t="e">
        <f t="shared" si="4"/>
        <v>#DIV/0!</v>
      </c>
      <c r="BW7" s="57" t="e">
        <f t="shared" si="4"/>
        <v>#DIV/0!</v>
      </c>
      <c r="BX7" s="57" t="e">
        <f t="shared" si="4"/>
        <v>#DIV/0!</v>
      </c>
      <c r="BY7" s="57" t="e">
        <f t="shared" si="4"/>
        <v>#DIV/0!</v>
      </c>
      <c r="BZ7" s="57" t="e">
        <f t="shared" si="4"/>
        <v>#DIV/0!</v>
      </c>
      <c r="CA7" s="57" t="e">
        <f t="shared" si="4"/>
        <v>#DIV/0!</v>
      </c>
      <c r="CB7" s="57" t="e">
        <f t="shared" si="4"/>
        <v>#DIV/0!</v>
      </c>
      <c r="CC7" s="57" t="e">
        <f t="shared" si="4"/>
        <v>#DIV/0!</v>
      </c>
      <c r="CD7" s="57" t="e">
        <f t="shared" si="4"/>
        <v>#DIV/0!</v>
      </c>
      <c r="CE7" s="57" t="e">
        <f t="shared" si="4"/>
        <v>#DIV/0!</v>
      </c>
      <c r="CF7" s="57" t="e">
        <f t="shared" si="4"/>
        <v>#DIV/0!</v>
      </c>
      <c r="CG7" s="57" t="e">
        <f t="shared" si="4"/>
        <v>#DIV/0!</v>
      </c>
      <c r="CH7" s="57" t="e">
        <f t="shared" si="4"/>
        <v>#DIV/0!</v>
      </c>
      <c r="CI7" s="57" t="e">
        <f t="shared" si="4"/>
        <v>#DIV/0!</v>
      </c>
      <c r="CJ7" s="57" t="e">
        <f t="shared" si="4"/>
        <v>#DIV/0!</v>
      </c>
      <c r="CK7" s="57" t="e">
        <f t="shared" si="4"/>
        <v>#DIV/0!</v>
      </c>
    </row>
    <row r="8" spans="1:89" x14ac:dyDescent="0.25">
      <c r="A8" s="17" t="s">
        <v>388</v>
      </c>
      <c r="B8" s="190">
        <v>183545000000</v>
      </c>
      <c r="C8" s="190">
        <v>118721000000</v>
      </c>
      <c r="D8" s="190">
        <v>57719000000</v>
      </c>
      <c r="E8" s="190">
        <v>235292000000</v>
      </c>
      <c r="F8" s="190">
        <v>176329000000</v>
      </c>
      <c r="G8" s="190">
        <v>116297000000</v>
      </c>
      <c r="H8" s="190">
        <v>58169000000</v>
      </c>
      <c r="I8" s="190">
        <v>232006000000</v>
      </c>
      <c r="J8" s="190">
        <v>171073000000</v>
      </c>
      <c r="K8" s="190">
        <v>112831000000</v>
      </c>
      <c r="L8" s="190">
        <v>55099000000</v>
      </c>
      <c r="M8" s="190">
        <v>236343000000</v>
      </c>
      <c r="N8" s="190">
        <v>179260000000</v>
      </c>
      <c r="O8" s="190">
        <v>119886000000</v>
      </c>
      <c r="P8" s="190">
        <v>58830000000</v>
      </c>
      <c r="Q8" s="190">
        <v>191202000000</v>
      </c>
      <c r="R8" s="190">
        <v>141950000000</v>
      </c>
      <c r="S8" s="190">
        <v>93767000000</v>
      </c>
      <c r="T8" s="190">
        <v>46136000000</v>
      </c>
      <c r="U8" s="190">
        <v>190672000000</v>
      </c>
      <c r="V8" s="190">
        <v>142398000000</v>
      </c>
      <c r="W8" s="190">
        <v>94451000000</v>
      </c>
      <c r="X8" s="190">
        <v>48022000000</v>
      </c>
      <c r="Y8" s="190">
        <v>188483000000</v>
      </c>
      <c r="Z8" s="190">
        <v>140560000000</v>
      </c>
      <c r="AA8" s="190">
        <v>95267000000</v>
      </c>
      <c r="AB8" s="190">
        <v>47415000000</v>
      </c>
      <c r="AC8" s="190">
        <v>189949000000</v>
      </c>
      <c r="AD8" s="190">
        <v>141982000000</v>
      </c>
      <c r="AE8" s="190">
        <v>93285000000</v>
      </c>
      <c r="AF8" s="190">
        <v>43937000000</v>
      </c>
      <c r="AG8" s="190">
        <v>157189000000</v>
      </c>
      <c r="AH8" s="190">
        <v>115089000000</v>
      </c>
      <c r="AI8" s="190">
        <v>75410000000</v>
      </c>
      <c r="AJ8" s="190">
        <v>36291000000</v>
      </c>
      <c r="AK8" s="190">
        <v>132884000000</v>
      </c>
      <c r="AL8" s="190">
        <v>96911000000</v>
      </c>
      <c r="AM8" s="190">
        <v>61518000000</v>
      </c>
      <c r="AN8" s="190">
        <v>28358000000</v>
      </c>
      <c r="AO8" s="190">
        <v>56799000000</v>
      </c>
      <c r="AP8" s="190">
        <v>47161000000</v>
      </c>
      <c r="AQ8" s="190">
        <v>28451000000</v>
      </c>
      <c r="AR8" s="190">
        <v>13737000000</v>
      </c>
      <c r="AS8" s="190">
        <v>34304000000</v>
      </c>
      <c r="AT8" s="190">
        <v>23014000000</v>
      </c>
      <c r="AU8" s="190">
        <v>14144000000</v>
      </c>
      <c r="AV8" s="190">
        <v>6313000000</v>
      </c>
      <c r="AW8" s="190">
        <v>28286000000</v>
      </c>
      <c r="AX8" s="190">
        <v>21733000000</v>
      </c>
      <c r="AY8" s="190">
        <v>12918000000</v>
      </c>
      <c r="AZ8" s="190">
        <v>4419000000</v>
      </c>
      <c r="BA8" s="190">
        <v>17152000000</v>
      </c>
      <c r="BB8" s="190">
        <v>12709000000</v>
      </c>
      <c r="BC8" s="190">
        <v>8204000000</v>
      </c>
      <c r="BD8" s="190">
        <v>4207000000</v>
      </c>
      <c r="BE8" s="190">
        <v>16203000000</v>
      </c>
      <c r="BF8" s="190">
        <v>11998000000</v>
      </c>
      <c r="BG8" s="190">
        <v>7776000000</v>
      </c>
      <c r="BH8" s="190">
        <v>3835000000</v>
      </c>
      <c r="BI8" s="190">
        <v>13371000000</v>
      </c>
      <c r="BJ8" s="190">
        <v>9552000000</v>
      </c>
      <c r="BK8" s="190">
        <v>6141000000</v>
      </c>
      <c r="BL8" s="190">
        <v>3161000000</v>
      </c>
      <c r="BM8" s="190">
        <v>11852000000</v>
      </c>
      <c r="BN8" s="190">
        <v>8699000000</v>
      </c>
      <c r="BO8" s="190">
        <v>5776000000</v>
      </c>
      <c r="BP8" s="190">
        <v>2697000000</v>
      </c>
      <c r="BQ8" s="190">
        <v>11863000000</v>
      </c>
      <c r="BR8" s="190">
        <v>5926000000</v>
      </c>
      <c r="BS8" s="190">
        <v>12101000000</v>
      </c>
      <c r="BT8" s="190">
        <v>9381000000</v>
      </c>
      <c r="BU8" s="190">
        <v>8545000000</v>
      </c>
      <c r="BV8" s="190">
        <v>0</v>
      </c>
      <c r="BW8" s="190"/>
      <c r="BX8" s="190"/>
      <c r="BY8" s="190"/>
      <c r="BZ8" s="190"/>
      <c r="CA8" s="190"/>
      <c r="CB8" s="190"/>
      <c r="CC8" s="190"/>
      <c r="CD8" s="190"/>
      <c r="CE8" s="190"/>
      <c r="CF8" s="190"/>
      <c r="CG8" s="190"/>
      <c r="CH8" s="190"/>
      <c r="CI8" s="190"/>
      <c r="CJ8" s="190"/>
      <c r="CK8" s="190"/>
    </row>
    <row r="9" spans="1:89" x14ac:dyDescent="0.25">
      <c r="A9" s="17" t="s">
        <v>389</v>
      </c>
      <c r="B9" s="190">
        <v>42718000000</v>
      </c>
      <c r="C9" s="190">
        <v>27661000000</v>
      </c>
      <c r="D9" s="190">
        <v>13688000000</v>
      </c>
      <c r="E9" s="190">
        <v>56055000000</v>
      </c>
      <c r="F9" s="190">
        <v>40128000000</v>
      </c>
      <c r="G9" s="190">
        <v>25955000000</v>
      </c>
      <c r="H9" s="190">
        <v>12429000000</v>
      </c>
      <c r="I9" s="190">
        <v>49550000000</v>
      </c>
      <c r="J9" s="190">
        <v>35715000000</v>
      </c>
      <c r="K9" s="190">
        <v>23572000000</v>
      </c>
      <c r="L9" s="190">
        <v>11858000000</v>
      </c>
      <c r="M9" s="190">
        <v>46872000000</v>
      </c>
      <c r="N9" s="190">
        <v>34150000000</v>
      </c>
      <c r="O9" s="190">
        <v>22379000000</v>
      </c>
      <c r="P9" s="190">
        <v>10961000000</v>
      </c>
      <c r="Q9" s="190">
        <v>46274000000</v>
      </c>
      <c r="R9" s="190">
        <v>33732000000</v>
      </c>
      <c r="S9" s="190">
        <v>22060000000</v>
      </c>
      <c r="T9" s="190">
        <v>10720000000</v>
      </c>
      <c r="U9" s="190">
        <v>44359000000</v>
      </c>
      <c r="V9" s="190">
        <v>32172000000</v>
      </c>
      <c r="W9" s="190">
        <v>20811000000</v>
      </c>
      <c r="X9" s="190">
        <v>10410000000</v>
      </c>
      <c r="Y9" s="190">
        <v>40299000000</v>
      </c>
      <c r="Z9" s="190">
        <v>29756000000</v>
      </c>
      <c r="AA9" s="190">
        <v>18922000000</v>
      </c>
      <c r="AB9" s="190">
        <v>9301000000</v>
      </c>
      <c r="AC9" s="190">
        <v>38399000000</v>
      </c>
      <c r="AD9" s="190">
        <v>26908000000</v>
      </c>
      <c r="AE9" s="190">
        <v>16650000000</v>
      </c>
      <c r="AF9" s="190">
        <v>8108000000</v>
      </c>
      <c r="AG9" s="190">
        <v>31981000000</v>
      </c>
      <c r="AH9" s="190">
        <v>22194000000</v>
      </c>
      <c r="AI9" s="190">
        <v>14178000000</v>
      </c>
      <c r="AJ9" s="190">
        <v>6910000000</v>
      </c>
      <c r="AK9" s="190">
        <v>27635000000</v>
      </c>
      <c r="AL9" s="190">
        <v>19984000000</v>
      </c>
      <c r="AM9" s="190">
        <v>12055000000</v>
      </c>
      <c r="AN9" s="190">
        <v>5509000000</v>
      </c>
      <c r="AO9" s="190">
        <v>24967000000</v>
      </c>
      <c r="AP9" s="190">
        <v>18109000000</v>
      </c>
      <c r="AQ9" s="190">
        <v>11885000000</v>
      </c>
      <c r="AR9" s="190">
        <v>5632000000</v>
      </c>
      <c r="AS9" s="190">
        <v>22564000000</v>
      </c>
      <c r="AT9" s="190">
        <v>14614000000</v>
      </c>
      <c r="AU9" s="190">
        <v>9500000000</v>
      </c>
      <c r="AV9" s="190">
        <v>4550000000</v>
      </c>
      <c r="AW9" s="190">
        <v>24734000000</v>
      </c>
      <c r="AX9" s="190">
        <v>16770000000</v>
      </c>
      <c r="AY9" s="190">
        <v>10711000000</v>
      </c>
      <c r="AZ9" s="190">
        <v>5189000000</v>
      </c>
      <c r="BA9" s="190">
        <v>22690000000</v>
      </c>
      <c r="BB9" s="190">
        <v>15727000000</v>
      </c>
      <c r="BC9" s="190">
        <v>10359000000</v>
      </c>
      <c r="BD9" s="190">
        <v>4880000000</v>
      </c>
      <c r="BE9" s="190">
        <v>19477000000</v>
      </c>
      <c r="BF9" s="190">
        <v>13656000000</v>
      </c>
      <c r="BG9" s="190">
        <v>8664000000</v>
      </c>
      <c r="BH9" s="190">
        <v>4203000000</v>
      </c>
      <c r="BI9" s="190">
        <v>14582000000</v>
      </c>
      <c r="BJ9" s="190">
        <v>10492000000</v>
      </c>
      <c r="BK9" s="190">
        <v>6692000000</v>
      </c>
      <c r="BL9" s="190">
        <v>3393000000</v>
      </c>
      <c r="BM9" s="190">
        <v>13279000000</v>
      </c>
      <c r="BN9" s="190">
        <v>9847000000</v>
      </c>
      <c r="BO9" s="190">
        <v>6468000000</v>
      </c>
      <c r="BP9" s="190">
        <v>2941000000</v>
      </c>
      <c r="BQ9" s="190">
        <v>12300000000</v>
      </c>
      <c r="BR9" s="190">
        <v>5816000000</v>
      </c>
      <c r="BS9" s="190">
        <v>11583000000</v>
      </c>
      <c r="BT9" s="190">
        <v>6925000000</v>
      </c>
      <c r="BU9" s="190">
        <v>6827000000</v>
      </c>
      <c r="BV9" s="190">
        <v>0</v>
      </c>
      <c r="BW9" s="190"/>
      <c r="BX9" s="190"/>
      <c r="BY9" s="190"/>
      <c r="BZ9" s="190"/>
      <c r="CA9" s="190"/>
      <c r="CB9" s="190"/>
      <c r="CC9" s="190"/>
      <c r="CD9" s="190"/>
      <c r="CE9" s="190"/>
      <c r="CF9" s="190"/>
      <c r="CG9" s="190"/>
      <c r="CH9" s="190"/>
      <c r="CI9" s="190"/>
      <c r="CJ9" s="190"/>
      <c r="CK9" s="190"/>
    </row>
    <row r="10" spans="1:89" x14ac:dyDescent="0.25">
      <c r="A10" s="17" t="s">
        <v>390</v>
      </c>
      <c r="B10" s="190">
        <v>52725000000</v>
      </c>
      <c r="C10" s="190">
        <v>33908000000</v>
      </c>
      <c r="D10" s="190">
        <v>18706000000</v>
      </c>
      <c r="E10" s="190">
        <v>78928000000</v>
      </c>
      <c r="F10" s="190">
        <v>56989000000</v>
      </c>
      <c r="G10" s="190">
        <v>35903000000</v>
      </c>
      <c r="H10" s="190">
        <v>17911000000</v>
      </c>
      <c r="I10" s="190">
        <v>74155000000</v>
      </c>
      <c r="J10" s="190">
        <v>56711000000</v>
      </c>
      <c r="K10" s="190">
        <v>38416000000</v>
      </c>
      <c r="L10" s="190">
        <v>18539000000</v>
      </c>
      <c r="M10" s="190">
        <v>71881000000</v>
      </c>
      <c r="N10" s="190">
        <v>52102000000</v>
      </c>
      <c r="O10" s="190">
        <v>34271000000</v>
      </c>
      <c r="P10" s="190">
        <v>16846000000</v>
      </c>
      <c r="Q10" s="190">
        <v>70500000000</v>
      </c>
      <c r="R10" s="190">
        <v>51291000000</v>
      </c>
      <c r="S10" s="190">
        <v>34439000000</v>
      </c>
      <c r="T10" s="190">
        <v>16822000000</v>
      </c>
      <c r="U10" s="190">
        <v>73572000000</v>
      </c>
      <c r="V10" s="190">
        <v>51452000000</v>
      </c>
      <c r="W10" s="190">
        <v>33375000000</v>
      </c>
      <c r="X10" s="190">
        <v>16804000000</v>
      </c>
      <c r="Y10" s="190">
        <v>65590000000</v>
      </c>
      <c r="Z10" s="190">
        <v>44184000000</v>
      </c>
      <c r="AA10" s="190">
        <v>29223000000</v>
      </c>
      <c r="AB10" s="190">
        <v>14167000000</v>
      </c>
      <c r="AC10" s="190">
        <v>63083000000</v>
      </c>
      <c r="AD10" s="190">
        <v>44839000000</v>
      </c>
      <c r="AE10" s="190">
        <v>28502000000</v>
      </c>
      <c r="AF10" s="190">
        <v>14477000000</v>
      </c>
      <c r="AG10" s="190">
        <v>57774000000</v>
      </c>
      <c r="AH10" s="190">
        <v>38256000000</v>
      </c>
      <c r="AI10" s="190">
        <v>24314000000</v>
      </c>
      <c r="AJ10" s="190">
        <v>12060000000</v>
      </c>
      <c r="AK10" s="190">
        <v>46726000000</v>
      </c>
      <c r="AL10" s="190">
        <v>32968000000</v>
      </c>
      <c r="AM10" s="190">
        <v>20087000000</v>
      </c>
      <c r="AN10" s="190">
        <v>9565000000</v>
      </c>
      <c r="AO10" s="190">
        <v>40917000000</v>
      </c>
      <c r="AP10" s="190">
        <v>28939000000</v>
      </c>
      <c r="AQ10" s="190">
        <v>18721000000</v>
      </c>
      <c r="AR10" s="190">
        <v>9110000000</v>
      </c>
      <c r="AS10" s="190">
        <v>35964000000</v>
      </c>
      <c r="AT10" s="190">
        <v>25508000000</v>
      </c>
      <c r="AU10" s="190">
        <v>17009000000</v>
      </c>
      <c r="AV10" s="190">
        <v>8295000000</v>
      </c>
      <c r="AW10" s="190">
        <v>26491000000</v>
      </c>
      <c r="AX10" s="190">
        <v>18101000000</v>
      </c>
      <c r="AY10" s="190">
        <v>11771000000</v>
      </c>
      <c r="AZ10" s="190">
        <v>5720000000</v>
      </c>
      <c r="BA10" s="190">
        <v>23330000000</v>
      </c>
      <c r="BB10" s="190">
        <v>16941000000</v>
      </c>
      <c r="BC10" s="190">
        <v>10600000000</v>
      </c>
      <c r="BD10" s="190">
        <v>6056000000</v>
      </c>
      <c r="BE10" s="190">
        <v>23167000000</v>
      </c>
      <c r="BF10" s="190">
        <v>16006000000</v>
      </c>
      <c r="BG10" s="190">
        <v>10865000000</v>
      </c>
      <c r="BH10" s="190">
        <v>5065000000</v>
      </c>
      <c r="BI10" s="190">
        <v>21219000000</v>
      </c>
      <c r="BJ10" s="190">
        <v>13804000000</v>
      </c>
      <c r="BK10" s="190">
        <v>9646000000</v>
      </c>
      <c r="BL10" s="190">
        <v>4270000000</v>
      </c>
      <c r="BM10" s="190">
        <v>17253000000</v>
      </c>
      <c r="BN10" s="190">
        <v>12194000000</v>
      </c>
      <c r="BO10" s="190">
        <v>8017000000</v>
      </c>
      <c r="BP10" s="190">
        <v>3713000000</v>
      </c>
      <c r="BQ10" s="190">
        <v>14369000000</v>
      </c>
      <c r="BR10" s="190">
        <v>6889000000</v>
      </c>
      <c r="BS10" s="190">
        <v>17172000000</v>
      </c>
      <c r="BT10" s="190">
        <v>22964000000</v>
      </c>
      <c r="BU10" s="190">
        <v>19897000000</v>
      </c>
      <c r="BV10" s="190">
        <v>0</v>
      </c>
      <c r="BW10" s="190"/>
      <c r="BX10" s="190"/>
      <c r="BY10" s="190"/>
      <c r="BZ10" s="190"/>
      <c r="CA10" s="190"/>
      <c r="CB10" s="190"/>
      <c r="CC10" s="190"/>
      <c r="CD10" s="190"/>
      <c r="CE10" s="190"/>
      <c r="CF10" s="190"/>
      <c r="CG10" s="190"/>
      <c r="CH10" s="190"/>
      <c r="CI10" s="190"/>
      <c r="CJ10" s="190"/>
      <c r="CK10" s="190"/>
    </row>
    <row r="11" spans="1:89" x14ac:dyDescent="0.25">
      <c r="A11" s="17" t="s">
        <v>391</v>
      </c>
      <c r="B11" s="190">
        <v>728000000</v>
      </c>
      <c r="C11" s="190">
        <v>137000000</v>
      </c>
      <c r="D11" s="190">
        <v>-13000000</v>
      </c>
      <c r="E11" s="190">
        <v>21791000000</v>
      </c>
      <c r="F11" s="190">
        <v>7090000000</v>
      </c>
      <c r="G11" s="190">
        <v>4076000000</v>
      </c>
      <c r="H11" s="190">
        <v>303000000</v>
      </c>
      <c r="I11" s="190">
        <v>17076000000</v>
      </c>
      <c r="J11" s="190">
        <v>1528000000</v>
      </c>
      <c r="K11" s="190">
        <v>1423000000</v>
      </c>
      <c r="L11" s="190">
        <v>47000000</v>
      </c>
      <c r="M11" s="190">
        <v>8767000000</v>
      </c>
      <c r="N11" s="190">
        <v>327000000</v>
      </c>
      <c r="O11" s="190">
        <v>205000000</v>
      </c>
      <c r="P11" s="190">
        <v>-513000000</v>
      </c>
      <c r="Q11" s="190">
        <v>6839000000</v>
      </c>
      <c r="R11" s="190">
        <v>1130000000</v>
      </c>
      <c r="S11" s="190">
        <v>1112000000</v>
      </c>
      <c r="T11" s="190">
        <v>-49000000</v>
      </c>
      <c r="U11" s="190">
        <v>4044000000</v>
      </c>
      <c r="V11" s="190">
        <v>34000000</v>
      </c>
      <c r="W11" s="190">
        <v>73000000</v>
      </c>
      <c r="X11" s="190">
        <v>-12000000</v>
      </c>
      <c r="Y11" s="190">
        <v>7906000000</v>
      </c>
      <c r="Z11" s="190">
        <v>7518000000</v>
      </c>
      <c r="AA11" s="190">
        <v>7048000000</v>
      </c>
      <c r="AB11" s="190">
        <v>425000000</v>
      </c>
      <c r="AC11" s="190">
        <v>5811000000</v>
      </c>
      <c r="AD11" s="190">
        <v>2841000000</v>
      </c>
      <c r="AE11" s="190">
        <v>2712000000</v>
      </c>
      <c r="AF11" s="190">
        <v>1027000000</v>
      </c>
      <c r="AG11" s="190">
        <v>15445000000</v>
      </c>
      <c r="AH11" s="190">
        <v>2187000000</v>
      </c>
      <c r="AI11" s="190">
        <v>741000000</v>
      </c>
      <c r="AJ11" s="190">
        <v>480000000</v>
      </c>
      <c r="AK11" s="190">
        <v>7453000000</v>
      </c>
      <c r="AL11" s="190">
        <v>599000000</v>
      </c>
      <c r="AM11" s="190">
        <v>178000000</v>
      </c>
      <c r="AN11" s="190">
        <v>-38000000</v>
      </c>
      <c r="AO11" s="190">
        <v>16617000000</v>
      </c>
      <c r="AP11" s="190">
        <v>11952000000</v>
      </c>
      <c r="AQ11" s="190">
        <v>16079000000</v>
      </c>
      <c r="AR11" s="190">
        <v>9012000000</v>
      </c>
      <c r="AS11" s="190">
        <v>7458000000</v>
      </c>
      <c r="AT11" s="190">
        <v>1593000000</v>
      </c>
      <c r="AU11" s="190">
        <v>1535000000</v>
      </c>
      <c r="AV11" s="190">
        <v>0</v>
      </c>
      <c r="AW11" s="190">
        <v>0</v>
      </c>
      <c r="AX11" s="190">
        <v>0</v>
      </c>
      <c r="AY11" s="190">
        <v>0</v>
      </c>
      <c r="AZ11" s="190">
        <v>0</v>
      </c>
      <c r="BA11" s="190">
        <v>0</v>
      </c>
      <c r="BB11" s="190">
        <v>0</v>
      </c>
      <c r="BC11" s="190">
        <v>0</v>
      </c>
      <c r="BD11" s="190">
        <v>0</v>
      </c>
      <c r="BE11" s="190">
        <v>0</v>
      </c>
      <c r="BF11" s="190">
        <v>0</v>
      </c>
      <c r="BG11" s="190">
        <v>0</v>
      </c>
      <c r="BH11" s="190">
        <v>0</v>
      </c>
      <c r="BI11" s="190">
        <v>0</v>
      </c>
      <c r="BJ11" s="190">
        <v>0</v>
      </c>
      <c r="BK11" s="190">
        <v>0</v>
      </c>
      <c r="BL11" s="190">
        <v>0</v>
      </c>
      <c r="BM11" s="190">
        <v>0</v>
      </c>
      <c r="BN11" s="190">
        <v>0</v>
      </c>
      <c r="BO11" s="190">
        <v>0</v>
      </c>
      <c r="BP11" s="190">
        <v>0</v>
      </c>
      <c r="BQ11" s="190">
        <v>0</v>
      </c>
      <c r="BR11" s="190">
        <v>0</v>
      </c>
      <c r="BS11" s="190">
        <v>0</v>
      </c>
      <c r="BT11" s="190">
        <v>0</v>
      </c>
      <c r="BU11" s="190">
        <v>0</v>
      </c>
      <c r="BV11" s="190">
        <v>0</v>
      </c>
      <c r="BW11" s="190"/>
      <c r="BX11" s="190"/>
      <c r="BY11" s="190"/>
      <c r="BZ11" s="190"/>
      <c r="CA11" s="190"/>
      <c r="CB11" s="190"/>
      <c r="CC11" s="190"/>
      <c r="CD11" s="190"/>
      <c r="CE11" s="190"/>
      <c r="CF11" s="190"/>
      <c r="CG11" s="190"/>
      <c r="CH11" s="190"/>
      <c r="CI11" s="190"/>
      <c r="CJ11" s="190"/>
      <c r="CK11" s="190"/>
    </row>
    <row r="12" spans="1:89" s="7" customFormat="1" x14ac:dyDescent="0.25">
      <c r="A12" s="21" t="s">
        <v>392</v>
      </c>
      <c r="B12" s="29">
        <f>B55</f>
        <v>463</v>
      </c>
      <c r="C12" s="29">
        <f t="shared" ref="C12:BN12" si="5">C55</f>
        <v>603</v>
      </c>
      <c r="D12" s="29">
        <f t="shared" si="5"/>
        <v>653</v>
      </c>
      <c r="E12" s="29">
        <f t="shared" si="5"/>
        <v>778000000</v>
      </c>
      <c r="F12" s="29">
        <f t="shared" si="5"/>
        <v>1204</v>
      </c>
      <c r="G12" s="29">
        <f t="shared" si="5"/>
        <v>868</v>
      </c>
      <c r="H12" s="29">
        <f t="shared" si="5"/>
        <v>644</v>
      </c>
      <c r="I12" s="29">
        <f t="shared" si="5"/>
        <v>198000000</v>
      </c>
      <c r="J12" s="29">
        <f t="shared" si="5"/>
        <v>0</v>
      </c>
      <c r="K12" s="29">
        <f t="shared" si="5"/>
        <v>0</v>
      </c>
      <c r="L12" s="29">
        <f t="shared" si="5"/>
        <v>0</v>
      </c>
      <c r="M12" s="29">
        <f t="shared" si="5"/>
        <v>-140000000</v>
      </c>
      <c r="N12" s="29">
        <f t="shared" si="5"/>
        <v>0</v>
      </c>
      <c r="O12" s="29">
        <f t="shared" si="5"/>
        <v>0</v>
      </c>
      <c r="P12" s="29">
        <f t="shared" si="5"/>
        <v>0</v>
      </c>
      <c r="Q12" s="29">
        <f t="shared" si="5"/>
        <v>-711000000</v>
      </c>
      <c r="R12" s="29">
        <f t="shared" si="5"/>
        <v>0</v>
      </c>
      <c r="S12" s="29">
        <f t="shared" si="5"/>
        <v>0</v>
      </c>
      <c r="T12" s="29">
        <f t="shared" si="5"/>
        <v>0</v>
      </c>
      <c r="U12" s="29">
        <f t="shared" si="5"/>
        <v>-833000000</v>
      </c>
      <c r="V12" s="29">
        <f t="shared" si="5"/>
        <v>0</v>
      </c>
      <c r="W12" s="29">
        <f t="shared" si="5"/>
        <v>0</v>
      </c>
      <c r="X12" s="29">
        <f t="shared" si="5"/>
        <v>0</v>
      </c>
      <c r="Y12" s="29">
        <f t="shared" si="5"/>
        <v>-852000000</v>
      </c>
      <c r="Z12" s="29">
        <f t="shared" si="5"/>
        <v>0</v>
      </c>
      <c r="AA12" s="29">
        <f t="shared" si="5"/>
        <v>0</v>
      </c>
      <c r="AB12" s="29">
        <f t="shared" si="5"/>
        <v>0</v>
      </c>
      <c r="AC12" s="29">
        <f t="shared" si="5"/>
        <v>0</v>
      </c>
      <c r="AD12" s="29">
        <f t="shared" si="5"/>
        <v>0</v>
      </c>
      <c r="AE12" s="29">
        <f t="shared" si="5"/>
        <v>0</v>
      </c>
      <c r="AF12" s="29">
        <f t="shared" si="5"/>
        <v>0</v>
      </c>
      <c r="AG12" s="29">
        <f t="shared" si="5"/>
        <v>0</v>
      </c>
      <c r="AH12" s="29">
        <f t="shared" si="5"/>
        <v>0</v>
      </c>
      <c r="AI12" s="29">
        <f t="shared" si="5"/>
        <v>0</v>
      </c>
      <c r="AJ12" s="29">
        <f t="shared" si="5"/>
        <v>0</v>
      </c>
      <c r="AK12" s="29">
        <f t="shared" si="5"/>
        <v>0</v>
      </c>
      <c r="AL12" s="29">
        <f t="shared" si="5"/>
        <v>0</v>
      </c>
      <c r="AM12" s="29">
        <f t="shared" si="5"/>
        <v>0</v>
      </c>
      <c r="AN12" s="29">
        <f t="shared" si="5"/>
        <v>0</v>
      </c>
      <c r="AO12" s="29">
        <f t="shared" si="5"/>
        <v>0</v>
      </c>
      <c r="AP12" s="29">
        <f t="shared" si="5"/>
        <v>0</v>
      </c>
      <c r="AQ12" s="29">
        <f t="shared" si="5"/>
        <v>0</v>
      </c>
      <c r="AR12" s="29">
        <f t="shared" si="5"/>
        <v>0</v>
      </c>
      <c r="AS12" s="29">
        <f t="shared" si="5"/>
        <v>0</v>
      </c>
      <c r="AT12" s="29">
        <f t="shared" si="5"/>
        <v>0</v>
      </c>
      <c r="AU12" s="29">
        <f t="shared" si="5"/>
        <v>0</v>
      </c>
      <c r="AV12" s="29">
        <f t="shared" si="5"/>
        <v>0</v>
      </c>
      <c r="AW12" s="29">
        <f t="shared" si="5"/>
        <v>0</v>
      </c>
      <c r="AX12" s="29">
        <f t="shared" si="5"/>
        <v>0</v>
      </c>
      <c r="AY12" s="29">
        <f t="shared" si="5"/>
        <v>0</v>
      </c>
      <c r="AZ12" s="29">
        <f t="shared" si="5"/>
        <v>0</v>
      </c>
      <c r="BA12" s="29">
        <f t="shared" si="5"/>
        <v>0</v>
      </c>
      <c r="BB12" s="29">
        <f t="shared" si="5"/>
        <v>0</v>
      </c>
      <c r="BC12" s="29">
        <f t="shared" si="5"/>
        <v>0</v>
      </c>
      <c r="BD12" s="29">
        <f t="shared" si="5"/>
        <v>0</v>
      </c>
      <c r="BE12" s="29">
        <f t="shared" si="5"/>
        <v>0</v>
      </c>
      <c r="BF12" s="29">
        <f t="shared" si="5"/>
        <v>0</v>
      </c>
      <c r="BG12" s="29">
        <f t="shared" si="5"/>
        <v>0</v>
      </c>
      <c r="BH12" s="29">
        <f t="shared" si="5"/>
        <v>0</v>
      </c>
      <c r="BI12" s="29">
        <f t="shared" si="5"/>
        <v>0</v>
      </c>
      <c r="BJ12" s="29">
        <f t="shared" si="5"/>
        <v>0</v>
      </c>
      <c r="BK12" s="29">
        <f t="shared" si="5"/>
        <v>0</v>
      </c>
      <c r="BL12" s="29">
        <f t="shared" si="5"/>
        <v>0</v>
      </c>
      <c r="BM12" s="29">
        <f t="shared" si="5"/>
        <v>0</v>
      </c>
      <c r="BN12" s="29">
        <f t="shared" si="5"/>
        <v>0</v>
      </c>
      <c r="BO12" s="29">
        <f t="shared" ref="BO12:CJ12" si="6">BO55</f>
        <v>0</v>
      </c>
      <c r="BP12" s="29">
        <f t="shared" si="6"/>
        <v>0</v>
      </c>
      <c r="BQ12" s="29">
        <f t="shared" si="6"/>
        <v>0</v>
      </c>
      <c r="BR12" s="29">
        <f t="shared" si="6"/>
        <v>0</v>
      </c>
      <c r="BS12" s="29">
        <f t="shared" si="6"/>
        <v>0</v>
      </c>
      <c r="BT12" s="29">
        <f t="shared" si="6"/>
        <v>0</v>
      </c>
      <c r="BU12" s="29">
        <f t="shared" si="6"/>
        <v>0</v>
      </c>
      <c r="BV12" s="29">
        <f t="shared" si="6"/>
        <v>0</v>
      </c>
      <c r="BW12" s="29">
        <f t="shared" si="6"/>
        <v>0</v>
      </c>
      <c r="BX12" s="29">
        <f t="shared" si="6"/>
        <v>0</v>
      </c>
      <c r="BY12" s="29">
        <f t="shared" si="6"/>
        <v>0</v>
      </c>
      <c r="BZ12" s="29">
        <f t="shared" si="6"/>
        <v>0</v>
      </c>
      <c r="CA12" s="29">
        <f t="shared" si="6"/>
        <v>0</v>
      </c>
      <c r="CB12" s="29">
        <f t="shared" si="6"/>
        <v>0</v>
      </c>
      <c r="CC12" s="29">
        <f t="shared" si="6"/>
        <v>0</v>
      </c>
      <c r="CD12" s="29">
        <f t="shared" si="6"/>
        <v>0</v>
      </c>
      <c r="CE12" s="29">
        <f t="shared" si="6"/>
        <v>0</v>
      </c>
      <c r="CF12" s="29">
        <f t="shared" si="6"/>
        <v>0</v>
      </c>
      <c r="CG12" s="29">
        <f t="shared" si="6"/>
        <v>0</v>
      </c>
      <c r="CH12" s="29">
        <f t="shared" si="6"/>
        <v>0</v>
      </c>
      <c r="CI12" s="29">
        <f t="shared" si="6"/>
        <v>0</v>
      </c>
      <c r="CJ12" s="29">
        <f t="shared" si="6"/>
        <v>0</v>
      </c>
    </row>
    <row r="13" spans="1:89" x14ac:dyDescent="0.25">
      <c r="A13" s="17" t="s">
        <v>393</v>
      </c>
      <c r="B13" s="190">
        <v>900000000</v>
      </c>
      <c r="C13" s="190">
        <v>630000000</v>
      </c>
      <c r="D13" s="190">
        <v>378000000</v>
      </c>
      <c r="E13" s="190">
        <v>1317000000</v>
      </c>
      <c r="F13" s="190">
        <v>1206000000</v>
      </c>
      <c r="G13" s="190">
        <v>833000000</v>
      </c>
      <c r="H13" s="190">
        <v>416000000</v>
      </c>
      <c r="I13" s="190">
        <v>4964000000</v>
      </c>
      <c r="J13" s="190">
        <v>2276000000</v>
      </c>
      <c r="K13" s="190">
        <v>1357000000</v>
      </c>
      <c r="L13" s="190">
        <v>371000000</v>
      </c>
      <c r="M13" s="190">
        <v>6945000000</v>
      </c>
      <c r="N13" s="190">
        <v>3282000000</v>
      </c>
      <c r="O13" s="190">
        <v>1865000000</v>
      </c>
      <c r="P13" s="190">
        <v>876000000</v>
      </c>
      <c r="Q13" s="190">
        <v>4710000000</v>
      </c>
      <c r="R13" s="190">
        <v>2207000000</v>
      </c>
      <c r="S13" s="190">
        <v>1371000000</v>
      </c>
      <c r="T13" s="190">
        <v>445000000</v>
      </c>
      <c r="U13" s="190">
        <v>3481000000</v>
      </c>
      <c r="V13" s="190">
        <v>1845000000</v>
      </c>
      <c r="W13" s="190">
        <v>1157000000</v>
      </c>
      <c r="X13" s="190">
        <v>350000000</v>
      </c>
      <c r="Y13" s="190">
        <v>4573000000</v>
      </c>
      <c r="Z13" s="190">
        <v>2122000000</v>
      </c>
      <c r="AA13" s="190">
        <v>1362000000</v>
      </c>
      <c r="AB13" s="190">
        <v>179000000</v>
      </c>
      <c r="AC13" s="190">
        <v>3411000000</v>
      </c>
      <c r="AD13" s="190">
        <v>1551000000</v>
      </c>
      <c r="AE13" s="190">
        <v>1108000000</v>
      </c>
      <c r="AF13" s="190">
        <v>136000000</v>
      </c>
      <c r="AG13" s="190">
        <v>2108000000</v>
      </c>
      <c r="AH13" s="190">
        <v>1084000000</v>
      </c>
      <c r="AI13" s="190">
        <v>666000000</v>
      </c>
      <c r="AJ13" s="190">
        <v>416000000</v>
      </c>
      <c r="AK13" s="190">
        <v>1275000000</v>
      </c>
      <c r="AL13" s="190">
        <v>569000000</v>
      </c>
      <c r="AM13" s="190">
        <v>424000000</v>
      </c>
      <c r="AN13" s="190">
        <v>154000000</v>
      </c>
      <c r="AO13" s="190">
        <v>51391000000</v>
      </c>
      <c r="AP13" s="190">
        <v>45693000000</v>
      </c>
      <c r="AQ13" s="190">
        <v>33765000000</v>
      </c>
      <c r="AR13" s="190">
        <v>7452000000</v>
      </c>
      <c r="AS13" s="190">
        <v>6828000000</v>
      </c>
      <c r="AT13" s="190">
        <v>302000000</v>
      </c>
      <c r="AU13" s="190">
        <v>169000000</v>
      </c>
      <c r="AV13" s="190">
        <v>62000000</v>
      </c>
      <c r="AW13" s="190">
        <v>372000000</v>
      </c>
      <c r="AX13" s="190">
        <v>191000000</v>
      </c>
      <c r="AY13" s="190">
        <v>132000000</v>
      </c>
      <c r="AZ13" s="190">
        <v>52000000</v>
      </c>
      <c r="BA13" s="190">
        <v>367000000</v>
      </c>
      <c r="BB13" s="190">
        <v>250000000</v>
      </c>
      <c r="BC13" s="190">
        <v>133000000</v>
      </c>
      <c r="BD13" s="190">
        <v>90000000</v>
      </c>
      <c r="BE13" s="190">
        <v>665000000</v>
      </c>
      <c r="BF13" s="190">
        <v>269000000</v>
      </c>
      <c r="BG13" s="190">
        <v>181000000</v>
      </c>
      <c r="BH13" s="190">
        <v>72000000</v>
      </c>
      <c r="BI13" s="190">
        <v>292000000</v>
      </c>
      <c r="BJ13" s="190">
        <v>165000000</v>
      </c>
      <c r="BK13" s="190">
        <v>88000000</v>
      </c>
      <c r="BL13" s="190">
        <v>26000000</v>
      </c>
      <c r="BM13" s="190">
        <v>333000000</v>
      </c>
      <c r="BN13" s="190">
        <v>178000000</v>
      </c>
      <c r="BO13" s="190">
        <v>144000000</v>
      </c>
      <c r="BP13" s="190">
        <v>67000000</v>
      </c>
      <c r="BQ13" s="190">
        <v>769000000</v>
      </c>
      <c r="BR13" s="190">
        <v>111000000</v>
      </c>
      <c r="BS13" s="190">
        <v>215000000</v>
      </c>
      <c r="BT13" s="190">
        <v>436000000</v>
      </c>
      <c r="BU13" s="190">
        <v>559000000</v>
      </c>
      <c r="BV13" s="190">
        <v>0</v>
      </c>
      <c r="BW13" s="190"/>
      <c r="BX13" s="190"/>
      <c r="BY13" s="190"/>
      <c r="BZ13" s="190"/>
      <c r="CA13" s="190"/>
      <c r="CB13" s="190"/>
      <c r="CC13" s="190"/>
      <c r="CD13" s="190"/>
      <c r="CE13" s="190"/>
      <c r="CF13" s="190"/>
      <c r="CG13" s="190"/>
      <c r="CH13" s="190"/>
      <c r="CI13" s="190"/>
      <c r="CJ13" s="190"/>
      <c r="CK13" s="190"/>
    </row>
    <row r="14" spans="1:89" x14ac:dyDescent="0.25">
      <c r="A14" s="17" t="s">
        <v>394</v>
      </c>
      <c r="B14" s="190">
        <v>1455000000</v>
      </c>
      <c r="C14" s="190">
        <v>703000000</v>
      </c>
      <c r="D14" s="190">
        <v>353000000</v>
      </c>
      <c r="E14" s="190">
        <v>1709000000</v>
      </c>
      <c r="F14" s="190">
        <v>1703000000</v>
      </c>
      <c r="G14" s="190">
        <v>816000000</v>
      </c>
      <c r="H14" s="190">
        <v>332000000</v>
      </c>
      <c r="I14" s="190">
        <v>3963000000</v>
      </c>
      <c r="J14" s="190">
        <v>1523000000</v>
      </c>
      <c r="K14" s="190">
        <v>875000000</v>
      </c>
      <c r="L14" s="190">
        <v>479000000</v>
      </c>
      <c r="M14" s="190">
        <v>3067000000</v>
      </c>
      <c r="N14" s="190">
        <v>1595000000</v>
      </c>
      <c r="O14" s="190">
        <v>933000000</v>
      </c>
      <c r="P14" s="190">
        <v>404000000</v>
      </c>
      <c r="Q14" s="190">
        <v>3710000000</v>
      </c>
      <c r="R14" s="190">
        <v>2189000000</v>
      </c>
      <c r="S14" s="190">
        <v>1601000000</v>
      </c>
      <c r="T14" s="190">
        <v>468000000</v>
      </c>
      <c r="U14" s="190">
        <v>2952000000</v>
      </c>
      <c r="V14" s="190">
        <v>1486000000</v>
      </c>
      <c r="W14" s="190">
        <v>878000000</v>
      </c>
      <c r="X14" s="190">
        <v>447000000</v>
      </c>
      <c r="Y14" s="190">
        <v>2392000000</v>
      </c>
      <c r="Z14" s="190">
        <v>964000000</v>
      </c>
      <c r="AA14" s="190">
        <v>587000000</v>
      </c>
      <c r="AB14" s="190">
        <v>263000000</v>
      </c>
      <c r="AC14" s="190">
        <v>1739000000</v>
      </c>
      <c r="AD14" s="190">
        <v>923000000</v>
      </c>
      <c r="AE14" s="190">
        <v>590000000</v>
      </c>
      <c r="AF14" s="190">
        <v>209000000</v>
      </c>
      <c r="AG14" s="190">
        <v>1282000000</v>
      </c>
      <c r="AH14" s="190">
        <v>620000000</v>
      </c>
      <c r="AI14" s="190">
        <v>317000000</v>
      </c>
      <c r="AJ14" s="190">
        <v>170000000</v>
      </c>
      <c r="AK14" s="190">
        <v>1401000000</v>
      </c>
      <c r="AL14" s="190">
        <v>882000000</v>
      </c>
      <c r="AM14" s="190">
        <v>655000000</v>
      </c>
      <c r="AN14" s="190">
        <v>201000000</v>
      </c>
      <c r="AO14" s="190">
        <v>1099000000</v>
      </c>
      <c r="AP14" s="190">
        <v>715000000</v>
      </c>
      <c r="AQ14" s="190">
        <v>465000000</v>
      </c>
      <c r="AR14" s="190">
        <v>183000000</v>
      </c>
      <c r="AS14" s="190">
        <v>2059000000</v>
      </c>
      <c r="AT14" s="190">
        <v>986000000</v>
      </c>
      <c r="AU14" s="190">
        <v>749000000</v>
      </c>
      <c r="AV14" s="190">
        <v>178000000</v>
      </c>
      <c r="AW14" s="190">
        <v>3459000000</v>
      </c>
      <c r="AX14" s="190">
        <v>1015000000</v>
      </c>
      <c r="AY14" s="190">
        <v>674000000</v>
      </c>
      <c r="AZ14" s="190">
        <v>251000000</v>
      </c>
      <c r="BA14" s="190">
        <v>5969000000</v>
      </c>
      <c r="BB14" s="190">
        <v>1905000000</v>
      </c>
      <c r="BC14" s="190">
        <v>1109000000</v>
      </c>
      <c r="BD14" s="190">
        <v>427000000</v>
      </c>
      <c r="BE14" s="190">
        <v>11171000000</v>
      </c>
      <c r="BF14" s="190">
        <v>8837000000</v>
      </c>
      <c r="BG14" s="190">
        <v>4952000000</v>
      </c>
      <c r="BH14" s="190">
        <v>1590000000</v>
      </c>
      <c r="BI14" s="190">
        <v>6334000000</v>
      </c>
      <c r="BJ14" s="190">
        <v>3409000000</v>
      </c>
      <c r="BK14" s="190">
        <v>768000000</v>
      </c>
      <c r="BL14" s="190">
        <v>264000000</v>
      </c>
      <c r="BM14" s="190">
        <v>1643000000</v>
      </c>
      <c r="BN14" s="190">
        <v>504000000</v>
      </c>
      <c r="BO14" s="190">
        <v>345000000</v>
      </c>
      <c r="BP14" s="190">
        <v>180000000</v>
      </c>
      <c r="BQ14" s="190">
        <v>3508000000</v>
      </c>
      <c r="BR14" s="190">
        <v>1759000000</v>
      </c>
      <c r="BS14" s="190">
        <v>657000000</v>
      </c>
      <c r="BT14" s="190">
        <v>765000000</v>
      </c>
      <c r="BU14" s="190">
        <v>2116000000</v>
      </c>
      <c r="BV14" s="190">
        <v>0</v>
      </c>
      <c r="BW14" s="190"/>
      <c r="BX14" s="190"/>
      <c r="BY14" s="190"/>
      <c r="BZ14" s="190"/>
      <c r="CA14" s="190"/>
      <c r="CB14" s="190"/>
      <c r="CC14" s="190"/>
      <c r="CD14" s="190"/>
      <c r="CE14" s="190"/>
      <c r="CF14" s="190"/>
      <c r="CG14" s="190"/>
      <c r="CH14" s="190"/>
      <c r="CI14" s="190"/>
      <c r="CJ14" s="190"/>
      <c r="CK14" s="190"/>
    </row>
    <row r="15" spans="1:89" s="2" customFormat="1" x14ac:dyDescent="0.25">
      <c r="A15" s="20" t="s">
        <v>397</v>
      </c>
      <c r="B15" s="28">
        <f>B6-(B8+B9+B10+B11+B12)+B13-B14</f>
        <v>96018999537</v>
      </c>
      <c r="C15" s="28">
        <f t="shared" ref="C15:BN15" si="7">C6-(C8+C9+C10+C11+C12)+C13-C14</f>
        <v>69032999397</v>
      </c>
      <c r="D15" s="28">
        <f t="shared" si="7"/>
        <v>29897999347</v>
      </c>
      <c r="E15" s="28">
        <f t="shared" si="7"/>
        <v>76559000000</v>
      </c>
      <c r="F15" s="28">
        <f t="shared" si="7"/>
        <v>58365998796</v>
      </c>
      <c r="G15" s="28">
        <f t="shared" si="7"/>
        <v>41020999132</v>
      </c>
      <c r="H15" s="28">
        <f t="shared" si="7"/>
        <v>27138999356</v>
      </c>
      <c r="I15" s="28">
        <f t="shared" si="7"/>
        <v>66762000000</v>
      </c>
      <c r="J15" s="28">
        <f t="shared" si="7"/>
        <v>57463000000</v>
      </c>
      <c r="K15" s="28">
        <f t="shared" si="7"/>
        <v>38267000000</v>
      </c>
      <c r="L15" s="28">
        <f t="shared" si="7"/>
        <v>14850000000</v>
      </c>
      <c r="M15" s="28">
        <f t="shared" si="7"/>
        <v>66267000000</v>
      </c>
      <c r="N15" s="28">
        <f t="shared" si="7"/>
        <v>55629000000</v>
      </c>
      <c r="O15" s="28">
        <f t="shared" si="7"/>
        <v>44820000000</v>
      </c>
      <c r="P15" s="28">
        <f t="shared" si="7"/>
        <v>7308000000</v>
      </c>
      <c r="Q15" s="28">
        <f t="shared" si="7"/>
        <v>83793000000</v>
      </c>
      <c r="R15" s="28">
        <f t="shared" si="7"/>
        <v>83834000000</v>
      </c>
      <c r="S15" s="28">
        <f t="shared" si="7"/>
        <v>56515000000</v>
      </c>
      <c r="T15" s="28">
        <f t="shared" si="7"/>
        <v>27073000000</v>
      </c>
      <c r="U15" s="28">
        <f t="shared" si="7"/>
        <v>111985000000</v>
      </c>
      <c r="V15" s="28">
        <f t="shared" si="7"/>
        <v>86790000000</v>
      </c>
      <c r="W15" s="28">
        <f t="shared" si="7"/>
        <v>53263000000</v>
      </c>
      <c r="X15" s="28">
        <f t="shared" si="7"/>
        <v>30195000000</v>
      </c>
      <c r="Y15" s="28">
        <f t="shared" si="7"/>
        <v>114565000000</v>
      </c>
      <c r="Z15" s="28">
        <f t="shared" si="7"/>
        <v>79195000000</v>
      </c>
      <c r="AA15" s="28">
        <f t="shared" si="7"/>
        <v>45956000000</v>
      </c>
      <c r="AB15" s="28">
        <f t="shared" si="7"/>
        <v>25175000000</v>
      </c>
      <c r="AC15" s="28">
        <f t="shared" si="7"/>
        <v>116914000000</v>
      </c>
      <c r="AD15" s="28">
        <f t="shared" si="7"/>
        <v>94834000000</v>
      </c>
      <c r="AE15" s="28">
        <f t="shared" si="7"/>
        <v>62766000000</v>
      </c>
      <c r="AF15" s="28">
        <f t="shared" si="7"/>
        <v>33874000000</v>
      </c>
      <c r="AG15" s="28">
        <f t="shared" si="7"/>
        <v>114488000000</v>
      </c>
      <c r="AH15" s="28">
        <f t="shared" si="7"/>
        <v>89036000000</v>
      </c>
      <c r="AI15" s="28">
        <f t="shared" si="7"/>
        <v>55197000000</v>
      </c>
      <c r="AJ15" s="28">
        <f t="shared" si="7"/>
        <v>24335000000</v>
      </c>
      <c r="AK15" s="28">
        <f t="shared" si="7"/>
        <v>94413000000</v>
      </c>
      <c r="AL15" s="28">
        <f t="shared" si="7"/>
        <v>75560000000</v>
      </c>
      <c r="AM15" s="28">
        <f t="shared" si="7"/>
        <v>50631000000</v>
      </c>
      <c r="AN15" s="28">
        <f t="shared" si="7"/>
        <v>18700000000</v>
      </c>
      <c r="AO15" s="28">
        <f t="shared" si="7"/>
        <v>36310000000</v>
      </c>
      <c r="AP15" s="28">
        <f t="shared" si="7"/>
        <v>26185000000</v>
      </c>
      <c r="AQ15" s="28">
        <f t="shared" si="7"/>
        <v>13269000000</v>
      </c>
      <c r="AR15" s="28">
        <f t="shared" si="7"/>
        <v>6278000000</v>
      </c>
      <c r="AS15" s="28">
        <f t="shared" si="7"/>
        <v>96361000000</v>
      </c>
      <c r="AT15" s="28">
        <f t="shared" si="7"/>
        <v>82168000000</v>
      </c>
      <c r="AU15" s="28">
        <f t="shared" si="7"/>
        <v>58957000000</v>
      </c>
      <c r="AV15" s="28">
        <f t="shared" si="7"/>
        <v>25458000000</v>
      </c>
      <c r="AW15" s="28">
        <f t="shared" si="7"/>
        <v>81952000000</v>
      </c>
      <c r="AX15" s="28">
        <f t="shared" si="7"/>
        <v>58272000000</v>
      </c>
      <c r="AY15" s="28">
        <f t="shared" si="7"/>
        <v>36748000000</v>
      </c>
      <c r="AZ15" s="28">
        <f t="shared" si="7"/>
        <v>16035000000</v>
      </c>
      <c r="BA15" s="28">
        <f t="shared" si="7"/>
        <v>62092000000</v>
      </c>
      <c r="BB15" s="28">
        <f t="shared" si="7"/>
        <v>50344000000</v>
      </c>
      <c r="BC15" s="28">
        <f t="shared" si="7"/>
        <v>35928000000</v>
      </c>
      <c r="BD15" s="28">
        <f t="shared" si="7"/>
        <v>17373000000</v>
      </c>
      <c r="BE15" s="28">
        <f t="shared" si="7"/>
        <v>62072000000</v>
      </c>
      <c r="BF15" s="28">
        <f t="shared" si="7"/>
        <v>44413000000</v>
      </c>
      <c r="BG15" s="28">
        <f t="shared" si="7"/>
        <v>27535000000</v>
      </c>
      <c r="BH15" s="28">
        <f t="shared" si="7"/>
        <v>14286000000</v>
      </c>
      <c r="BI15" s="28">
        <f t="shared" si="7"/>
        <v>38873000000</v>
      </c>
      <c r="BJ15" s="28">
        <f t="shared" si="7"/>
        <v>29361000000</v>
      </c>
      <c r="BK15" s="28">
        <f t="shared" si="7"/>
        <v>19380000000</v>
      </c>
      <c r="BL15" s="28">
        <f t="shared" si="7"/>
        <v>11279000000</v>
      </c>
      <c r="BM15" s="28">
        <f t="shared" si="7"/>
        <v>29308000000</v>
      </c>
      <c r="BN15" s="28">
        <f t="shared" si="7"/>
        <v>19884000000</v>
      </c>
      <c r="BO15" s="28">
        <f t="shared" ref="BO15:CJ15" si="8">BO6-(BO8+BO9+BO10+BO11+BO12)+BO13-BO14</f>
        <v>10794000000</v>
      </c>
      <c r="BP15" s="28">
        <f t="shared" si="8"/>
        <v>1864000000</v>
      </c>
      <c r="BQ15" s="28">
        <f t="shared" si="8"/>
        <v>26941000000</v>
      </c>
      <c r="BR15" s="28">
        <f t="shared" si="8"/>
        <v>15787000000</v>
      </c>
      <c r="BS15" s="28">
        <f t="shared" si="8"/>
        <v>32400000000</v>
      </c>
      <c r="BT15" s="28">
        <f t="shared" si="8"/>
        <v>16189000000</v>
      </c>
      <c r="BU15" s="28">
        <f t="shared" si="8"/>
        <v>6641000000</v>
      </c>
      <c r="BV15" s="28">
        <f t="shared" si="8"/>
        <v>0</v>
      </c>
      <c r="BW15" s="28">
        <f t="shared" si="8"/>
        <v>0</v>
      </c>
      <c r="BX15" s="28">
        <f t="shared" si="8"/>
        <v>0</v>
      </c>
      <c r="BY15" s="28">
        <f t="shared" si="8"/>
        <v>0</v>
      </c>
      <c r="BZ15" s="28">
        <f t="shared" si="8"/>
        <v>0</v>
      </c>
      <c r="CA15" s="28">
        <f t="shared" si="8"/>
        <v>0</v>
      </c>
      <c r="CB15" s="28">
        <f t="shared" si="8"/>
        <v>0</v>
      </c>
      <c r="CC15" s="28">
        <f t="shared" si="8"/>
        <v>0</v>
      </c>
      <c r="CD15" s="28">
        <f t="shared" si="8"/>
        <v>0</v>
      </c>
      <c r="CE15" s="28">
        <f t="shared" si="8"/>
        <v>0</v>
      </c>
      <c r="CF15" s="28">
        <f t="shared" si="8"/>
        <v>0</v>
      </c>
      <c r="CG15" s="28">
        <f t="shared" si="8"/>
        <v>0</v>
      </c>
      <c r="CH15" s="28">
        <f t="shared" si="8"/>
        <v>0</v>
      </c>
      <c r="CI15" s="28">
        <f t="shared" si="8"/>
        <v>0</v>
      </c>
      <c r="CJ15" s="28">
        <f t="shared" si="8"/>
        <v>0</v>
      </c>
    </row>
    <row r="16" spans="1:89" s="23" customFormat="1" x14ac:dyDescent="0.25">
      <c r="A16" s="17" t="s">
        <v>395</v>
      </c>
      <c r="B16" s="26">
        <f>B15*B41</f>
        <v>18356638549.66312</v>
      </c>
      <c r="C16" s="26">
        <f t="shared" ref="C16:BN16" si="9">C15*C41</f>
        <v>13522539256.300358</v>
      </c>
      <c r="D16" s="26">
        <f t="shared" si="9"/>
        <v>6650234152.3297272</v>
      </c>
      <c r="E16" s="26">
        <f t="shared" si="9"/>
        <v>13847514066.35408</v>
      </c>
      <c r="F16" s="26">
        <f t="shared" si="9"/>
        <v>11504300741.370724</v>
      </c>
      <c r="G16" s="26">
        <f t="shared" si="9"/>
        <v>7757296121.8126211</v>
      </c>
      <c r="H16" s="26">
        <f t="shared" si="9"/>
        <v>5821641579.3590155</v>
      </c>
      <c r="I16" s="26">
        <f t="shared" si="9"/>
        <v>14335169426.672335</v>
      </c>
      <c r="J16" s="26">
        <f t="shared" si="9"/>
        <v>11114165702.176216</v>
      </c>
      <c r="K16" s="26">
        <f t="shared" si="9"/>
        <v>7578331198.298274</v>
      </c>
      <c r="L16" s="26">
        <f t="shared" si="9"/>
        <v>2993147256.3680139</v>
      </c>
      <c r="M16" s="26">
        <f t="shared" si="9"/>
        <v>13302335890.376078</v>
      </c>
      <c r="N16" s="26">
        <f t="shared" si="9"/>
        <v>10024831329.866014</v>
      </c>
      <c r="O16" s="26">
        <f t="shared" si="9"/>
        <v>9108623167.0938187</v>
      </c>
      <c r="P16" s="26">
        <f t="shared" si="9"/>
        <v>824634754.72146344</v>
      </c>
      <c r="Q16" s="26">
        <f t="shared" si="9"/>
        <v>21426258848.012112</v>
      </c>
      <c r="R16" s="26">
        <f t="shared" si="9"/>
        <v>18889874399.09993</v>
      </c>
      <c r="S16" s="26">
        <f t="shared" si="9"/>
        <v>13107288485.509504</v>
      </c>
      <c r="T16" s="26">
        <f t="shared" si="9"/>
        <v>5847651483.9056759</v>
      </c>
      <c r="U16" s="26">
        <f t="shared" si="9"/>
        <v>25134781951.262272</v>
      </c>
      <c r="V16" s="26">
        <f t="shared" si="9"/>
        <v>20663404633.314384</v>
      </c>
      <c r="W16" s="26">
        <f t="shared" si="9"/>
        <v>12780905791.104525</v>
      </c>
      <c r="X16" s="26">
        <f t="shared" si="9"/>
        <v>7007972825.6784191</v>
      </c>
      <c r="Y16" s="26">
        <f t="shared" si="9"/>
        <v>25479199226.632378</v>
      </c>
      <c r="Z16" s="26">
        <f t="shared" si="9"/>
        <v>18243349788.919296</v>
      </c>
      <c r="AA16" s="26">
        <f t="shared" si="9"/>
        <v>10394146892.107941</v>
      </c>
      <c r="AB16" s="26">
        <f t="shared" si="9"/>
        <v>4920553059.3365927</v>
      </c>
      <c r="AC16" s="26">
        <f t="shared" si="9"/>
        <v>25895822041.181122</v>
      </c>
      <c r="AD16" s="26">
        <f t="shared" si="9"/>
        <v>20418408649.659069</v>
      </c>
      <c r="AE16" s="26">
        <f t="shared" si="9"/>
        <v>13655260048.192772</v>
      </c>
      <c r="AF16" s="26">
        <f t="shared" si="9"/>
        <v>7853693243.445693</v>
      </c>
      <c r="AG16" s="26">
        <f t="shared" si="9"/>
        <v>26019766584.43597</v>
      </c>
      <c r="AH16" s="26">
        <f t="shared" si="9"/>
        <v>19537718633.967453</v>
      </c>
      <c r="AI16" s="26">
        <f t="shared" si="9"/>
        <v>11356483230.996063</v>
      </c>
      <c r="AJ16" s="26">
        <f t="shared" si="9"/>
        <v>4703810689.6837912</v>
      </c>
      <c r="AK16" s="26">
        <f t="shared" si="9"/>
        <v>16682788203.871223</v>
      </c>
      <c r="AL16" s="26">
        <f t="shared" si="9"/>
        <v>14751641757.937057</v>
      </c>
      <c r="AM16" s="26">
        <f t="shared" si="9"/>
        <v>9468649150.8737392</v>
      </c>
      <c r="AN16" s="26">
        <f t="shared" si="9"/>
        <v>3368473895.5823293</v>
      </c>
      <c r="AO16" s="26">
        <f t="shared" si="9"/>
        <v>-2171793743.2714839</v>
      </c>
      <c r="AP16" s="26">
        <f t="shared" si="9"/>
        <v>2765446622.2344913</v>
      </c>
      <c r="AQ16" s="26">
        <f t="shared" si="9"/>
        <v>94086562.763268754</v>
      </c>
      <c r="AR16" s="26">
        <f t="shared" si="9"/>
        <v>128425925.92592593</v>
      </c>
      <c r="AS16" s="26">
        <f t="shared" si="9"/>
        <v>26400470536.929886</v>
      </c>
      <c r="AT16" s="26">
        <f t="shared" si="9"/>
        <v>22523528670.947269</v>
      </c>
      <c r="AU16" s="26">
        <f t="shared" si="9"/>
        <v>16321830133.548754</v>
      </c>
      <c r="AV16" s="26">
        <f t="shared" si="9"/>
        <v>7880290514.7759771</v>
      </c>
      <c r="AW16" s="26">
        <f t="shared" si="9"/>
        <v>24519399038.078281</v>
      </c>
      <c r="AX16" s="26">
        <f t="shared" si="9"/>
        <v>16841916792.282183</v>
      </c>
      <c r="AY16" s="26">
        <f t="shared" si="9"/>
        <v>10959505297.815025</v>
      </c>
      <c r="AZ16" s="26">
        <f t="shared" si="9"/>
        <v>4564170947.1953974</v>
      </c>
      <c r="BA16" s="26">
        <f t="shared" si="9"/>
        <v>20363383750.585541</v>
      </c>
      <c r="BB16" s="26">
        <f t="shared" si="9"/>
        <v>14177345939.35169</v>
      </c>
      <c r="BC16" s="26">
        <f t="shared" si="9"/>
        <v>10187044720.727407</v>
      </c>
      <c r="BD16" s="26">
        <f t="shared" si="9"/>
        <v>4981393520.812686</v>
      </c>
      <c r="BE16" s="26">
        <f t="shared" si="9"/>
        <v>16945321525.098167</v>
      </c>
      <c r="BF16" s="26">
        <f t="shared" si="9"/>
        <v>11954745670.789724</v>
      </c>
      <c r="BG16" s="26">
        <f t="shared" si="9"/>
        <v>7588912046.8467083</v>
      </c>
      <c r="BH16" s="26">
        <f t="shared" si="9"/>
        <v>3722006483.2265358</v>
      </c>
      <c r="BI16" s="26">
        <f t="shared" si="9"/>
        <v>10310839652.04579</v>
      </c>
      <c r="BJ16" s="26">
        <f t="shared" si="9"/>
        <v>7787517347.2869978</v>
      </c>
      <c r="BK16" s="26">
        <f t="shared" si="9"/>
        <v>5277495282.2096415</v>
      </c>
      <c r="BL16" s="26">
        <f t="shared" si="9"/>
        <v>3088680090.3644047</v>
      </c>
      <c r="BM16" s="26">
        <f t="shared" si="9"/>
        <v>7830109550.3413639</v>
      </c>
      <c r="BN16" s="26">
        <f t="shared" si="9"/>
        <v>5383529879.0395384</v>
      </c>
      <c r="BO16" s="26">
        <f t="shared" ref="BO16:CK16" si="10">BO15*BO41</f>
        <v>2751659943.7148218</v>
      </c>
      <c r="BP16" s="26">
        <f t="shared" si="10"/>
        <v>70226049.515608177</v>
      </c>
      <c r="BQ16" s="26">
        <f t="shared" si="10"/>
        <v>7997386965.8030224</v>
      </c>
      <c r="BR16" s="26">
        <f t="shared" si="10"/>
        <v>3904114913.3618503</v>
      </c>
      <c r="BS16" s="26">
        <f t="shared" si="10"/>
        <v>9272797927.4611397</v>
      </c>
      <c r="BT16" s="26">
        <f t="shared" si="10"/>
        <v>2107208528.6894395</v>
      </c>
      <c r="BU16" s="26">
        <f t="shared" si="10"/>
        <v>13233466504.263094</v>
      </c>
      <c r="BV16" s="26" t="e">
        <f t="shared" si="10"/>
        <v>#DIV/0!</v>
      </c>
      <c r="BW16" s="26">
        <f t="shared" si="10"/>
        <v>0</v>
      </c>
      <c r="BX16" s="26">
        <f t="shared" si="10"/>
        <v>0</v>
      </c>
      <c r="BY16" s="26">
        <f t="shared" si="10"/>
        <v>0</v>
      </c>
      <c r="BZ16" s="26">
        <f t="shared" si="10"/>
        <v>0</v>
      </c>
      <c r="CA16" s="26">
        <f t="shared" si="10"/>
        <v>0</v>
      </c>
      <c r="CB16" s="26">
        <f t="shared" si="10"/>
        <v>0</v>
      </c>
      <c r="CC16" s="26">
        <f t="shared" si="10"/>
        <v>0</v>
      </c>
      <c r="CD16" s="26" t="e">
        <f t="shared" si="10"/>
        <v>#DIV/0!</v>
      </c>
      <c r="CE16" s="26">
        <f t="shared" si="10"/>
        <v>0</v>
      </c>
      <c r="CF16" s="26">
        <f t="shared" si="10"/>
        <v>0</v>
      </c>
      <c r="CG16" s="26" t="e">
        <f t="shared" si="10"/>
        <v>#DIV/0!</v>
      </c>
      <c r="CH16" s="26" t="e">
        <f t="shared" si="10"/>
        <v>#DIV/0!</v>
      </c>
      <c r="CI16" s="26" t="e">
        <f t="shared" si="10"/>
        <v>#DIV/0!</v>
      </c>
      <c r="CJ16" s="26" t="e">
        <f t="shared" si="10"/>
        <v>#DIV/0!</v>
      </c>
      <c r="CK16" s="26">
        <f t="shared" si="10"/>
        <v>0</v>
      </c>
    </row>
    <row r="17" spans="1:89" s="25" customFormat="1" x14ac:dyDescent="0.25">
      <c r="A17" s="20" t="s">
        <v>396</v>
      </c>
      <c r="B17" s="27">
        <f>B15-B16</f>
        <v>77662360987.336884</v>
      </c>
      <c r="C17" s="27">
        <f t="shared" ref="C17:BN17" si="11">C15-C16</f>
        <v>55510460140.699646</v>
      </c>
      <c r="D17" s="27">
        <f t="shared" si="11"/>
        <v>23247765194.670273</v>
      </c>
      <c r="E17" s="27">
        <f t="shared" si="11"/>
        <v>62711485933.64592</v>
      </c>
      <c r="F17" s="27">
        <f t="shared" si="11"/>
        <v>46861698054.629272</v>
      </c>
      <c r="G17" s="27">
        <f t="shared" si="11"/>
        <v>33263703010.187378</v>
      </c>
      <c r="H17" s="27">
        <f t="shared" si="11"/>
        <v>21317357776.640984</v>
      </c>
      <c r="I17" s="27">
        <f t="shared" si="11"/>
        <v>52426830573.327667</v>
      </c>
      <c r="J17" s="27">
        <f t="shared" si="11"/>
        <v>46348834297.823784</v>
      </c>
      <c r="K17" s="27">
        <f t="shared" si="11"/>
        <v>30688668801.701725</v>
      </c>
      <c r="L17" s="27">
        <f t="shared" si="11"/>
        <v>11856852743.631987</v>
      </c>
      <c r="M17" s="27">
        <f t="shared" si="11"/>
        <v>52964664109.623924</v>
      </c>
      <c r="N17" s="27">
        <f t="shared" si="11"/>
        <v>45604168670.133987</v>
      </c>
      <c r="O17" s="27">
        <f t="shared" si="11"/>
        <v>35711376832.906181</v>
      </c>
      <c r="P17" s="27">
        <f t="shared" si="11"/>
        <v>6483365245.2785368</v>
      </c>
      <c r="Q17" s="27">
        <f t="shared" si="11"/>
        <v>62366741151.987885</v>
      </c>
      <c r="R17" s="27">
        <f t="shared" si="11"/>
        <v>64944125600.90007</v>
      </c>
      <c r="S17" s="27">
        <f t="shared" si="11"/>
        <v>43407711514.490494</v>
      </c>
      <c r="T17" s="27">
        <f t="shared" si="11"/>
        <v>21225348516.094322</v>
      </c>
      <c r="U17" s="27">
        <f t="shared" si="11"/>
        <v>86850218048.737732</v>
      </c>
      <c r="V17" s="27">
        <f t="shared" si="11"/>
        <v>66126595366.685616</v>
      </c>
      <c r="W17" s="27">
        <f t="shared" si="11"/>
        <v>40482094208.895477</v>
      </c>
      <c r="X17" s="27">
        <f t="shared" si="11"/>
        <v>23187027174.321579</v>
      </c>
      <c r="Y17" s="27">
        <f t="shared" si="11"/>
        <v>89085800773.367615</v>
      </c>
      <c r="Z17" s="27">
        <f t="shared" si="11"/>
        <v>60951650211.080704</v>
      </c>
      <c r="AA17" s="27">
        <f t="shared" si="11"/>
        <v>35561853107.892059</v>
      </c>
      <c r="AB17" s="27">
        <f t="shared" si="11"/>
        <v>20254446940.663406</v>
      </c>
      <c r="AC17" s="27">
        <f t="shared" si="11"/>
        <v>91018177958.818878</v>
      </c>
      <c r="AD17" s="27">
        <f t="shared" si="11"/>
        <v>74415591350.340927</v>
      </c>
      <c r="AE17" s="27">
        <f t="shared" si="11"/>
        <v>49110739951.807228</v>
      </c>
      <c r="AF17" s="27">
        <f t="shared" si="11"/>
        <v>26020306756.554306</v>
      </c>
      <c r="AG17" s="27">
        <f t="shared" si="11"/>
        <v>88468233415.564026</v>
      </c>
      <c r="AH17" s="27">
        <f t="shared" si="11"/>
        <v>69498281366.032547</v>
      </c>
      <c r="AI17" s="27">
        <f t="shared" si="11"/>
        <v>43840516769.003937</v>
      </c>
      <c r="AJ17" s="27">
        <f t="shared" si="11"/>
        <v>19631189310.316208</v>
      </c>
      <c r="AK17" s="27">
        <f t="shared" si="11"/>
        <v>77730211796.128784</v>
      </c>
      <c r="AL17" s="27">
        <f t="shared" si="11"/>
        <v>60808358242.062943</v>
      </c>
      <c r="AM17" s="27">
        <f t="shared" si="11"/>
        <v>41162350849.126259</v>
      </c>
      <c r="AN17" s="27">
        <f t="shared" si="11"/>
        <v>15331526104.417671</v>
      </c>
      <c r="AO17" s="27">
        <f t="shared" si="11"/>
        <v>38481793743.271484</v>
      </c>
      <c r="AP17" s="27">
        <f t="shared" si="11"/>
        <v>23419553377.765511</v>
      </c>
      <c r="AQ17" s="27">
        <f t="shared" si="11"/>
        <v>13174913437.236731</v>
      </c>
      <c r="AR17" s="27">
        <f t="shared" si="11"/>
        <v>6149574074.0740738</v>
      </c>
      <c r="AS17" s="27">
        <f t="shared" si="11"/>
        <v>69960529463.070114</v>
      </c>
      <c r="AT17" s="27">
        <f t="shared" si="11"/>
        <v>59644471329.052734</v>
      </c>
      <c r="AU17" s="27">
        <f t="shared" si="11"/>
        <v>42635169866.451248</v>
      </c>
      <c r="AV17" s="27">
        <f t="shared" si="11"/>
        <v>17577709485.224022</v>
      </c>
      <c r="AW17" s="27">
        <f t="shared" si="11"/>
        <v>57432600961.921722</v>
      </c>
      <c r="AX17" s="27">
        <f t="shared" si="11"/>
        <v>41430083207.717819</v>
      </c>
      <c r="AY17" s="27">
        <f t="shared" si="11"/>
        <v>25788494702.184975</v>
      </c>
      <c r="AZ17" s="27">
        <f t="shared" si="11"/>
        <v>11470829052.804604</v>
      </c>
      <c r="BA17" s="27">
        <f t="shared" si="11"/>
        <v>41728616249.414459</v>
      </c>
      <c r="BB17" s="27">
        <f t="shared" si="11"/>
        <v>36166654060.648308</v>
      </c>
      <c r="BC17" s="27">
        <f t="shared" si="11"/>
        <v>25740955279.272591</v>
      </c>
      <c r="BD17" s="27">
        <f t="shared" si="11"/>
        <v>12391606479.187313</v>
      </c>
      <c r="BE17" s="27">
        <f t="shared" si="11"/>
        <v>45126678474.901833</v>
      </c>
      <c r="BF17" s="27">
        <f t="shared" si="11"/>
        <v>32458254329.210274</v>
      </c>
      <c r="BG17" s="27">
        <f t="shared" si="11"/>
        <v>19946087953.15329</v>
      </c>
      <c r="BH17" s="27">
        <f t="shared" si="11"/>
        <v>10563993516.773464</v>
      </c>
      <c r="BI17" s="27">
        <f t="shared" si="11"/>
        <v>28562160347.954208</v>
      </c>
      <c r="BJ17" s="27">
        <f t="shared" si="11"/>
        <v>21573482652.713001</v>
      </c>
      <c r="BK17" s="27">
        <f t="shared" si="11"/>
        <v>14102504717.790359</v>
      </c>
      <c r="BL17" s="27">
        <f t="shared" si="11"/>
        <v>8190319909.6355953</v>
      </c>
      <c r="BM17" s="27">
        <f t="shared" si="11"/>
        <v>21477890449.658638</v>
      </c>
      <c r="BN17" s="27">
        <f t="shared" si="11"/>
        <v>14500470120.960461</v>
      </c>
      <c r="BO17" s="27">
        <f t="shared" ref="BO17:CJ17" si="12">BO15-BO16</f>
        <v>8042340056.2851782</v>
      </c>
      <c r="BP17" s="27">
        <f t="shared" si="12"/>
        <v>1793773950.4843919</v>
      </c>
      <c r="BQ17" s="27">
        <f t="shared" si="12"/>
        <v>18943613034.196976</v>
      </c>
      <c r="BR17" s="27">
        <f t="shared" si="12"/>
        <v>11882885086.638149</v>
      </c>
      <c r="BS17" s="27">
        <f t="shared" si="12"/>
        <v>23127202072.53886</v>
      </c>
      <c r="BT17" s="27">
        <f t="shared" si="12"/>
        <v>14081791471.31056</v>
      </c>
      <c r="BU17" s="27">
        <f t="shared" si="12"/>
        <v>-6592466504.2630939</v>
      </c>
      <c r="BV17" s="27" t="e">
        <f t="shared" si="12"/>
        <v>#DIV/0!</v>
      </c>
      <c r="BW17" s="27">
        <f t="shared" si="12"/>
        <v>0</v>
      </c>
      <c r="BX17" s="27">
        <f t="shared" si="12"/>
        <v>0</v>
      </c>
      <c r="BY17" s="27">
        <f t="shared" si="12"/>
        <v>0</v>
      </c>
      <c r="BZ17" s="27">
        <f t="shared" si="12"/>
        <v>0</v>
      </c>
      <c r="CA17" s="27">
        <f t="shared" si="12"/>
        <v>0</v>
      </c>
      <c r="CB17" s="27">
        <f t="shared" si="12"/>
        <v>0</v>
      </c>
      <c r="CC17" s="27">
        <f t="shared" si="12"/>
        <v>0</v>
      </c>
      <c r="CD17" s="27" t="e">
        <f t="shared" si="12"/>
        <v>#DIV/0!</v>
      </c>
      <c r="CE17" s="27">
        <f t="shared" si="12"/>
        <v>0</v>
      </c>
      <c r="CF17" s="27">
        <f t="shared" si="12"/>
        <v>0</v>
      </c>
      <c r="CG17" s="27" t="e">
        <f t="shared" si="12"/>
        <v>#DIV/0!</v>
      </c>
      <c r="CH17" s="27" t="e">
        <f t="shared" si="12"/>
        <v>#DIV/0!</v>
      </c>
      <c r="CI17" s="27" t="e">
        <f t="shared" si="12"/>
        <v>#DIV/0!</v>
      </c>
      <c r="CJ17" s="27" t="e">
        <f t="shared" si="12"/>
        <v>#DIV/0!</v>
      </c>
    </row>
    <row r="18" spans="1:89" s="57" customFormat="1" x14ac:dyDescent="0.25">
      <c r="A18" s="57" t="s">
        <v>398</v>
      </c>
      <c r="B18" s="57">
        <f>B17/B4*100</f>
        <v>3.7464295666284064</v>
      </c>
      <c r="C18" s="57">
        <f t="shared" ref="C18:D18" si="13">C17/C4*100</f>
        <v>4.2692078259214092</v>
      </c>
      <c r="D18" s="57">
        <f t="shared" si="13"/>
        <v>3.742088977670905</v>
      </c>
      <c r="E18" s="57">
        <f>E17/E4</f>
        <v>2.6570490605491128E-2</v>
      </c>
      <c r="F18" s="57">
        <f t="shared" ref="F18:BQ18" si="14">F17/F4</f>
        <v>2.6855533841634468E-2</v>
      </c>
      <c r="G18" s="57">
        <f t="shared" si="14"/>
        <v>2.8532035790755809E-2</v>
      </c>
      <c r="H18" s="57">
        <f t="shared" si="14"/>
        <v>3.6616123357078909E-2</v>
      </c>
      <c r="I18" s="57">
        <f t="shared" si="14"/>
        <v>2.7151344921297598E-2</v>
      </c>
      <c r="J18" s="57">
        <f t="shared" si="14"/>
        <v>3.3981454015978491E-2</v>
      </c>
      <c r="K18" s="57">
        <f t="shared" si="14"/>
        <v>3.4904425287984493E-2</v>
      </c>
      <c r="L18" s="57">
        <f t="shared" si="14"/>
        <v>2.8654275704178417E-2</v>
      </c>
      <c r="M18" s="57">
        <f t="shared" si="14"/>
        <v>2.6234637722752592E-2</v>
      </c>
      <c r="N18" s="57">
        <f t="shared" si="14"/>
        <v>2.967404394228795E-2</v>
      </c>
      <c r="O18" s="57">
        <f t="shared" si="14"/>
        <v>3.4325914280708233E-2</v>
      </c>
      <c r="P18" s="57">
        <f t="shared" si="14"/>
        <v>1.3556690549907968E-2</v>
      </c>
      <c r="Q18" s="57">
        <f t="shared" si="14"/>
        <v>2.2069582142976708E-2</v>
      </c>
      <c r="R18" s="57">
        <f t="shared" si="14"/>
        <v>3.0697037314761279E-2</v>
      </c>
      <c r="S18" s="57">
        <f t="shared" si="14"/>
        <v>3.2007526710837925E-2</v>
      </c>
      <c r="T18" s="57">
        <f t="shared" si="14"/>
        <v>3.3109510761146412E-2</v>
      </c>
      <c r="U18" s="57">
        <f t="shared" si="14"/>
        <v>3.0153069598643247E-2</v>
      </c>
      <c r="V18" s="57">
        <f t="shared" si="14"/>
        <v>3.0901375640763697E-2</v>
      </c>
      <c r="W18" s="57">
        <f t="shared" si="14"/>
        <v>2.8604321381256854E-2</v>
      </c>
      <c r="X18" s="57">
        <f t="shared" si="14"/>
        <v>3.3335241369064524E-2</v>
      </c>
      <c r="Y18" s="57">
        <f t="shared" si="14"/>
        <v>3.1975722134196548E-2</v>
      </c>
      <c r="Z18" s="57">
        <f t="shared" si="14"/>
        <v>3.0103058926849179E-2</v>
      </c>
      <c r="AA18" s="57">
        <f t="shared" si="14"/>
        <v>2.6379787658145901E-2</v>
      </c>
      <c r="AB18" s="57">
        <f t="shared" si="14"/>
        <v>3.0169054002909604E-2</v>
      </c>
      <c r="AC18" s="57">
        <f t="shared" si="14"/>
        <v>3.6324697880306039E-2</v>
      </c>
      <c r="AD18" s="57">
        <f t="shared" si="14"/>
        <v>3.9686156459937075E-2</v>
      </c>
      <c r="AE18" s="57">
        <f t="shared" si="14"/>
        <v>3.982149919223596E-2</v>
      </c>
      <c r="AF18" s="57">
        <f t="shared" si="14"/>
        <v>4.4188945008260802E-2</v>
      </c>
      <c r="AG18" s="57">
        <f t="shared" si="14"/>
        <v>4.6241410077851465E-2</v>
      </c>
      <c r="AH18" s="57">
        <f t="shared" si="14"/>
        <v>4.8681150448811064E-2</v>
      </c>
      <c r="AI18" s="57">
        <f t="shared" si="14"/>
        <v>4.6812002234866562E-2</v>
      </c>
      <c r="AJ18" s="57">
        <f t="shared" si="14"/>
        <v>4.4798690374493008E-2</v>
      </c>
      <c r="AK18" s="57">
        <f t="shared" si="14"/>
        <v>5.7789744780223209E-2</v>
      </c>
      <c r="AL18" s="57">
        <f t="shared" si="14"/>
        <v>6.8060321632666856E-2</v>
      </c>
      <c r="AM18" s="57">
        <f t="shared" si="14"/>
        <v>7.7079445436311525E-2</v>
      </c>
      <c r="AN18" s="57">
        <f t="shared" si="14"/>
        <v>6.7071444339819639E-2</v>
      </c>
      <c r="AO18" s="57">
        <f t="shared" si="14"/>
        <v>2.6500769397770185E-2</v>
      </c>
      <c r="AP18" s="57">
        <f t="shared" si="14"/>
        <v>2.0411028944441644E-2</v>
      </c>
      <c r="AQ18" s="57">
        <f t="shared" si="14"/>
        <v>1.7930346016765127E-2</v>
      </c>
      <c r="AR18" s="57">
        <f t="shared" si="14"/>
        <v>1.8522255576862365E-2</v>
      </c>
      <c r="AS18" s="57">
        <f t="shared" si="14"/>
        <v>5.8066096132915336E-2</v>
      </c>
      <c r="AT18" s="57">
        <f t="shared" si="14"/>
        <v>6.8148131470162562E-2</v>
      </c>
      <c r="AU18" s="57">
        <f t="shared" si="14"/>
        <v>7.5216854906146907E-2</v>
      </c>
      <c r="AV18" s="57">
        <f t="shared" si="14"/>
        <v>6.4395705973036815E-2</v>
      </c>
      <c r="AW18" s="57">
        <f t="shared" si="14"/>
        <v>5.498157723056056E-2</v>
      </c>
      <c r="AX18" s="57">
        <f t="shared" si="14"/>
        <v>5.4858369834071732E-2</v>
      </c>
      <c r="AY18" s="57">
        <f t="shared" si="14"/>
        <v>5.3504433102452703E-2</v>
      </c>
      <c r="AZ18" s="57">
        <f t="shared" si="14"/>
        <v>5.1508219851928404E-2</v>
      </c>
      <c r="BA18" s="57">
        <f t="shared" si="14"/>
        <v>5.2218537068399989E-2</v>
      </c>
      <c r="BB18" s="57">
        <f t="shared" si="14"/>
        <v>6.2681595973324164E-2</v>
      </c>
      <c r="BC18" s="57">
        <f t="shared" si="14"/>
        <v>7.1652327303903127E-2</v>
      </c>
      <c r="BD18" s="57">
        <f t="shared" si="14"/>
        <v>7.3305764784591304E-2</v>
      </c>
      <c r="BE18" s="57">
        <f t="shared" si="14"/>
        <v>7.6404052734870165E-2</v>
      </c>
      <c r="BF18" s="57">
        <f t="shared" si="14"/>
        <v>7.7708026979519201E-2</v>
      </c>
      <c r="BG18" s="57">
        <f t="shared" si="14"/>
        <v>7.506741568088883E-2</v>
      </c>
      <c r="BH18" s="57">
        <f t="shared" si="14"/>
        <v>8.55453357905374E-2</v>
      </c>
      <c r="BI18" s="57">
        <f t="shared" si="14"/>
        <v>6.8463030956933901E-2</v>
      </c>
      <c r="BJ18" s="57">
        <f t="shared" si="14"/>
        <v>7.175327328599225E-2</v>
      </c>
      <c r="BK18" s="57">
        <f t="shared" si="14"/>
        <v>7.23791827110703E-2</v>
      </c>
      <c r="BL18" s="57">
        <f t="shared" si="14"/>
        <v>8.3134419854399608E-2</v>
      </c>
      <c r="BM18" s="57">
        <f t="shared" si="14"/>
        <v>6.625216065462404E-2</v>
      </c>
      <c r="BN18" s="57">
        <f t="shared" si="14"/>
        <v>6.4109460573785207E-2</v>
      </c>
      <c r="BO18" s="57">
        <f t="shared" si="14"/>
        <v>5.7188753706837743E-2</v>
      </c>
      <c r="BP18" s="57">
        <f t="shared" si="14"/>
        <v>2.8474862298347361E-2</v>
      </c>
      <c r="BQ18" s="57">
        <f t="shared" si="14"/>
        <v>6.2243468916062833E-2</v>
      </c>
      <c r="BR18" s="57">
        <f t="shared" ref="BR18:CK18" si="15">BR17/BR4</f>
        <v>7.4122566255212574E-2</v>
      </c>
      <c r="BS18" s="57">
        <f t="shared" si="15"/>
        <v>7.1616321927027549E-2</v>
      </c>
      <c r="BT18" s="57">
        <f t="shared" si="15"/>
        <v>6.0947735617907006E-2</v>
      </c>
      <c r="BU18" s="57">
        <f t="shared" si="15"/>
        <v>-3.4657062896977675E-2</v>
      </c>
      <c r="BV18" s="57" t="e">
        <f t="shared" si="15"/>
        <v>#DIV/0!</v>
      </c>
      <c r="BW18" s="57" t="e">
        <f t="shared" si="15"/>
        <v>#DIV/0!</v>
      </c>
      <c r="BX18" s="57" t="e">
        <f t="shared" si="15"/>
        <v>#DIV/0!</v>
      </c>
      <c r="BY18" s="57" t="e">
        <f t="shared" si="15"/>
        <v>#DIV/0!</v>
      </c>
      <c r="BZ18" s="57" t="e">
        <f t="shared" si="15"/>
        <v>#DIV/0!</v>
      </c>
      <c r="CA18" s="57" t="e">
        <f t="shared" si="15"/>
        <v>#DIV/0!</v>
      </c>
      <c r="CB18" s="57" t="e">
        <f t="shared" si="15"/>
        <v>#DIV/0!</v>
      </c>
      <c r="CC18" s="57" t="e">
        <f t="shared" si="15"/>
        <v>#DIV/0!</v>
      </c>
      <c r="CD18" s="57" t="e">
        <f t="shared" si="15"/>
        <v>#DIV/0!</v>
      </c>
      <c r="CE18" s="57" t="e">
        <f t="shared" si="15"/>
        <v>#DIV/0!</v>
      </c>
      <c r="CF18" s="57" t="e">
        <f t="shared" si="15"/>
        <v>#DIV/0!</v>
      </c>
      <c r="CG18" s="57" t="e">
        <f t="shared" si="15"/>
        <v>#DIV/0!</v>
      </c>
      <c r="CH18" s="57" t="e">
        <f t="shared" si="15"/>
        <v>#DIV/0!</v>
      </c>
      <c r="CI18" s="57" t="e">
        <f t="shared" si="15"/>
        <v>#DIV/0!</v>
      </c>
      <c r="CJ18" s="57" t="e">
        <f t="shared" si="15"/>
        <v>#DIV/0!</v>
      </c>
      <c r="CK18" s="57" t="e">
        <f t="shared" si="15"/>
        <v>#DIV/0!</v>
      </c>
    </row>
    <row r="19" spans="1:89" s="16" customFormat="1" x14ac:dyDescent="0.25">
      <c r="A19" s="18" t="s">
        <v>86</v>
      </c>
      <c r="B19" s="30"/>
      <c r="C19" s="30"/>
      <c r="D19" s="30"/>
      <c r="E19" s="30"/>
      <c r="F19" s="30"/>
      <c r="G19" s="30"/>
      <c r="H19" s="30"/>
      <c r="I19" s="30"/>
      <c r="J19" s="30"/>
      <c r="K19" s="30"/>
    </row>
    <row r="20" spans="1:89" x14ac:dyDescent="0.25">
      <c r="A20" s="17" t="s">
        <v>399</v>
      </c>
      <c r="B20" s="190">
        <v>0</v>
      </c>
      <c r="C20" s="190">
        <v>0</v>
      </c>
      <c r="D20" s="190">
        <v>0</v>
      </c>
      <c r="E20" s="190">
        <v>0</v>
      </c>
      <c r="F20" s="190">
        <v>0</v>
      </c>
      <c r="G20" s="190">
        <v>0</v>
      </c>
      <c r="H20" s="190">
        <v>0</v>
      </c>
      <c r="I20" s="190">
        <v>0</v>
      </c>
      <c r="J20" s="190">
        <v>0</v>
      </c>
      <c r="K20" s="190">
        <v>0</v>
      </c>
      <c r="L20" s="190">
        <v>0</v>
      </c>
      <c r="M20" s="190">
        <v>0</v>
      </c>
      <c r="N20" s="190">
        <v>0</v>
      </c>
      <c r="O20" s="190">
        <v>0</v>
      </c>
      <c r="P20" s="190">
        <v>0</v>
      </c>
      <c r="Q20" s="190">
        <v>0</v>
      </c>
      <c r="R20" s="190">
        <v>0</v>
      </c>
      <c r="S20" s="190">
        <v>0</v>
      </c>
      <c r="T20" s="190">
        <v>0</v>
      </c>
      <c r="U20" s="190">
        <v>0</v>
      </c>
      <c r="V20" s="190">
        <v>0</v>
      </c>
      <c r="W20" s="190">
        <v>0</v>
      </c>
      <c r="X20" s="190">
        <v>0</v>
      </c>
      <c r="Y20" s="190">
        <v>0</v>
      </c>
      <c r="Z20" s="190">
        <v>0</v>
      </c>
      <c r="AA20" s="190">
        <v>0</v>
      </c>
      <c r="AB20" s="190">
        <v>0</v>
      </c>
      <c r="AC20" s="190">
        <v>0</v>
      </c>
      <c r="AD20" s="190">
        <v>0</v>
      </c>
      <c r="AE20" s="190">
        <v>0</v>
      </c>
      <c r="AF20" s="190">
        <v>0</v>
      </c>
      <c r="AG20" s="190">
        <v>0</v>
      </c>
      <c r="AH20" s="190">
        <v>0</v>
      </c>
      <c r="AI20" s="190">
        <v>0</v>
      </c>
      <c r="AJ20" s="190">
        <v>0</v>
      </c>
      <c r="AK20" s="190">
        <v>0</v>
      </c>
      <c r="AL20" s="190">
        <v>0</v>
      </c>
      <c r="AM20" s="190">
        <v>0</v>
      </c>
      <c r="AN20" s="190">
        <v>463000000</v>
      </c>
      <c r="AO20" s="190">
        <v>0</v>
      </c>
      <c r="AP20" s="190">
        <v>0</v>
      </c>
      <c r="AQ20" s="190">
        <v>0</v>
      </c>
      <c r="AR20" s="190">
        <v>0</v>
      </c>
      <c r="AS20" s="190">
        <v>0</v>
      </c>
      <c r="AT20" s="190">
        <v>0</v>
      </c>
      <c r="AU20" s="190">
        <v>0</v>
      </c>
      <c r="AV20" s="190">
        <v>0</v>
      </c>
      <c r="AW20" s="190">
        <v>0</v>
      </c>
      <c r="AX20" s="190">
        <v>0</v>
      </c>
      <c r="AY20" s="190">
        <v>0</v>
      </c>
      <c r="AZ20" s="190">
        <v>0</v>
      </c>
      <c r="BA20" s="190">
        <v>0</v>
      </c>
      <c r="BB20" s="190">
        <v>0</v>
      </c>
      <c r="BC20" s="190">
        <v>0</v>
      </c>
      <c r="BD20" s="190">
        <v>0</v>
      </c>
      <c r="BE20" s="190">
        <v>0</v>
      </c>
      <c r="BF20" s="190">
        <v>0</v>
      </c>
      <c r="BG20" s="190">
        <v>0</v>
      </c>
      <c r="BH20" s="190">
        <v>0</v>
      </c>
      <c r="BI20" s="190">
        <v>0</v>
      </c>
      <c r="BJ20" s="190">
        <v>0</v>
      </c>
      <c r="BK20" s="190">
        <v>0</v>
      </c>
      <c r="BL20" s="190">
        <v>0</v>
      </c>
      <c r="BM20" s="190">
        <v>0</v>
      </c>
      <c r="BN20" s="190">
        <v>0</v>
      </c>
      <c r="BO20" s="190">
        <v>0</v>
      </c>
      <c r="BP20" s="190">
        <v>0</v>
      </c>
      <c r="BQ20" s="190">
        <v>0</v>
      </c>
      <c r="BR20" s="190">
        <v>0</v>
      </c>
      <c r="BS20" s="190">
        <v>0</v>
      </c>
      <c r="BT20" s="190">
        <v>0</v>
      </c>
      <c r="BU20" s="190">
        <v>0</v>
      </c>
      <c r="BV20" s="190">
        <v>0</v>
      </c>
      <c r="BW20" s="190"/>
      <c r="BX20" s="190"/>
      <c r="BY20" s="190"/>
      <c r="BZ20" s="190"/>
      <c r="CA20" s="190"/>
      <c r="CB20" s="190"/>
      <c r="CC20" s="190"/>
      <c r="CD20" s="190"/>
      <c r="CE20" s="190"/>
      <c r="CF20" s="190"/>
      <c r="CG20" s="190"/>
      <c r="CH20" s="190"/>
      <c r="CI20" s="190"/>
      <c r="CJ20" s="190"/>
      <c r="CK20" s="190"/>
    </row>
    <row r="21" spans="1:89" s="16" customFormat="1" x14ac:dyDescent="0.25">
      <c r="A21" s="18" t="s">
        <v>87</v>
      </c>
      <c r="B21" s="30"/>
      <c r="C21" s="30"/>
      <c r="D21" s="30"/>
      <c r="E21" s="30"/>
      <c r="F21" s="30"/>
      <c r="G21" s="30"/>
      <c r="H21" s="30"/>
      <c r="I21" s="30"/>
      <c r="J21" s="30"/>
      <c r="K21" s="30"/>
    </row>
    <row r="22" spans="1:89" x14ac:dyDescent="0.25">
      <c r="A22" s="17" t="s">
        <v>400</v>
      </c>
      <c r="B22" s="190">
        <v>476000000</v>
      </c>
      <c r="C22" s="190">
        <v>-450000000</v>
      </c>
      <c r="D22" s="190">
        <v>126000000</v>
      </c>
      <c r="E22" s="190">
        <v>-13000000</v>
      </c>
      <c r="F22" s="190">
        <v>531000000</v>
      </c>
      <c r="G22" s="190">
        <v>369000000</v>
      </c>
      <c r="H22" s="190">
        <v>0</v>
      </c>
      <c r="I22" s="190">
        <v>-216000000</v>
      </c>
      <c r="J22" s="190">
        <v>-117000000</v>
      </c>
      <c r="K22" s="190">
        <v>113000000</v>
      </c>
      <c r="L22" s="190">
        <v>-2000000</v>
      </c>
      <c r="M22" s="190">
        <v>735000000</v>
      </c>
      <c r="N22" s="190">
        <v>-25000000</v>
      </c>
      <c r="O22" s="190">
        <v>111000000</v>
      </c>
      <c r="P22" s="190">
        <v>-259000000</v>
      </c>
      <c r="Q22" s="190">
        <v>-4151000000</v>
      </c>
      <c r="R22" s="190">
        <v>-2032000000</v>
      </c>
      <c r="S22" s="190">
        <v>-2074000000</v>
      </c>
      <c r="T22" s="190">
        <v>-1433000000</v>
      </c>
      <c r="U22" s="190">
        <v>2167000000</v>
      </c>
      <c r="V22" s="190">
        <v>1567000000</v>
      </c>
      <c r="W22" s="190">
        <v>737000000</v>
      </c>
      <c r="X22" s="190">
        <v>-1627000000</v>
      </c>
      <c r="Y22" s="190">
        <v>206000000</v>
      </c>
      <c r="Z22" s="190">
        <v>1175000000</v>
      </c>
      <c r="AA22" s="190">
        <v>510000000</v>
      </c>
      <c r="AB22" s="190">
        <v>-539000000</v>
      </c>
      <c r="AC22" s="190">
        <v>1423000000</v>
      </c>
      <c r="AD22" s="190">
        <v>274000000</v>
      </c>
      <c r="AE22" s="190">
        <v>305000000</v>
      </c>
      <c r="AF22" s="190">
        <v>-118000000</v>
      </c>
      <c r="AG22" s="190">
        <v>-179000000</v>
      </c>
      <c r="AH22" s="190">
        <v>540000000</v>
      </c>
      <c r="AI22" s="190">
        <v>540000000</v>
      </c>
      <c r="AJ22" s="190">
        <v>170000000</v>
      </c>
      <c r="AK22" s="190">
        <v>-365000000</v>
      </c>
      <c r="AL22" s="190">
        <v>-409000000</v>
      </c>
      <c r="AM22" s="190">
        <v>-389000000</v>
      </c>
      <c r="AN22" s="190">
        <v>-51000000</v>
      </c>
      <c r="AO22" s="190">
        <v>3969000000</v>
      </c>
      <c r="AP22" s="190">
        <v>3753000000</v>
      </c>
      <c r="AQ22" s="190">
        <v>2956000000</v>
      </c>
      <c r="AR22" s="190">
        <v>2996000000</v>
      </c>
      <c r="AS22" s="190">
        <v>-3211000000</v>
      </c>
      <c r="AT22" s="190">
        <v>-1523000000</v>
      </c>
      <c r="AU22" s="190">
        <v>-897000000</v>
      </c>
      <c r="AV22" s="190">
        <v>0</v>
      </c>
      <c r="AW22" s="190">
        <v>0</v>
      </c>
      <c r="AX22" s="190">
        <v>0</v>
      </c>
      <c r="AY22" s="190">
        <v>0</v>
      </c>
      <c r="AZ22" s="190">
        <v>0</v>
      </c>
      <c r="BA22" s="190">
        <v>0</v>
      </c>
      <c r="BB22" s="190">
        <v>0</v>
      </c>
      <c r="BC22" s="190">
        <v>0</v>
      </c>
      <c r="BD22" s="190">
        <v>0</v>
      </c>
      <c r="BE22" s="190">
        <v>0</v>
      </c>
      <c r="BF22" s="190">
        <v>0</v>
      </c>
      <c r="BG22" s="190">
        <v>0</v>
      </c>
      <c r="BH22" s="190">
        <v>0</v>
      </c>
      <c r="BI22" s="190">
        <v>0</v>
      </c>
      <c r="BJ22" s="190">
        <v>0</v>
      </c>
      <c r="BK22" s="190">
        <v>0</v>
      </c>
      <c r="BL22" s="190">
        <v>0</v>
      </c>
      <c r="BM22" s="190">
        <v>0</v>
      </c>
      <c r="BN22" s="190">
        <v>0</v>
      </c>
      <c r="BO22" s="190">
        <v>0</v>
      </c>
      <c r="BP22" s="190">
        <v>0</v>
      </c>
      <c r="BQ22" s="190">
        <v>0</v>
      </c>
      <c r="BR22" s="190">
        <v>0</v>
      </c>
      <c r="BS22" s="190">
        <v>0</v>
      </c>
      <c r="BT22" s="190">
        <v>0</v>
      </c>
      <c r="BU22" s="190">
        <v>0</v>
      </c>
      <c r="BV22" s="190">
        <v>0</v>
      </c>
      <c r="BW22" s="190"/>
      <c r="BX22" s="190"/>
      <c r="BY22" s="190"/>
      <c r="BZ22" s="190"/>
      <c r="CA22" s="190"/>
      <c r="CB22" s="190"/>
      <c r="CC22" s="190"/>
      <c r="CD22" s="190"/>
      <c r="CE22" s="190"/>
      <c r="CF22" s="190"/>
      <c r="CG22" s="190"/>
      <c r="CH22" s="190"/>
      <c r="CI22" s="190"/>
      <c r="CJ22" s="190"/>
      <c r="CK22" s="190"/>
    </row>
    <row r="23" spans="1:89" s="7" customFormat="1" x14ac:dyDescent="0.25">
      <c r="A23" s="21" t="s">
        <v>401</v>
      </c>
      <c r="B23" s="29">
        <f>-B52</f>
        <v>25636</v>
      </c>
      <c r="C23" s="29">
        <f t="shared" ref="C23:BN23" si="16">-C52</f>
        <v>27718</v>
      </c>
      <c r="D23" s="29">
        <f t="shared" si="16"/>
        <v>35317</v>
      </c>
      <c r="E23" s="29">
        <f t="shared" si="16"/>
        <v>5254000000</v>
      </c>
      <c r="F23" s="29">
        <f t="shared" si="16"/>
        <v>34414</v>
      </c>
      <c r="G23" s="29">
        <f t="shared" si="16"/>
        <v>23309</v>
      </c>
      <c r="H23" s="29">
        <f t="shared" si="16"/>
        <v>16814</v>
      </c>
      <c r="I23" s="29">
        <f t="shared" si="16"/>
        <v>3218000000</v>
      </c>
      <c r="J23" s="29">
        <f t="shared" si="16"/>
        <v>0</v>
      </c>
      <c r="K23" s="29">
        <f t="shared" si="16"/>
        <v>0</v>
      </c>
      <c r="L23" s="29">
        <f t="shared" si="16"/>
        <v>0</v>
      </c>
      <c r="M23" s="29">
        <f t="shared" si="16"/>
        <v>2978000000</v>
      </c>
      <c r="N23" s="29">
        <f t="shared" si="16"/>
        <v>0</v>
      </c>
      <c r="O23" s="29">
        <f t="shared" si="16"/>
        <v>0</v>
      </c>
      <c r="P23" s="29">
        <f t="shared" si="16"/>
        <v>0</v>
      </c>
      <c r="Q23" s="29">
        <f t="shared" si="16"/>
        <v>1779000000</v>
      </c>
      <c r="R23" s="29">
        <f t="shared" si="16"/>
        <v>0</v>
      </c>
      <c r="S23" s="29">
        <f t="shared" si="16"/>
        <v>0</v>
      </c>
      <c r="T23" s="29">
        <f t="shared" si="16"/>
        <v>0</v>
      </c>
      <c r="U23" s="29">
        <f t="shared" si="16"/>
        <v>1568000000</v>
      </c>
      <c r="V23" s="29">
        <f t="shared" si="16"/>
        <v>0</v>
      </c>
      <c r="W23" s="29">
        <f t="shared" si="16"/>
        <v>0</v>
      </c>
      <c r="X23" s="29">
        <f t="shared" si="16"/>
        <v>0</v>
      </c>
      <c r="Y23" s="29">
        <f t="shared" si="16"/>
        <v>1254000000</v>
      </c>
      <c r="Z23" s="29">
        <f t="shared" si="16"/>
        <v>0</v>
      </c>
      <c r="AA23" s="29">
        <f t="shared" si="16"/>
        <v>0</v>
      </c>
      <c r="AB23" s="29">
        <f t="shared" si="16"/>
        <v>0</v>
      </c>
      <c r="AC23" s="29">
        <f>-AC53</f>
        <v>-9398000000</v>
      </c>
      <c r="AD23" s="29">
        <f t="shared" si="16"/>
        <v>0</v>
      </c>
      <c r="AE23" s="29">
        <f t="shared" si="16"/>
        <v>0</v>
      </c>
      <c r="AF23" s="29">
        <f t="shared" si="16"/>
        <v>0</v>
      </c>
      <c r="AG23" s="29">
        <f t="shared" si="16"/>
        <v>660000000</v>
      </c>
      <c r="AH23" s="29">
        <f t="shared" si="16"/>
        <v>0</v>
      </c>
      <c r="AI23" s="29">
        <f t="shared" si="16"/>
        <v>0</v>
      </c>
      <c r="AJ23" s="29">
        <f t="shared" si="16"/>
        <v>0</v>
      </c>
      <c r="AK23" s="29">
        <f t="shared" si="16"/>
        <v>277000000</v>
      </c>
      <c r="AL23" s="29">
        <f t="shared" si="16"/>
        <v>0</v>
      </c>
      <c r="AM23" s="29">
        <f t="shared" si="16"/>
        <v>0</v>
      </c>
      <c r="AN23" s="29">
        <f t="shared" si="16"/>
        <v>0</v>
      </c>
      <c r="AO23" s="29">
        <f t="shared" si="16"/>
        <v>446000000</v>
      </c>
      <c r="AP23" s="29">
        <f t="shared" si="16"/>
        <v>0</v>
      </c>
      <c r="AQ23" s="29">
        <f t="shared" si="16"/>
        <v>0</v>
      </c>
      <c r="AR23" s="29">
        <f t="shared" si="16"/>
        <v>0</v>
      </c>
      <c r="AS23" s="29">
        <f t="shared" si="16"/>
        <v>0</v>
      </c>
      <c r="AT23" s="29">
        <f t="shared" si="16"/>
        <v>0</v>
      </c>
      <c r="AU23" s="29">
        <f t="shared" si="16"/>
        <v>0</v>
      </c>
      <c r="AV23" s="29">
        <f t="shared" si="16"/>
        <v>0</v>
      </c>
      <c r="AW23" s="29">
        <f t="shared" si="16"/>
        <v>0</v>
      </c>
      <c r="AX23" s="29">
        <f t="shared" si="16"/>
        <v>0</v>
      </c>
      <c r="AY23" s="29">
        <f t="shared" si="16"/>
        <v>0</v>
      </c>
      <c r="AZ23" s="29">
        <f t="shared" si="16"/>
        <v>0</v>
      </c>
      <c r="BA23" s="29">
        <f t="shared" si="16"/>
        <v>0</v>
      </c>
      <c r="BB23" s="29">
        <f t="shared" si="16"/>
        <v>0</v>
      </c>
      <c r="BC23" s="29">
        <f t="shared" si="16"/>
        <v>0</v>
      </c>
      <c r="BD23" s="29">
        <f t="shared" si="16"/>
        <v>0</v>
      </c>
      <c r="BE23" s="29">
        <f t="shared" si="16"/>
        <v>0</v>
      </c>
      <c r="BF23" s="29">
        <f t="shared" si="16"/>
        <v>0</v>
      </c>
      <c r="BG23" s="29">
        <f t="shared" si="16"/>
        <v>0</v>
      </c>
      <c r="BH23" s="29">
        <f t="shared" si="16"/>
        <v>0</v>
      </c>
      <c r="BI23" s="29">
        <f t="shared" si="16"/>
        <v>0</v>
      </c>
      <c r="BJ23" s="29">
        <f t="shared" si="16"/>
        <v>0</v>
      </c>
      <c r="BK23" s="29">
        <f t="shared" si="16"/>
        <v>0</v>
      </c>
      <c r="BL23" s="29">
        <f t="shared" si="16"/>
        <v>0</v>
      </c>
      <c r="BM23" s="29">
        <f t="shared" si="16"/>
        <v>0</v>
      </c>
      <c r="BN23" s="29">
        <f t="shared" si="16"/>
        <v>0</v>
      </c>
      <c r="BO23" s="29">
        <f t="shared" ref="BO23:CK23" si="17">-BO52</f>
        <v>0</v>
      </c>
      <c r="BP23" s="29">
        <f t="shared" si="17"/>
        <v>0</v>
      </c>
      <c r="BQ23" s="29">
        <f t="shared" si="17"/>
        <v>0</v>
      </c>
      <c r="BR23" s="29">
        <f t="shared" si="17"/>
        <v>0</v>
      </c>
      <c r="BS23" s="29">
        <f t="shared" si="17"/>
        <v>0</v>
      </c>
      <c r="BT23" s="29">
        <f t="shared" si="17"/>
        <v>0</v>
      </c>
      <c r="BU23" s="29">
        <f t="shared" si="17"/>
        <v>0</v>
      </c>
      <c r="BV23" s="29">
        <f t="shared" si="17"/>
        <v>0</v>
      </c>
      <c r="BW23" s="29">
        <f t="shared" si="17"/>
        <v>0</v>
      </c>
      <c r="BX23" s="29">
        <f t="shared" si="17"/>
        <v>0</v>
      </c>
      <c r="BY23" s="29">
        <f t="shared" si="17"/>
        <v>0</v>
      </c>
      <c r="BZ23" s="29">
        <f t="shared" si="17"/>
        <v>0</v>
      </c>
      <c r="CA23" s="29">
        <f t="shared" si="17"/>
        <v>0</v>
      </c>
      <c r="CB23" s="29">
        <f t="shared" si="17"/>
        <v>0</v>
      </c>
      <c r="CC23" s="29">
        <f t="shared" si="17"/>
        <v>0</v>
      </c>
      <c r="CD23" s="29">
        <f t="shared" si="17"/>
        <v>0</v>
      </c>
      <c r="CE23" s="29">
        <f t="shared" si="17"/>
        <v>0</v>
      </c>
      <c r="CF23" s="29">
        <f t="shared" si="17"/>
        <v>0</v>
      </c>
      <c r="CG23" s="29">
        <f t="shared" si="17"/>
        <v>0</v>
      </c>
      <c r="CH23" s="29">
        <f t="shared" si="17"/>
        <v>0</v>
      </c>
      <c r="CI23" s="29">
        <f t="shared" si="17"/>
        <v>0</v>
      </c>
      <c r="CJ23" s="29">
        <f t="shared" si="17"/>
        <v>0</v>
      </c>
      <c r="CK23" s="29">
        <f t="shared" si="17"/>
        <v>0</v>
      </c>
    </row>
    <row r="24" spans="1:89" x14ac:dyDescent="0.25">
      <c r="A24" s="17" t="s">
        <v>402</v>
      </c>
      <c r="B24" s="26">
        <f>B67</f>
        <v>9703000000</v>
      </c>
      <c r="C24" s="26">
        <f t="shared" ref="C24:BN24" si="18">C67</f>
        <v>5884000000</v>
      </c>
      <c r="D24" s="26">
        <f t="shared" si="18"/>
        <v>3355000000</v>
      </c>
      <c r="E24" s="26">
        <f>E67</f>
        <v>19060000000</v>
      </c>
      <c r="F24" s="26">
        <f t="shared" si="18"/>
        <v>12020000000</v>
      </c>
      <c r="G24" s="26">
        <f t="shared" si="18"/>
        <v>8152000000</v>
      </c>
      <c r="H24" s="26">
        <f t="shared" si="18"/>
        <v>3944000000</v>
      </c>
      <c r="I24" s="26">
        <f t="shared" si="18"/>
        <v>30779000000</v>
      </c>
      <c r="J24" s="26">
        <f t="shared" si="18"/>
        <v>7253000000</v>
      </c>
      <c r="K24" s="26">
        <f t="shared" si="18"/>
        <v>5394000000</v>
      </c>
      <c r="L24" s="26">
        <f t="shared" si="18"/>
        <v>1336000000</v>
      </c>
      <c r="M24" s="26">
        <f t="shared" si="18"/>
        <v>8573000000</v>
      </c>
      <c r="N24" s="26">
        <f t="shared" si="18"/>
        <v>4650000000</v>
      </c>
      <c r="O24" s="26">
        <f t="shared" si="18"/>
        <v>4461000000</v>
      </c>
      <c r="P24" s="26">
        <f t="shared" si="18"/>
        <v>1065000000</v>
      </c>
      <c r="Q24" s="26">
        <f t="shared" si="18"/>
        <v>8137000000</v>
      </c>
      <c r="R24" s="26">
        <f t="shared" si="18"/>
        <v>6252000000</v>
      </c>
      <c r="S24" s="26">
        <f t="shared" si="18"/>
        <v>2252000000</v>
      </c>
      <c r="T24" s="26">
        <f t="shared" si="18"/>
        <v>854000000</v>
      </c>
      <c r="U24" s="26">
        <f t="shared" si="18"/>
        <v>2510000000</v>
      </c>
      <c r="V24" s="26">
        <f t="shared" si="18"/>
        <v>1538000000</v>
      </c>
      <c r="W24" s="26">
        <f t="shared" si="18"/>
        <v>908000000</v>
      </c>
      <c r="X24" s="26">
        <f t="shared" si="18"/>
        <v>549000000</v>
      </c>
      <c r="Y24" s="26">
        <f t="shared" si="18"/>
        <v>1540000000</v>
      </c>
      <c r="Z24" s="26">
        <f t="shared" si="18"/>
        <v>635000000</v>
      </c>
      <c r="AA24" s="26">
        <f t="shared" si="18"/>
        <v>232000000</v>
      </c>
      <c r="AB24" s="26">
        <f t="shared" si="18"/>
        <v>678000000</v>
      </c>
      <c r="AC24" s="26">
        <f t="shared" si="18"/>
        <v>4186000000</v>
      </c>
      <c r="AD24" s="26">
        <f t="shared" si="18"/>
        <v>3992000000</v>
      </c>
      <c r="AE24" s="26">
        <f t="shared" si="18"/>
        <v>2822000000</v>
      </c>
      <c r="AF24" s="26">
        <f t="shared" si="18"/>
        <v>1493000000</v>
      </c>
      <c r="AG24" s="26">
        <f t="shared" si="18"/>
        <v>5671000000</v>
      </c>
      <c r="AH24" s="26">
        <f t="shared" si="18"/>
        <v>2969000000</v>
      </c>
      <c r="AI24" s="26">
        <f t="shared" si="18"/>
        <v>1994000000</v>
      </c>
      <c r="AJ24" s="26">
        <f t="shared" si="18"/>
        <v>1026000000</v>
      </c>
      <c r="AK24" s="26">
        <f t="shared" si="18"/>
        <v>3589000000</v>
      </c>
      <c r="AL24" s="26">
        <f t="shared" si="18"/>
        <v>2714000000</v>
      </c>
      <c r="AM24" s="26">
        <f t="shared" si="18"/>
        <v>1799000000</v>
      </c>
      <c r="AN24" s="26">
        <f t="shared" si="18"/>
        <v>101000000</v>
      </c>
      <c r="AO24" s="26">
        <f t="shared" si="18"/>
        <v>980000000</v>
      </c>
      <c r="AP24" s="26">
        <f t="shared" si="18"/>
        <v>2125000000</v>
      </c>
      <c r="AQ24" s="26">
        <f t="shared" si="18"/>
        <v>1677000000</v>
      </c>
      <c r="AR24" s="26">
        <f t="shared" si="18"/>
        <v>779000000</v>
      </c>
      <c r="AS24" s="26">
        <f t="shared" si="18"/>
        <v>5756000000</v>
      </c>
      <c r="AT24" s="26">
        <f t="shared" si="18"/>
        <v>4117000000</v>
      </c>
      <c r="AU24" s="26">
        <f t="shared" si="18"/>
        <v>2817000000</v>
      </c>
      <c r="AV24" s="26">
        <f t="shared" si="18"/>
        <v>1175000000</v>
      </c>
      <c r="AW24" s="26">
        <f t="shared" si="18"/>
        <v>43000000</v>
      </c>
      <c r="AX24" s="26">
        <f t="shared" si="18"/>
        <v>27000000</v>
      </c>
      <c r="AY24" s="26">
        <f t="shared" si="18"/>
        <v>184000000</v>
      </c>
      <c r="AZ24" s="26">
        <f t="shared" si="18"/>
        <v>172000000</v>
      </c>
      <c r="BA24" s="26">
        <f t="shared" si="18"/>
        <v>813000000</v>
      </c>
      <c r="BB24" s="26">
        <f t="shared" si="18"/>
        <v>-524000000</v>
      </c>
      <c r="BC24" s="26">
        <f t="shared" si="18"/>
        <v>-742000000</v>
      </c>
      <c r="BD24" s="26">
        <f t="shared" si="18"/>
        <v>143000000</v>
      </c>
      <c r="BE24" s="26">
        <f t="shared" si="18"/>
        <v>1088000000</v>
      </c>
      <c r="BF24" s="26">
        <f t="shared" si="18"/>
        <v>788000000</v>
      </c>
      <c r="BG24" s="26">
        <f t="shared" si="18"/>
        <v>516000000</v>
      </c>
      <c r="BH24" s="26">
        <f t="shared" si="18"/>
        <v>141000000</v>
      </c>
      <c r="BI24" s="26">
        <f t="shared" si="18"/>
        <v>548000000</v>
      </c>
      <c r="BJ24" s="26">
        <f t="shared" si="18"/>
        <v>397000000</v>
      </c>
      <c r="BK24" s="26">
        <f t="shared" si="18"/>
        <v>341000000</v>
      </c>
      <c r="BL24" s="26">
        <f t="shared" si="18"/>
        <v>70000000</v>
      </c>
      <c r="BM24" s="26">
        <f t="shared" si="18"/>
        <v>505000000</v>
      </c>
      <c r="BN24" s="26">
        <f t="shared" si="18"/>
        <v>342000000</v>
      </c>
      <c r="BO24" s="26">
        <f t="shared" ref="BO24:CJ24" si="19">BO67</f>
        <v>186000000</v>
      </c>
      <c r="BP24" s="26">
        <f t="shared" si="19"/>
        <v>64000000</v>
      </c>
      <c r="BQ24" s="26">
        <f t="shared" si="19"/>
        <v>546000000</v>
      </c>
      <c r="BR24" s="26">
        <f t="shared" si="19"/>
        <v>303000000</v>
      </c>
      <c r="BS24" s="26">
        <f t="shared" si="19"/>
        <v>235000000</v>
      </c>
      <c r="BT24" s="26">
        <f t="shared" si="19"/>
        <v>854000000</v>
      </c>
      <c r="BU24" s="26">
        <f t="shared" si="19"/>
        <v>954000000</v>
      </c>
      <c r="BV24" s="26">
        <f t="shared" si="19"/>
        <v>0</v>
      </c>
      <c r="BW24" s="26">
        <f t="shared" si="19"/>
        <v>0</v>
      </c>
      <c r="BX24" s="26">
        <f t="shared" si="19"/>
        <v>0</v>
      </c>
      <c r="BY24" s="26">
        <f t="shared" si="19"/>
        <v>0</v>
      </c>
      <c r="BZ24" s="26">
        <f t="shared" si="19"/>
        <v>0</v>
      </c>
      <c r="CA24" s="26">
        <f t="shared" si="19"/>
        <v>0</v>
      </c>
      <c r="CB24" s="26">
        <f t="shared" si="19"/>
        <v>0</v>
      </c>
      <c r="CC24" s="26">
        <f t="shared" si="19"/>
        <v>0</v>
      </c>
      <c r="CD24" s="26">
        <f t="shared" si="19"/>
        <v>0</v>
      </c>
      <c r="CE24" s="26">
        <f t="shared" si="19"/>
        <v>7729000</v>
      </c>
      <c r="CF24" s="26">
        <f t="shared" si="19"/>
        <v>2092581.44</v>
      </c>
      <c r="CG24" s="26">
        <f t="shared" si="19"/>
        <v>0</v>
      </c>
      <c r="CH24" s="26">
        <f t="shared" si="19"/>
        <v>0</v>
      </c>
      <c r="CI24" s="26">
        <f t="shared" si="19"/>
        <v>0</v>
      </c>
      <c r="CJ24" s="26">
        <f t="shared" si="19"/>
        <v>0</v>
      </c>
    </row>
    <row r="25" spans="1:89" s="7" customFormat="1" x14ac:dyDescent="0.25">
      <c r="A25" s="21" t="s">
        <v>403</v>
      </c>
      <c r="B25" s="29">
        <f>-B54</f>
        <v>-3104</v>
      </c>
      <c r="C25" s="29">
        <f t="shared" ref="C25:BN25" si="20">-C54</f>
        <v>1424</v>
      </c>
      <c r="D25" s="29">
        <f t="shared" si="20"/>
        <v>340</v>
      </c>
      <c r="E25" s="29">
        <f t="shared" si="20"/>
        <v>332000000</v>
      </c>
      <c r="F25" s="29">
        <f t="shared" si="20"/>
        <v>-2684</v>
      </c>
      <c r="G25" s="29">
        <f t="shared" si="20"/>
        <v>377</v>
      </c>
      <c r="H25" s="29">
        <f t="shared" si="20"/>
        <v>-1008</v>
      </c>
      <c r="I25" s="29">
        <f t="shared" si="20"/>
        <v>-610000000</v>
      </c>
      <c r="J25" s="29">
        <f t="shared" si="20"/>
        <v>0</v>
      </c>
      <c r="K25" s="29">
        <f t="shared" si="20"/>
        <v>0</v>
      </c>
      <c r="L25" s="29">
        <f t="shared" si="20"/>
        <v>0</v>
      </c>
      <c r="M25" s="29">
        <f t="shared" si="20"/>
        <v>-3862000000</v>
      </c>
      <c r="N25" s="29">
        <f t="shared" si="20"/>
        <v>0</v>
      </c>
      <c r="O25" s="29">
        <f t="shared" si="20"/>
        <v>0</v>
      </c>
      <c r="P25" s="29">
        <f t="shared" si="20"/>
        <v>0</v>
      </c>
      <c r="Q25" s="29">
        <f t="shared" si="20"/>
        <v>-179000000</v>
      </c>
      <c r="R25" s="29">
        <f t="shared" si="20"/>
        <v>0</v>
      </c>
      <c r="S25" s="29">
        <f t="shared" si="20"/>
        <v>0</v>
      </c>
      <c r="T25" s="29">
        <f t="shared" si="20"/>
        <v>0</v>
      </c>
      <c r="U25" s="29">
        <f t="shared" si="20"/>
        <v>2760000000</v>
      </c>
      <c r="V25" s="29">
        <f t="shared" si="20"/>
        <v>0</v>
      </c>
      <c r="W25" s="29">
        <f t="shared" si="20"/>
        <v>0</v>
      </c>
      <c r="X25" s="29">
        <f t="shared" si="20"/>
        <v>0</v>
      </c>
      <c r="Y25" s="29">
        <f t="shared" si="20"/>
        <v>144000000</v>
      </c>
      <c r="Z25" s="29">
        <f t="shared" si="20"/>
        <v>0</v>
      </c>
      <c r="AA25" s="29">
        <f t="shared" si="20"/>
        <v>0</v>
      </c>
      <c r="AB25" s="29">
        <f t="shared" si="20"/>
        <v>0</v>
      </c>
      <c r="AC25" s="29">
        <f t="shared" si="20"/>
        <v>1113000000</v>
      </c>
      <c r="AD25" s="29">
        <f t="shared" si="20"/>
        <v>0</v>
      </c>
      <c r="AE25" s="29">
        <f t="shared" si="20"/>
        <v>0</v>
      </c>
      <c r="AF25" s="29">
        <f t="shared" si="20"/>
        <v>0</v>
      </c>
      <c r="AG25" s="29">
        <f t="shared" si="20"/>
        <v>465000000</v>
      </c>
      <c r="AH25" s="29">
        <f t="shared" si="20"/>
        <v>0</v>
      </c>
      <c r="AI25" s="29">
        <f t="shared" si="20"/>
        <v>0</v>
      </c>
      <c r="AJ25" s="29">
        <f t="shared" si="20"/>
        <v>0</v>
      </c>
      <c r="AK25" s="29">
        <f t="shared" si="20"/>
        <v>-327000000</v>
      </c>
      <c r="AL25" s="29">
        <f t="shared" si="20"/>
        <v>0</v>
      </c>
      <c r="AM25" s="29">
        <f t="shared" si="20"/>
        <v>0</v>
      </c>
      <c r="AN25" s="29">
        <f t="shared" si="20"/>
        <v>0</v>
      </c>
      <c r="AO25" s="29">
        <f t="shared" si="20"/>
        <v>-954000000</v>
      </c>
      <c r="AP25" s="29">
        <f t="shared" si="20"/>
        <v>0</v>
      </c>
      <c r="AQ25" s="29">
        <f t="shared" si="20"/>
        <v>0</v>
      </c>
      <c r="AR25" s="29">
        <f t="shared" si="20"/>
        <v>0</v>
      </c>
      <c r="AS25" s="29">
        <f t="shared" si="20"/>
        <v>0</v>
      </c>
      <c r="AT25" s="29">
        <f t="shared" si="20"/>
        <v>0</v>
      </c>
      <c r="AU25" s="29">
        <f t="shared" si="20"/>
        <v>0</v>
      </c>
      <c r="AV25" s="29">
        <f t="shared" si="20"/>
        <v>0</v>
      </c>
      <c r="AW25" s="29">
        <f t="shared" si="20"/>
        <v>0</v>
      </c>
      <c r="AX25" s="29">
        <f t="shared" si="20"/>
        <v>0</v>
      </c>
      <c r="AY25" s="29">
        <f t="shared" si="20"/>
        <v>0</v>
      </c>
      <c r="AZ25" s="29">
        <f t="shared" si="20"/>
        <v>0</v>
      </c>
      <c r="BA25" s="29">
        <f t="shared" si="20"/>
        <v>0</v>
      </c>
      <c r="BB25" s="29">
        <f t="shared" si="20"/>
        <v>0</v>
      </c>
      <c r="BC25" s="29">
        <f t="shared" si="20"/>
        <v>0</v>
      </c>
      <c r="BD25" s="29">
        <f t="shared" si="20"/>
        <v>0</v>
      </c>
      <c r="BE25" s="29">
        <f t="shared" si="20"/>
        <v>0</v>
      </c>
      <c r="BF25" s="29">
        <f t="shared" si="20"/>
        <v>0</v>
      </c>
      <c r="BG25" s="29">
        <f t="shared" si="20"/>
        <v>0</v>
      </c>
      <c r="BH25" s="29">
        <f t="shared" si="20"/>
        <v>0</v>
      </c>
      <c r="BI25" s="29">
        <f t="shared" si="20"/>
        <v>0</v>
      </c>
      <c r="BJ25" s="29">
        <f t="shared" si="20"/>
        <v>0</v>
      </c>
      <c r="BK25" s="29">
        <f t="shared" si="20"/>
        <v>0</v>
      </c>
      <c r="BL25" s="29">
        <f t="shared" si="20"/>
        <v>0</v>
      </c>
      <c r="BM25" s="29">
        <f t="shared" si="20"/>
        <v>0</v>
      </c>
      <c r="BN25" s="29">
        <f t="shared" si="20"/>
        <v>0</v>
      </c>
      <c r="BO25" s="29">
        <f t="shared" ref="BO25:CK25" si="21">-BO54</f>
        <v>0</v>
      </c>
      <c r="BP25" s="29">
        <f t="shared" si="21"/>
        <v>0</v>
      </c>
      <c r="BQ25" s="29">
        <f t="shared" si="21"/>
        <v>0</v>
      </c>
      <c r="BR25" s="29">
        <f t="shared" si="21"/>
        <v>0</v>
      </c>
      <c r="BS25" s="29">
        <f t="shared" si="21"/>
        <v>0</v>
      </c>
      <c r="BT25" s="29">
        <f t="shared" si="21"/>
        <v>0</v>
      </c>
      <c r="BU25" s="29">
        <f t="shared" si="21"/>
        <v>0</v>
      </c>
      <c r="BV25" s="29">
        <f t="shared" si="21"/>
        <v>0</v>
      </c>
      <c r="BW25" s="29">
        <f t="shared" si="21"/>
        <v>0</v>
      </c>
      <c r="BX25" s="29">
        <f t="shared" si="21"/>
        <v>0</v>
      </c>
      <c r="BY25" s="29">
        <f t="shared" si="21"/>
        <v>0</v>
      </c>
      <c r="BZ25" s="29">
        <f t="shared" si="21"/>
        <v>0</v>
      </c>
      <c r="CA25" s="29">
        <f t="shared" si="21"/>
        <v>0</v>
      </c>
      <c r="CB25" s="29">
        <f t="shared" si="21"/>
        <v>0</v>
      </c>
      <c r="CC25" s="29">
        <f t="shared" si="21"/>
        <v>0</v>
      </c>
      <c r="CD25" s="29">
        <f t="shared" si="21"/>
        <v>0</v>
      </c>
      <c r="CE25" s="29">
        <f t="shared" si="21"/>
        <v>0</v>
      </c>
      <c r="CF25" s="29">
        <f t="shared" si="21"/>
        <v>0</v>
      </c>
      <c r="CG25" s="29">
        <f t="shared" si="21"/>
        <v>0</v>
      </c>
      <c r="CH25" s="29">
        <f t="shared" si="21"/>
        <v>0</v>
      </c>
      <c r="CI25" s="29">
        <f t="shared" si="21"/>
        <v>0</v>
      </c>
      <c r="CJ25" s="29">
        <f t="shared" si="21"/>
        <v>0</v>
      </c>
      <c r="CK25" s="29">
        <f t="shared" si="21"/>
        <v>0</v>
      </c>
    </row>
    <row r="26" spans="1:89" x14ac:dyDescent="0.25">
      <c r="A26" s="17" t="s">
        <v>404</v>
      </c>
      <c r="B26" s="190">
        <v>3877000000</v>
      </c>
      <c r="C26" s="190">
        <v>258000000</v>
      </c>
      <c r="D26" s="190">
        <v>-1485000000</v>
      </c>
      <c r="E26" s="190">
        <v>-4376000000</v>
      </c>
      <c r="F26" s="190">
        <v>-3193000000</v>
      </c>
      <c r="G26" s="190">
        <v>-1110000000</v>
      </c>
      <c r="H26" s="190">
        <v>-901000000</v>
      </c>
      <c r="I26" s="190">
        <v>6333000000</v>
      </c>
      <c r="J26" s="190">
        <v>2193000000</v>
      </c>
      <c r="K26" s="190">
        <v>2820000000</v>
      </c>
      <c r="L26" s="190">
        <v>1424000000</v>
      </c>
      <c r="M26" s="190">
        <v>137000000</v>
      </c>
      <c r="N26" s="190">
        <v>5542000000</v>
      </c>
      <c r="O26" s="190">
        <v>1355000000</v>
      </c>
      <c r="P26" s="190">
        <v>2714000000</v>
      </c>
      <c r="Q26" s="190">
        <v>-9266000000</v>
      </c>
      <c r="R26" s="190">
        <v>-1299000000</v>
      </c>
      <c r="S26" s="190">
        <v>1190000000</v>
      </c>
      <c r="T26" s="190">
        <v>0</v>
      </c>
      <c r="U26" s="190">
        <v>932000000</v>
      </c>
      <c r="V26" s="190">
        <v>0</v>
      </c>
      <c r="W26" s="190">
        <v>343000000</v>
      </c>
      <c r="X26" s="190">
        <v>0</v>
      </c>
      <c r="Y26" s="190">
        <v>-89000000</v>
      </c>
      <c r="Z26" s="190">
        <v>0</v>
      </c>
      <c r="AA26" s="190">
        <v>117000000</v>
      </c>
      <c r="AB26" s="190">
        <v>0</v>
      </c>
      <c r="AC26" s="190">
        <v>-728000000</v>
      </c>
      <c r="AD26" s="190">
        <v>0</v>
      </c>
      <c r="AE26" s="190">
        <v>-157000000</v>
      </c>
      <c r="AF26" s="190">
        <v>0</v>
      </c>
      <c r="AG26" s="190">
        <v>-2123000000</v>
      </c>
      <c r="AH26" s="190">
        <v>0</v>
      </c>
      <c r="AI26" s="190">
        <v>-501000000</v>
      </c>
      <c r="AJ26" s="190">
        <v>0</v>
      </c>
      <c r="AK26" s="190">
        <v>685000000</v>
      </c>
      <c r="AL26" s="190">
        <v>0</v>
      </c>
      <c r="AM26" s="190">
        <v>596000000</v>
      </c>
      <c r="AN26" s="190">
        <v>0</v>
      </c>
      <c r="AO26" s="190">
        <v>0</v>
      </c>
      <c r="AP26" s="190">
        <v>0</v>
      </c>
      <c r="AQ26" s="190">
        <v>0</v>
      </c>
      <c r="AR26" s="190">
        <v>0</v>
      </c>
      <c r="AS26" s="190">
        <v>0</v>
      </c>
      <c r="AT26" s="190">
        <v>0</v>
      </c>
      <c r="AU26" s="190">
        <v>0</v>
      </c>
      <c r="AV26" s="190">
        <v>0</v>
      </c>
      <c r="AW26" s="190">
        <v>0</v>
      </c>
      <c r="AX26" s="190">
        <v>0</v>
      </c>
      <c r="AY26" s="190">
        <v>0</v>
      </c>
      <c r="AZ26" s="190">
        <v>0</v>
      </c>
      <c r="BA26" s="190">
        <v>0</v>
      </c>
      <c r="BB26" s="190">
        <v>0</v>
      </c>
      <c r="BC26" s="190">
        <v>0</v>
      </c>
      <c r="BD26" s="190">
        <v>0</v>
      </c>
      <c r="BE26" s="190">
        <v>0</v>
      </c>
      <c r="BF26" s="190">
        <v>0</v>
      </c>
      <c r="BG26" s="190">
        <v>0</v>
      </c>
      <c r="BH26" s="190">
        <v>0</v>
      </c>
      <c r="BI26" s="190">
        <v>0</v>
      </c>
      <c r="BJ26" s="190">
        <v>0</v>
      </c>
      <c r="BK26" s="190">
        <v>0</v>
      </c>
      <c r="BL26" s="190">
        <v>0</v>
      </c>
      <c r="BM26" s="190">
        <v>0</v>
      </c>
      <c r="BN26" s="190">
        <v>0</v>
      </c>
      <c r="BO26" s="190">
        <v>0</v>
      </c>
      <c r="BP26" s="190">
        <v>0</v>
      </c>
      <c r="BQ26" s="190">
        <v>0</v>
      </c>
      <c r="BR26" s="190">
        <v>0</v>
      </c>
      <c r="BS26" s="190">
        <v>0</v>
      </c>
      <c r="BT26" s="190">
        <v>0</v>
      </c>
      <c r="BU26" s="190">
        <v>0</v>
      </c>
      <c r="BV26" s="190">
        <v>0</v>
      </c>
      <c r="BW26" s="190"/>
      <c r="BX26" s="190"/>
      <c r="BY26" s="190"/>
      <c r="BZ26" s="190"/>
      <c r="CA26" s="190"/>
      <c r="CB26" s="190"/>
      <c r="CC26" s="190"/>
      <c r="CD26" s="190"/>
      <c r="CE26" s="190"/>
      <c r="CF26" s="190"/>
      <c r="CG26" s="190"/>
      <c r="CH26" s="190"/>
      <c r="CI26" s="190"/>
      <c r="CJ26" s="190"/>
      <c r="CK26" s="190"/>
    </row>
    <row r="27" spans="1:89" x14ac:dyDescent="0.25">
      <c r="A27" s="17" t="s">
        <v>405</v>
      </c>
      <c r="B27" s="26">
        <f>SUM(B22:B26)</f>
        <v>14056022532</v>
      </c>
      <c r="C27" s="26">
        <f t="shared" ref="C27:BN27" si="22">SUM(C22:C26)</f>
        <v>5692029142</v>
      </c>
      <c r="D27" s="26">
        <f t="shared" si="22"/>
        <v>1996035657</v>
      </c>
      <c r="E27" s="26">
        <f t="shared" si="22"/>
        <v>20257000000</v>
      </c>
      <c r="F27" s="26">
        <f t="shared" si="22"/>
        <v>9358031730</v>
      </c>
      <c r="G27" s="26">
        <f t="shared" si="22"/>
        <v>7411023686</v>
      </c>
      <c r="H27" s="26">
        <f t="shared" si="22"/>
        <v>3043015806</v>
      </c>
      <c r="I27" s="26">
        <f t="shared" si="22"/>
        <v>39504000000</v>
      </c>
      <c r="J27" s="26">
        <f t="shared" si="22"/>
        <v>9329000000</v>
      </c>
      <c r="K27" s="26">
        <f t="shared" si="22"/>
        <v>8327000000</v>
      </c>
      <c r="L27" s="26">
        <f t="shared" si="22"/>
        <v>2758000000</v>
      </c>
      <c r="M27" s="26">
        <f t="shared" si="22"/>
        <v>8561000000</v>
      </c>
      <c r="N27" s="26">
        <f t="shared" si="22"/>
        <v>10167000000</v>
      </c>
      <c r="O27" s="26">
        <f t="shared" si="22"/>
        <v>5927000000</v>
      </c>
      <c r="P27" s="26">
        <f t="shared" si="22"/>
        <v>3520000000</v>
      </c>
      <c r="Q27" s="26">
        <f t="shared" si="22"/>
        <v>-3680000000</v>
      </c>
      <c r="R27" s="26">
        <f t="shared" si="22"/>
        <v>2921000000</v>
      </c>
      <c r="S27" s="26">
        <f t="shared" si="22"/>
        <v>1368000000</v>
      </c>
      <c r="T27" s="26">
        <f t="shared" si="22"/>
        <v>-579000000</v>
      </c>
      <c r="U27" s="26">
        <f t="shared" si="22"/>
        <v>9937000000</v>
      </c>
      <c r="V27" s="26">
        <f t="shared" si="22"/>
        <v>3105000000</v>
      </c>
      <c r="W27" s="26">
        <f t="shared" si="22"/>
        <v>1988000000</v>
      </c>
      <c r="X27" s="26">
        <f t="shared" si="22"/>
        <v>-1078000000</v>
      </c>
      <c r="Y27" s="26">
        <f t="shared" si="22"/>
        <v>3055000000</v>
      </c>
      <c r="Z27" s="26">
        <f t="shared" si="22"/>
        <v>1810000000</v>
      </c>
      <c r="AA27" s="26">
        <f t="shared" si="22"/>
        <v>859000000</v>
      </c>
      <c r="AB27" s="26">
        <f t="shared" si="22"/>
        <v>139000000</v>
      </c>
      <c r="AC27" s="26">
        <f t="shared" si="22"/>
        <v>-3404000000</v>
      </c>
      <c r="AD27" s="26">
        <f t="shared" si="22"/>
        <v>4266000000</v>
      </c>
      <c r="AE27" s="26">
        <f t="shared" si="22"/>
        <v>2970000000</v>
      </c>
      <c r="AF27" s="26">
        <f t="shared" si="22"/>
        <v>1375000000</v>
      </c>
      <c r="AG27" s="26">
        <f t="shared" si="22"/>
        <v>4494000000</v>
      </c>
      <c r="AH27" s="26">
        <f t="shared" si="22"/>
        <v>3509000000</v>
      </c>
      <c r="AI27" s="26">
        <f t="shared" si="22"/>
        <v>2033000000</v>
      </c>
      <c r="AJ27" s="26">
        <f t="shared" si="22"/>
        <v>1196000000</v>
      </c>
      <c r="AK27" s="26">
        <f t="shared" si="22"/>
        <v>3859000000</v>
      </c>
      <c r="AL27" s="26">
        <f t="shared" si="22"/>
        <v>2305000000</v>
      </c>
      <c r="AM27" s="26">
        <f t="shared" si="22"/>
        <v>2006000000</v>
      </c>
      <c r="AN27" s="26">
        <f t="shared" si="22"/>
        <v>50000000</v>
      </c>
      <c r="AO27" s="26">
        <f t="shared" si="22"/>
        <v>4441000000</v>
      </c>
      <c r="AP27" s="26">
        <f t="shared" si="22"/>
        <v>5878000000</v>
      </c>
      <c r="AQ27" s="26">
        <f t="shared" si="22"/>
        <v>4633000000</v>
      </c>
      <c r="AR27" s="26">
        <f t="shared" si="22"/>
        <v>3775000000</v>
      </c>
      <c r="AS27" s="26">
        <f t="shared" si="22"/>
        <v>2545000000</v>
      </c>
      <c r="AT27" s="26">
        <f t="shared" si="22"/>
        <v>2594000000</v>
      </c>
      <c r="AU27" s="26">
        <f t="shared" si="22"/>
        <v>1920000000</v>
      </c>
      <c r="AV27" s="26">
        <f t="shared" si="22"/>
        <v>1175000000</v>
      </c>
      <c r="AW27" s="26">
        <f t="shared" si="22"/>
        <v>43000000</v>
      </c>
      <c r="AX27" s="26">
        <f t="shared" si="22"/>
        <v>27000000</v>
      </c>
      <c r="AY27" s="26">
        <f t="shared" si="22"/>
        <v>184000000</v>
      </c>
      <c r="AZ27" s="26">
        <f t="shared" si="22"/>
        <v>172000000</v>
      </c>
      <c r="BA27" s="26">
        <f t="shared" si="22"/>
        <v>813000000</v>
      </c>
      <c r="BB27" s="26">
        <f t="shared" si="22"/>
        <v>-524000000</v>
      </c>
      <c r="BC27" s="26">
        <f t="shared" si="22"/>
        <v>-742000000</v>
      </c>
      <c r="BD27" s="26">
        <f t="shared" si="22"/>
        <v>143000000</v>
      </c>
      <c r="BE27" s="26">
        <f t="shared" si="22"/>
        <v>1088000000</v>
      </c>
      <c r="BF27" s="26">
        <f t="shared" si="22"/>
        <v>788000000</v>
      </c>
      <c r="BG27" s="26">
        <f t="shared" si="22"/>
        <v>516000000</v>
      </c>
      <c r="BH27" s="26">
        <f t="shared" si="22"/>
        <v>141000000</v>
      </c>
      <c r="BI27" s="26">
        <f t="shared" si="22"/>
        <v>548000000</v>
      </c>
      <c r="BJ27" s="26">
        <f t="shared" si="22"/>
        <v>397000000</v>
      </c>
      <c r="BK27" s="26">
        <f t="shared" si="22"/>
        <v>341000000</v>
      </c>
      <c r="BL27" s="26">
        <f t="shared" si="22"/>
        <v>70000000</v>
      </c>
      <c r="BM27" s="26">
        <f t="shared" si="22"/>
        <v>505000000</v>
      </c>
      <c r="BN27" s="26">
        <f t="shared" si="22"/>
        <v>342000000</v>
      </c>
      <c r="BO27" s="26">
        <f t="shared" ref="BO27:CJ27" si="23">SUM(BO22:BO26)</f>
        <v>186000000</v>
      </c>
      <c r="BP27" s="26">
        <f t="shared" si="23"/>
        <v>64000000</v>
      </c>
      <c r="BQ27" s="26">
        <f t="shared" si="23"/>
        <v>546000000</v>
      </c>
      <c r="BR27" s="26">
        <f t="shared" si="23"/>
        <v>303000000</v>
      </c>
      <c r="BS27" s="26">
        <f t="shared" si="23"/>
        <v>235000000</v>
      </c>
      <c r="BT27" s="26">
        <f t="shared" si="23"/>
        <v>854000000</v>
      </c>
      <c r="BU27" s="26">
        <f t="shared" si="23"/>
        <v>954000000</v>
      </c>
      <c r="BV27" s="26">
        <f t="shared" si="23"/>
        <v>0</v>
      </c>
      <c r="BW27" s="26">
        <f t="shared" si="23"/>
        <v>0</v>
      </c>
      <c r="BX27" s="26">
        <f t="shared" si="23"/>
        <v>0</v>
      </c>
      <c r="BY27" s="26">
        <f t="shared" si="23"/>
        <v>0</v>
      </c>
      <c r="BZ27" s="26">
        <f t="shared" si="23"/>
        <v>0</v>
      </c>
      <c r="CA27" s="26">
        <f t="shared" si="23"/>
        <v>0</v>
      </c>
      <c r="CB27" s="26">
        <f t="shared" si="23"/>
        <v>0</v>
      </c>
      <c r="CC27" s="26">
        <f t="shared" si="23"/>
        <v>0</v>
      </c>
      <c r="CD27" s="26">
        <f t="shared" si="23"/>
        <v>0</v>
      </c>
      <c r="CE27" s="26">
        <f t="shared" si="23"/>
        <v>7729000</v>
      </c>
      <c r="CF27" s="26">
        <f t="shared" si="23"/>
        <v>2092581.44</v>
      </c>
      <c r="CG27" s="26">
        <f t="shared" si="23"/>
        <v>0</v>
      </c>
      <c r="CH27" s="26">
        <f t="shared" si="23"/>
        <v>0</v>
      </c>
      <c r="CI27" s="26">
        <f t="shared" si="23"/>
        <v>0</v>
      </c>
      <c r="CJ27" s="26">
        <f t="shared" si="23"/>
        <v>0</v>
      </c>
    </row>
    <row r="28" spans="1:89" x14ac:dyDescent="0.25">
      <c r="A28" s="17" t="s">
        <v>406</v>
      </c>
      <c r="B28" s="26">
        <f>SUM(B22:B25)*B41</f>
        <v>1945996503.9189854</v>
      </c>
      <c r="C28" s="26">
        <f t="shared" ref="C28:BN28" si="24">SUM(C22:C25)*C41</f>
        <v>1064445598.9807172</v>
      </c>
      <c r="D28" s="26">
        <f t="shared" si="24"/>
        <v>774289341.00173557</v>
      </c>
      <c r="E28" s="26">
        <f t="shared" si="24"/>
        <v>4455463289.7046728</v>
      </c>
      <c r="F28" s="26">
        <f t="shared" si="24"/>
        <v>2473886279.939786</v>
      </c>
      <c r="G28" s="26">
        <f t="shared" si="24"/>
        <v>1611372355.4265497</v>
      </c>
      <c r="H28" s="26">
        <f t="shared" si="24"/>
        <v>846038798.43427336</v>
      </c>
      <c r="I28" s="26">
        <f t="shared" si="24"/>
        <v>7122493410.2056265</v>
      </c>
      <c r="J28" s="26">
        <f t="shared" si="24"/>
        <v>1380204417.6379495</v>
      </c>
      <c r="K28" s="26">
        <f t="shared" si="24"/>
        <v>1090596856.5350981</v>
      </c>
      <c r="L28" s="26">
        <f t="shared" si="24"/>
        <v>268879356.22861487</v>
      </c>
      <c r="M28" s="26">
        <f t="shared" si="24"/>
        <v>1691020833.0017667</v>
      </c>
      <c r="N28" s="26">
        <f t="shared" si="24"/>
        <v>833465366.99617684</v>
      </c>
      <c r="O28" s="26">
        <f t="shared" si="24"/>
        <v>929152724.67543375</v>
      </c>
      <c r="P28" s="26">
        <f t="shared" si="24"/>
        <v>90949043.829433426</v>
      </c>
      <c r="Q28" s="26">
        <f t="shared" si="24"/>
        <v>1428366115.6062636</v>
      </c>
      <c r="R28" s="26">
        <f t="shared" si="24"/>
        <v>950870410.14626157</v>
      </c>
      <c r="S28" s="26">
        <f t="shared" si="24"/>
        <v>41282798.379557498</v>
      </c>
      <c r="T28" s="26">
        <f t="shared" si="24"/>
        <v>-125061508.11440867</v>
      </c>
      <c r="U28" s="26">
        <f t="shared" si="24"/>
        <v>2021152042.4263673</v>
      </c>
      <c r="V28" s="26">
        <f t="shared" si="24"/>
        <v>739254192.72313821</v>
      </c>
      <c r="W28" s="26">
        <f t="shared" si="24"/>
        <v>394731615.31207299</v>
      </c>
      <c r="X28" s="26">
        <f t="shared" si="24"/>
        <v>-250193565.36119673</v>
      </c>
      <c r="Y28" s="26">
        <f t="shared" si="24"/>
        <v>699224041.97208738</v>
      </c>
      <c r="Z28" s="26">
        <f t="shared" si="24"/>
        <v>416951362.05497724</v>
      </c>
      <c r="AA28" s="26">
        <f t="shared" si="24"/>
        <v>167822634.56227896</v>
      </c>
      <c r="AB28" s="26">
        <f t="shared" si="24"/>
        <v>27168098.321659837</v>
      </c>
      <c r="AC28" s="26">
        <f t="shared" si="24"/>
        <v>-592719604.00123751</v>
      </c>
      <c r="AD28" s="26">
        <f t="shared" si="24"/>
        <v>918498969.77292526</v>
      </c>
      <c r="AE28" s="26">
        <f t="shared" si="24"/>
        <v>680304594.37751007</v>
      </c>
      <c r="AF28" s="26">
        <f t="shared" si="24"/>
        <v>318794007.49063671</v>
      </c>
      <c r="AG28" s="26">
        <f t="shared" si="24"/>
        <v>1503850145.7725947</v>
      </c>
      <c r="AH28" s="26">
        <f t="shared" si="24"/>
        <v>770001512.72060513</v>
      </c>
      <c r="AI28" s="26">
        <f t="shared" si="24"/>
        <v>521356749.59407258</v>
      </c>
      <c r="AJ28" s="26">
        <f t="shared" si="24"/>
        <v>231179682.96124157</v>
      </c>
      <c r="AK28" s="26">
        <f t="shared" si="24"/>
        <v>560846173.29273784</v>
      </c>
      <c r="AL28" s="26">
        <f t="shared" si="24"/>
        <v>450007070.56703174</v>
      </c>
      <c r="AM28" s="26">
        <f t="shared" si="24"/>
        <v>263688161.45705146</v>
      </c>
      <c r="AN28" s="26">
        <f t="shared" si="24"/>
        <v>9006614.6940703988</v>
      </c>
      <c r="AO28" s="26">
        <f t="shared" si="24"/>
        <v>-265627541.00436959</v>
      </c>
      <c r="AP28" s="26">
        <f t="shared" si="24"/>
        <v>620786528.37480772</v>
      </c>
      <c r="AQ28" s="26">
        <f t="shared" si="24"/>
        <v>32851235.607975289</v>
      </c>
      <c r="AR28" s="26">
        <f t="shared" si="24"/>
        <v>77223298.880275622</v>
      </c>
      <c r="AS28" s="26">
        <f t="shared" si="24"/>
        <v>697265465.45268893</v>
      </c>
      <c r="AT28" s="26">
        <f t="shared" si="24"/>
        <v>711055804.84418774</v>
      </c>
      <c r="AU28" s="26">
        <f t="shared" si="24"/>
        <v>531538474.75980133</v>
      </c>
      <c r="AV28" s="26">
        <f t="shared" si="24"/>
        <v>363710478.23323798</v>
      </c>
      <c r="AW28" s="26">
        <f t="shared" si="24"/>
        <v>12865264.528472351</v>
      </c>
      <c r="AX28" s="26">
        <f t="shared" si="24"/>
        <v>7803606.4214651799</v>
      </c>
      <c r="AY28" s="26">
        <f t="shared" si="24"/>
        <v>54875067.345106252</v>
      </c>
      <c r="AZ28" s="26">
        <f t="shared" si="24"/>
        <v>48957742.620368466</v>
      </c>
      <c r="BA28" s="26">
        <f t="shared" si="24"/>
        <v>266627439.75433299</v>
      </c>
      <c r="BB28" s="26">
        <f t="shared" si="24"/>
        <v>-147563349.59916347</v>
      </c>
      <c r="BC28" s="26">
        <f t="shared" si="24"/>
        <v>-210387084.80237523</v>
      </c>
      <c r="BD28" s="26">
        <f t="shared" si="24"/>
        <v>41002663.528245792</v>
      </c>
      <c r="BE28" s="26">
        <f t="shared" si="24"/>
        <v>297018137.31322992</v>
      </c>
      <c r="BF28" s="26">
        <f t="shared" si="24"/>
        <v>212107706.94576594</v>
      </c>
      <c r="BG28" s="26">
        <f t="shared" si="24"/>
        <v>142214585.66090074</v>
      </c>
      <c r="BH28" s="26">
        <f t="shared" si="24"/>
        <v>36735469.280060306</v>
      </c>
      <c r="BI28" s="26">
        <f t="shared" si="24"/>
        <v>145353847.89754051</v>
      </c>
      <c r="BJ28" s="26">
        <f t="shared" si="24"/>
        <v>105297652.90258977</v>
      </c>
      <c r="BK28" s="26">
        <f t="shared" si="24"/>
        <v>92859953.108023092</v>
      </c>
      <c r="BL28" s="26">
        <f t="shared" si="24"/>
        <v>19169040.369315393</v>
      </c>
      <c r="BM28" s="26">
        <f t="shared" si="24"/>
        <v>134918975.12359726</v>
      </c>
      <c r="BN28" s="26">
        <f t="shared" si="24"/>
        <v>92595414.334717467</v>
      </c>
      <c r="BO28" s="26">
        <f t="shared" ref="BO28:CJ28" si="25">SUM(BO22:BO25)*BO41</f>
        <v>47416041.275797375</v>
      </c>
      <c r="BP28" s="26">
        <f t="shared" si="25"/>
        <v>2411194.8331539291</v>
      </c>
      <c r="BQ28" s="26">
        <f t="shared" si="25"/>
        <v>162079109.28801641</v>
      </c>
      <c r="BR28" s="26">
        <f t="shared" si="25"/>
        <v>74931704.487783656</v>
      </c>
      <c r="BS28" s="26">
        <f t="shared" si="25"/>
        <v>67256404.720782951</v>
      </c>
      <c r="BT28" s="26">
        <f t="shared" si="25"/>
        <v>111159187.3185979</v>
      </c>
      <c r="BU28" s="26">
        <f t="shared" si="25"/>
        <v>1901028014.6163216</v>
      </c>
      <c r="BV28" s="26" t="e">
        <f t="shared" si="25"/>
        <v>#DIV/0!</v>
      </c>
      <c r="BW28" s="26">
        <f t="shared" si="25"/>
        <v>0</v>
      </c>
      <c r="BX28" s="26">
        <f t="shared" si="25"/>
        <v>0</v>
      </c>
      <c r="BY28" s="26">
        <f t="shared" si="25"/>
        <v>0</v>
      </c>
      <c r="BZ28" s="26">
        <f t="shared" si="25"/>
        <v>0</v>
      </c>
      <c r="CA28" s="26">
        <f t="shared" si="25"/>
        <v>0</v>
      </c>
      <c r="CB28" s="26">
        <f t="shared" si="25"/>
        <v>0</v>
      </c>
      <c r="CC28" s="26">
        <f t="shared" si="25"/>
        <v>0</v>
      </c>
      <c r="CD28" s="26" t="e">
        <f t="shared" si="25"/>
        <v>#DIV/0!</v>
      </c>
      <c r="CE28" s="26">
        <f t="shared" si="25"/>
        <v>27810000</v>
      </c>
      <c r="CF28" s="26">
        <f t="shared" si="25"/>
        <v>16447145.279999999</v>
      </c>
      <c r="CG28" s="26" t="e">
        <f t="shared" si="25"/>
        <v>#DIV/0!</v>
      </c>
      <c r="CH28" s="26" t="e">
        <f t="shared" si="25"/>
        <v>#DIV/0!</v>
      </c>
      <c r="CI28" s="26" t="e">
        <f t="shared" si="25"/>
        <v>#DIV/0!</v>
      </c>
      <c r="CJ28" s="26" t="e">
        <f t="shared" si="25"/>
        <v>#DIV/0!</v>
      </c>
    </row>
    <row r="29" spans="1:89" s="2" customFormat="1" x14ac:dyDescent="0.25">
      <c r="A29" s="20" t="s">
        <v>407</v>
      </c>
      <c r="B29" s="28">
        <f>B27-B28</f>
        <v>12110026028.081015</v>
      </c>
      <c r="C29" s="28">
        <f t="shared" ref="C29:BN29" si="26">C27-C28</f>
        <v>4627583543.0192833</v>
      </c>
      <c r="D29" s="28">
        <f t="shared" si="26"/>
        <v>1221746315.9982643</v>
      </c>
      <c r="E29" s="28">
        <f t="shared" si="26"/>
        <v>15801536710.295326</v>
      </c>
      <c r="F29" s="28">
        <f t="shared" si="26"/>
        <v>6884145450.060214</v>
      </c>
      <c r="G29" s="28">
        <f t="shared" si="26"/>
        <v>5799651330.5734501</v>
      </c>
      <c r="H29" s="28">
        <f t="shared" si="26"/>
        <v>2196977007.5657268</v>
      </c>
      <c r="I29" s="28">
        <f t="shared" si="26"/>
        <v>32381506589.794373</v>
      </c>
      <c r="J29" s="28">
        <f t="shared" si="26"/>
        <v>7948795582.362051</v>
      </c>
      <c r="K29" s="28">
        <f t="shared" si="26"/>
        <v>7236403143.4649019</v>
      </c>
      <c r="L29" s="28">
        <f t="shared" si="26"/>
        <v>2489120643.7713852</v>
      </c>
      <c r="M29" s="28">
        <f t="shared" si="26"/>
        <v>6869979166.9982338</v>
      </c>
      <c r="N29" s="28">
        <f t="shared" si="26"/>
        <v>9333534633.0038223</v>
      </c>
      <c r="O29" s="28">
        <f t="shared" si="26"/>
        <v>4997847275.3245659</v>
      </c>
      <c r="P29" s="28">
        <f t="shared" si="26"/>
        <v>3429050956.1705666</v>
      </c>
      <c r="Q29" s="28">
        <f t="shared" si="26"/>
        <v>-5108366115.6062641</v>
      </c>
      <c r="R29" s="28">
        <f t="shared" si="26"/>
        <v>1970129589.8537383</v>
      </c>
      <c r="S29" s="28">
        <f t="shared" si="26"/>
        <v>1326717201.6204424</v>
      </c>
      <c r="T29" s="28">
        <f t="shared" si="26"/>
        <v>-453938491.88559133</v>
      </c>
      <c r="U29" s="28">
        <f t="shared" si="26"/>
        <v>7915847957.5736332</v>
      </c>
      <c r="V29" s="28">
        <f t="shared" si="26"/>
        <v>2365745807.2768617</v>
      </c>
      <c r="W29" s="28">
        <f t="shared" si="26"/>
        <v>1593268384.687927</v>
      </c>
      <c r="X29" s="28">
        <f t="shared" si="26"/>
        <v>-827806434.63880324</v>
      </c>
      <c r="Y29" s="28">
        <f t="shared" si="26"/>
        <v>2355775958.0279126</v>
      </c>
      <c r="Z29" s="28">
        <f t="shared" si="26"/>
        <v>1393048637.9450228</v>
      </c>
      <c r="AA29" s="28">
        <f t="shared" si="26"/>
        <v>691177365.43772101</v>
      </c>
      <c r="AB29" s="28">
        <f t="shared" si="26"/>
        <v>111831901.67834017</v>
      </c>
      <c r="AC29" s="28">
        <f t="shared" si="26"/>
        <v>-2811280395.9987626</v>
      </c>
      <c r="AD29" s="28">
        <f t="shared" si="26"/>
        <v>3347501030.2270746</v>
      </c>
      <c r="AE29" s="28">
        <f t="shared" si="26"/>
        <v>2289695405.6224899</v>
      </c>
      <c r="AF29" s="28">
        <f t="shared" si="26"/>
        <v>1056205992.5093633</v>
      </c>
      <c r="AG29" s="28">
        <f t="shared" si="26"/>
        <v>2990149854.2274055</v>
      </c>
      <c r="AH29" s="28">
        <f t="shared" si="26"/>
        <v>2738998487.2793951</v>
      </c>
      <c r="AI29" s="28">
        <f t="shared" si="26"/>
        <v>1511643250.4059274</v>
      </c>
      <c r="AJ29" s="28">
        <f t="shared" si="26"/>
        <v>964820317.0387584</v>
      </c>
      <c r="AK29" s="28">
        <f t="shared" si="26"/>
        <v>3298153826.707262</v>
      </c>
      <c r="AL29" s="28">
        <f t="shared" si="26"/>
        <v>1854992929.4329681</v>
      </c>
      <c r="AM29" s="28">
        <f t="shared" si="26"/>
        <v>1742311838.5429485</v>
      </c>
      <c r="AN29" s="28">
        <f t="shared" si="26"/>
        <v>40993385.305929601</v>
      </c>
      <c r="AO29" s="28">
        <f t="shared" si="26"/>
        <v>4706627541.0043697</v>
      </c>
      <c r="AP29" s="28">
        <f t="shared" si="26"/>
        <v>5257213471.6251926</v>
      </c>
      <c r="AQ29" s="28">
        <f t="shared" si="26"/>
        <v>4600148764.392025</v>
      </c>
      <c r="AR29" s="28">
        <f t="shared" si="26"/>
        <v>3697776701.1197243</v>
      </c>
      <c r="AS29" s="28">
        <f t="shared" si="26"/>
        <v>1847734534.5473111</v>
      </c>
      <c r="AT29" s="28">
        <f t="shared" si="26"/>
        <v>1882944195.1558123</v>
      </c>
      <c r="AU29" s="28">
        <f t="shared" si="26"/>
        <v>1388461525.2401986</v>
      </c>
      <c r="AV29" s="28">
        <f t="shared" si="26"/>
        <v>811289521.76676202</v>
      </c>
      <c r="AW29" s="28">
        <f t="shared" si="26"/>
        <v>30134735.471527651</v>
      </c>
      <c r="AX29" s="28">
        <f t="shared" si="26"/>
        <v>19196393.578534819</v>
      </c>
      <c r="AY29" s="28">
        <f t="shared" si="26"/>
        <v>129124932.65489376</v>
      </c>
      <c r="AZ29" s="28">
        <f t="shared" si="26"/>
        <v>123042257.37963153</v>
      </c>
      <c r="BA29" s="28">
        <f t="shared" si="26"/>
        <v>546372560.24566698</v>
      </c>
      <c r="BB29" s="28">
        <f t="shared" si="26"/>
        <v>-376436650.40083653</v>
      </c>
      <c r="BC29" s="28">
        <f t="shared" si="26"/>
        <v>-531612915.1976248</v>
      </c>
      <c r="BD29" s="28">
        <f t="shared" si="26"/>
        <v>101997336.47175421</v>
      </c>
      <c r="BE29" s="28">
        <f t="shared" si="26"/>
        <v>790981862.68677008</v>
      </c>
      <c r="BF29" s="28">
        <f t="shared" si="26"/>
        <v>575892293.05423403</v>
      </c>
      <c r="BG29" s="28">
        <f t="shared" si="26"/>
        <v>373785414.33909929</v>
      </c>
      <c r="BH29" s="28">
        <f t="shared" si="26"/>
        <v>104264530.71993969</v>
      </c>
      <c r="BI29" s="28">
        <f t="shared" si="26"/>
        <v>402646152.10245949</v>
      </c>
      <c r="BJ29" s="28">
        <f t="shared" si="26"/>
        <v>291702347.0974102</v>
      </c>
      <c r="BK29" s="28">
        <f t="shared" si="26"/>
        <v>248140046.89197689</v>
      </c>
      <c r="BL29" s="28">
        <f t="shared" si="26"/>
        <v>50830959.630684607</v>
      </c>
      <c r="BM29" s="28">
        <f t="shared" si="26"/>
        <v>370081024.87640274</v>
      </c>
      <c r="BN29" s="28">
        <f t="shared" si="26"/>
        <v>249404585.66528255</v>
      </c>
      <c r="BO29" s="28">
        <f t="shared" ref="BO29:CK29" si="27">BO27-BO28</f>
        <v>138583958.72420263</v>
      </c>
      <c r="BP29" s="28">
        <f t="shared" si="27"/>
        <v>61588805.166846074</v>
      </c>
      <c r="BQ29" s="28">
        <f t="shared" si="27"/>
        <v>383920890.71198356</v>
      </c>
      <c r="BR29" s="28">
        <f t="shared" si="27"/>
        <v>228068295.51221633</v>
      </c>
      <c r="BS29" s="28">
        <f t="shared" si="27"/>
        <v>167743595.27921706</v>
      </c>
      <c r="BT29" s="28">
        <f t="shared" si="27"/>
        <v>742840812.68140209</v>
      </c>
      <c r="BU29" s="28">
        <f t="shared" si="27"/>
        <v>-947028014.61632156</v>
      </c>
      <c r="BV29" s="28" t="e">
        <f t="shared" si="27"/>
        <v>#DIV/0!</v>
      </c>
      <c r="BW29" s="28">
        <f t="shared" si="27"/>
        <v>0</v>
      </c>
      <c r="BX29" s="28">
        <f t="shared" si="27"/>
        <v>0</v>
      </c>
      <c r="BY29" s="28">
        <f t="shared" si="27"/>
        <v>0</v>
      </c>
      <c r="BZ29" s="28">
        <f t="shared" si="27"/>
        <v>0</v>
      </c>
      <c r="CA29" s="28">
        <f t="shared" si="27"/>
        <v>0</v>
      </c>
      <c r="CB29" s="28">
        <f t="shared" si="27"/>
        <v>0</v>
      </c>
      <c r="CC29" s="28">
        <f t="shared" si="27"/>
        <v>0</v>
      </c>
      <c r="CD29" s="28" t="e">
        <f t="shared" si="27"/>
        <v>#DIV/0!</v>
      </c>
      <c r="CE29" s="28">
        <f t="shared" si="27"/>
        <v>-20081000</v>
      </c>
      <c r="CF29" s="28">
        <f t="shared" si="27"/>
        <v>-14354563.84</v>
      </c>
      <c r="CG29" s="28" t="e">
        <f t="shared" si="27"/>
        <v>#DIV/0!</v>
      </c>
      <c r="CH29" s="28" t="e">
        <f t="shared" si="27"/>
        <v>#DIV/0!</v>
      </c>
      <c r="CI29" s="28" t="e">
        <f t="shared" si="27"/>
        <v>#DIV/0!</v>
      </c>
      <c r="CJ29" s="28" t="e">
        <f t="shared" si="27"/>
        <v>#DIV/0!</v>
      </c>
      <c r="CK29" s="28">
        <f t="shared" si="27"/>
        <v>0</v>
      </c>
    </row>
    <row r="30" spans="1:89" s="16" customFormat="1" x14ac:dyDescent="0.25">
      <c r="A30" s="18" t="s">
        <v>88</v>
      </c>
      <c r="B30" s="30"/>
      <c r="C30" s="30"/>
      <c r="D30" s="30"/>
      <c r="E30" s="30"/>
      <c r="F30" s="30"/>
      <c r="G30" s="30"/>
      <c r="H30" s="30"/>
      <c r="I30" s="30"/>
      <c r="J30" s="30"/>
      <c r="K30" s="30"/>
    </row>
    <row r="31" spans="1:89" x14ac:dyDescent="0.25">
      <c r="A31" s="17" t="s">
        <v>408</v>
      </c>
      <c r="B31" s="26">
        <f>B15+B20+B27</f>
        <v>110075022069</v>
      </c>
      <c r="C31" s="26">
        <f t="shared" ref="C31:BN31" si="28">C15+C20+C27</f>
        <v>74725028539</v>
      </c>
      <c r="D31" s="26">
        <f t="shared" si="28"/>
        <v>31894035004</v>
      </c>
      <c r="E31" s="26">
        <f t="shared" si="28"/>
        <v>96816000000</v>
      </c>
      <c r="F31" s="26">
        <f t="shared" si="28"/>
        <v>67724030526</v>
      </c>
      <c r="G31" s="26">
        <f t="shared" si="28"/>
        <v>48432022818</v>
      </c>
      <c r="H31" s="26">
        <f t="shared" si="28"/>
        <v>30182015162</v>
      </c>
      <c r="I31" s="26">
        <f t="shared" si="28"/>
        <v>106266000000</v>
      </c>
      <c r="J31" s="26">
        <f t="shared" si="28"/>
        <v>66792000000</v>
      </c>
      <c r="K31" s="26">
        <f t="shared" si="28"/>
        <v>46594000000</v>
      </c>
      <c r="L31" s="26">
        <f t="shared" si="28"/>
        <v>17608000000</v>
      </c>
      <c r="M31" s="26">
        <f t="shared" si="28"/>
        <v>74828000000</v>
      </c>
      <c r="N31" s="26">
        <f t="shared" si="28"/>
        <v>65796000000</v>
      </c>
      <c r="O31" s="26">
        <f t="shared" si="28"/>
        <v>50747000000</v>
      </c>
      <c r="P31" s="26">
        <f t="shared" si="28"/>
        <v>10828000000</v>
      </c>
      <c r="Q31" s="26">
        <f t="shared" si="28"/>
        <v>80113000000</v>
      </c>
      <c r="R31" s="26">
        <f t="shared" si="28"/>
        <v>86755000000</v>
      </c>
      <c r="S31" s="26">
        <f t="shared" si="28"/>
        <v>57883000000</v>
      </c>
      <c r="T31" s="26">
        <f t="shared" si="28"/>
        <v>26494000000</v>
      </c>
      <c r="U31" s="26">
        <f t="shared" si="28"/>
        <v>121922000000</v>
      </c>
      <c r="V31" s="26">
        <f t="shared" si="28"/>
        <v>89895000000</v>
      </c>
      <c r="W31" s="26">
        <f t="shared" si="28"/>
        <v>55251000000</v>
      </c>
      <c r="X31" s="26">
        <f t="shared" si="28"/>
        <v>29117000000</v>
      </c>
      <c r="Y31" s="26">
        <f t="shared" si="28"/>
        <v>117620000000</v>
      </c>
      <c r="Z31" s="26">
        <f t="shared" si="28"/>
        <v>81005000000</v>
      </c>
      <c r="AA31" s="26">
        <f t="shared" si="28"/>
        <v>46815000000</v>
      </c>
      <c r="AB31" s="26">
        <f t="shared" si="28"/>
        <v>25314000000</v>
      </c>
      <c r="AC31" s="26">
        <f t="shared" si="28"/>
        <v>113510000000</v>
      </c>
      <c r="AD31" s="26">
        <f t="shared" si="28"/>
        <v>99100000000</v>
      </c>
      <c r="AE31" s="26">
        <f t="shared" si="28"/>
        <v>65736000000</v>
      </c>
      <c r="AF31" s="26">
        <f t="shared" si="28"/>
        <v>35249000000</v>
      </c>
      <c r="AG31" s="26">
        <f t="shared" si="28"/>
        <v>118982000000</v>
      </c>
      <c r="AH31" s="26">
        <f t="shared" si="28"/>
        <v>92545000000</v>
      </c>
      <c r="AI31" s="26">
        <f t="shared" si="28"/>
        <v>57230000000</v>
      </c>
      <c r="AJ31" s="26">
        <f t="shared" si="28"/>
        <v>25531000000</v>
      </c>
      <c r="AK31" s="26">
        <f t="shared" si="28"/>
        <v>98272000000</v>
      </c>
      <c r="AL31" s="26">
        <f t="shared" si="28"/>
        <v>77865000000</v>
      </c>
      <c r="AM31" s="26">
        <f t="shared" si="28"/>
        <v>52637000000</v>
      </c>
      <c r="AN31" s="26">
        <f t="shared" si="28"/>
        <v>19213000000</v>
      </c>
      <c r="AO31" s="26">
        <f t="shared" si="28"/>
        <v>40751000000</v>
      </c>
      <c r="AP31" s="26">
        <f t="shared" si="28"/>
        <v>32063000000</v>
      </c>
      <c r="AQ31" s="26">
        <f t="shared" si="28"/>
        <v>17902000000</v>
      </c>
      <c r="AR31" s="26">
        <f t="shared" si="28"/>
        <v>10053000000</v>
      </c>
      <c r="AS31" s="26">
        <f t="shared" si="28"/>
        <v>98906000000</v>
      </c>
      <c r="AT31" s="26">
        <f t="shared" si="28"/>
        <v>84762000000</v>
      </c>
      <c r="AU31" s="26">
        <f t="shared" si="28"/>
        <v>60877000000</v>
      </c>
      <c r="AV31" s="26">
        <f t="shared" si="28"/>
        <v>26633000000</v>
      </c>
      <c r="AW31" s="26">
        <f t="shared" si="28"/>
        <v>81995000000</v>
      </c>
      <c r="AX31" s="26">
        <f t="shared" si="28"/>
        <v>58299000000</v>
      </c>
      <c r="AY31" s="26">
        <f t="shared" si="28"/>
        <v>36932000000</v>
      </c>
      <c r="AZ31" s="26">
        <f t="shared" si="28"/>
        <v>16207000000</v>
      </c>
      <c r="BA31" s="26">
        <f t="shared" si="28"/>
        <v>62905000000</v>
      </c>
      <c r="BB31" s="26">
        <f t="shared" si="28"/>
        <v>49820000000</v>
      </c>
      <c r="BC31" s="26">
        <f t="shared" si="28"/>
        <v>35186000000</v>
      </c>
      <c r="BD31" s="26">
        <f t="shared" si="28"/>
        <v>17516000000</v>
      </c>
      <c r="BE31" s="26">
        <f t="shared" si="28"/>
        <v>63160000000</v>
      </c>
      <c r="BF31" s="26">
        <f t="shared" si="28"/>
        <v>45201000000</v>
      </c>
      <c r="BG31" s="26">
        <f t="shared" si="28"/>
        <v>28051000000</v>
      </c>
      <c r="BH31" s="26">
        <f t="shared" si="28"/>
        <v>14427000000</v>
      </c>
      <c r="BI31" s="26">
        <f t="shared" si="28"/>
        <v>39421000000</v>
      </c>
      <c r="BJ31" s="26">
        <f t="shared" si="28"/>
        <v>29758000000</v>
      </c>
      <c r="BK31" s="26">
        <f t="shared" si="28"/>
        <v>19721000000</v>
      </c>
      <c r="BL31" s="26">
        <f t="shared" si="28"/>
        <v>11349000000</v>
      </c>
      <c r="BM31" s="26">
        <f t="shared" si="28"/>
        <v>29813000000</v>
      </c>
      <c r="BN31" s="26">
        <f t="shared" si="28"/>
        <v>20226000000</v>
      </c>
      <c r="BO31" s="26">
        <f t="shared" ref="BO31:CJ31" si="29">BO15+BO20+BO27</f>
        <v>10980000000</v>
      </c>
      <c r="BP31" s="26">
        <f t="shared" si="29"/>
        <v>1928000000</v>
      </c>
      <c r="BQ31" s="26">
        <f t="shared" si="29"/>
        <v>27487000000</v>
      </c>
      <c r="BR31" s="26">
        <f t="shared" si="29"/>
        <v>16090000000</v>
      </c>
      <c r="BS31" s="26">
        <f t="shared" si="29"/>
        <v>32635000000</v>
      </c>
      <c r="BT31" s="26">
        <f t="shared" si="29"/>
        <v>17043000000</v>
      </c>
      <c r="BU31" s="26">
        <f t="shared" si="29"/>
        <v>7595000000</v>
      </c>
      <c r="BV31" s="26">
        <f t="shared" si="29"/>
        <v>0</v>
      </c>
      <c r="BW31" s="26">
        <f t="shared" si="29"/>
        <v>0</v>
      </c>
      <c r="BX31" s="26">
        <f t="shared" si="29"/>
        <v>0</v>
      </c>
      <c r="BY31" s="26">
        <f t="shared" si="29"/>
        <v>0</v>
      </c>
      <c r="BZ31" s="26">
        <f t="shared" si="29"/>
        <v>0</v>
      </c>
      <c r="CA31" s="26">
        <f t="shared" si="29"/>
        <v>0</v>
      </c>
      <c r="CB31" s="26">
        <f t="shared" si="29"/>
        <v>0</v>
      </c>
      <c r="CC31" s="26">
        <f t="shared" si="29"/>
        <v>0</v>
      </c>
      <c r="CD31" s="26">
        <f t="shared" si="29"/>
        <v>0</v>
      </c>
      <c r="CE31" s="26">
        <f t="shared" si="29"/>
        <v>7729000</v>
      </c>
      <c r="CF31" s="26">
        <f t="shared" si="29"/>
        <v>2092581.44</v>
      </c>
      <c r="CG31" s="26">
        <f t="shared" si="29"/>
        <v>0</v>
      </c>
      <c r="CH31" s="26">
        <f t="shared" si="29"/>
        <v>0</v>
      </c>
      <c r="CI31" s="26">
        <f t="shared" si="29"/>
        <v>0</v>
      </c>
      <c r="CJ31" s="26">
        <f t="shared" si="29"/>
        <v>0</v>
      </c>
    </row>
    <row r="32" spans="1:89" s="57" customFormat="1" x14ac:dyDescent="0.25">
      <c r="A32" s="57" t="s">
        <v>409</v>
      </c>
      <c r="B32" s="57">
        <f>B31/B4*100</f>
        <v>5.3100151989174948</v>
      </c>
      <c r="C32" s="57">
        <f t="shared" ref="C32:D32" si="30">C31/C4*100</f>
        <v>5.7469650913053778</v>
      </c>
      <c r="D32" s="57">
        <f t="shared" si="30"/>
        <v>5.1338404290697319</v>
      </c>
      <c r="E32" s="57">
        <f>E31/E4</f>
        <v>4.1020374181263988E-2</v>
      </c>
      <c r="F32" s="57">
        <f t="shared" ref="F32:BQ32" si="31">F31/F4</f>
        <v>3.8811333544991132E-2</v>
      </c>
      <c r="G32" s="57">
        <f t="shared" si="31"/>
        <v>4.1542705213507551E-2</v>
      </c>
      <c r="H32" s="57">
        <f t="shared" si="31"/>
        <v>5.1842653386810038E-2</v>
      </c>
      <c r="I32" s="57">
        <f t="shared" si="31"/>
        <v>5.5034126378688611E-2</v>
      </c>
      <c r="J32" s="57">
        <f t="shared" si="31"/>
        <v>4.8969716520827454E-2</v>
      </c>
      <c r="K32" s="57">
        <f t="shared" si="31"/>
        <v>5.2994699847592183E-2</v>
      </c>
      <c r="L32" s="57">
        <f t="shared" si="31"/>
        <v>4.2552985814060272E-2</v>
      </c>
      <c r="M32" s="57">
        <f t="shared" si="31"/>
        <v>3.7064059680526312E-2</v>
      </c>
      <c r="N32" s="57">
        <f t="shared" si="31"/>
        <v>4.2812607973389503E-2</v>
      </c>
      <c r="O32" s="57">
        <f t="shared" si="31"/>
        <v>4.8778213737141494E-2</v>
      </c>
      <c r="P32" s="57">
        <f t="shared" si="31"/>
        <v>2.2641304279641436E-2</v>
      </c>
      <c r="Q32" s="57">
        <f t="shared" si="31"/>
        <v>2.8349411907085637E-2</v>
      </c>
      <c r="R32" s="57">
        <f t="shared" si="31"/>
        <v>4.1006348882233715E-2</v>
      </c>
      <c r="S32" s="57">
        <f t="shared" si="31"/>
        <v>4.2681164336087166E-2</v>
      </c>
      <c r="T32" s="57">
        <f t="shared" si="31"/>
        <v>4.132810245450929E-2</v>
      </c>
      <c r="U32" s="57">
        <f t="shared" si="31"/>
        <v>4.2329456784354187E-2</v>
      </c>
      <c r="V32" s="57">
        <f t="shared" si="31"/>
        <v>4.200850123649251E-2</v>
      </c>
      <c r="W32" s="57">
        <f t="shared" si="31"/>
        <v>3.9039911138997942E-2</v>
      </c>
      <c r="X32" s="57">
        <f t="shared" si="31"/>
        <v>4.186057210550756E-2</v>
      </c>
      <c r="Y32" s="57">
        <f t="shared" si="31"/>
        <v>4.2217552121376359E-2</v>
      </c>
      <c r="Z32" s="57">
        <f t="shared" si="31"/>
        <v>4.0007092177565207E-2</v>
      </c>
      <c r="AA32" s="57">
        <f t="shared" si="31"/>
        <v>3.4727373612091939E-2</v>
      </c>
      <c r="AB32" s="57">
        <f t="shared" si="31"/>
        <v>3.7705272094911112E-2</v>
      </c>
      <c r="AC32" s="57">
        <f t="shared" si="31"/>
        <v>4.5301021717431937E-2</v>
      </c>
      <c r="AD32" s="57">
        <f t="shared" si="31"/>
        <v>5.2850458268403532E-2</v>
      </c>
      <c r="AE32" s="57">
        <f t="shared" si="31"/>
        <v>5.3302110158991688E-2</v>
      </c>
      <c r="AF32" s="57">
        <f t="shared" si="31"/>
        <v>5.9861558788265781E-2</v>
      </c>
      <c r="AG32" s="57">
        <f t="shared" si="31"/>
        <v>6.2190633196423553E-2</v>
      </c>
      <c r="AH32" s="57">
        <f t="shared" si="31"/>
        <v>6.4824582417474658E-2</v>
      </c>
      <c r="AI32" s="57">
        <f t="shared" si="31"/>
        <v>6.1109017076996508E-2</v>
      </c>
      <c r="AJ32" s="57">
        <f t="shared" si="31"/>
        <v>5.8262153447327644E-2</v>
      </c>
      <c r="AK32" s="57">
        <f t="shared" si="31"/>
        <v>7.3061859318450148E-2</v>
      </c>
      <c r="AL32" s="57">
        <f t="shared" si="31"/>
        <v>8.7151126870282328E-2</v>
      </c>
      <c r="AM32" s="57">
        <f t="shared" si="31"/>
        <v>9.8566546509994857E-2</v>
      </c>
      <c r="AN32" s="57">
        <f t="shared" si="31"/>
        <v>8.4051884419362594E-2</v>
      </c>
      <c r="AO32" s="57">
        <f t="shared" si="31"/>
        <v>2.8063474923576252E-2</v>
      </c>
      <c r="AP32" s="57">
        <f t="shared" si="31"/>
        <v>2.7944120474430383E-2</v>
      </c>
      <c r="AQ32" s="57">
        <f t="shared" si="31"/>
        <v>2.4363655664325384E-2</v>
      </c>
      <c r="AR32" s="57">
        <f t="shared" si="31"/>
        <v>3.0279208457576579E-2</v>
      </c>
      <c r="AS32" s="57">
        <f t="shared" si="31"/>
        <v>8.2090363640739919E-2</v>
      </c>
      <c r="AT32" s="57">
        <f t="shared" si="31"/>
        <v>9.6846728472220631E-2</v>
      </c>
      <c r="AU32" s="57">
        <f t="shared" si="31"/>
        <v>0.10739904380502091</v>
      </c>
      <c r="AV32" s="57">
        <f t="shared" si="31"/>
        <v>9.7569642883310617E-2</v>
      </c>
      <c r="AW32" s="57">
        <f t="shared" si="31"/>
        <v>7.8495738474543331E-2</v>
      </c>
      <c r="AX32" s="57">
        <f t="shared" si="31"/>
        <v>7.7194826930996177E-2</v>
      </c>
      <c r="AY32" s="57">
        <f t="shared" si="31"/>
        <v>7.6624314298281287E-2</v>
      </c>
      <c r="AZ32" s="57">
        <f t="shared" si="31"/>
        <v>7.2775360464124222E-2</v>
      </c>
      <c r="BA32" s="57">
        <f t="shared" si="31"/>
        <v>7.8718332154946405E-2</v>
      </c>
      <c r="BB32" s="57">
        <f t="shared" si="31"/>
        <v>8.6344650687186955E-2</v>
      </c>
      <c r="BC32" s="57">
        <f t="shared" si="31"/>
        <v>9.7943481940052549E-2</v>
      </c>
      <c r="BD32" s="57">
        <f t="shared" si="31"/>
        <v>0.10362044486512068</v>
      </c>
      <c r="BE32" s="57">
        <f t="shared" si="31"/>
        <v>0.10693629874439584</v>
      </c>
      <c r="BF32" s="57">
        <f t="shared" si="31"/>
        <v>0.10821532457893918</v>
      </c>
      <c r="BG32" s="57">
        <f t="shared" si="31"/>
        <v>0.10557037962583127</v>
      </c>
      <c r="BH32" s="57">
        <f t="shared" si="31"/>
        <v>0.11682727346343834</v>
      </c>
      <c r="BI32" s="57">
        <f t="shared" si="31"/>
        <v>9.4491491906584749E-2</v>
      </c>
      <c r="BJ32" s="57">
        <f t="shared" si="31"/>
        <v>9.8974928657429267E-2</v>
      </c>
      <c r="BK32" s="57">
        <f t="shared" si="31"/>
        <v>0.10121534371439422</v>
      </c>
      <c r="BL32" s="57">
        <f t="shared" si="31"/>
        <v>0.11519605355312174</v>
      </c>
      <c r="BM32" s="57">
        <f t="shared" si="31"/>
        <v>9.1963206080497489E-2</v>
      </c>
      <c r="BN32" s="57">
        <f t="shared" si="31"/>
        <v>8.942316619728273E-2</v>
      </c>
      <c r="BO32" s="57">
        <f t="shared" si="31"/>
        <v>7.8078334328867655E-2</v>
      </c>
      <c r="BP32" s="57">
        <f t="shared" si="31"/>
        <v>3.0605603619334867E-2</v>
      </c>
      <c r="BQ32" s="57">
        <f t="shared" si="31"/>
        <v>9.0314673711257218E-2</v>
      </c>
      <c r="BR32" s="57">
        <f t="shared" ref="BR32:CK32" si="32">BR31/BR4</f>
        <v>0.1003655326421897</v>
      </c>
      <c r="BS32" s="57">
        <f t="shared" si="32"/>
        <v>0.1010584271611361</v>
      </c>
      <c r="BT32" s="57">
        <f t="shared" si="32"/>
        <v>7.3764212476249424E-2</v>
      </c>
      <c r="BU32" s="57">
        <f t="shared" si="32"/>
        <v>3.9927452423509618E-2</v>
      </c>
      <c r="BV32" s="57" t="e">
        <f t="shared" si="32"/>
        <v>#DIV/0!</v>
      </c>
      <c r="BW32" s="57" t="e">
        <f t="shared" si="32"/>
        <v>#DIV/0!</v>
      </c>
      <c r="BX32" s="57" t="e">
        <f t="shared" si="32"/>
        <v>#DIV/0!</v>
      </c>
      <c r="BY32" s="57" t="e">
        <f t="shared" si="32"/>
        <v>#DIV/0!</v>
      </c>
      <c r="BZ32" s="57" t="e">
        <f t="shared" si="32"/>
        <v>#DIV/0!</v>
      </c>
      <c r="CA32" s="57" t="e">
        <f t="shared" si="32"/>
        <v>#DIV/0!</v>
      </c>
      <c r="CB32" s="57" t="e">
        <f t="shared" si="32"/>
        <v>#DIV/0!</v>
      </c>
      <c r="CC32" s="57" t="e">
        <f t="shared" si="32"/>
        <v>#DIV/0!</v>
      </c>
      <c r="CD32" s="57" t="e">
        <f t="shared" si="32"/>
        <v>#DIV/0!</v>
      </c>
      <c r="CE32" s="57" t="e">
        <f t="shared" si="32"/>
        <v>#DIV/0!</v>
      </c>
      <c r="CF32" s="57" t="e">
        <f t="shared" si="32"/>
        <v>#DIV/0!</v>
      </c>
      <c r="CG32" s="57" t="e">
        <f t="shared" si="32"/>
        <v>#DIV/0!</v>
      </c>
      <c r="CH32" s="57" t="e">
        <f t="shared" si="32"/>
        <v>#DIV/0!</v>
      </c>
      <c r="CI32" s="57" t="e">
        <f t="shared" si="32"/>
        <v>#DIV/0!</v>
      </c>
      <c r="CJ32" s="57" t="e">
        <f t="shared" si="32"/>
        <v>#DIV/0!</v>
      </c>
      <c r="CK32" s="57" t="e">
        <f t="shared" si="32"/>
        <v>#DIV/0!</v>
      </c>
    </row>
    <row r="33" spans="1:89" x14ac:dyDescent="0.25">
      <c r="A33" s="17" t="s">
        <v>410</v>
      </c>
      <c r="B33" s="26">
        <f>B17+B20+B29</f>
        <v>89772387015.417892</v>
      </c>
      <c r="C33" s="26">
        <f t="shared" ref="C33:BN33" si="33">C17+C20+C29</f>
        <v>60138043683.718933</v>
      </c>
      <c r="D33" s="26">
        <f t="shared" si="33"/>
        <v>24469511510.668537</v>
      </c>
      <c r="E33" s="26">
        <f t="shared" si="33"/>
        <v>78513022643.941254</v>
      </c>
      <c r="F33" s="26">
        <f t="shared" si="33"/>
        <v>53745843504.689484</v>
      </c>
      <c r="G33" s="26">
        <f t="shared" si="33"/>
        <v>39063354340.760826</v>
      </c>
      <c r="H33" s="26">
        <f t="shared" si="33"/>
        <v>23514334784.206711</v>
      </c>
      <c r="I33" s="26">
        <f t="shared" si="33"/>
        <v>84808337163.12204</v>
      </c>
      <c r="J33" s="26">
        <f t="shared" si="33"/>
        <v>54297629880.185837</v>
      </c>
      <c r="K33" s="26">
        <f t="shared" si="33"/>
        <v>37925071945.166626</v>
      </c>
      <c r="L33" s="26">
        <f t="shared" si="33"/>
        <v>14345973387.403372</v>
      </c>
      <c r="M33" s="26">
        <f t="shared" si="33"/>
        <v>59834643276.622162</v>
      </c>
      <c r="N33" s="26">
        <f t="shared" si="33"/>
        <v>54937703303.13781</v>
      </c>
      <c r="O33" s="26">
        <f t="shared" si="33"/>
        <v>40709224108.230743</v>
      </c>
      <c r="P33" s="26">
        <f t="shared" si="33"/>
        <v>9912416201.4491043</v>
      </c>
      <c r="Q33" s="26">
        <f t="shared" si="33"/>
        <v>57258375036.381622</v>
      </c>
      <c r="R33" s="26">
        <f t="shared" si="33"/>
        <v>66914255190.753807</v>
      </c>
      <c r="S33" s="26">
        <f t="shared" si="33"/>
        <v>44734428716.110939</v>
      </c>
      <c r="T33" s="26">
        <f t="shared" si="33"/>
        <v>20771410024.208733</v>
      </c>
      <c r="U33" s="26">
        <f t="shared" si="33"/>
        <v>94766066006.311371</v>
      </c>
      <c r="V33" s="26">
        <f t="shared" si="33"/>
        <v>68492341173.962479</v>
      </c>
      <c r="W33" s="26">
        <f t="shared" si="33"/>
        <v>42075362593.583405</v>
      </c>
      <c r="X33" s="26">
        <f t="shared" si="33"/>
        <v>22359220739.682777</v>
      </c>
      <c r="Y33" s="26">
        <f t="shared" si="33"/>
        <v>91441576731.395523</v>
      </c>
      <c r="Z33" s="26">
        <f t="shared" si="33"/>
        <v>62344698849.025726</v>
      </c>
      <c r="AA33" s="26">
        <f t="shared" si="33"/>
        <v>36253030473.329781</v>
      </c>
      <c r="AB33" s="26">
        <f t="shared" si="33"/>
        <v>20366278842.341747</v>
      </c>
      <c r="AC33" s="26">
        <f t="shared" si="33"/>
        <v>88206897562.820114</v>
      </c>
      <c r="AD33" s="26">
        <f t="shared" si="33"/>
        <v>77763092380.568008</v>
      </c>
      <c r="AE33" s="26">
        <f t="shared" si="33"/>
        <v>51400435357.429718</v>
      </c>
      <c r="AF33" s="26">
        <f t="shared" si="33"/>
        <v>27076512749.063671</v>
      </c>
      <c r="AG33" s="26">
        <f t="shared" si="33"/>
        <v>91458383269.791428</v>
      </c>
      <c r="AH33" s="26">
        <f t="shared" si="33"/>
        <v>72237279853.311935</v>
      </c>
      <c r="AI33" s="26">
        <f t="shared" si="33"/>
        <v>45352160019.409866</v>
      </c>
      <c r="AJ33" s="26">
        <f t="shared" si="33"/>
        <v>20596009627.354965</v>
      </c>
      <c r="AK33" s="26">
        <f t="shared" si="33"/>
        <v>81028365622.836044</v>
      </c>
      <c r="AL33" s="26">
        <f t="shared" si="33"/>
        <v>62663351171.495911</v>
      </c>
      <c r="AM33" s="26">
        <f t="shared" si="33"/>
        <v>42904662687.669205</v>
      </c>
      <c r="AN33" s="26">
        <f t="shared" si="33"/>
        <v>15835519489.7236</v>
      </c>
      <c r="AO33" s="26">
        <f t="shared" si="33"/>
        <v>43188421284.275856</v>
      </c>
      <c r="AP33" s="26">
        <f t="shared" si="33"/>
        <v>28676766849.390701</v>
      </c>
      <c r="AQ33" s="26">
        <f t="shared" si="33"/>
        <v>17775062201.628754</v>
      </c>
      <c r="AR33" s="26">
        <f t="shared" si="33"/>
        <v>9847350775.1937981</v>
      </c>
      <c r="AS33" s="26">
        <f t="shared" si="33"/>
        <v>71808263997.617432</v>
      </c>
      <c r="AT33" s="26">
        <f t="shared" si="33"/>
        <v>61527415524.208549</v>
      </c>
      <c r="AU33" s="26">
        <f t="shared" si="33"/>
        <v>44023631391.691444</v>
      </c>
      <c r="AV33" s="26">
        <f t="shared" si="33"/>
        <v>18388999006.990784</v>
      </c>
      <c r="AW33" s="26">
        <f t="shared" si="33"/>
        <v>57462735697.39325</v>
      </c>
      <c r="AX33" s="26">
        <f t="shared" si="33"/>
        <v>41449279601.296356</v>
      </c>
      <c r="AY33" s="26">
        <f t="shared" si="33"/>
        <v>25917619634.839867</v>
      </c>
      <c r="AZ33" s="26">
        <f t="shared" si="33"/>
        <v>11593871310.184235</v>
      </c>
      <c r="BA33" s="26">
        <f t="shared" si="33"/>
        <v>42274988809.660126</v>
      </c>
      <c r="BB33" s="26">
        <f t="shared" si="33"/>
        <v>35790217410.247475</v>
      </c>
      <c r="BC33" s="26">
        <f t="shared" si="33"/>
        <v>25209342364.074966</v>
      </c>
      <c r="BD33" s="26">
        <f t="shared" si="33"/>
        <v>12493603815.659067</v>
      </c>
      <c r="BE33" s="26">
        <f t="shared" si="33"/>
        <v>45917660337.5886</v>
      </c>
      <c r="BF33" s="26">
        <f t="shared" si="33"/>
        <v>33034146622.264507</v>
      </c>
      <c r="BG33" s="26">
        <f t="shared" si="33"/>
        <v>20319873367.49239</v>
      </c>
      <c r="BH33" s="26">
        <f t="shared" si="33"/>
        <v>10668258047.493404</v>
      </c>
      <c r="BI33" s="26">
        <f t="shared" si="33"/>
        <v>28964806500.056667</v>
      </c>
      <c r="BJ33" s="26">
        <f t="shared" si="33"/>
        <v>21865184999.81041</v>
      </c>
      <c r="BK33" s="26">
        <f t="shared" si="33"/>
        <v>14350644764.682337</v>
      </c>
      <c r="BL33" s="26">
        <f t="shared" si="33"/>
        <v>8241150869.2662802</v>
      </c>
      <c r="BM33" s="26">
        <f t="shared" si="33"/>
        <v>21847971474.535042</v>
      </c>
      <c r="BN33" s="26">
        <f t="shared" si="33"/>
        <v>14749874706.625744</v>
      </c>
      <c r="BO33" s="26">
        <f t="shared" ref="BO33:CJ33" si="34">BO17+BO20+BO29</f>
        <v>8180924015.0093803</v>
      </c>
      <c r="BP33" s="26">
        <f t="shared" si="34"/>
        <v>1855362755.651238</v>
      </c>
      <c r="BQ33" s="26">
        <f t="shared" si="34"/>
        <v>19327533924.908958</v>
      </c>
      <c r="BR33" s="26">
        <f t="shared" si="34"/>
        <v>12110953382.150366</v>
      </c>
      <c r="BS33" s="26">
        <f t="shared" si="34"/>
        <v>23294945667.818077</v>
      </c>
      <c r="BT33" s="26">
        <f t="shared" si="34"/>
        <v>14824632283.991962</v>
      </c>
      <c r="BU33" s="26">
        <f t="shared" si="34"/>
        <v>-7539494518.8794155</v>
      </c>
      <c r="BV33" s="26" t="e">
        <f t="shared" si="34"/>
        <v>#DIV/0!</v>
      </c>
      <c r="BW33" s="26">
        <f t="shared" si="34"/>
        <v>0</v>
      </c>
      <c r="BX33" s="26">
        <f t="shared" si="34"/>
        <v>0</v>
      </c>
      <c r="BY33" s="26">
        <f t="shared" si="34"/>
        <v>0</v>
      </c>
      <c r="BZ33" s="26">
        <f t="shared" si="34"/>
        <v>0</v>
      </c>
      <c r="CA33" s="26">
        <f t="shared" si="34"/>
        <v>0</v>
      </c>
      <c r="CB33" s="26">
        <f t="shared" si="34"/>
        <v>0</v>
      </c>
      <c r="CC33" s="26">
        <f t="shared" si="34"/>
        <v>0</v>
      </c>
      <c r="CD33" s="26" t="e">
        <f t="shared" si="34"/>
        <v>#DIV/0!</v>
      </c>
      <c r="CE33" s="26">
        <f t="shared" si="34"/>
        <v>-20081000</v>
      </c>
      <c r="CF33" s="26">
        <f t="shared" si="34"/>
        <v>-14354563.84</v>
      </c>
      <c r="CG33" s="26" t="e">
        <f t="shared" si="34"/>
        <v>#DIV/0!</v>
      </c>
      <c r="CH33" s="26" t="e">
        <f t="shared" si="34"/>
        <v>#DIV/0!</v>
      </c>
      <c r="CI33" s="26" t="e">
        <f t="shared" si="34"/>
        <v>#DIV/0!</v>
      </c>
      <c r="CJ33" s="26" t="e">
        <f t="shared" si="34"/>
        <v>#DIV/0!</v>
      </c>
    </row>
    <row r="34" spans="1:89" s="57" customFormat="1" x14ac:dyDescent="0.25">
      <c r="A34" s="57" t="s">
        <v>411</v>
      </c>
      <c r="B34" s="57">
        <f>B33/B4*100</f>
        <v>4.3306167969347307</v>
      </c>
      <c r="C34" s="57">
        <f t="shared" ref="C34:D34" si="35">C33/C4*100</f>
        <v>4.6251068011215466</v>
      </c>
      <c r="D34" s="57">
        <f t="shared" si="35"/>
        <v>3.9387480278773852</v>
      </c>
      <c r="E34" s="57">
        <f>E33/E4</f>
        <v>3.3265509491783619E-2</v>
      </c>
      <c r="F34" s="57">
        <f t="shared" ref="F34:BQ34" si="36">F33/F4</f>
        <v>3.0800704605384942E-2</v>
      </c>
      <c r="G34" s="57">
        <f t="shared" si="36"/>
        <v>3.3506703201871983E-2</v>
      </c>
      <c r="H34" s="57">
        <f t="shared" si="36"/>
        <v>4.0389798404642359E-2</v>
      </c>
      <c r="I34" s="57">
        <f t="shared" si="36"/>
        <v>4.3921411791181489E-2</v>
      </c>
      <c r="J34" s="57">
        <f t="shared" si="36"/>
        <v>3.980925175148986E-2</v>
      </c>
      <c r="K34" s="57">
        <f t="shared" si="36"/>
        <v>4.3134905876989406E-2</v>
      </c>
      <c r="L34" s="57">
        <f t="shared" si="36"/>
        <v>3.4669695708942634E-2</v>
      </c>
      <c r="M34" s="57">
        <f t="shared" si="36"/>
        <v>2.9637499189711421E-2</v>
      </c>
      <c r="N34" s="57">
        <f t="shared" si="36"/>
        <v>3.5747254460387019E-2</v>
      </c>
      <c r="O34" s="57">
        <f t="shared" si="36"/>
        <v>3.9129864516611282E-2</v>
      </c>
      <c r="P34" s="57">
        <f t="shared" si="36"/>
        <v>2.0726822253736305E-2</v>
      </c>
      <c r="Q34" s="57">
        <f t="shared" si="36"/>
        <v>2.0261895810127845E-2</v>
      </c>
      <c r="R34" s="57">
        <f t="shared" si="36"/>
        <v>3.1628255357580189E-2</v>
      </c>
      <c r="S34" s="57">
        <f t="shared" si="36"/>
        <v>3.2985807638051028E-2</v>
      </c>
      <c r="T34" s="57">
        <f t="shared" si="36"/>
        <v>3.2401410191179883E-2</v>
      </c>
      <c r="U34" s="57">
        <f t="shared" si="36"/>
        <v>3.2901331143168698E-2</v>
      </c>
      <c r="V34" s="57">
        <f t="shared" si="36"/>
        <v>3.2006903597493405E-2</v>
      </c>
      <c r="W34" s="57">
        <f t="shared" si="36"/>
        <v>2.973011197615634E-2</v>
      </c>
      <c r="X34" s="57">
        <f t="shared" si="36"/>
        <v>3.2145130748238181E-2</v>
      </c>
      <c r="Y34" s="57">
        <f t="shared" si="36"/>
        <v>3.2821284915137958E-2</v>
      </c>
      <c r="Z34" s="57">
        <f t="shared" si="36"/>
        <v>3.0791063682927177E-2</v>
      </c>
      <c r="AA34" s="57">
        <f t="shared" si="36"/>
        <v>2.6892503125448625E-2</v>
      </c>
      <c r="AB34" s="57">
        <f t="shared" si="36"/>
        <v>3.0335627925706207E-2</v>
      </c>
      <c r="AC34" s="57">
        <f t="shared" si="36"/>
        <v>3.5202736165277138E-2</v>
      </c>
      <c r="AD34" s="57">
        <f t="shared" si="36"/>
        <v>4.1471393225844783E-2</v>
      </c>
      <c r="AE34" s="57">
        <f t="shared" si="36"/>
        <v>4.1678101308899998E-2</v>
      </c>
      <c r="AF34" s="57">
        <f t="shared" si="36"/>
        <v>4.5982645173176628E-2</v>
      </c>
      <c r="AG34" s="57">
        <f t="shared" si="36"/>
        <v>4.7804329786602331E-2</v>
      </c>
      <c r="AH34" s="57">
        <f t="shared" si="36"/>
        <v>5.0599724474203911E-2</v>
      </c>
      <c r="AI34" s="57">
        <f t="shared" si="36"/>
        <v>4.8426103811022116E-2</v>
      </c>
      <c r="AJ34" s="57">
        <f t="shared" si="36"/>
        <v>4.7000425886631642E-2</v>
      </c>
      <c r="AK34" s="57">
        <f t="shared" si="36"/>
        <v>6.024180895819347E-2</v>
      </c>
      <c r="AL34" s="57">
        <f t="shared" si="36"/>
        <v>7.0136539755526806E-2</v>
      </c>
      <c r="AM34" s="57">
        <f t="shared" si="36"/>
        <v>8.0342048944654659E-2</v>
      </c>
      <c r="AN34" s="57">
        <f t="shared" si="36"/>
        <v>6.9276284488149265E-2</v>
      </c>
      <c r="AO34" s="57">
        <f t="shared" si="36"/>
        <v>2.9742022961402725E-2</v>
      </c>
      <c r="AP34" s="57">
        <f t="shared" si="36"/>
        <v>2.4992889862349911E-2</v>
      </c>
      <c r="AQ34" s="57">
        <f t="shared" si="36"/>
        <v>2.4190900172743182E-2</v>
      </c>
      <c r="AR34" s="57">
        <f t="shared" si="36"/>
        <v>2.9659801738483173E-2</v>
      </c>
      <c r="AS34" s="57">
        <f t="shared" si="36"/>
        <v>5.9599685600212997E-2</v>
      </c>
      <c r="AT34" s="57">
        <f t="shared" si="36"/>
        <v>7.029953168720085E-2</v>
      </c>
      <c r="AU34" s="57">
        <f t="shared" si="36"/>
        <v>7.7666375088988659E-2</v>
      </c>
      <c r="AV34" s="57">
        <f t="shared" si="36"/>
        <v>6.7367854394684956E-2</v>
      </c>
      <c r="AW34" s="57">
        <f t="shared" si="36"/>
        <v>5.5010425920292531E-2</v>
      </c>
      <c r="AX34" s="57">
        <f t="shared" si="36"/>
        <v>5.4883788147936367E-2</v>
      </c>
      <c r="AY34" s="57">
        <f t="shared" si="36"/>
        <v>5.3772333823331422E-2</v>
      </c>
      <c r="AZ34" s="57">
        <f t="shared" si="36"/>
        <v>5.2060724611175779E-2</v>
      </c>
      <c r="BA34" s="57">
        <f t="shared" si="36"/>
        <v>5.2902259136244627E-2</v>
      </c>
      <c r="BB34" s="57">
        <f t="shared" si="36"/>
        <v>6.2029181459379669E-2</v>
      </c>
      <c r="BC34" s="57">
        <f t="shared" si="36"/>
        <v>7.0172533637139156E-2</v>
      </c>
      <c r="BD34" s="57">
        <f t="shared" si="36"/>
        <v>7.3909156505318666E-2</v>
      </c>
      <c r="BE34" s="57">
        <f t="shared" si="36"/>
        <v>7.7743265413300663E-2</v>
      </c>
      <c r="BF34" s="57">
        <f t="shared" si="36"/>
        <v>7.9086765755550126E-2</v>
      </c>
      <c r="BG34" s="57">
        <f t="shared" si="36"/>
        <v>7.6474162965847567E-2</v>
      </c>
      <c r="BH34" s="57">
        <f t="shared" si="36"/>
        <v>8.6389651368478454E-2</v>
      </c>
      <c r="BI34" s="57">
        <f t="shared" si="36"/>
        <v>6.9428167194538398E-2</v>
      </c>
      <c r="BJ34" s="57">
        <f t="shared" si="36"/>
        <v>7.2723473534435382E-2</v>
      </c>
      <c r="BK34" s="57">
        <f t="shared" si="36"/>
        <v>7.3652727670021539E-2</v>
      </c>
      <c r="BL34" s="57">
        <f t="shared" si="36"/>
        <v>8.3650370682470179E-2</v>
      </c>
      <c r="BM34" s="57">
        <f t="shared" si="36"/>
        <v>6.7393737737010587E-2</v>
      </c>
      <c r="BN34" s="57">
        <f t="shared" si="36"/>
        <v>6.5212127819622795E-2</v>
      </c>
      <c r="BO34" s="57">
        <f t="shared" si="36"/>
        <v>5.8174218612291863E-2</v>
      </c>
      <c r="BP34" s="57">
        <f t="shared" si="36"/>
        <v>2.9452539973827095E-2</v>
      </c>
      <c r="BQ34" s="57">
        <f t="shared" si="36"/>
        <v>6.3504926695216179E-2</v>
      </c>
      <c r="BR34" s="57">
        <f t="shared" ref="BR34:CK34" si="37">BR33/BR4</f>
        <v>7.5545201181121832E-2</v>
      </c>
      <c r="BS34" s="57">
        <f t="shared" si="37"/>
        <v>7.2135761299029141E-2</v>
      </c>
      <c r="BT34" s="57">
        <f t="shared" si="37"/>
        <v>6.4162842555808827E-2</v>
      </c>
      <c r="BU34" s="57">
        <f t="shared" si="37"/>
        <v>-3.9635656181681293E-2</v>
      </c>
      <c r="BV34" s="57" t="e">
        <f t="shared" si="37"/>
        <v>#DIV/0!</v>
      </c>
      <c r="BW34" s="57" t="e">
        <f t="shared" si="37"/>
        <v>#DIV/0!</v>
      </c>
      <c r="BX34" s="57" t="e">
        <f t="shared" si="37"/>
        <v>#DIV/0!</v>
      </c>
      <c r="BY34" s="57" t="e">
        <f t="shared" si="37"/>
        <v>#DIV/0!</v>
      </c>
      <c r="BZ34" s="57" t="e">
        <f t="shared" si="37"/>
        <v>#DIV/0!</v>
      </c>
      <c r="CA34" s="57" t="e">
        <f t="shared" si="37"/>
        <v>#DIV/0!</v>
      </c>
      <c r="CB34" s="57" t="e">
        <f t="shared" si="37"/>
        <v>#DIV/0!</v>
      </c>
      <c r="CC34" s="57" t="e">
        <f t="shared" si="37"/>
        <v>#DIV/0!</v>
      </c>
      <c r="CD34" s="57" t="e">
        <f t="shared" si="37"/>
        <v>#DIV/0!</v>
      </c>
      <c r="CE34" s="57" t="e">
        <f t="shared" si="37"/>
        <v>#DIV/0!</v>
      </c>
      <c r="CF34" s="57" t="e">
        <f t="shared" si="37"/>
        <v>#DIV/0!</v>
      </c>
      <c r="CG34" s="57" t="e">
        <f t="shared" si="37"/>
        <v>#DIV/0!</v>
      </c>
      <c r="CH34" s="57" t="e">
        <f t="shared" si="37"/>
        <v>#DIV/0!</v>
      </c>
      <c r="CI34" s="57" t="e">
        <f t="shared" si="37"/>
        <v>#DIV/0!</v>
      </c>
      <c r="CJ34" s="57" t="e">
        <f t="shared" si="37"/>
        <v>#DIV/0!</v>
      </c>
      <c r="CK34" s="57" t="e">
        <f t="shared" si="37"/>
        <v>#DIV/0!</v>
      </c>
    </row>
    <row r="35" spans="1:89" x14ac:dyDescent="0.25">
      <c r="A35" s="17" t="s">
        <v>412</v>
      </c>
      <c r="B35" s="26">
        <f>B23+B68</f>
        <v>632025636</v>
      </c>
      <c r="C35" s="26">
        <f t="shared" ref="C35:BN35" si="38">C23+C68</f>
        <v>263027718</v>
      </c>
      <c r="D35" s="26">
        <f t="shared" si="38"/>
        <v>455035317</v>
      </c>
      <c r="E35" s="26">
        <f t="shared" si="38"/>
        <v>6814000000</v>
      </c>
      <c r="F35" s="26">
        <f t="shared" si="38"/>
        <v>1790034414</v>
      </c>
      <c r="G35" s="26">
        <f t="shared" si="38"/>
        <v>1289023309</v>
      </c>
      <c r="H35" s="26">
        <f t="shared" si="38"/>
        <v>827016814</v>
      </c>
      <c r="I35" s="26">
        <f t="shared" si="38"/>
        <v>9829000000</v>
      </c>
      <c r="J35" s="26">
        <f t="shared" si="38"/>
        <v>5447000000</v>
      </c>
      <c r="K35" s="26">
        <f t="shared" si="38"/>
        <v>4284000000</v>
      </c>
      <c r="L35" s="26">
        <f t="shared" si="38"/>
        <v>1826000000</v>
      </c>
      <c r="M35" s="26">
        <f t="shared" si="38"/>
        <v>11995000000</v>
      </c>
      <c r="N35" s="26">
        <f t="shared" si="38"/>
        <v>7730000000</v>
      </c>
      <c r="O35" s="26">
        <f t="shared" si="38"/>
        <v>3145000000</v>
      </c>
      <c r="P35" s="26">
        <f t="shared" si="38"/>
        <v>2409000000</v>
      </c>
      <c r="Q35" s="26">
        <f t="shared" si="38"/>
        <v>11397000000</v>
      </c>
      <c r="R35" s="26">
        <f t="shared" si="38"/>
        <v>8539000000</v>
      </c>
      <c r="S35" s="26">
        <f t="shared" si="38"/>
        <v>6539000000</v>
      </c>
      <c r="T35" s="26">
        <f t="shared" si="38"/>
        <v>4188000000</v>
      </c>
      <c r="U35" s="26">
        <f t="shared" si="38"/>
        <v>7842000000</v>
      </c>
      <c r="V35" s="26">
        <f t="shared" si="38"/>
        <v>5463000000</v>
      </c>
      <c r="W35" s="26">
        <f t="shared" si="38"/>
        <v>3292000000</v>
      </c>
      <c r="X35" s="26">
        <f t="shared" si="38"/>
        <v>2511000000</v>
      </c>
      <c r="Y35" s="26">
        <f t="shared" si="38"/>
        <v>11073000000</v>
      </c>
      <c r="Z35" s="26">
        <f t="shared" si="38"/>
        <v>8284000000</v>
      </c>
      <c r="AA35" s="26">
        <f t="shared" si="38"/>
        <v>5533000000</v>
      </c>
      <c r="AB35" s="26">
        <f t="shared" si="38"/>
        <v>2613000000</v>
      </c>
      <c r="AC35" s="26">
        <f t="shared" si="38"/>
        <v>-2854000000</v>
      </c>
      <c r="AD35" s="26">
        <f t="shared" si="38"/>
        <v>4946000000</v>
      </c>
      <c r="AE35" s="26">
        <f t="shared" si="38"/>
        <v>3486000000</v>
      </c>
      <c r="AF35" s="26">
        <f t="shared" si="38"/>
        <v>1874000000</v>
      </c>
      <c r="AG35" s="26">
        <f t="shared" si="38"/>
        <v>7507000000</v>
      </c>
      <c r="AH35" s="26">
        <f t="shared" si="38"/>
        <v>5285000000</v>
      </c>
      <c r="AI35" s="26">
        <f t="shared" si="38"/>
        <v>3649000000</v>
      </c>
      <c r="AJ35" s="26">
        <f t="shared" si="38"/>
        <v>1433000000</v>
      </c>
      <c r="AK35" s="26">
        <f t="shared" si="38"/>
        <v>7293000000</v>
      </c>
      <c r="AL35" s="26">
        <f t="shared" si="38"/>
        <v>5735000000</v>
      </c>
      <c r="AM35" s="26">
        <f t="shared" si="38"/>
        <v>3881000000</v>
      </c>
      <c r="AN35" s="26">
        <f t="shared" si="38"/>
        <v>2281000000</v>
      </c>
      <c r="AO35" s="26">
        <f t="shared" si="38"/>
        <v>9169000000</v>
      </c>
      <c r="AP35" s="26">
        <f t="shared" si="38"/>
        <v>6706000000</v>
      </c>
      <c r="AQ35" s="26">
        <f t="shared" si="38"/>
        <v>3658000000</v>
      </c>
      <c r="AR35" s="26">
        <f t="shared" si="38"/>
        <v>765000000</v>
      </c>
      <c r="AS35" s="26">
        <f t="shared" si="38"/>
        <v>4890000000</v>
      </c>
      <c r="AT35" s="26">
        <f t="shared" si="38"/>
        <v>4088000000</v>
      </c>
      <c r="AU35" s="26">
        <f t="shared" si="38"/>
        <v>2696000000</v>
      </c>
      <c r="AV35" s="26">
        <f t="shared" si="38"/>
        <v>1457000000</v>
      </c>
      <c r="AW35" s="26">
        <f t="shared" si="38"/>
        <v>6729000000</v>
      </c>
      <c r="AX35" s="26">
        <f t="shared" si="38"/>
        <v>5227000000</v>
      </c>
      <c r="AY35" s="26">
        <f t="shared" si="38"/>
        <v>3522000000</v>
      </c>
      <c r="AZ35" s="26">
        <f t="shared" si="38"/>
        <v>1606000000</v>
      </c>
      <c r="BA35" s="26">
        <f t="shared" si="38"/>
        <v>5266000000</v>
      </c>
      <c r="BB35" s="26">
        <f t="shared" si="38"/>
        <v>3916000000</v>
      </c>
      <c r="BC35" s="26">
        <f t="shared" si="38"/>
        <v>2852000000</v>
      </c>
      <c r="BD35" s="26">
        <f t="shared" si="38"/>
        <v>1372000000</v>
      </c>
      <c r="BE35" s="26">
        <f t="shared" si="38"/>
        <v>4331000000</v>
      </c>
      <c r="BF35" s="26">
        <f t="shared" si="38"/>
        <v>3161000000</v>
      </c>
      <c r="BG35" s="26">
        <f t="shared" si="38"/>
        <v>2094000000</v>
      </c>
      <c r="BH35" s="26">
        <f t="shared" si="38"/>
        <v>1162000000</v>
      </c>
      <c r="BI35" s="26">
        <f t="shared" si="38"/>
        <v>4129000000</v>
      </c>
      <c r="BJ35" s="26">
        <f t="shared" si="38"/>
        <v>3385000000</v>
      </c>
      <c r="BK35" s="26">
        <f t="shared" si="38"/>
        <v>2234000000</v>
      </c>
      <c r="BL35" s="26">
        <f t="shared" si="38"/>
        <v>1168000000</v>
      </c>
      <c r="BM35" s="26">
        <f t="shared" si="38"/>
        <v>4327000000</v>
      </c>
      <c r="BN35" s="26">
        <f t="shared" si="38"/>
        <v>3609000000</v>
      </c>
      <c r="BO35" s="26">
        <f t="shared" ref="BO35:CJ35" si="39">BO23+BO68</f>
        <v>2452000000</v>
      </c>
      <c r="BP35" s="26">
        <f t="shared" si="39"/>
        <v>999000000</v>
      </c>
      <c r="BQ35" s="26">
        <f t="shared" si="39"/>
        <v>3596000000</v>
      </c>
      <c r="BR35" s="26">
        <f t="shared" si="39"/>
        <v>2297000000</v>
      </c>
      <c r="BS35" s="26">
        <f t="shared" si="39"/>
        <v>4843000000</v>
      </c>
      <c r="BT35" s="26">
        <f t="shared" si="39"/>
        <v>8085000000</v>
      </c>
      <c r="BU35" s="26">
        <f t="shared" si="39"/>
        <v>8416000000</v>
      </c>
      <c r="BV35" s="26">
        <f t="shared" si="39"/>
        <v>0</v>
      </c>
      <c r="BW35" s="26">
        <f t="shared" si="39"/>
        <v>-15086567.960000001</v>
      </c>
      <c r="BX35" s="26">
        <f t="shared" si="39"/>
        <v>-9593131.2100000009</v>
      </c>
      <c r="BY35" s="26">
        <f t="shared" si="39"/>
        <v>-42791521.079999998</v>
      </c>
      <c r="BZ35" s="26">
        <f t="shared" si="39"/>
        <v>-3834295.55</v>
      </c>
      <c r="CA35" s="26">
        <f t="shared" si="39"/>
        <v>11835075.34</v>
      </c>
      <c r="CB35" s="26">
        <f t="shared" si="39"/>
        <v>16252757.800000001</v>
      </c>
      <c r="CC35" s="26">
        <f t="shared" si="39"/>
        <v>12407743.33</v>
      </c>
      <c r="CD35" s="26">
        <f t="shared" si="39"/>
        <v>0</v>
      </c>
      <c r="CE35" s="26">
        <f t="shared" si="39"/>
        <v>0</v>
      </c>
      <c r="CF35" s="26">
        <f t="shared" si="39"/>
        <v>0</v>
      </c>
      <c r="CG35" s="26">
        <f t="shared" si="39"/>
        <v>0</v>
      </c>
      <c r="CH35" s="26">
        <f t="shared" si="39"/>
        <v>0</v>
      </c>
      <c r="CI35" s="26">
        <f t="shared" si="39"/>
        <v>0</v>
      </c>
      <c r="CJ35" s="26">
        <f t="shared" si="39"/>
        <v>0</v>
      </c>
    </row>
    <row r="36" spans="1:89" s="23" customFormat="1" x14ac:dyDescent="0.25">
      <c r="A36" s="17" t="s">
        <v>413</v>
      </c>
      <c r="B36" s="26">
        <f>B35*B41</f>
        <v>120828858.97704321</v>
      </c>
      <c r="C36" s="26">
        <f t="shared" ref="C36:BN36" si="40">C35*C41</f>
        <v>51523223.287682757</v>
      </c>
      <c r="D36" s="26">
        <f t="shared" si="40"/>
        <v>101213842.7895586</v>
      </c>
      <c r="E36" s="26">
        <f t="shared" si="40"/>
        <v>1232473789.4713452</v>
      </c>
      <c r="F36" s="26">
        <f t="shared" si="40"/>
        <v>352826896.83827728</v>
      </c>
      <c r="G36" s="26">
        <f t="shared" si="40"/>
        <v>243761383.86233035</v>
      </c>
      <c r="H36" s="26">
        <f t="shared" si="40"/>
        <v>177405047.55003029</v>
      </c>
      <c r="I36" s="26">
        <f t="shared" si="40"/>
        <v>2110487707.0004251</v>
      </c>
      <c r="J36" s="26">
        <f t="shared" si="40"/>
        <v>1053527671.3668597</v>
      </c>
      <c r="K36" s="26">
        <f t="shared" si="40"/>
        <v>848396029.30749226</v>
      </c>
      <c r="L36" s="26">
        <f t="shared" si="40"/>
        <v>368046255.22747433</v>
      </c>
      <c r="M36" s="26">
        <f t="shared" si="40"/>
        <v>2407857893.1453218</v>
      </c>
      <c r="N36" s="26">
        <f t="shared" si="40"/>
        <v>1393013467.4336102</v>
      </c>
      <c r="O36" s="26">
        <f t="shared" si="40"/>
        <v>639148145.03592288</v>
      </c>
      <c r="P36" s="26">
        <f t="shared" si="40"/>
        <v>271831571.44553989</v>
      </c>
      <c r="Q36" s="26">
        <f t="shared" si="40"/>
        <v>2914265775.0742188</v>
      </c>
      <c r="R36" s="26">
        <f t="shared" si="40"/>
        <v>1924047969.7248645</v>
      </c>
      <c r="S36" s="26">
        <f t="shared" si="40"/>
        <v>1516563025.8647554</v>
      </c>
      <c r="T36" s="26">
        <f t="shared" si="40"/>
        <v>904589975.79126692</v>
      </c>
      <c r="U36" s="26">
        <f t="shared" si="40"/>
        <v>1760119302.2440391</v>
      </c>
      <c r="V36" s="26">
        <f t="shared" si="40"/>
        <v>1300658826.0375214</v>
      </c>
      <c r="W36" s="26">
        <f t="shared" si="40"/>
        <v>789943147.48166823</v>
      </c>
      <c r="X36" s="26">
        <f t="shared" si="40"/>
        <v>582779260.31722176</v>
      </c>
      <c r="Y36" s="26">
        <f t="shared" si="40"/>
        <v>2462629712.7089453</v>
      </c>
      <c r="Z36" s="26">
        <f t="shared" si="40"/>
        <v>1908301150.9742715</v>
      </c>
      <c r="AA36" s="26">
        <f t="shared" si="40"/>
        <v>1251432125.3815222</v>
      </c>
      <c r="AB36" s="26">
        <f t="shared" si="40"/>
        <v>510721157.65825289</v>
      </c>
      <c r="AC36" s="26">
        <f t="shared" si="40"/>
        <v>-632145646.41985488</v>
      </c>
      <c r="AD36" s="26">
        <f t="shared" si="40"/>
        <v>1064907619.4319944</v>
      </c>
      <c r="AE36" s="26">
        <f t="shared" si="40"/>
        <v>758408000</v>
      </c>
      <c r="AF36" s="26">
        <f t="shared" si="40"/>
        <v>434487250.9363296</v>
      </c>
      <c r="AG36" s="26">
        <f t="shared" si="40"/>
        <v>1706121058.5333035</v>
      </c>
      <c r="AH36" s="26">
        <f t="shared" si="40"/>
        <v>1159720146.6880586</v>
      </c>
      <c r="AI36" s="26">
        <f t="shared" si="40"/>
        <v>750761949.19840991</v>
      </c>
      <c r="AJ36" s="26">
        <f t="shared" si="40"/>
        <v>276990372.64503276</v>
      </c>
      <c r="AK36" s="26">
        <f t="shared" si="40"/>
        <v>1288673957.7265084</v>
      </c>
      <c r="AL36" s="26">
        <f t="shared" si="40"/>
        <v>1119648828.5040898</v>
      </c>
      <c r="AM36" s="26">
        <f t="shared" si="40"/>
        <v>725796989.08852243</v>
      </c>
      <c r="AN36" s="26">
        <f t="shared" si="40"/>
        <v>410881762.34349161</v>
      </c>
      <c r="AO36" s="26">
        <f t="shared" si="40"/>
        <v>-548421284.27585328</v>
      </c>
      <c r="AP36" s="26">
        <f t="shared" si="40"/>
        <v>708233150.60929918</v>
      </c>
      <c r="AQ36" s="26">
        <f t="shared" si="40"/>
        <v>25937798.371244036</v>
      </c>
      <c r="AR36" s="26">
        <f t="shared" si="40"/>
        <v>15649224.806201549</v>
      </c>
      <c r="AS36" s="26">
        <f t="shared" si="40"/>
        <v>1339736002.3825731</v>
      </c>
      <c r="AT36" s="26">
        <f t="shared" si="40"/>
        <v>1120584475.7914569</v>
      </c>
      <c r="AU36" s="26">
        <f t="shared" si="40"/>
        <v>746368608.30855441</v>
      </c>
      <c r="AV36" s="26">
        <f t="shared" si="40"/>
        <v>451000993.00921512</v>
      </c>
      <c r="AW36" s="26">
        <f t="shared" si="40"/>
        <v>2013264302.6067545</v>
      </c>
      <c r="AX36" s="26">
        <f t="shared" si="40"/>
        <v>1510720398.7036479</v>
      </c>
      <c r="AY36" s="26">
        <f t="shared" si="40"/>
        <v>1050380365.1601317</v>
      </c>
      <c r="AZ36" s="26">
        <f t="shared" si="40"/>
        <v>457128689.81576604</v>
      </c>
      <c r="BA36" s="26">
        <f t="shared" si="40"/>
        <v>1727011190.339874</v>
      </c>
      <c r="BB36" s="26">
        <f t="shared" si="40"/>
        <v>1102782589.752527</v>
      </c>
      <c r="BC36" s="26">
        <f t="shared" si="40"/>
        <v>808657635.9250325</v>
      </c>
      <c r="BD36" s="26">
        <f t="shared" si="40"/>
        <v>393396184.34093165</v>
      </c>
      <c r="BE36" s="26">
        <f t="shared" si="40"/>
        <v>1182339662.4113958</v>
      </c>
      <c r="BF36" s="26">
        <f t="shared" si="40"/>
        <v>850853377.73549008</v>
      </c>
      <c r="BG36" s="26">
        <f t="shared" si="40"/>
        <v>577126632.50760877</v>
      </c>
      <c r="BH36" s="26">
        <f t="shared" si="40"/>
        <v>302741952.50659627</v>
      </c>
      <c r="BI36" s="26">
        <f t="shared" si="40"/>
        <v>1095193499.9433298</v>
      </c>
      <c r="BJ36" s="26">
        <f t="shared" si="40"/>
        <v>897815000.18958783</v>
      </c>
      <c r="BK36" s="26">
        <f t="shared" si="40"/>
        <v>608355235.3176645</v>
      </c>
      <c r="BL36" s="26">
        <f t="shared" si="40"/>
        <v>319849130.73371971</v>
      </c>
      <c r="BM36" s="26">
        <f t="shared" si="40"/>
        <v>1156028525.4649611</v>
      </c>
      <c r="BN36" s="26">
        <f t="shared" si="40"/>
        <v>977125293.3742553</v>
      </c>
      <c r="BO36" s="26">
        <f t="shared" ref="BO36:CJ36" si="41">BO35*BO41</f>
        <v>625075984.99061918</v>
      </c>
      <c r="BP36" s="26">
        <f t="shared" si="41"/>
        <v>37637244.34876211</v>
      </c>
      <c r="BQ36" s="26">
        <f t="shared" si="41"/>
        <v>1067466075.0910385</v>
      </c>
      <c r="BR36" s="26">
        <f t="shared" si="41"/>
        <v>568046617.84963393</v>
      </c>
      <c r="BS36" s="26">
        <f t="shared" si="41"/>
        <v>1386054332.1819227</v>
      </c>
      <c r="BT36" s="26">
        <f t="shared" si="41"/>
        <v>1052367716.0080374</v>
      </c>
      <c r="BU36" s="26">
        <f t="shared" si="41"/>
        <v>16770494518.879416</v>
      </c>
      <c r="BV36" s="26" t="e">
        <f t="shared" si="41"/>
        <v>#DIV/0!</v>
      </c>
      <c r="BW36" s="26">
        <f t="shared" si="41"/>
        <v>-303429006.82999998</v>
      </c>
      <c r="BX36" s="26">
        <f t="shared" si="41"/>
        <v>-66653678.540000007</v>
      </c>
      <c r="BY36" s="26">
        <f t="shared" si="41"/>
        <v>-260578360.56999999</v>
      </c>
      <c r="BZ36" s="26">
        <f t="shared" si="41"/>
        <v>-44632836.509999998</v>
      </c>
      <c r="CA36" s="26">
        <f t="shared" si="41"/>
        <v>-168102185.13</v>
      </c>
      <c r="CB36" s="26">
        <f t="shared" si="41"/>
        <v>-128029818.47</v>
      </c>
      <c r="CC36" s="26">
        <f t="shared" si="41"/>
        <v>-106844876.92</v>
      </c>
      <c r="CD36" s="26" t="e">
        <f t="shared" si="41"/>
        <v>#DIV/0!</v>
      </c>
      <c r="CE36" s="26">
        <f t="shared" si="41"/>
        <v>0</v>
      </c>
      <c r="CF36" s="26">
        <f t="shared" si="41"/>
        <v>0</v>
      </c>
      <c r="CG36" s="26" t="e">
        <f t="shared" si="41"/>
        <v>#DIV/0!</v>
      </c>
      <c r="CH36" s="26" t="e">
        <f t="shared" si="41"/>
        <v>#DIV/0!</v>
      </c>
      <c r="CI36" s="26" t="e">
        <f t="shared" si="41"/>
        <v>#DIV/0!</v>
      </c>
      <c r="CJ36" s="26" t="e">
        <f t="shared" si="41"/>
        <v>#DIV/0!</v>
      </c>
    </row>
    <row r="37" spans="1:89" s="23" customFormat="1" x14ac:dyDescent="0.25">
      <c r="A37" s="17" t="s">
        <v>414</v>
      </c>
      <c r="B37" s="26">
        <f>B35-B36</f>
        <v>511196777.02295679</v>
      </c>
      <c r="C37" s="26">
        <f t="shared" ref="C37:BN37" si="42">C35-C36</f>
        <v>211504494.71231723</v>
      </c>
      <c r="D37" s="26">
        <f t="shared" si="42"/>
        <v>353821474.21044141</v>
      </c>
      <c r="E37" s="26">
        <f t="shared" si="42"/>
        <v>5581526210.5286551</v>
      </c>
      <c r="F37" s="26">
        <f t="shared" si="42"/>
        <v>1437207517.1617227</v>
      </c>
      <c r="G37" s="26">
        <f t="shared" si="42"/>
        <v>1045261925.1376697</v>
      </c>
      <c r="H37" s="26">
        <f t="shared" si="42"/>
        <v>649611766.44996977</v>
      </c>
      <c r="I37" s="26">
        <f t="shared" si="42"/>
        <v>7718512292.9995747</v>
      </c>
      <c r="J37" s="26">
        <f t="shared" si="42"/>
        <v>4393472328.6331406</v>
      </c>
      <c r="K37" s="26">
        <f t="shared" si="42"/>
        <v>3435603970.6925077</v>
      </c>
      <c r="L37" s="26">
        <f t="shared" si="42"/>
        <v>1457953744.7725258</v>
      </c>
      <c r="M37" s="26">
        <f t="shared" si="42"/>
        <v>9587142106.8546791</v>
      </c>
      <c r="N37" s="26">
        <f t="shared" si="42"/>
        <v>6336986532.56639</v>
      </c>
      <c r="O37" s="26">
        <f t="shared" si="42"/>
        <v>2505851854.964077</v>
      </c>
      <c r="P37" s="26">
        <f t="shared" si="42"/>
        <v>2137168428.55446</v>
      </c>
      <c r="Q37" s="26">
        <f t="shared" si="42"/>
        <v>8482734224.9257813</v>
      </c>
      <c r="R37" s="26">
        <f t="shared" si="42"/>
        <v>6614952030.275135</v>
      </c>
      <c r="S37" s="26">
        <f t="shared" si="42"/>
        <v>5022436974.1352444</v>
      </c>
      <c r="T37" s="26">
        <f t="shared" si="42"/>
        <v>3283410024.2087331</v>
      </c>
      <c r="U37" s="26">
        <f t="shared" si="42"/>
        <v>6081880697.7559605</v>
      </c>
      <c r="V37" s="26">
        <f t="shared" si="42"/>
        <v>4162341173.9624786</v>
      </c>
      <c r="W37" s="26">
        <f t="shared" si="42"/>
        <v>2502056852.5183315</v>
      </c>
      <c r="X37" s="26">
        <f t="shared" si="42"/>
        <v>1928220739.6827784</v>
      </c>
      <c r="Y37" s="26">
        <f t="shared" si="42"/>
        <v>8610370287.2910538</v>
      </c>
      <c r="Z37" s="26">
        <f t="shared" si="42"/>
        <v>6375698849.0257282</v>
      </c>
      <c r="AA37" s="26">
        <f t="shared" si="42"/>
        <v>4281567874.6184778</v>
      </c>
      <c r="AB37" s="26">
        <f t="shared" si="42"/>
        <v>2102278842.341747</v>
      </c>
      <c r="AC37" s="26">
        <f t="shared" si="42"/>
        <v>-2221854353.5801449</v>
      </c>
      <c r="AD37" s="26">
        <f t="shared" si="42"/>
        <v>3881092380.5680056</v>
      </c>
      <c r="AE37" s="26">
        <f t="shared" si="42"/>
        <v>2727592000</v>
      </c>
      <c r="AF37" s="26">
        <f t="shared" si="42"/>
        <v>1439512749.0636704</v>
      </c>
      <c r="AG37" s="26">
        <f t="shared" si="42"/>
        <v>5800878941.4666967</v>
      </c>
      <c r="AH37" s="26">
        <f t="shared" si="42"/>
        <v>4125279853.3119411</v>
      </c>
      <c r="AI37" s="26">
        <f t="shared" si="42"/>
        <v>2898238050.80159</v>
      </c>
      <c r="AJ37" s="26">
        <f t="shared" si="42"/>
        <v>1156009627.3549671</v>
      </c>
      <c r="AK37" s="26">
        <f t="shared" si="42"/>
        <v>6004326042.2734919</v>
      </c>
      <c r="AL37" s="26">
        <f t="shared" si="42"/>
        <v>4615351171.4959106</v>
      </c>
      <c r="AM37" s="26">
        <f t="shared" si="42"/>
        <v>3155203010.9114776</v>
      </c>
      <c r="AN37" s="26">
        <f t="shared" si="42"/>
        <v>1870118237.6565084</v>
      </c>
      <c r="AO37" s="26">
        <f t="shared" si="42"/>
        <v>9717421284.2758541</v>
      </c>
      <c r="AP37" s="26">
        <f t="shared" si="42"/>
        <v>5997766849.3907013</v>
      </c>
      <c r="AQ37" s="26">
        <f t="shared" si="42"/>
        <v>3632062201.628756</v>
      </c>
      <c r="AR37" s="26">
        <f t="shared" si="42"/>
        <v>749350775.19379842</v>
      </c>
      <c r="AS37" s="26">
        <f t="shared" si="42"/>
        <v>3550263997.6174269</v>
      </c>
      <c r="AT37" s="26">
        <f t="shared" si="42"/>
        <v>2967415524.2085428</v>
      </c>
      <c r="AU37" s="26">
        <f t="shared" si="42"/>
        <v>1949631391.6914456</v>
      </c>
      <c r="AV37" s="26">
        <f t="shared" si="42"/>
        <v>1005999006.9907849</v>
      </c>
      <c r="AW37" s="26">
        <f t="shared" si="42"/>
        <v>4715735697.3932457</v>
      </c>
      <c r="AX37" s="26">
        <f t="shared" si="42"/>
        <v>3716279601.2963524</v>
      </c>
      <c r="AY37" s="26">
        <f t="shared" si="42"/>
        <v>2471619634.8398685</v>
      </c>
      <c r="AZ37" s="26">
        <f t="shared" si="42"/>
        <v>1148871310.1842339</v>
      </c>
      <c r="BA37" s="26">
        <f t="shared" si="42"/>
        <v>3538988809.6601257</v>
      </c>
      <c r="BB37" s="26">
        <f t="shared" si="42"/>
        <v>2813217410.2474728</v>
      </c>
      <c r="BC37" s="26">
        <f t="shared" si="42"/>
        <v>2043342364.0749674</v>
      </c>
      <c r="BD37" s="26">
        <f t="shared" si="42"/>
        <v>978603815.65906835</v>
      </c>
      <c r="BE37" s="26">
        <f t="shared" si="42"/>
        <v>3148660337.588604</v>
      </c>
      <c r="BF37" s="26">
        <f t="shared" si="42"/>
        <v>2310146622.2645102</v>
      </c>
      <c r="BG37" s="26">
        <f t="shared" si="42"/>
        <v>1516873367.4923911</v>
      </c>
      <c r="BH37" s="26">
        <f t="shared" si="42"/>
        <v>859258047.49340367</v>
      </c>
      <c r="BI37" s="26">
        <f t="shared" si="42"/>
        <v>3033806500.0566702</v>
      </c>
      <c r="BJ37" s="26">
        <f t="shared" si="42"/>
        <v>2487184999.8104124</v>
      </c>
      <c r="BK37" s="26">
        <f t="shared" si="42"/>
        <v>1625644764.6823354</v>
      </c>
      <c r="BL37" s="26">
        <f t="shared" si="42"/>
        <v>848150869.26628029</v>
      </c>
      <c r="BM37" s="26">
        <f t="shared" si="42"/>
        <v>3170971474.5350389</v>
      </c>
      <c r="BN37" s="26">
        <f t="shared" si="42"/>
        <v>2631874706.6257448</v>
      </c>
      <c r="BO37" s="26">
        <f t="shared" ref="BO37:CJ37" si="43">BO35-BO36</f>
        <v>1826924015.0093808</v>
      </c>
      <c r="BP37" s="26">
        <f t="shared" si="43"/>
        <v>961362755.65123785</v>
      </c>
      <c r="BQ37" s="26">
        <f t="shared" si="43"/>
        <v>2528533924.9089613</v>
      </c>
      <c r="BR37" s="26">
        <f t="shared" si="43"/>
        <v>1728953382.1503661</v>
      </c>
      <c r="BS37" s="26">
        <f t="shared" si="43"/>
        <v>3456945667.8180771</v>
      </c>
      <c r="BT37" s="26">
        <f t="shared" si="43"/>
        <v>7032632283.9919624</v>
      </c>
      <c r="BU37" s="26">
        <f t="shared" si="43"/>
        <v>-8354494518.8794155</v>
      </c>
      <c r="BV37" s="26" t="e">
        <f t="shared" si="43"/>
        <v>#DIV/0!</v>
      </c>
      <c r="BW37" s="26">
        <f t="shared" si="43"/>
        <v>288342438.87</v>
      </c>
      <c r="BX37" s="26">
        <f t="shared" si="43"/>
        <v>57060547.330000006</v>
      </c>
      <c r="BY37" s="26">
        <f t="shared" si="43"/>
        <v>217786839.49000001</v>
      </c>
      <c r="BZ37" s="26">
        <f t="shared" si="43"/>
        <v>40798540.960000001</v>
      </c>
      <c r="CA37" s="26">
        <f t="shared" si="43"/>
        <v>179937260.47</v>
      </c>
      <c r="CB37" s="26">
        <f t="shared" si="43"/>
        <v>144282576.27000001</v>
      </c>
      <c r="CC37" s="26">
        <f t="shared" si="43"/>
        <v>119252620.25</v>
      </c>
      <c r="CD37" s="26" t="e">
        <f t="shared" si="43"/>
        <v>#DIV/0!</v>
      </c>
      <c r="CE37" s="26">
        <f t="shared" si="43"/>
        <v>0</v>
      </c>
      <c r="CF37" s="26">
        <f t="shared" si="43"/>
        <v>0</v>
      </c>
      <c r="CG37" s="26" t="e">
        <f t="shared" si="43"/>
        <v>#DIV/0!</v>
      </c>
      <c r="CH37" s="26" t="e">
        <f t="shared" si="43"/>
        <v>#DIV/0!</v>
      </c>
      <c r="CI37" s="26" t="e">
        <f t="shared" si="43"/>
        <v>#DIV/0!</v>
      </c>
      <c r="CJ37" s="26" t="e">
        <f t="shared" si="43"/>
        <v>#DIV/0!</v>
      </c>
    </row>
    <row r="38" spans="1:89" s="2" customFormat="1" x14ac:dyDescent="0.25">
      <c r="A38" s="20" t="s">
        <v>415</v>
      </c>
      <c r="B38" s="28">
        <f>B31-B35</f>
        <v>109442996433</v>
      </c>
      <c r="C38" s="28">
        <f t="shared" ref="C38:BN38" si="44">C31-C35</f>
        <v>74462000821</v>
      </c>
      <c r="D38" s="28">
        <f t="shared" si="44"/>
        <v>31438999687</v>
      </c>
      <c r="E38" s="28">
        <f t="shared" si="44"/>
        <v>90002000000</v>
      </c>
      <c r="F38" s="28">
        <f t="shared" si="44"/>
        <v>65933996112</v>
      </c>
      <c r="G38" s="28">
        <f t="shared" si="44"/>
        <v>47142999509</v>
      </c>
      <c r="H38" s="28">
        <f t="shared" si="44"/>
        <v>29354998348</v>
      </c>
      <c r="I38" s="28">
        <f t="shared" si="44"/>
        <v>96437000000</v>
      </c>
      <c r="J38" s="28">
        <f t="shared" si="44"/>
        <v>61345000000</v>
      </c>
      <c r="K38" s="28">
        <f t="shared" si="44"/>
        <v>42310000000</v>
      </c>
      <c r="L38" s="28">
        <f t="shared" si="44"/>
        <v>15782000000</v>
      </c>
      <c r="M38" s="28">
        <f t="shared" si="44"/>
        <v>62833000000</v>
      </c>
      <c r="N38" s="28">
        <f t="shared" si="44"/>
        <v>58066000000</v>
      </c>
      <c r="O38" s="28">
        <f t="shared" si="44"/>
        <v>47602000000</v>
      </c>
      <c r="P38" s="28">
        <f t="shared" si="44"/>
        <v>8419000000</v>
      </c>
      <c r="Q38" s="28">
        <f t="shared" si="44"/>
        <v>68716000000</v>
      </c>
      <c r="R38" s="28">
        <f t="shared" si="44"/>
        <v>78216000000</v>
      </c>
      <c r="S38" s="28">
        <f t="shared" si="44"/>
        <v>51344000000</v>
      </c>
      <c r="T38" s="28">
        <f t="shared" si="44"/>
        <v>22306000000</v>
      </c>
      <c r="U38" s="28">
        <f t="shared" si="44"/>
        <v>114080000000</v>
      </c>
      <c r="V38" s="28">
        <f t="shared" si="44"/>
        <v>84432000000</v>
      </c>
      <c r="W38" s="28">
        <f t="shared" si="44"/>
        <v>51959000000</v>
      </c>
      <c r="X38" s="28">
        <f t="shared" si="44"/>
        <v>26606000000</v>
      </c>
      <c r="Y38" s="28">
        <f t="shared" si="44"/>
        <v>106547000000</v>
      </c>
      <c r="Z38" s="28">
        <f t="shared" si="44"/>
        <v>72721000000</v>
      </c>
      <c r="AA38" s="28">
        <f t="shared" si="44"/>
        <v>41282000000</v>
      </c>
      <c r="AB38" s="28">
        <f t="shared" si="44"/>
        <v>22701000000</v>
      </c>
      <c r="AC38" s="28">
        <f t="shared" si="44"/>
        <v>116364000000</v>
      </c>
      <c r="AD38" s="28">
        <f t="shared" si="44"/>
        <v>94154000000</v>
      </c>
      <c r="AE38" s="28">
        <f t="shared" si="44"/>
        <v>62250000000</v>
      </c>
      <c r="AF38" s="28">
        <f t="shared" si="44"/>
        <v>33375000000</v>
      </c>
      <c r="AG38" s="28">
        <f t="shared" si="44"/>
        <v>111475000000</v>
      </c>
      <c r="AH38" s="28">
        <f t="shared" si="44"/>
        <v>87260000000</v>
      </c>
      <c r="AI38" s="28">
        <f t="shared" si="44"/>
        <v>53581000000</v>
      </c>
      <c r="AJ38" s="28">
        <f t="shared" si="44"/>
        <v>24098000000</v>
      </c>
      <c r="AK38" s="28">
        <f t="shared" si="44"/>
        <v>90979000000</v>
      </c>
      <c r="AL38" s="28">
        <f t="shared" si="44"/>
        <v>72130000000</v>
      </c>
      <c r="AM38" s="28">
        <f t="shared" si="44"/>
        <v>48756000000</v>
      </c>
      <c r="AN38" s="28">
        <f t="shared" si="44"/>
        <v>16932000000</v>
      </c>
      <c r="AO38" s="28">
        <f t="shared" si="44"/>
        <v>31582000000</v>
      </c>
      <c r="AP38" s="28">
        <f t="shared" si="44"/>
        <v>25357000000</v>
      </c>
      <c r="AQ38" s="28">
        <f t="shared" si="44"/>
        <v>14244000000</v>
      </c>
      <c r="AR38" s="28">
        <f t="shared" si="44"/>
        <v>9288000000</v>
      </c>
      <c r="AS38" s="28">
        <f t="shared" si="44"/>
        <v>94016000000</v>
      </c>
      <c r="AT38" s="28">
        <f t="shared" si="44"/>
        <v>80674000000</v>
      </c>
      <c r="AU38" s="28">
        <f t="shared" si="44"/>
        <v>58181000000</v>
      </c>
      <c r="AV38" s="28">
        <f t="shared" si="44"/>
        <v>25176000000</v>
      </c>
      <c r="AW38" s="28">
        <f t="shared" si="44"/>
        <v>75266000000</v>
      </c>
      <c r="AX38" s="28">
        <f t="shared" si="44"/>
        <v>53072000000</v>
      </c>
      <c r="AY38" s="28">
        <f t="shared" si="44"/>
        <v>33410000000</v>
      </c>
      <c r="AZ38" s="28">
        <f t="shared" si="44"/>
        <v>14601000000</v>
      </c>
      <c r="BA38" s="28">
        <f t="shared" si="44"/>
        <v>57639000000</v>
      </c>
      <c r="BB38" s="28">
        <f t="shared" si="44"/>
        <v>45904000000</v>
      </c>
      <c r="BC38" s="28">
        <f t="shared" si="44"/>
        <v>32334000000</v>
      </c>
      <c r="BD38" s="28">
        <f t="shared" si="44"/>
        <v>16144000000</v>
      </c>
      <c r="BE38" s="28">
        <f t="shared" si="44"/>
        <v>58829000000</v>
      </c>
      <c r="BF38" s="28">
        <f t="shared" si="44"/>
        <v>42040000000</v>
      </c>
      <c r="BG38" s="28">
        <f t="shared" si="44"/>
        <v>25957000000</v>
      </c>
      <c r="BH38" s="28">
        <f t="shared" si="44"/>
        <v>13265000000</v>
      </c>
      <c r="BI38" s="28">
        <f t="shared" si="44"/>
        <v>35292000000</v>
      </c>
      <c r="BJ38" s="28">
        <f t="shared" si="44"/>
        <v>26373000000</v>
      </c>
      <c r="BK38" s="28">
        <f t="shared" si="44"/>
        <v>17487000000</v>
      </c>
      <c r="BL38" s="28">
        <f t="shared" si="44"/>
        <v>10181000000</v>
      </c>
      <c r="BM38" s="28">
        <f t="shared" si="44"/>
        <v>25486000000</v>
      </c>
      <c r="BN38" s="28">
        <f t="shared" si="44"/>
        <v>16617000000</v>
      </c>
      <c r="BO38" s="28">
        <f t="shared" ref="BO38:CJ38" si="45">BO31-BO35</f>
        <v>8528000000</v>
      </c>
      <c r="BP38" s="28">
        <f t="shared" si="45"/>
        <v>929000000</v>
      </c>
      <c r="BQ38" s="28">
        <f t="shared" si="45"/>
        <v>23891000000</v>
      </c>
      <c r="BR38" s="28">
        <f t="shared" si="45"/>
        <v>13793000000</v>
      </c>
      <c r="BS38" s="28">
        <f t="shared" si="45"/>
        <v>27792000000</v>
      </c>
      <c r="BT38" s="28">
        <f t="shared" si="45"/>
        <v>8958000000</v>
      </c>
      <c r="BU38" s="28">
        <f t="shared" si="45"/>
        <v>-821000000</v>
      </c>
      <c r="BV38" s="28">
        <f t="shared" si="45"/>
        <v>0</v>
      </c>
      <c r="BW38" s="28">
        <f t="shared" si="45"/>
        <v>15086567.960000001</v>
      </c>
      <c r="BX38" s="28">
        <f t="shared" si="45"/>
        <v>9593131.2100000009</v>
      </c>
      <c r="BY38" s="28">
        <f t="shared" si="45"/>
        <v>42791521.079999998</v>
      </c>
      <c r="BZ38" s="28">
        <f t="shared" si="45"/>
        <v>3834295.55</v>
      </c>
      <c r="CA38" s="28">
        <f t="shared" si="45"/>
        <v>-11835075.34</v>
      </c>
      <c r="CB38" s="28">
        <f t="shared" si="45"/>
        <v>-16252757.800000001</v>
      </c>
      <c r="CC38" s="28">
        <f t="shared" si="45"/>
        <v>-12407743.33</v>
      </c>
      <c r="CD38" s="28">
        <f t="shared" si="45"/>
        <v>0</v>
      </c>
      <c r="CE38" s="28">
        <f t="shared" si="45"/>
        <v>7729000</v>
      </c>
      <c r="CF38" s="28">
        <f t="shared" si="45"/>
        <v>2092581.44</v>
      </c>
      <c r="CG38" s="28">
        <f t="shared" si="45"/>
        <v>0</v>
      </c>
      <c r="CH38" s="28">
        <f t="shared" si="45"/>
        <v>0</v>
      </c>
      <c r="CI38" s="28">
        <f t="shared" si="45"/>
        <v>0</v>
      </c>
      <c r="CJ38" s="28">
        <f t="shared" si="45"/>
        <v>0</v>
      </c>
    </row>
    <row r="39" spans="1:89" s="57" customFormat="1" x14ac:dyDescent="0.25">
      <c r="A39" s="57" t="s">
        <v>416</v>
      </c>
      <c r="B39" s="57">
        <f>B38/B4*100</f>
        <v>5.2795263044327703</v>
      </c>
      <c r="C39" s="57">
        <f t="shared" ref="C39:D39" si="46">C38/C4*100</f>
        <v>5.7267361112307462</v>
      </c>
      <c r="D39" s="57">
        <f t="shared" si="46"/>
        <v>5.0605954255204413</v>
      </c>
      <c r="E39" s="57">
        <f>E38/E4</f>
        <v>3.8133322147807402E-2</v>
      </c>
      <c r="F39" s="57">
        <f t="shared" ref="F39:BQ39" si="47">F38/F4</f>
        <v>3.7785499403709552E-2</v>
      </c>
      <c r="G39" s="57">
        <f t="shared" si="47"/>
        <v>4.0437041806873519E-2</v>
      </c>
      <c r="H39" s="57">
        <f t="shared" si="47"/>
        <v>5.0422113843537709E-2</v>
      </c>
      <c r="I39" s="57">
        <f t="shared" si="47"/>
        <v>4.9943783012267269E-2</v>
      </c>
      <c r="J39" s="57">
        <f t="shared" si="47"/>
        <v>4.4976153730538988E-2</v>
      </c>
      <c r="K39" s="57">
        <f t="shared" si="47"/>
        <v>4.8122199222037712E-2</v>
      </c>
      <c r="L39" s="57">
        <f t="shared" si="47"/>
        <v>3.8140119384228718E-2</v>
      </c>
      <c r="M39" s="57">
        <f t="shared" si="47"/>
        <v>3.1122655448582212E-2</v>
      </c>
      <c r="N39" s="57">
        <f t="shared" si="47"/>
        <v>3.7782796744222059E-2</v>
      </c>
      <c r="O39" s="57">
        <f t="shared" si="47"/>
        <v>4.5755227507348402E-2</v>
      </c>
      <c r="P39" s="57">
        <f t="shared" si="47"/>
        <v>1.7604095006492543E-2</v>
      </c>
      <c r="Q39" s="57">
        <f t="shared" si="47"/>
        <v>2.4316380470177083E-2</v>
      </c>
      <c r="R39" s="57">
        <f t="shared" si="47"/>
        <v>3.6970233233505762E-2</v>
      </c>
      <c r="S39" s="57">
        <f t="shared" si="47"/>
        <v>3.7859504546620931E-2</v>
      </c>
      <c r="T39" s="57">
        <f t="shared" si="47"/>
        <v>3.4795223573272603E-2</v>
      </c>
      <c r="U39" s="57">
        <f t="shared" si="47"/>
        <v>3.9606834123120729E-2</v>
      </c>
      <c r="V39" s="57">
        <f t="shared" si="47"/>
        <v>3.9455606834635247E-2</v>
      </c>
      <c r="W39" s="57">
        <f t="shared" si="47"/>
        <v>3.6713810480736887E-2</v>
      </c>
      <c r="X39" s="57">
        <f t="shared" si="47"/>
        <v>3.82505883655299E-2</v>
      </c>
      <c r="Y39" s="57">
        <f t="shared" si="47"/>
        <v>3.8243100883151561E-2</v>
      </c>
      <c r="Z39" s="57">
        <f t="shared" si="47"/>
        <v>3.5915755203317322E-2</v>
      </c>
      <c r="AA39" s="57">
        <f t="shared" si="47"/>
        <v>3.0622993430617949E-2</v>
      </c>
      <c r="AB39" s="57">
        <f t="shared" si="47"/>
        <v>3.3813201462691678E-2</v>
      </c>
      <c r="AC39" s="57">
        <f t="shared" si="47"/>
        <v>4.6440032518079898E-2</v>
      </c>
      <c r="AD39" s="57">
        <f t="shared" si="47"/>
        <v>5.021273509387756E-2</v>
      </c>
      <c r="AE39" s="57">
        <f t="shared" si="47"/>
        <v>5.0475483105105766E-2</v>
      </c>
      <c r="AF39" s="57">
        <f t="shared" si="47"/>
        <v>5.6679041236868295E-2</v>
      </c>
      <c r="AG39" s="57">
        <f t="shared" si="47"/>
        <v>5.8266803680988008E-2</v>
      </c>
      <c r="AH39" s="57">
        <f t="shared" si="47"/>
        <v>6.11226220946441E-2</v>
      </c>
      <c r="AI39" s="57">
        <f t="shared" si="47"/>
        <v>5.7212689917919793E-2</v>
      </c>
      <c r="AJ39" s="57">
        <f t="shared" si="47"/>
        <v>5.4992024353675985E-2</v>
      </c>
      <c r="AK39" s="57">
        <f t="shared" si="47"/>
        <v>6.7639764113209003E-2</v>
      </c>
      <c r="AL39" s="57">
        <f t="shared" si="47"/>
        <v>8.0732174676086357E-2</v>
      </c>
      <c r="AM39" s="57">
        <f t="shared" si="47"/>
        <v>9.1299096484246986E-2</v>
      </c>
      <c r="AN39" s="57">
        <f t="shared" si="47"/>
        <v>7.4073101909574113E-2</v>
      </c>
      <c r="AO39" s="57">
        <f t="shared" si="47"/>
        <v>2.1749175849338304E-2</v>
      </c>
      <c r="AP39" s="57">
        <f t="shared" si="47"/>
        <v>2.2099587152485146E-2</v>
      </c>
      <c r="AQ39" s="57">
        <f t="shared" si="47"/>
        <v>1.9385315120246386E-2</v>
      </c>
      <c r="AR39" s="57">
        <f t="shared" si="47"/>
        <v>2.7975060992138791E-2</v>
      </c>
      <c r="AS39" s="57">
        <f t="shared" si="47"/>
        <v>7.8031743554969404E-2</v>
      </c>
      <c r="AT39" s="57">
        <f t="shared" si="47"/>
        <v>9.2175892177720292E-2</v>
      </c>
      <c r="AU39" s="57">
        <f t="shared" si="47"/>
        <v>0.10264276767284723</v>
      </c>
      <c r="AV39" s="57">
        <f t="shared" si="47"/>
        <v>9.2231942673759171E-2</v>
      </c>
      <c r="AW39" s="57">
        <f t="shared" si="47"/>
        <v>7.205390879962166E-2</v>
      </c>
      <c r="AX39" s="57">
        <f t="shared" si="47"/>
        <v>7.0273655721055747E-2</v>
      </c>
      <c r="AY39" s="57">
        <f t="shared" si="47"/>
        <v>6.9317078433487972E-2</v>
      </c>
      <c r="AZ39" s="57">
        <f t="shared" si="47"/>
        <v>6.5563832796734611E-2</v>
      </c>
      <c r="BA39" s="57">
        <f t="shared" si="47"/>
        <v>7.2128542199808535E-2</v>
      </c>
      <c r="BB39" s="57">
        <f t="shared" si="47"/>
        <v>7.9557704639595134E-2</v>
      </c>
      <c r="BC39" s="57">
        <f t="shared" si="47"/>
        <v>9.0004676435220241E-2</v>
      </c>
      <c r="BD39" s="57">
        <f t="shared" si="47"/>
        <v>9.5504022716516798E-2</v>
      </c>
      <c r="BE39" s="57">
        <f t="shared" si="47"/>
        <v>9.9603475599019359E-2</v>
      </c>
      <c r="BF39" s="57">
        <f t="shared" si="47"/>
        <v>0.10064760171895762</v>
      </c>
      <c r="BG39" s="57">
        <f t="shared" si="47"/>
        <v>9.7689577695900406E-2</v>
      </c>
      <c r="BH39" s="57">
        <f t="shared" si="47"/>
        <v>0.10741760466434529</v>
      </c>
      <c r="BI39" s="57">
        <f t="shared" si="47"/>
        <v>8.459434647439662E-2</v>
      </c>
      <c r="BJ39" s="57">
        <f t="shared" si="47"/>
        <v>8.7716439057812429E-2</v>
      </c>
      <c r="BK39" s="57">
        <f t="shared" si="47"/>
        <v>8.9749643300725712E-2</v>
      </c>
      <c r="BL39" s="57">
        <f t="shared" si="47"/>
        <v>0.10334047239618754</v>
      </c>
      <c r="BM39" s="57">
        <f t="shared" si="47"/>
        <v>7.861584779014387E-2</v>
      </c>
      <c r="BN39" s="57">
        <f t="shared" si="47"/>
        <v>7.3467059858610059E-2</v>
      </c>
      <c r="BO39" s="57">
        <f t="shared" si="47"/>
        <v>6.0642261853969336E-2</v>
      </c>
      <c r="BP39" s="57">
        <f t="shared" si="47"/>
        <v>1.4747202158901501E-2</v>
      </c>
      <c r="BQ39" s="57">
        <f t="shared" si="47"/>
        <v>7.8499213069292612E-2</v>
      </c>
      <c r="BR39" s="57">
        <f t="shared" ref="BR39:CK39" si="48">BR38/BR4</f>
        <v>8.6037401599361255E-2</v>
      </c>
      <c r="BS39" s="57">
        <f t="shared" si="48"/>
        <v>8.6061461855746715E-2</v>
      </c>
      <c r="BT39" s="57">
        <f t="shared" si="48"/>
        <v>3.8771332239760745E-2</v>
      </c>
      <c r="BU39" s="57">
        <f t="shared" si="48"/>
        <v>-4.3160550941015669E-3</v>
      </c>
      <c r="BV39" s="57" t="e">
        <f t="shared" si="48"/>
        <v>#DIV/0!</v>
      </c>
      <c r="BW39" s="57" t="e">
        <f t="shared" si="48"/>
        <v>#DIV/0!</v>
      </c>
      <c r="BX39" s="57" t="e">
        <f t="shared" si="48"/>
        <v>#DIV/0!</v>
      </c>
      <c r="BY39" s="57" t="e">
        <f t="shared" si="48"/>
        <v>#DIV/0!</v>
      </c>
      <c r="BZ39" s="57" t="e">
        <f t="shared" si="48"/>
        <v>#DIV/0!</v>
      </c>
      <c r="CA39" s="57" t="e">
        <f t="shared" si="48"/>
        <v>#DIV/0!</v>
      </c>
      <c r="CB39" s="57" t="e">
        <f t="shared" si="48"/>
        <v>#DIV/0!</v>
      </c>
      <c r="CC39" s="57" t="e">
        <f t="shared" si="48"/>
        <v>#DIV/0!</v>
      </c>
      <c r="CD39" s="57" t="e">
        <f t="shared" si="48"/>
        <v>#DIV/0!</v>
      </c>
      <c r="CE39" s="57" t="e">
        <f t="shared" si="48"/>
        <v>#DIV/0!</v>
      </c>
      <c r="CF39" s="57" t="e">
        <f t="shared" si="48"/>
        <v>#DIV/0!</v>
      </c>
      <c r="CG39" s="57" t="e">
        <f t="shared" si="48"/>
        <v>#DIV/0!</v>
      </c>
      <c r="CH39" s="57" t="e">
        <f t="shared" si="48"/>
        <v>#DIV/0!</v>
      </c>
      <c r="CI39" s="57" t="e">
        <f t="shared" si="48"/>
        <v>#DIV/0!</v>
      </c>
      <c r="CJ39" s="57" t="e">
        <f t="shared" si="48"/>
        <v>#DIV/0!</v>
      </c>
      <c r="CK39" s="57" t="e">
        <f t="shared" si="48"/>
        <v>#DIV/0!</v>
      </c>
    </row>
    <row r="40" spans="1:89" x14ac:dyDescent="0.25">
      <c r="A40" s="17" t="s">
        <v>417</v>
      </c>
      <c r="B40" s="26">
        <f>B60</f>
        <v>20923000000</v>
      </c>
      <c r="C40" s="26">
        <f t="shared" ref="C40:BN40" si="49">C60</f>
        <v>14586000000</v>
      </c>
      <c r="D40" s="26">
        <f t="shared" si="49"/>
        <v>6993000000</v>
      </c>
      <c r="E40" s="26">
        <f t="shared" si="49"/>
        <v>16279000000</v>
      </c>
      <c r="F40" s="26">
        <f t="shared" si="49"/>
        <v>12996000000</v>
      </c>
      <c r="G40" s="26">
        <f t="shared" si="49"/>
        <v>8915000000</v>
      </c>
      <c r="H40" s="26">
        <f t="shared" si="49"/>
        <v>6297000000</v>
      </c>
      <c r="I40" s="26">
        <f t="shared" si="49"/>
        <v>20707000000</v>
      </c>
      <c r="J40" s="26">
        <f t="shared" si="49"/>
        <v>11865000000</v>
      </c>
      <c r="K40" s="26">
        <f t="shared" si="49"/>
        <v>8379000000</v>
      </c>
      <c r="L40" s="26">
        <f t="shared" si="49"/>
        <v>3181000000</v>
      </c>
      <c r="M40" s="26">
        <f t="shared" si="49"/>
        <v>12613000000</v>
      </c>
      <c r="N40" s="26">
        <f t="shared" si="49"/>
        <v>10464000000</v>
      </c>
      <c r="O40" s="26">
        <f t="shared" si="49"/>
        <v>9674000000</v>
      </c>
      <c r="P40" s="26">
        <f t="shared" si="49"/>
        <v>950000000</v>
      </c>
      <c r="Q40" s="26">
        <f t="shared" si="49"/>
        <v>17571000000</v>
      </c>
      <c r="R40" s="26">
        <f t="shared" si="49"/>
        <v>17624000000</v>
      </c>
      <c r="S40" s="26">
        <f t="shared" si="49"/>
        <v>11908000000</v>
      </c>
      <c r="T40" s="26">
        <f t="shared" si="49"/>
        <v>4818000000</v>
      </c>
      <c r="U40" s="26">
        <f t="shared" si="49"/>
        <v>25605000000</v>
      </c>
      <c r="V40" s="26">
        <f t="shared" si="49"/>
        <v>20102000000</v>
      </c>
      <c r="W40" s="26">
        <f t="shared" si="49"/>
        <v>12468000000</v>
      </c>
      <c r="X40" s="26">
        <f t="shared" si="49"/>
        <v>6175000000</v>
      </c>
      <c r="Y40" s="26">
        <f t="shared" si="49"/>
        <v>23696000000</v>
      </c>
      <c r="Z40" s="26">
        <f t="shared" si="49"/>
        <v>16752000000</v>
      </c>
      <c r="AA40" s="26">
        <f t="shared" si="49"/>
        <v>9337000000</v>
      </c>
      <c r="AB40" s="26">
        <f t="shared" si="49"/>
        <v>4437000000</v>
      </c>
      <c r="AC40" s="26">
        <f t="shared" si="49"/>
        <v>25774000000</v>
      </c>
      <c r="AD40" s="26">
        <f t="shared" si="49"/>
        <v>20272000000</v>
      </c>
      <c r="AE40" s="26">
        <f t="shared" si="49"/>
        <v>13543000000</v>
      </c>
      <c r="AF40" s="26">
        <f t="shared" si="49"/>
        <v>7738000000</v>
      </c>
      <c r="AG40" s="26">
        <f t="shared" si="49"/>
        <v>25335000000</v>
      </c>
      <c r="AH40" s="26">
        <f t="shared" si="49"/>
        <v>19148000000</v>
      </c>
      <c r="AI40" s="26">
        <f t="shared" si="49"/>
        <v>11024000000</v>
      </c>
      <c r="AJ40" s="26">
        <f t="shared" si="49"/>
        <v>4658000000</v>
      </c>
      <c r="AK40" s="26">
        <f t="shared" si="49"/>
        <v>16076000000</v>
      </c>
      <c r="AL40" s="26">
        <f t="shared" si="49"/>
        <v>14082000000</v>
      </c>
      <c r="AM40" s="26">
        <f t="shared" si="49"/>
        <v>9118000000</v>
      </c>
      <c r="AN40" s="26">
        <f t="shared" si="49"/>
        <v>3050000000</v>
      </c>
      <c r="AO40" s="26">
        <f t="shared" si="49"/>
        <v>-1889000000</v>
      </c>
      <c r="AP40" s="26">
        <f t="shared" si="49"/>
        <v>2678000000</v>
      </c>
      <c r="AQ40" s="26">
        <f t="shared" si="49"/>
        <v>101000000</v>
      </c>
      <c r="AR40" s="26">
        <f t="shared" si="49"/>
        <v>190000000</v>
      </c>
      <c r="AS40" s="26">
        <f t="shared" si="49"/>
        <v>25758000000</v>
      </c>
      <c r="AT40" s="26">
        <f t="shared" si="49"/>
        <v>22114000000</v>
      </c>
      <c r="AU40" s="26">
        <f t="shared" si="49"/>
        <v>16107000000</v>
      </c>
      <c r="AV40" s="26">
        <f t="shared" si="49"/>
        <v>7793000000</v>
      </c>
      <c r="AW40" s="26">
        <f t="shared" si="49"/>
        <v>22519000000</v>
      </c>
      <c r="AX40" s="26">
        <f t="shared" si="49"/>
        <v>15339000000</v>
      </c>
      <c r="AY40" s="26">
        <f t="shared" si="49"/>
        <v>9964000000</v>
      </c>
      <c r="AZ40" s="26">
        <f t="shared" si="49"/>
        <v>4156000000</v>
      </c>
      <c r="BA40" s="26">
        <f t="shared" si="49"/>
        <v>18903000000</v>
      </c>
      <c r="BB40" s="26">
        <f t="shared" si="49"/>
        <v>12927000000</v>
      </c>
      <c r="BC40" s="26">
        <f t="shared" si="49"/>
        <v>9168000000</v>
      </c>
      <c r="BD40" s="26">
        <f t="shared" si="49"/>
        <v>4629000000</v>
      </c>
      <c r="BE40" s="26">
        <f t="shared" si="49"/>
        <v>16060000000</v>
      </c>
      <c r="BF40" s="26">
        <f t="shared" si="49"/>
        <v>11316000000</v>
      </c>
      <c r="BG40" s="26">
        <f t="shared" si="49"/>
        <v>7154000000</v>
      </c>
      <c r="BH40" s="26">
        <f t="shared" si="49"/>
        <v>3456000000</v>
      </c>
      <c r="BI40" s="26">
        <f t="shared" si="49"/>
        <v>9361000000</v>
      </c>
      <c r="BJ40" s="26">
        <f t="shared" si="49"/>
        <v>6995000000</v>
      </c>
      <c r="BK40" s="26">
        <f t="shared" si="49"/>
        <v>4762000000</v>
      </c>
      <c r="BL40" s="26">
        <f t="shared" si="49"/>
        <v>2788000000</v>
      </c>
      <c r="BM40" s="26">
        <f t="shared" si="49"/>
        <v>6809000000</v>
      </c>
      <c r="BN40" s="26">
        <f t="shared" si="49"/>
        <v>4499000000</v>
      </c>
      <c r="BO40" s="26">
        <f t="shared" ref="BO40:CJ40" si="50">BO60</f>
        <v>2174000000</v>
      </c>
      <c r="BP40" s="26">
        <f t="shared" si="50"/>
        <v>35000000</v>
      </c>
      <c r="BQ40" s="26">
        <f t="shared" si="50"/>
        <v>7092000000</v>
      </c>
      <c r="BR40" s="26">
        <f t="shared" si="50"/>
        <v>3411000000</v>
      </c>
      <c r="BS40" s="26">
        <f t="shared" si="50"/>
        <v>7954000000</v>
      </c>
      <c r="BT40" s="26">
        <f t="shared" si="50"/>
        <v>1166000000</v>
      </c>
      <c r="BU40" s="26">
        <f t="shared" si="50"/>
        <v>-1636000000</v>
      </c>
      <c r="BV40" s="26">
        <f t="shared" si="50"/>
        <v>0</v>
      </c>
      <c r="BW40" s="26">
        <f t="shared" si="50"/>
        <v>303429006.82999998</v>
      </c>
      <c r="BX40" s="26">
        <f t="shared" si="50"/>
        <v>66653678.539999999</v>
      </c>
      <c r="BY40" s="26">
        <f t="shared" si="50"/>
        <v>260578360.56999999</v>
      </c>
      <c r="BZ40" s="26">
        <f t="shared" si="50"/>
        <v>44632836.509999998</v>
      </c>
      <c r="CA40" s="26">
        <f t="shared" si="50"/>
        <v>168102185.13</v>
      </c>
      <c r="CB40" s="26">
        <f t="shared" si="50"/>
        <v>128029818.47</v>
      </c>
      <c r="CC40" s="26">
        <f t="shared" si="50"/>
        <v>106844876.92</v>
      </c>
      <c r="CD40" s="26">
        <f t="shared" si="50"/>
        <v>0</v>
      </c>
      <c r="CE40" s="26">
        <f t="shared" si="50"/>
        <v>27810000</v>
      </c>
      <c r="CF40" s="26">
        <f t="shared" si="50"/>
        <v>16447145.279999999</v>
      </c>
      <c r="CG40" s="26">
        <f t="shared" si="50"/>
        <v>4330000</v>
      </c>
      <c r="CH40" s="26">
        <f t="shared" si="50"/>
        <v>4220000</v>
      </c>
      <c r="CI40" s="26">
        <f t="shared" si="50"/>
        <v>12510000</v>
      </c>
      <c r="CJ40" s="26">
        <f t="shared" si="50"/>
        <v>3630000</v>
      </c>
    </row>
    <row r="41" spans="1:89" s="57" customFormat="1" x14ac:dyDescent="0.25">
      <c r="A41" s="57" t="s">
        <v>609</v>
      </c>
      <c r="B41" s="57">
        <f>B40/B38</f>
        <v>0.19117714867034794</v>
      </c>
      <c r="C41" s="57">
        <f t="shared" ref="C41:BN41" si="51">C40/C38</f>
        <v>0.19588514731243176</v>
      </c>
      <c r="D41" s="57">
        <f t="shared" si="51"/>
        <v>0.22243074110565927</v>
      </c>
      <c r="E41" s="57">
        <f t="shared" si="51"/>
        <v>0.18087375836092531</v>
      </c>
      <c r="F41" s="57">
        <f t="shared" si="51"/>
        <v>0.19710620872916765</v>
      </c>
      <c r="G41" s="57">
        <f t="shared" si="51"/>
        <v>0.18910548952868497</v>
      </c>
      <c r="H41" s="57">
        <f t="shared" si="51"/>
        <v>0.2145120202477894</v>
      </c>
      <c r="I41" s="57">
        <f t="shared" si="51"/>
        <v>0.21472049109781516</v>
      </c>
      <c r="J41" s="57">
        <f t="shared" si="51"/>
        <v>0.19341429619365882</v>
      </c>
      <c r="K41" s="57">
        <f t="shared" si="51"/>
        <v>0.19803828882060978</v>
      </c>
      <c r="L41" s="57">
        <f t="shared" si="51"/>
        <v>0.20155873780255987</v>
      </c>
      <c r="M41" s="57">
        <f t="shared" si="51"/>
        <v>0.20073846545605017</v>
      </c>
      <c r="N41" s="57">
        <f t="shared" si="51"/>
        <v>0.18020872799917337</v>
      </c>
      <c r="O41" s="57">
        <f t="shared" si="51"/>
        <v>0.20322675517835384</v>
      </c>
      <c r="P41" s="57">
        <f t="shared" si="51"/>
        <v>0.1128400047511581</v>
      </c>
      <c r="Q41" s="57">
        <f t="shared" si="51"/>
        <v>0.25570463938529603</v>
      </c>
      <c r="R41" s="57">
        <f t="shared" si="51"/>
        <v>0.22532474174082029</v>
      </c>
      <c r="S41" s="57">
        <f t="shared" si="51"/>
        <v>0.23192583359301963</v>
      </c>
      <c r="T41" s="57">
        <f t="shared" si="51"/>
        <v>0.21599569622523088</v>
      </c>
      <c r="U41" s="57">
        <f t="shared" si="51"/>
        <v>0.2244477559607293</v>
      </c>
      <c r="V41" s="57">
        <f t="shared" si="51"/>
        <v>0.23808508622323291</v>
      </c>
      <c r="W41" s="57">
        <f t="shared" si="51"/>
        <v>0.2399584287611386</v>
      </c>
      <c r="X41" s="57">
        <f t="shared" si="51"/>
        <v>0.23209050590092462</v>
      </c>
      <c r="Y41" s="57">
        <f t="shared" si="51"/>
        <v>0.22239950444404816</v>
      </c>
      <c r="Z41" s="57">
        <f t="shared" si="51"/>
        <v>0.23035986853866147</v>
      </c>
      <c r="AA41" s="57">
        <f t="shared" si="51"/>
        <v>0.22617605736156193</v>
      </c>
      <c r="AB41" s="57">
        <f t="shared" si="51"/>
        <v>0.19545394476014272</v>
      </c>
      <c r="AC41" s="57">
        <f t="shared" si="51"/>
        <v>0.22149462032931147</v>
      </c>
      <c r="AD41" s="57">
        <f t="shared" si="51"/>
        <v>0.21530683773392528</v>
      </c>
      <c r="AE41" s="57">
        <f t="shared" si="51"/>
        <v>0.21755823293172691</v>
      </c>
      <c r="AF41" s="57">
        <f t="shared" si="51"/>
        <v>0.23185018726591761</v>
      </c>
      <c r="AG41" s="57">
        <f t="shared" si="51"/>
        <v>0.22727068849517829</v>
      </c>
      <c r="AH41" s="57">
        <f t="shared" si="51"/>
        <v>0.21943616777446712</v>
      </c>
      <c r="AI41" s="57">
        <f t="shared" si="51"/>
        <v>0.20574457363617701</v>
      </c>
      <c r="AJ41" s="57">
        <f t="shared" si="51"/>
        <v>0.19329404929869698</v>
      </c>
      <c r="AK41" s="57">
        <f t="shared" si="51"/>
        <v>0.17670011760955825</v>
      </c>
      <c r="AL41" s="57">
        <f t="shared" si="51"/>
        <v>0.19523083321780119</v>
      </c>
      <c r="AM41" s="57">
        <f t="shared" si="51"/>
        <v>0.18701288046599393</v>
      </c>
      <c r="AN41" s="57">
        <f t="shared" si="51"/>
        <v>0.18013229388140797</v>
      </c>
      <c r="AO41" s="57">
        <f t="shared" si="51"/>
        <v>-5.9812551453359508E-2</v>
      </c>
      <c r="AP41" s="57">
        <f t="shared" si="51"/>
        <v>0.10561186260204283</v>
      </c>
      <c r="AQ41" s="57">
        <f t="shared" si="51"/>
        <v>7.0907048581859032E-3</v>
      </c>
      <c r="AR41" s="57">
        <f t="shared" si="51"/>
        <v>2.0456503014642548E-2</v>
      </c>
      <c r="AS41" s="57">
        <f t="shared" si="51"/>
        <v>0.27397464261402316</v>
      </c>
      <c r="AT41" s="57">
        <f t="shared" si="51"/>
        <v>0.27411557626992589</v>
      </c>
      <c r="AU41" s="57">
        <f t="shared" si="51"/>
        <v>0.27684295560406319</v>
      </c>
      <c r="AV41" s="57">
        <f t="shared" si="51"/>
        <v>0.30954083253892595</v>
      </c>
      <c r="AW41" s="57">
        <f t="shared" si="51"/>
        <v>0.2991921983365663</v>
      </c>
      <c r="AX41" s="57">
        <f t="shared" si="51"/>
        <v>0.28902246005426591</v>
      </c>
      <c r="AY41" s="57">
        <f t="shared" si="51"/>
        <v>0.29823406165818617</v>
      </c>
      <c r="AZ41" s="57">
        <f t="shared" si="51"/>
        <v>0.28463803849051433</v>
      </c>
      <c r="BA41" s="57">
        <f t="shared" si="51"/>
        <v>0.32795503044813407</v>
      </c>
      <c r="BB41" s="57">
        <f t="shared" si="51"/>
        <v>0.2816094457999303</v>
      </c>
      <c r="BC41" s="57">
        <f t="shared" si="51"/>
        <v>0.28354054555576175</v>
      </c>
      <c r="BD41" s="57">
        <f t="shared" si="51"/>
        <v>0.28673191278493559</v>
      </c>
      <c r="BE41" s="57">
        <f t="shared" si="51"/>
        <v>0.27299461150113041</v>
      </c>
      <c r="BF41" s="57">
        <f t="shared" si="51"/>
        <v>0.26917221693625121</v>
      </c>
      <c r="BG41" s="57">
        <f t="shared" si="51"/>
        <v>0.27560966213352855</v>
      </c>
      <c r="BH41" s="57">
        <f t="shared" si="51"/>
        <v>0.26053524312099507</v>
      </c>
      <c r="BI41" s="57">
        <f t="shared" si="51"/>
        <v>0.26524424798821261</v>
      </c>
      <c r="BJ41" s="57">
        <f t="shared" si="51"/>
        <v>0.26523338262617069</v>
      </c>
      <c r="BK41" s="57">
        <f t="shared" si="51"/>
        <v>0.27231657802939324</v>
      </c>
      <c r="BL41" s="57">
        <f t="shared" si="51"/>
        <v>0.27384343384736276</v>
      </c>
      <c r="BM41" s="57">
        <f t="shared" si="51"/>
        <v>0.26716628737345993</v>
      </c>
      <c r="BN41" s="57">
        <f t="shared" si="51"/>
        <v>0.27074682554010954</v>
      </c>
      <c r="BO41" s="57">
        <f t="shared" ref="BO41:CJ41" si="52">BO40/BO38</f>
        <v>0.2549249530956848</v>
      </c>
      <c r="BP41" s="57">
        <f t="shared" si="52"/>
        <v>3.7674919268030141E-2</v>
      </c>
      <c r="BQ41" s="57">
        <f t="shared" si="52"/>
        <v>0.29684818550918757</v>
      </c>
      <c r="BR41" s="57">
        <f t="shared" si="52"/>
        <v>0.2472993547451606</v>
      </c>
      <c r="BS41" s="57">
        <f t="shared" si="52"/>
        <v>0.28619746689694875</v>
      </c>
      <c r="BT41" s="57">
        <f t="shared" si="52"/>
        <v>0.13016298280866265</v>
      </c>
      <c r="BU41" s="57">
        <f t="shared" si="52"/>
        <v>1.9926918392204629</v>
      </c>
      <c r="BV41" s="57" t="e">
        <f t="shared" si="52"/>
        <v>#DIV/0!</v>
      </c>
      <c r="BW41" s="57">
        <f t="shared" si="52"/>
        <v>20.112527092609866</v>
      </c>
      <c r="BX41" s="57">
        <f t="shared" si="52"/>
        <v>6.948062846312304</v>
      </c>
      <c r="BY41" s="57">
        <f t="shared" si="52"/>
        <v>6.0894858138564683</v>
      </c>
      <c r="BZ41" s="57">
        <f t="shared" si="52"/>
        <v>11.640426755835241</v>
      </c>
      <c r="CA41" s="57">
        <f t="shared" si="52"/>
        <v>-14.20372750495731</v>
      </c>
      <c r="CB41" s="57">
        <f t="shared" si="52"/>
        <v>-7.8774211764848916</v>
      </c>
      <c r="CC41" s="57">
        <f t="shared" si="52"/>
        <v>-8.6111449985966146</v>
      </c>
      <c r="CD41" s="57" t="e">
        <f t="shared" si="52"/>
        <v>#DIV/0!</v>
      </c>
      <c r="CE41" s="57">
        <f t="shared" si="52"/>
        <v>3.5981368870487773</v>
      </c>
      <c r="CF41" s="57">
        <f t="shared" si="52"/>
        <v>7.859739633359264</v>
      </c>
      <c r="CG41" s="57" t="e">
        <f t="shared" si="52"/>
        <v>#DIV/0!</v>
      </c>
      <c r="CH41" s="57" t="e">
        <f t="shared" si="52"/>
        <v>#DIV/0!</v>
      </c>
      <c r="CI41" s="57" t="e">
        <f t="shared" si="52"/>
        <v>#DIV/0!</v>
      </c>
      <c r="CJ41" s="57" t="e">
        <f t="shared" si="52"/>
        <v>#DIV/0!</v>
      </c>
    </row>
    <row r="42" spans="1:89" s="2" customFormat="1" x14ac:dyDescent="0.25">
      <c r="A42" s="20" t="s">
        <v>419</v>
      </c>
      <c r="B42" s="28">
        <f>B38-B40</f>
        <v>88519996433</v>
      </c>
      <c r="C42" s="28">
        <f t="shared" ref="C42:BN42" si="53">C38-C40</f>
        <v>59876000821</v>
      </c>
      <c r="D42" s="28">
        <f t="shared" si="53"/>
        <v>24445999687</v>
      </c>
      <c r="E42" s="28">
        <f t="shared" si="53"/>
        <v>73723000000</v>
      </c>
      <c r="F42" s="28">
        <f t="shared" si="53"/>
        <v>52937996112</v>
      </c>
      <c r="G42" s="28">
        <f t="shared" si="53"/>
        <v>38227999509</v>
      </c>
      <c r="H42" s="28">
        <f t="shared" si="53"/>
        <v>23057998348</v>
      </c>
      <c r="I42" s="28">
        <f t="shared" si="53"/>
        <v>75730000000</v>
      </c>
      <c r="J42" s="28">
        <f t="shared" si="53"/>
        <v>49480000000</v>
      </c>
      <c r="K42" s="28">
        <f t="shared" si="53"/>
        <v>33931000000</v>
      </c>
      <c r="L42" s="28">
        <f t="shared" si="53"/>
        <v>12601000000</v>
      </c>
      <c r="M42" s="28">
        <f t="shared" si="53"/>
        <v>50220000000</v>
      </c>
      <c r="N42" s="28">
        <f t="shared" si="53"/>
        <v>47602000000</v>
      </c>
      <c r="O42" s="28">
        <f t="shared" si="53"/>
        <v>37928000000</v>
      </c>
      <c r="P42" s="28">
        <f t="shared" si="53"/>
        <v>7469000000</v>
      </c>
      <c r="Q42" s="28">
        <f t="shared" si="53"/>
        <v>51145000000</v>
      </c>
      <c r="R42" s="28">
        <f t="shared" si="53"/>
        <v>60592000000</v>
      </c>
      <c r="S42" s="28">
        <f t="shared" si="53"/>
        <v>39436000000</v>
      </c>
      <c r="T42" s="28">
        <f t="shared" si="53"/>
        <v>17488000000</v>
      </c>
      <c r="U42" s="28">
        <f t="shared" si="53"/>
        <v>88475000000</v>
      </c>
      <c r="V42" s="28">
        <f t="shared" si="53"/>
        <v>64330000000</v>
      </c>
      <c r="W42" s="28">
        <f t="shared" si="53"/>
        <v>39491000000</v>
      </c>
      <c r="X42" s="28">
        <f t="shared" si="53"/>
        <v>20431000000</v>
      </c>
      <c r="Y42" s="28">
        <f t="shared" si="53"/>
        <v>82851000000</v>
      </c>
      <c r="Z42" s="28">
        <f t="shared" si="53"/>
        <v>55969000000</v>
      </c>
      <c r="AA42" s="28">
        <f t="shared" si="53"/>
        <v>31945000000</v>
      </c>
      <c r="AB42" s="28">
        <f t="shared" si="53"/>
        <v>18264000000</v>
      </c>
      <c r="AC42" s="28">
        <f t="shared" si="53"/>
        <v>90590000000</v>
      </c>
      <c r="AD42" s="28">
        <f t="shared" si="53"/>
        <v>73882000000</v>
      </c>
      <c r="AE42" s="28">
        <f t="shared" si="53"/>
        <v>48707000000</v>
      </c>
      <c r="AF42" s="28">
        <f t="shared" si="53"/>
        <v>25637000000</v>
      </c>
      <c r="AG42" s="28">
        <f t="shared" si="53"/>
        <v>86140000000</v>
      </c>
      <c r="AH42" s="28">
        <f t="shared" si="53"/>
        <v>68112000000</v>
      </c>
      <c r="AI42" s="28">
        <f t="shared" si="53"/>
        <v>42557000000</v>
      </c>
      <c r="AJ42" s="28">
        <f t="shared" si="53"/>
        <v>19440000000</v>
      </c>
      <c r="AK42" s="28">
        <f t="shared" si="53"/>
        <v>74903000000</v>
      </c>
      <c r="AL42" s="28">
        <f t="shared" si="53"/>
        <v>58048000000</v>
      </c>
      <c r="AM42" s="28">
        <f t="shared" si="53"/>
        <v>39638000000</v>
      </c>
      <c r="AN42" s="28">
        <f t="shared" si="53"/>
        <v>13882000000</v>
      </c>
      <c r="AO42" s="28">
        <f t="shared" si="53"/>
        <v>33471000000</v>
      </c>
      <c r="AP42" s="28">
        <f t="shared" si="53"/>
        <v>22679000000</v>
      </c>
      <c r="AQ42" s="28">
        <f t="shared" si="53"/>
        <v>14143000000</v>
      </c>
      <c r="AR42" s="28">
        <f t="shared" si="53"/>
        <v>9098000000</v>
      </c>
      <c r="AS42" s="28">
        <f t="shared" si="53"/>
        <v>68258000000</v>
      </c>
      <c r="AT42" s="28">
        <f t="shared" si="53"/>
        <v>58560000000</v>
      </c>
      <c r="AU42" s="28">
        <f t="shared" si="53"/>
        <v>42074000000</v>
      </c>
      <c r="AV42" s="28">
        <f t="shared" si="53"/>
        <v>17383000000</v>
      </c>
      <c r="AW42" s="28">
        <f t="shared" si="53"/>
        <v>52747000000</v>
      </c>
      <c r="AX42" s="28">
        <f t="shared" si="53"/>
        <v>37733000000</v>
      </c>
      <c r="AY42" s="28">
        <f t="shared" si="53"/>
        <v>23446000000</v>
      </c>
      <c r="AZ42" s="28">
        <f t="shared" si="53"/>
        <v>10445000000</v>
      </c>
      <c r="BA42" s="28">
        <f t="shared" si="53"/>
        <v>38736000000</v>
      </c>
      <c r="BB42" s="28">
        <f t="shared" si="53"/>
        <v>32977000000</v>
      </c>
      <c r="BC42" s="28">
        <f t="shared" si="53"/>
        <v>23166000000</v>
      </c>
      <c r="BD42" s="28">
        <f t="shared" si="53"/>
        <v>11515000000</v>
      </c>
      <c r="BE42" s="28">
        <f t="shared" si="53"/>
        <v>42769000000</v>
      </c>
      <c r="BF42" s="28">
        <f t="shared" si="53"/>
        <v>30724000000</v>
      </c>
      <c r="BG42" s="28">
        <f t="shared" si="53"/>
        <v>18803000000</v>
      </c>
      <c r="BH42" s="28">
        <f t="shared" si="53"/>
        <v>9809000000</v>
      </c>
      <c r="BI42" s="28">
        <f t="shared" si="53"/>
        <v>25931000000</v>
      </c>
      <c r="BJ42" s="28">
        <f t="shared" si="53"/>
        <v>19378000000</v>
      </c>
      <c r="BK42" s="28">
        <f t="shared" si="53"/>
        <v>12725000000</v>
      </c>
      <c r="BL42" s="28">
        <f t="shared" si="53"/>
        <v>7393000000</v>
      </c>
      <c r="BM42" s="28">
        <f t="shared" si="53"/>
        <v>18677000000</v>
      </c>
      <c r="BN42" s="28">
        <f t="shared" si="53"/>
        <v>12118000000</v>
      </c>
      <c r="BO42" s="28">
        <f t="shared" ref="BO42:CK42" si="54">BO38-BO40</f>
        <v>6354000000</v>
      </c>
      <c r="BP42" s="28">
        <f t="shared" si="54"/>
        <v>894000000</v>
      </c>
      <c r="BQ42" s="28">
        <f t="shared" si="54"/>
        <v>16799000000</v>
      </c>
      <c r="BR42" s="28">
        <f t="shared" si="54"/>
        <v>10382000000</v>
      </c>
      <c r="BS42" s="28">
        <f t="shared" si="54"/>
        <v>19838000000</v>
      </c>
      <c r="BT42" s="28">
        <f t="shared" si="54"/>
        <v>7792000000</v>
      </c>
      <c r="BU42" s="28">
        <f t="shared" si="54"/>
        <v>815000000</v>
      </c>
      <c r="BV42" s="28">
        <f t="shared" si="54"/>
        <v>0</v>
      </c>
      <c r="BW42" s="28">
        <f t="shared" si="54"/>
        <v>-288342438.87</v>
      </c>
      <c r="BX42" s="28">
        <f t="shared" si="54"/>
        <v>-57060547.329999998</v>
      </c>
      <c r="BY42" s="28">
        <f t="shared" si="54"/>
        <v>-217786839.49000001</v>
      </c>
      <c r="BZ42" s="28">
        <f t="shared" si="54"/>
        <v>-40798540.960000001</v>
      </c>
      <c r="CA42" s="28">
        <f t="shared" si="54"/>
        <v>-179937260.47</v>
      </c>
      <c r="CB42" s="28">
        <f t="shared" si="54"/>
        <v>-144282576.27000001</v>
      </c>
      <c r="CC42" s="28">
        <f t="shared" si="54"/>
        <v>-119252620.25</v>
      </c>
      <c r="CD42" s="28">
        <f t="shared" si="54"/>
        <v>0</v>
      </c>
      <c r="CE42" s="28">
        <f t="shared" si="54"/>
        <v>-20081000</v>
      </c>
      <c r="CF42" s="28">
        <f t="shared" si="54"/>
        <v>-14354563.84</v>
      </c>
      <c r="CG42" s="28">
        <f t="shared" si="54"/>
        <v>-4330000</v>
      </c>
      <c r="CH42" s="28">
        <f t="shared" si="54"/>
        <v>-4220000</v>
      </c>
      <c r="CI42" s="28">
        <f t="shared" si="54"/>
        <v>-12510000</v>
      </c>
      <c r="CJ42" s="28">
        <f t="shared" si="54"/>
        <v>-3630000</v>
      </c>
      <c r="CK42" s="28">
        <f t="shared" si="54"/>
        <v>0</v>
      </c>
    </row>
    <row r="43" spans="1:89" s="57" customFormat="1" x14ac:dyDescent="0.25">
      <c r="A43" s="57" t="s">
        <v>418</v>
      </c>
      <c r="B43" s="57">
        <f>B42/B4*100</f>
        <v>4.2702015192212137</v>
      </c>
      <c r="C43" s="57">
        <f t="shared" ref="C43:D43" si="55">C42/C4*100</f>
        <v>4.6049535644628889</v>
      </c>
      <c r="D43" s="57">
        <f t="shared" si="55"/>
        <v>3.9349634345860212</v>
      </c>
      <c r="E43" s="57">
        <f>E42/E4</f>
        <v>3.1236004852145567E-2</v>
      </c>
      <c r="F43" s="57">
        <f t="shared" ref="F43:BQ43" si="56">F42/F4</f>
        <v>3.0337742871306136E-2</v>
      </c>
      <c r="G43" s="57">
        <f t="shared" si="56"/>
        <v>3.2790175220892802E-2</v>
      </c>
      <c r="H43" s="57">
        <f t="shared" si="56"/>
        <v>3.9605964337796402E-2</v>
      </c>
      <c r="I43" s="57">
        <f t="shared" si="56"/>
        <v>3.9219829396590522E-2</v>
      </c>
      <c r="J43" s="57">
        <f t="shared" si="56"/>
        <v>3.6277122611248984E-2</v>
      </c>
      <c r="K43" s="57">
        <f t="shared" si="56"/>
        <v>3.8592161233820886E-2</v>
      </c>
      <c r="L43" s="57">
        <f t="shared" si="56"/>
        <v>3.0452645061504628E-2</v>
      </c>
      <c r="M43" s="57">
        <f t="shared" si="56"/>
        <v>2.4875141352916439E-2</v>
      </c>
      <c r="N43" s="57">
        <f t="shared" si="56"/>
        <v>3.0974007002694495E-2</v>
      </c>
      <c r="O43" s="57">
        <f t="shared" si="56"/>
        <v>3.6456541088582629E-2</v>
      </c>
      <c r="P43" s="57">
        <f t="shared" si="56"/>
        <v>1.5617648842320085E-2</v>
      </c>
      <c r="Q43" s="57">
        <f t="shared" si="56"/>
        <v>1.8098569170894797E-2</v>
      </c>
      <c r="R43" s="57">
        <f t="shared" si="56"/>
        <v>2.8639924978068186E-2</v>
      </c>
      <c r="S43" s="57">
        <f t="shared" si="56"/>
        <v>2.9078907395227154E-2</v>
      </c>
      <c r="T43" s="57">
        <f t="shared" si="56"/>
        <v>2.727960503225102E-2</v>
      </c>
      <c r="U43" s="57">
        <f t="shared" si="56"/>
        <v>3.0717169083477443E-2</v>
      </c>
      <c r="V43" s="57">
        <f t="shared" si="56"/>
        <v>3.0061815279421138E-2</v>
      </c>
      <c r="W43" s="57">
        <f t="shared" si="56"/>
        <v>2.7904022203945045E-2</v>
      </c>
      <c r="X43" s="57">
        <f t="shared" si="56"/>
        <v>2.9372989960766045E-2</v>
      </c>
      <c r="Y43" s="57">
        <f t="shared" si="56"/>
        <v>2.9737854198334916E-2</v>
      </c>
      <c r="Z43" s="57">
        <f t="shared" si="56"/>
        <v>2.7642206556214396E-2</v>
      </c>
      <c r="AA43" s="57">
        <f t="shared" si="56"/>
        <v>2.3696805511871769E-2</v>
      </c>
      <c r="AB43" s="57">
        <f t="shared" si="56"/>
        <v>2.7204277851839164E-2</v>
      </c>
      <c r="AC43" s="57">
        <f t="shared" si="56"/>
        <v>3.6153815147406912E-2</v>
      </c>
      <c r="AD43" s="57">
        <f t="shared" si="56"/>
        <v>3.9401589886843488E-2</v>
      </c>
      <c r="AE43" s="57">
        <f t="shared" si="56"/>
        <v>3.9494126194383722E-2</v>
      </c>
      <c r="AF43" s="57">
        <f t="shared" si="56"/>
        <v>4.3537994912047712E-2</v>
      </c>
      <c r="AG43" s="57">
        <f t="shared" si="56"/>
        <v>4.5024467091996478E-2</v>
      </c>
      <c r="AH43" s="57">
        <f t="shared" si="56"/>
        <v>4.7710108137868426E-2</v>
      </c>
      <c r="AI43" s="57">
        <f t="shared" si="56"/>
        <v>4.5441489424178583E-2</v>
      </c>
      <c r="AJ43" s="57">
        <f t="shared" si="56"/>
        <v>4.4362393287221392E-2</v>
      </c>
      <c r="AK43" s="57">
        <f t="shared" si="56"/>
        <v>5.56878098393222E-2</v>
      </c>
      <c r="AL43" s="57">
        <f t="shared" si="56"/>
        <v>6.4970764946588946E-2</v>
      </c>
      <c r="AM43" s="57">
        <f t="shared" si="56"/>
        <v>7.4224989466785268E-2</v>
      </c>
      <c r="AN43" s="57">
        <f t="shared" si="56"/>
        <v>6.0730144147691234E-2</v>
      </c>
      <c r="AO43" s="57">
        <f t="shared" si="56"/>
        <v>2.3050049548895016E-2</v>
      </c>
      <c r="AP43" s="57">
        <f t="shared" si="56"/>
        <v>1.9765608590575013E-2</v>
      </c>
      <c r="AQ43" s="57">
        <f t="shared" si="56"/>
        <v>1.9247859572145792E-2</v>
      </c>
      <c r="AR43" s="57">
        <f t="shared" si="56"/>
        <v>2.7402789072618294E-2</v>
      </c>
      <c r="AS43" s="57">
        <f t="shared" si="56"/>
        <v>5.6653024501947556E-2</v>
      </c>
      <c r="AT43" s="57">
        <f t="shared" si="56"/>
        <v>6.6909044375229945E-2</v>
      </c>
      <c r="AU43" s="57">
        <f t="shared" si="56"/>
        <v>7.4226840498915023E-2</v>
      </c>
      <c r="AV43" s="57">
        <f t="shared" si="56"/>
        <v>6.368239035184127E-2</v>
      </c>
      <c r="AW43" s="57">
        <f t="shared" si="56"/>
        <v>5.0495941427120397E-2</v>
      </c>
      <c r="AX43" s="57">
        <f t="shared" si="56"/>
        <v>4.9962990867549677E-2</v>
      </c>
      <c r="AY43" s="57">
        <f t="shared" si="56"/>
        <v>4.8644364589989796E-2</v>
      </c>
      <c r="AZ43" s="57">
        <f t="shared" si="56"/>
        <v>4.6901872033552013E-2</v>
      </c>
      <c r="BA43" s="57">
        <f t="shared" si="56"/>
        <v>4.8473623946490803E-2</v>
      </c>
      <c r="BB43" s="57">
        <f t="shared" si="56"/>
        <v>5.7153503526924207E-2</v>
      </c>
      <c r="BC43" s="57">
        <f t="shared" si="56"/>
        <v>6.4484701376208084E-2</v>
      </c>
      <c r="BD43" s="57">
        <f t="shared" si="56"/>
        <v>6.8119971604353999E-2</v>
      </c>
      <c r="BE43" s="57">
        <f t="shared" si="56"/>
        <v>7.2412263473702748E-2</v>
      </c>
      <c r="BF43" s="57">
        <f t="shared" si="56"/>
        <v>7.3556063634948946E-2</v>
      </c>
      <c r="BG43" s="57">
        <f t="shared" si="56"/>
        <v>7.0765386193166205E-2</v>
      </c>
      <c r="BH43" s="57">
        <f t="shared" si="56"/>
        <v>7.9431532917645153E-2</v>
      </c>
      <c r="BI43" s="57">
        <f t="shared" si="56"/>
        <v>6.2156182659740981E-2</v>
      </c>
      <c r="BJ43" s="57">
        <f t="shared" si="56"/>
        <v>6.4451111214586479E-2</v>
      </c>
      <c r="BK43" s="57">
        <f t="shared" si="56"/>
        <v>6.5309327557713431E-2</v>
      </c>
      <c r="BL43" s="57">
        <f t="shared" si="56"/>
        <v>7.5041362579806939E-2</v>
      </c>
      <c r="BM43" s="57">
        <f t="shared" si="56"/>
        <v>5.761234360733411E-2</v>
      </c>
      <c r="BN43" s="57">
        <f t="shared" si="56"/>
        <v>5.3576086620126182E-2</v>
      </c>
      <c r="BO43" s="57">
        <f t="shared" si="56"/>
        <v>4.5183036095229966E-2</v>
      </c>
      <c r="BP43" s="57">
        <f t="shared" si="56"/>
        <v>1.4191602508135566E-2</v>
      </c>
      <c r="BQ43" s="57">
        <f t="shared" si="56"/>
        <v>5.5196864105773999E-2</v>
      </c>
      <c r="BR43" s="57">
        <f t="shared" ref="BR43:CK43" si="57">BR42/BR4</f>
        <v>6.4760407699888972E-2</v>
      </c>
      <c r="BS43" s="57">
        <f t="shared" si="57"/>
        <v>6.1430889475183631E-2</v>
      </c>
      <c r="BT43" s="57">
        <f t="shared" si="57"/>
        <v>3.3724739987967815E-2</v>
      </c>
      <c r="BU43" s="57">
        <f t="shared" si="57"/>
        <v>4.2845126695405323E-3</v>
      </c>
      <c r="BV43" s="57" t="e">
        <f t="shared" si="57"/>
        <v>#DIV/0!</v>
      </c>
      <c r="BW43" s="57" t="e">
        <f t="shared" si="57"/>
        <v>#DIV/0!</v>
      </c>
      <c r="BX43" s="57" t="e">
        <f t="shared" si="57"/>
        <v>#DIV/0!</v>
      </c>
      <c r="BY43" s="57" t="e">
        <f t="shared" si="57"/>
        <v>#DIV/0!</v>
      </c>
      <c r="BZ43" s="57" t="e">
        <f t="shared" si="57"/>
        <v>#DIV/0!</v>
      </c>
      <c r="CA43" s="57" t="e">
        <f t="shared" si="57"/>
        <v>#DIV/0!</v>
      </c>
      <c r="CB43" s="57" t="e">
        <f t="shared" si="57"/>
        <v>#DIV/0!</v>
      </c>
      <c r="CC43" s="57" t="e">
        <f t="shared" si="57"/>
        <v>#DIV/0!</v>
      </c>
      <c r="CD43" s="57" t="e">
        <f t="shared" si="57"/>
        <v>#DIV/0!</v>
      </c>
      <c r="CE43" s="57" t="e">
        <f t="shared" si="57"/>
        <v>#DIV/0!</v>
      </c>
      <c r="CF43" s="57" t="e">
        <f t="shared" si="57"/>
        <v>#DIV/0!</v>
      </c>
      <c r="CG43" s="57" t="e">
        <f t="shared" si="57"/>
        <v>#DIV/0!</v>
      </c>
      <c r="CH43" s="57" t="e">
        <f t="shared" si="57"/>
        <v>#DIV/0!</v>
      </c>
      <c r="CI43" s="57" t="e">
        <f t="shared" si="57"/>
        <v>#DIV/0!</v>
      </c>
      <c r="CJ43" s="57" t="e">
        <f t="shared" si="57"/>
        <v>#DIV/0!</v>
      </c>
      <c r="CK43" s="57" t="e">
        <f t="shared" si="57"/>
        <v>#DIV/0!</v>
      </c>
    </row>
    <row r="44" spans="1:89" s="16" customFormat="1" x14ac:dyDescent="0.25">
      <c r="A44" s="18" t="s">
        <v>89</v>
      </c>
      <c r="B44" s="30"/>
      <c r="C44" s="30"/>
      <c r="D44" s="30"/>
      <c r="E44" s="30"/>
      <c r="F44" s="30"/>
      <c r="G44" s="30"/>
      <c r="H44" s="30"/>
      <c r="I44" s="30"/>
      <c r="J44" s="30"/>
      <c r="K44" s="30"/>
    </row>
    <row r="45" spans="1:89" x14ac:dyDescent="0.25">
      <c r="A45" s="17" t="s">
        <v>420</v>
      </c>
      <c r="B45" s="26">
        <f>B70*B69</f>
        <v>69018000000</v>
      </c>
      <c r="C45" s="26">
        <f t="shared" ref="C45:BN45" si="58">C70*C69</f>
        <v>68584880000</v>
      </c>
      <c r="D45" s="26">
        <f t="shared" si="58"/>
        <v>70185280000</v>
      </c>
      <c r="E45" s="26">
        <f t="shared" si="58"/>
        <v>68325600000</v>
      </c>
      <c r="F45" s="26">
        <f t="shared" si="58"/>
        <v>67634000000</v>
      </c>
      <c r="G45" s="26">
        <f t="shared" si="58"/>
        <v>67666080000</v>
      </c>
      <c r="H45" s="26">
        <f t="shared" si="58"/>
        <v>68288560000</v>
      </c>
      <c r="I45" s="26">
        <f t="shared" si="58"/>
        <v>66602000000</v>
      </c>
      <c r="J45" s="26">
        <f t="shared" si="58"/>
        <v>65080160000</v>
      </c>
      <c r="K45" s="26">
        <f t="shared" si="58"/>
        <v>64798640000</v>
      </c>
      <c r="L45" s="26">
        <f t="shared" si="58"/>
        <v>63720400000</v>
      </c>
      <c r="M45" s="26">
        <f t="shared" si="58"/>
        <v>62849840000</v>
      </c>
      <c r="N45" s="26">
        <f t="shared" si="58"/>
        <v>62841680000</v>
      </c>
      <c r="O45" s="26">
        <f t="shared" si="58"/>
        <v>63073440000</v>
      </c>
      <c r="P45" s="26">
        <f t="shared" si="58"/>
        <v>61924320000</v>
      </c>
      <c r="Q45" s="26">
        <f t="shared" si="58"/>
        <v>51767600000</v>
      </c>
      <c r="R45" s="26">
        <f t="shared" si="58"/>
        <v>52078400000</v>
      </c>
      <c r="S45" s="26">
        <f t="shared" si="58"/>
        <v>51449680000</v>
      </c>
      <c r="T45" s="26">
        <f t="shared" si="58"/>
        <v>51284720000</v>
      </c>
      <c r="U45" s="26">
        <f t="shared" si="58"/>
        <v>49860800000</v>
      </c>
      <c r="V45" s="26">
        <f t="shared" si="58"/>
        <v>47994880000</v>
      </c>
      <c r="W45" s="26">
        <f t="shared" si="58"/>
        <v>46990160000</v>
      </c>
      <c r="X45" s="26">
        <f t="shared" si="58"/>
        <v>47041040000</v>
      </c>
      <c r="Y45" s="26">
        <f t="shared" si="58"/>
        <v>44048080000</v>
      </c>
      <c r="Z45" s="26">
        <f t="shared" si="58"/>
        <v>42417760000</v>
      </c>
      <c r="AA45" s="26">
        <f t="shared" si="58"/>
        <v>41537680000</v>
      </c>
      <c r="AB45" s="26">
        <f t="shared" si="58"/>
        <v>42036560000</v>
      </c>
      <c r="AC45" s="26">
        <f t="shared" si="58"/>
        <v>40762000000</v>
      </c>
      <c r="AD45" s="26">
        <f t="shared" si="58"/>
        <v>40069840000</v>
      </c>
      <c r="AE45" s="26">
        <f t="shared" si="58"/>
        <v>39089200000</v>
      </c>
      <c r="AF45" s="26">
        <f t="shared" si="58"/>
        <v>38308320000</v>
      </c>
      <c r="AG45" s="26">
        <f t="shared" si="58"/>
        <v>36214560000</v>
      </c>
      <c r="AH45" s="26">
        <f t="shared" si="58"/>
        <v>34880160000</v>
      </c>
      <c r="AI45" s="26">
        <f t="shared" si="58"/>
        <v>34230640000</v>
      </c>
      <c r="AJ45" s="26">
        <f t="shared" si="58"/>
        <v>33356240000</v>
      </c>
      <c r="AK45" s="26">
        <f t="shared" si="58"/>
        <v>32046800000</v>
      </c>
      <c r="AL45" s="26">
        <f t="shared" si="58"/>
        <v>31020000000</v>
      </c>
      <c r="AM45" s="26">
        <f t="shared" si="58"/>
        <v>30140800000</v>
      </c>
      <c r="AN45" s="26">
        <f t="shared" si="58"/>
        <v>29030400000</v>
      </c>
      <c r="AO45" s="26">
        <f t="shared" si="58"/>
        <v>28075680000</v>
      </c>
      <c r="AP45" s="26">
        <f t="shared" si="58"/>
        <v>26745280000</v>
      </c>
      <c r="AQ45" s="26">
        <f t="shared" si="58"/>
        <v>26503920000</v>
      </c>
      <c r="AR45" s="26">
        <f t="shared" si="58"/>
        <v>27226560000</v>
      </c>
      <c r="AS45" s="26">
        <f t="shared" si="58"/>
        <v>26107760000</v>
      </c>
      <c r="AT45" s="26">
        <f t="shared" si="58"/>
        <v>25368800000</v>
      </c>
      <c r="AU45" s="26">
        <f t="shared" si="58"/>
        <v>24561840000</v>
      </c>
      <c r="AV45" s="26">
        <f t="shared" si="58"/>
        <v>24015280000</v>
      </c>
      <c r="AW45" s="26">
        <f t="shared" si="58"/>
        <v>22148800000</v>
      </c>
      <c r="AX45" s="26">
        <f t="shared" si="58"/>
        <v>20568720000</v>
      </c>
      <c r="AY45" s="26">
        <f t="shared" si="58"/>
        <v>19890240000</v>
      </c>
      <c r="AZ45" s="26">
        <f t="shared" si="58"/>
        <v>20336480000</v>
      </c>
      <c r="BA45" s="26">
        <f t="shared" si="58"/>
        <v>19600480000</v>
      </c>
      <c r="BB45" s="26">
        <f t="shared" si="58"/>
        <v>18538320000</v>
      </c>
      <c r="BC45" s="26">
        <f t="shared" si="58"/>
        <v>18139600000</v>
      </c>
      <c r="BD45" s="26">
        <f t="shared" si="58"/>
        <v>18256160000</v>
      </c>
      <c r="BE45" s="26">
        <f t="shared" si="58"/>
        <v>17405280000</v>
      </c>
      <c r="BF45" s="26">
        <f t="shared" si="58"/>
        <v>16602160000</v>
      </c>
      <c r="BG45" s="26">
        <f t="shared" si="58"/>
        <v>16014880000</v>
      </c>
      <c r="BH45" s="26">
        <f t="shared" si="58"/>
        <v>15805040000</v>
      </c>
      <c r="BI45" s="26">
        <f t="shared" si="58"/>
        <v>15121840000</v>
      </c>
      <c r="BJ45" s="26">
        <f t="shared" si="58"/>
        <v>14718000000</v>
      </c>
      <c r="BK45" s="26">
        <f t="shared" si="58"/>
        <v>14464400000</v>
      </c>
      <c r="BL45" s="26">
        <f t="shared" si="58"/>
        <v>14165200000</v>
      </c>
      <c r="BM45" s="26">
        <f t="shared" si="58"/>
        <v>14066080000</v>
      </c>
      <c r="BN45" s="26">
        <f t="shared" si="58"/>
        <v>13613520000</v>
      </c>
      <c r="BO45" s="26">
        <f t="shared" ref="BO45:CJ45" si="59">BO70*BO69</f>
        <v>13258160000</v>
      </c>
      <c r="BP45" s="26">
        <f t="shared" si="59"/>
        <v>13013280000</v>
      </c>
      <c r="BQ45" s="26">
        <f t="shared" si="59"/>
        <v>12995760000</v>
      </c>
      <c r="BR45" s="26">
        <f t="shared" si="59"/>
        <v>12111200000</v>
      </c>
      <c r="BS45" s="26">
        <f t="shared" si="59"/>
        <v>11527360000</v>
      </c>
      <c r="BT45" s="26">
        <f t="shared" si="59"/>
        <v>0</v>
      </c>
      <c r="BU45" s="26">
        <f t="shared" si="59"/>
        <v>0</v>
      </c>
      <c r="BV45" s="26">
        <f t="shared" si="59"/>
        <v>0</v>
      </c>
      <c r="BW45" s="26">
        <f t="shared" si="59"/>
        <v>193639949.31599998</v>
      </c>
      <c r="BX45" s="26">
        <f t="shared" si="59"/>
        <v>167175876.21600002</v>
      </c>
      <c r="BY45" s="26">
        <f t="shared" si="59"/>
        <v>141199217.4136</v>
      </c>
      <c r="BZ45" s="26">
        <f t="shared" si="59"/>
        <v>149169482.35680002</v>
      </c>
      <c r="CA45" s="26">
        <f t="shared" si="59"/>
        <v>31390782.2744</v>
      </c>
      <c r="CB45" s="26">
        <f t="shared" si="59"/>
        <v>21196670.336800002</v>
      </c>
      <c r="CC45" s="26">
        <f t="shared" si="59"/>
        <v>18077398.395999998</v>
      </c>
      <c r="CD45" s="26">
        <f t="shared" si="59"/>
        <v>0</v>
      </c>
      <c r="CE45" s="26">
        <f t="shared" si="59"/>
        <v>86379040</v>
      </c>
      <c r="CF45" s="26">
        <f t="shared" si="59"/>
        <v>80338268.220799997</v>
      </c>
      <c r="CG45" s="26">
        <f t="shared" si="59"/>
        <v>39415192.029600002</v>
      </c>
      <c r="CH45" s="26">
        <f t="shared" si="59"/>
        <v>0</v>
      </c>
      <c r="CI45" s="26">
        <f t="shared" si="59"/>
        <v>0</v>
      </c>
      <c r="CJ45" s="26">
        <f t="shared" si="59"/>
        <v>0</v>
      </c>
    </row>
    <row r="46" spans="1:89" s="63" customFormat="1" x14ac:dyDescent="0.25">
      <c r="A46" s="63" t="s">
        <v>421</v>
      </c>
      <c r="B46" s="63">
        <f>B69</f>
        <v>0.08</v>
      </c>
      <c r="C46" s="63">
        <f t="shared" ref="C46:BN46" si="60">C69</f>
        <v>0.08</v>
      </c>
      <c r="D46" s="63">
        <f t="shared" si="60"/>
        <v>0.08</v>
      </c>
      <c r="E46" s="63">
        <f t="shared" si="60"/>
        <v>0.08</v>
      </c>
      <c r="F46" s="63">
        <f t="shared" si="60"/>
        <v>0.08</v>
      </c>
      <c r="G46" s="63">
        <f t="shared" si="60"/>
        <v>0.08</v>
      </c>
      <c r="H46" s="63">
        <f t="shared" si="60"/>
        <v>0.08</v>
      </c>
      <c r="I46" s="63">
        <f t="shared" si="60"/>
        <v>0.08</v>
      </c>
      <c r="J46" s="63">
        <f t="shared" si="60"/>
        <v>0.08</v>
      </c>
      <c r="K46" s="63">
        <f t="shared" si="60"/>
        <v>0.08</v>
      </c>
      <c r="L46" s="63">
        <f t="shared" si="60"/>
        <v>0.08</v>
      </c>
      <c r="M46" s="63">
        <f t="shared" si="60"/>
        <v>0.08</v>
      </c>
      <c r="N46" s="63">
        <f t="shared" si="60"/>
        <v>0.08</v>
      </c>
      <c r="O46" s="63">
        <f t="shared" si="60"/>
        <v>0.08</v>
      </c>
      <c r="P46" s="63">
        <f t="shared" si="60"/>
        <v>0.08</v>
      </c>
      <c r="Q46" s="63">
        <f t="shared" si="60"/>
        <v>0.08</v>
      </c>
      <c r="R46" s="63">
        <f t="shared" si="60"/>
        <v>0.08</v>
      </c>
      <c r="S46" s="63">
        <f t="shared" si="60"/>
        <v>0.08</v>
      </c>
      <c r="T46" s="63">
        <f t="shared" si="60"/>
        <v>0.08</v>
      </c>
      <c r="U46" s="63">
        <f t="shared" si="60"/>
        <v>0.08</v>
      </c>
      <c r="V46" s="63">
        <f t="shared" si="60"/>
        <v>0.08</v>
      </c>
      <c r="W46" s="63">
        <f t="shared" si="60"/>
        <v>0.08</v>
      </c>
      <c r="X46" s="63">
        <f t="shared" si="60"/>
        <v>0.08</v>
      </c>
      <c r="Y46" s="63">
        <f t="shared" si="60"/>
        <v>0.08</v>
      </c>
      <c r="Z46" s="63">
        <f t="shared" si="60"/>
        <v>0.08</v>
      </c>
      <c r="AA46" s="63">
        <f t="shared" si="60"/>
        <v>0.08</v>
      </c>
      <c r="AB46" s="63">
        <f t="shared" si="60"/>
        <v>0.08</v>
      </c>
      <c r="AC46" s="63">
        <f t="shared" si="60"/>
        <v>0.08</v>
      </c>
      <c r="AD46" s="63">
        <f t="shared" si="60"/>
        <v>0.08</v>
      </c>
      <c r="AE46" s="63">
        <f t="shared" si="60"/>
        <v>0.08</v>
      </c>
      <c r="AF46" s="63">
        <f t="shared" si="60"/>
        <v>0.08</v>
      </c>
      <c r="AG46" s="63">
        <f t="shared" si="60"/>
        <v>0.08</v>
      </c>
      <c r="AH46" s="63">
        <f t="shared" si="60"/>
        <v>0.08</v>
      </c>
      <c r="AI46" s="63">
        <f t="shared" si="60"/>
        <v>0.08</v>
      </c>
      <c r="AJ46" s="63">
        <f t="shared" si="60"/>
        <v>0.08</v>
      </c>
      <c r="AK46" s="63">
        <f t="shared" si="60"/>
        <v>0.08</v>
      </c>
      <c r="AL46" s="63">
        <f t="shared" si="60"/>
        <v>0.08</v>
      </c>
      <c r="AM46" s="63">
        <f t="shared" si="60"/>
        <v>0.08</v>
      </c>
      <c r="AN46" s="63">
        <f t="shared" si="60"/>
        <v>0.08</v>
      </c>
      <c r="AO46" s="63">
        <f t="shared" si="60"/>
        <v>0.08</v>
      </c>
      <c r="AP46" s="63">
        <f t="shared" si="60"/>
        <v>0.08</v>
      </c>
      <c r="AQ46" s="63">
        <f t="shared" si="60"/>
        <v>0.08</v>
      </c>
      <c r="AR46" s="63">
        <f t="shared" si="60"/>
        <v>0.08</v>
      </c>
      <c r="AS46" s="63">
        <f t="shared" si="60"/>
        <v>0.08</v>
      </c>
      <c r="AT46" s="63">
        <f t="shared" si="60"/>
        <v>0.08</v>
      </c>
      <c r="AU46" s="63">
        <f t="shared" si="60"/>
        <v>0.08</v>
      </c>
      <c r="AV46" s="63">
        <f t="shared" si="60"/>
        <v>0.08</v>
      </c>
      <c r="AW46" s="63">
        <f t="shared" si="60"/>
        <v>0.08</v>
      </c>
      <c r="AX46" s="63">
        <f t="shared" si="60"/>
        <v>0.08</v>
      </c>
      <c r="AY46" s="63">
        <f t="shared" si="60"/>
        <v>0.08</v>
      </c>
      <c r="AZ46" s="63">
        <f t="shared" si="60"/>
        <v>0.08</v>
      </c>
      <c r="BA46" s="63">
        <f t="shared" si="60"/>
        <v>0.08</v>
      </c>
      <c r="BB46" s="63">
        <f t="shared" si="60"/>
        <v>0.08</v>
      </c>
      <c r="BC46" s="63">
        <f t="shared" si="60"/>
        <v>0.08</v>
      </c>
      <c r="BD46" s="63">
        <f t="shared" si="60"/>
        <v>0.08</v>
      </c>
      <c r="BE46" s="63">
        <f t="shared" si="60"/>
        <v>0.08</v>
      </c>
      <c r="BF46" s="63">
        <f t="shared" si="60"/>
        <v>0.08</v>
      </c>
      <c r="BG46" s="63">
        <f t="shared" si="60"/>
        <v>0.08</v>
      </c>
      <c r="BH46" s="63">
        <f t="shared" si="60"/>
        <v>0.08</v>
      </c>
      <c r="BI46" s="63">
        <f t="shared" si="60"/>
        <v>0.08</v>
      </c>
      <c r="BJ46" s="63">
        <f t="shared" si="60"/>
        <v>0.08</v>
      </c>
      <c r="BK46" s="63">
        <f t="shared" si="60"/>
        <v>0.08</v>
      </c>
      <c r="BL46" s="63">
        <f t="shared" si="60"/>
        <v>0.08</v>
      </c>
      <c r="BM46" s="63">
        <f t="shared" si="60"/>
        <v>0.08</v>
      </c>
      <c r="BN46" s="63">
        <f t="shared" si="60"/>
        <v>0.08</v>
      </c>
      <c r="BO46" s="63">
        <f t="shared" ref="BO46:CJ46" si="61">BO69</f>
        <v>0.08</v>
      </c>
      <c r="BP46" s="63">
        <f t="shared" si="61"/>
        <v>0.08</v>
      </c>
      <c r="BQ46" s="63">
        <f t="shared" si="61"/>
        <v>0.08</v>
      </c>
      <c r="BR46" s="63">
        <f t="shared" si="61"/>
        <v>0.08</v>
      </c>
      <c r="BS46" s="63">
        <f t="shared" si="61"/>
        <v>0.08</v>
      </c>
      <c r="BT46" s="63">
        <f t="shared" si="61"/>
        <v>0.08</v>
      </c>
      <c r="BU46" s="63">
        <f t="shared" si="61"/>
        <v>0.08</v>
      </c>
      <c r="BV46" s="63">
        <f t="shared" si="61"/>
        <v>0.08</v>
      </c>
      <c r="BW46" s="63">
        <f t="shared" si="61"/>
        <v>0.08</v>
      </c>
      <c r="BX46" s="63">
        <f t="shared" si="61"/>
        <v>0.08</v>
      </c>
      <c r="BY46" s="63">
        <f t="shared" si="61"/>
        <v>0.08</v>
      </c>
      <c r="BZ46" s="63">
        <f t="shared" si="61"/>
        <v>0.08</v>
      </c>
      <c r="CA46" s="63">
        <f t="shared" si="61"/>
        <v>0.08</v>
      </c>
      <c r="CB46" s="63">
        <f t="shared" si="61"/>
        <v>0.08</v>
      </c>
      <c r="CC46" s="63">
        <f t="shared" si="61"/>
        <v>0.08</v>
      </c>
      <c r="CD46" s="63">
        <f t="shared" si="61"/>
        <v>0.08</v>
      </c>
      <c r="CE46" s="63">
        <f t="shared" si="61"/>
        <v>0.08</v>
      </c>
      <c r="CF46" s="63">
        <f t="shared" si="61"/>
        <v>0.08</v>
      </c>
      <c r="CG46" s="63">
        <f t="shared" si="61"/>
        <v>0.08</v>
      </c>
      <c r="CH46" s="63">
        <f t="shared" si="61"/>
        <v>0.08</v>
      </c>
      <c r="CI46" s="63">
        <f t="shared" si="61"/>
        <v>0.08</v>
      </c>
      <c r="CJ46" s="63">
        <f t="shared" si="61"/>
        <v>0.08</v>
      </c>
    </row>
    <row r="47" spans="1:89" s="2" customFormat="1" x14ac:dyDescent="0.25">
      <c r="A47" s="20" t="s">
        <v>422</v>
      </c>
      <c r="B47" s="28">
        <f>B42-B45</f>
        <v>19501996433</v>
      </c>
      <c r="C47" s="28">
        <f t="shared" ref="C47:BN47" si="62">C42-C45</f>
        <v>-8708879179</v>
      </c>
      <c r="D47" s="28">
        <f t="shared" si="62"/>
        <v>-45739280313</v>
      </c>
      <c r="E47" s="28">
        <f t="shared" si="62"/>
        <v>5397400000</v>
      </c>
      <c r="F47" s="28">
        <f t="shared" si="62"/>
        <v>-14696003888</v>
      </c>
      <c r="G47" s="28">
        <f t="shared" si="62"/>
        <v>-29438080491</v>
      </c>
      <c r="H47" s="28">
        <f t="shared" si="62"/>
        <v>-45230561652</v>
      </c>
      <c r="I47" s="28">
        <f t="shared" si="62"/>
        <v>9128000000</v>
      </c>
      <c r="J47" s="28">
        <f t="shared" si="62"/>
        <v>-15600160000</v>
      </c>
      <c r="K47" s="28">
        <f t="shared" si="62"/>
        <v>-30867640000</v>
      </c>
      <c r="L47" s="28">
        <f t="shared" si="62"/>
        <v>-51119400000</v>
      </c>
      <c r="M47" s="28">
        <f t="shared" si="62"/>
        <v>-12629840000</v>
      </c>
      <c r="N47" s="28">
        <f t="shared" si="62"/>
        <v>-15239680000</v>
      </c>
      <c r="O47" s="28">
        <f t="shared" si="62"/>
        <v>-25145440000</v>
      </c>
      <c r="P47" s="28">
        <f t="shared" si="62"/>
        <v>-54455320000</v>
      </c>
      <c r="Q47" s="28">
        <f t="shared" si="62"/>
        <v>-622600000</v>
      </c>
      <c r="R47" s="28">
        <f t="shared" si="62"/>
        <v>8513600000</v>
      </c>
      <c r="S47" s="28">
        <f t="shared" si="62"/>
        <v>-12013680000</v>
      </c>
      <c r="T47" s="28">
        <f t="shared" si="62"/>
        <v>-33796720000</v>
      </c>
      <c r="U47" s="28">
        <f t="shared" si="62"/>
        <v>38614200000</v>
      </c>
      <c r="V47" s="28">
        <f t="shared" si="62"/>
        <v>16335120000</v>
      </c>
      <c r="W47" s="28">
        <f t="shared" si="62"/>
        <v>-7499160000</v>
      </c>
      <c r="X47" s="28">
        <f t="shared" si="62"/>
        <v>-26610040000</v>
      </c>
      <c r="Y47" s="28">
        <f t="shared" si="62"/>
        <v>38802920000</v>
      </c>
      <c r="Z47" s="28">
        <f t="shared" si="62"/>
        <v>13551240000</v>
      </c>
      <c r="AA47" s="28">
        <f t="shared" si="62"/>
        <v>-9592680000</v>
      </c>
      <c r="AB47" s="28">
        <f t="shared" si="62"/>
        <v>-23772560000</v>
      </c>
      <c r="AC47" s="28">
        <f t="shared" si="62"/>
        <v>49828000000</v>
      </c>
      <c r="AD47" s="28">
        <f t="shared" si="62"/>
        <v>33812160000</v>
      </c>
      <c r="AE47" s="28">
        <f t="shared" si="62"/>
        <v>9617800000</v>
      </c>
      <c r="AF47" s="28">
        <f t="shared" si="62"/>
        <v>-12671320000</v>
      </c>
      <c r="AG47" s="28">
        <f t="shared" si="62"/>
        <v>49925440000</v>
      </c>
      <c r="AH47" s="28">
        <f t="shared" si="62"/>
        <v>33231840000</v>
      </c>
      <c r="AI47" s="28">
        <f t="shared" si="62"/>
        <v>8326360000</v>
      </c>
      <c r="AJ47" s="28">
        <f t="shared" si="62"/>
        <v>-13916240000</v>
      </c>
      <c r="AK47" s="28">
        <f t="shared" si="62"/>
        <v>42856200000</v>
      </c>
      <c r="AL47" s="28">
        <f t="shared" si="62"/>
        <v>27028000000</v>
      </c>
      <c r="AM47" s="28">
        <f t="shared" si="62"/>
        <v>9497200000</v>
      </c>
      <c r="AN47" s="28">
        <f t="shared" si="62"/>
        <v>-15148400000</v>
      </c>
      <c r="AO47" s="28">
        <f t="shared" si="62"/>
        <v>5395320000</v>
      </c>
      <c r="AP47" s="28">
        <f t="shared" si="62"/>
        <v>-4066280000</v>
      </c>
      <c r="AQ47" s="28">
        <f t="shared" si="62"/>
        <v>-12360920000</v>
      </c>
      <c r="AR47" s="28">
        <f t="shared" si="62"/>
        <v>-18128560000</v>
      </c>
      <c r="AS47" s="28">
        <f t="shared" si="62"/>
        <v>42150240000</v>
      </c>
      <c r="AT47" s="28">
        <f t="shared" si="62"/>
        <v>33191200000</v>
      </c>
      <c r="AU47" s="28">
        <f t="shared" si="62"/>
        <v>17512160000</v>
      </c>
      <c r="AV47" s="28">
        <f t="shared" si="62"/>
        <v>-6632280000</v>
      </c>
      <c r="AW47" s="28">
        <f t="shared" si="62"/>
        <v>30598200000</v>
      </c>
      <c r="AX47" s="28">
        <f t="shared" si="62"/>
        <v>17164280000</v>
      </c>
      <c r="AY47" s="28">
        <f t="shared" si="62"/>
        <v>3555760000</v>
      </c>
      <c r="AZ47" s="28">
        <f t="shared" si="62"/>
        <v>-9891480000</v>
      </c>
      <c r="BA47" s="28">
        <f t="shared" si="62"/>
        <v>19135520000</v>
      </c>
      <c r="BB47" s="28">
        <f t="shared" si="62"/>
        <v>14438680000</v>
      </c>
      <c r="BC47" s="28">
        <f t="shared" si="62"/>
        <v>5026400000</v>
      </c>
      <c r="BD47" s="28">
        <f t="shared" si="62"/>
        <v>-6741160000</v>
      </c>
      <c r="BE47" s="28">
        <f t="shared" si="62"/>
        <v>25363720000</v>
      </c>
      <c r="BF47" s="28">
        <f t="shared" si="62"/>
        <v>14121840000</v>
      </c>
      <c r="BG47" s="28">
        <f t="shared" si="62"/>
        <v>2788120000</v>
      </c>
      <c r="BH47" s="28">
        <f t="shared" si="62"/>
        <v>-5996040000</v>
      </c>
      <c r="BI47" s="28">
        <f t="shared" si="62"/>
        <v>10809160000</v>
      </c>
      <c r="BJ47" s="28">
        <f t="shared" si="62"/>
        <v>4660000000</v>
      </c>
      <c r="BK47" s="28">
        <f t="shared" si="62"/>
        <v>-1739400000</v>
      </c>
      <c r="BL47" s="28">
        <f t="shared" si="62"/>
        <v>-6772200000</v>
      </c>
      <c r="BM47" s="28">
        <f t="shared" si="62"/>
        <v>4610920000</v>
      </c>
      <c r="BN47" s="28">
        <f t="shared" si="62"/>
        <v>-1495520000</v>
      </c>
      <c r="BO47" s="28">
        <f t="shared" ref="BO47:CJ47" si="63">BO42-BO45</f>
        <v>-6904160000</v>
      </c>
      <c r="BP47" s="28">
        <f t="shared" si="63"/>
        <v>-12119280000</v>
      </c>
      <c r="BQ47" s="28">
        <f t="shared" si="63"/>
        <v>3803240000</v>
      </c>
      <c r="BR47" s="28">
        <f t="shared" si="63"/>
        <v>-1729200000</v>
      </c>
      <c r="BS47" s="28">
        <f t="shared" si="63"/>
        <v>8310640000</v>
      </c>
      <c r="BT47" s="28">
        <f t="shared" si="63"/>
        <v>7792000000</v>
      </c>
      <c r="BU47" s="28">
        <f t="shared" si="63"/>
        <v>815000000</v>
      </c>
      <c r="BV47" s="28">
        <f t="shared" si="63"/>
        <v>0</v>
      </c>
      <c r="BW47" s="28">
        <f t="shared" si="63"/>
        <v>-481982388.18599999</v>
      </c>
      <c r="BX47" s="28">
        <f t="shared" si="63"/>
        <v>-224236423.546</v>
      </c>
      <c r="BY47" s="28">
        <f t="shared" si="63"/>
        <v>-358986056.90359998</v>
      </c>
      <c r="BZ47" s="28">
        <f t="shared" si="63"/>
        <v>-189968023.31680003</v>
      </c>
      <c r="CA47" s="28">
        <f t="shared" si="63"/>
        <v>-211328042.74439999</v>
      </c>
      <c r="CB47" s="28">
        <f t="shared" si="63"/>
        <v>-165479246.60680002</v>
      </c>
      <c r="CC47" s="28">
        <f t="shared" si="63"/>
        <v>-137330018.646</v>
      </c>
      <c r="CD47" s="28">
        <f t="shared" si="63"/>
        <v>0</v>
      </c>
      <c r="CE47" s="28">
        <f t="shared" si="63"/>
        <v>-106460040</v>
      </c>
      <c r="CF47" s="28">
        <f t="shared" si="63"/>
        <v>-94692832.060800001</v>
      </c>
      <c r="CG47" s="28">
        <f t="shared" si="63"/>
        <v>-43745192.029600002</v>
      </c>
      <c r="CH47" s="28">
        <f t="shared" si="63"/>
        <v>-4220000</v>
      </c>
      <c r="CI47" s="28">
        <f t="shared" si="63"/>
        <v>-12510000</v>
      </c>
      <c r="CJ47" s="28">
        <f t="shared" si="63"/>
        <v>-3630000</v>
      </c>
    </row>
    <row r="49" spans="1:89" ht="14.25" customHeight="1" x14ac:dyDescent="0.25"/>
    <row r="50" spans="1:89" s="2" customFormat="1" ht="15" thickBot="1" x14ac:dyDescent="0.3">
      <c r="A50" s="17"/>
      <c r="B50" s="1"/>
      <c r="C50" s="1"/>
      <c r="D50" s="1"/>
      <c r="E50" s="1"/>
      <c r="F50" s="1"/>
      <c r="G50" s="1"/>
      <c r="H50" s="1"/>
      <c r="I50" s="1"/>
      <c r="J50" s="1"/>
      <c r="K50"/>
    </row>
    <row r="51" spans="1:89" s="56" customFormat="1" x14ac:dyDescent="0.25">
      <c r="A51" s="55" t="s">
        <v>104</v>
      </c>
      <c r="B51" s="190">
        <v>20180930</v>
      </c>
      <c r="C51" s="190">
        <v>20180630</v>
      </c>
      <c r="D51" s="190">
        <v>20180331</v>
      </c>
      <c r="E51" s="190">
        <v>20171231</v>
      </c>
      <c r="F51" s="190">
        <v>20170930</v>
      </c>
      <c r="G51" s="190">
        <v>20170630</v>
      </c>
      <c r="H51" s="190">
        <v>20170331</v>
      </c>
      <c r="I51" s="190">
        <v>20161231</v>
      </c>
      <c r="J51" s="190">
        <v>20160930</v>
      </c>
      <c r="K51" s="190">
        <v>20160630</v>
      </c>
      <c r="L51" s="190">
        <v>20160331</v>
      </c>
      <c r="M51" s="190">
        <v>20151231</v>
      </c>
      <c r="N51" s="190">
        <v>20150930</v>
      </c>
      <c r="O51" s="190">
        <v>20150630</v>
      </c>
      <c r="P51" s="190">
        <v>20150331</v>
      </c>
      <c r="Q51" s="190">
        <v>20141231</v>
      </c>
      <c r="R51" s="190">
        <v>20140930</v>
      </c>
      <c r="S51" s="190">
        <v>20140630</v>
      </c>
      <c r="T51" s="190">
        <v>20140331</v>
      </c>
      <c r="U51" s="190">
        <v>20131231</v>
      </c>
      <c r="V51" s="190">
        <v>20130930</v>
      </c>
      <c r="W51" s="190">
        <v>20130630</v>
      </c>
      <c r="X51" s="190">
        <v>20130331</v>
      </c>
      <c r="Y51" s="190">
        <v>20121231</v>
      </c>
      <c r="Z51" s="190">
        <v>20120930</v>
      </c>
      <c r="AA51" s="190">
        <v>20120630</v>
      </c>
      <c r="AB51" s="190">
        <v>20120331</v>
      </c>
      <c r="AC51" s="190">
        <v>20111231</v>
      </c>
      <c r="AD51" s="190">
        <v>20110930</v>
      </c>
      <c r="AE51" s="190">
        <v>20110630</v>
      </c>
      <c r="AF51" s="190">
        <v>20110331</v>
      </c>
      <c r="AG51" s="190">
        <v>20101231</v>
      </c>
      <c r="AH51" s="190">
        <v>20100930</v>
      </c>
      <c r="AI51" s="190">
        <v>20100630</v>
      </c>
      <c r="AJ51" s="190">
        <v>20100331</v>
      </c>
      <c r="AK51" s="190">
        <v>20091231</v>
      </c>
      <c r="AL51" s="190">
        <v>20090930</v>
      </c>
      <c r="AM51" s="190">
        <v>20090630</v>
      </c>
      <c r="AN51" s="190">
        <v>20090331</v>
      </c>
      <c r="AO51" s="190">
        <v>20081231</v>
      </c>
      <c r="AP51" s="190">
        <v>20080930</v>
      </c>
      <c r="AQ51" s="190">
        <v>20080630</v>
      </c>
      <c r="AR51" s="190">
        <v>20080331</v>
      </c>
      <c r="AS51" s="190">
        <v>20071231</v>
      </c>
      <c r="AT51" s="190">
        <v>20070930</v>
      </c>
      <c r="AU51" s="190">
        <v>20070630</v>
      </c>
      <c r="AV51" s="190">
        <v>20070331</v>
      </c>
      <c r="AW51" s="190">
        <v>20061231</v>
      </c>
      <c r="AX51" s="190">
        <v>20060930</v>
      </c>
      <c r="AY51" s="190">
        <v>20060630</v>
      </c>
      <c r="AZ51" s="190">
        <v>20060331</v>
      </c>
      <c r="BA51" s="190">
        <v>20051231</v>
      </c>
      <c r="BB51" s="190">
        <v>20050930</v>
      </c>
      <c r="BC51" s="190">
        <v>20050630</v>
      </c>
      <c r="BD51" s="190">
        <v>20050331</v>
      </c>
      <c r="BE51" s="190">
        <v>20041231</v>
      </c>
      <c r="BF51" s="190">
        <v>20040930</v>
      </c>
      <c r="BG51" s="190">
        <v>20040630</v>
      </c>
      <c r="BH51" s="190">
        <v>20040331</v>
      </c>
      <c r="BI51" s="190">
        <v>20031231</v>
      </c>
      <c r="BJ51" s="190">
        <v>20030930</v>
      </c>
      <c r="BK51" s="190">
        <v>20030630</v>
      </c>
      <c r="BL51" s="190">
        <v>20030331</v>
      </c>
      <c r="BM51" s="190">
        <v>20021231</v>
      </c>
      <c r="BN51" s="190">
        <v>20020930</v>
      </c>
      <c r="BO51" s="190">
        <v>20020630</v>
      </c>
      <c r="BP51" s="190">
        <v>20020331</v>
      </c>
      <c r="BQ51" s="190">
        <v>20011231</v>
      </c>
      <c r="BR51" s="190">
        <v>20010630</v>
      </c>
      <c r="BS51" s="190">
        <v>20001231</v>
      </c>
      <c r="BT51" s="190">
        <v>19991231</v>
      </c>
      <c r="BU51" s="190">
        <v>19981231</v>
      </c>
      <c r="BV51" s="190">
        <v>19700101</v>
      </c>
      <c r="BW51" s="190">
        <v>19991231</v>
      </c>
      <c r="BX51" s="190">
        <v>19990630</v>
      </c>
      <c r="BY51" s="190">
        <v>19981231</v>
      </c>
      <c r="BZ51" s="190">
        <v>19980630</v>
      </c>
      <c r="CA51" s="190">
        <v>19971231</v>
      </c>
      <c r="CB51" s="190">
        <v>19961231</v>
      </c>
      <c r="CC51" s="190">
        <v>19951231</v>
      </c>
      <c r="CD51" s="190">
        <v>19700101</v>
      </c>
      <c r="CE51" s="190">
        <v>19941231</v>
      </c>
      <c r="CF51" s="190">
        <v>19940630</v>
      </c>
      <c r="CG51" s="190">
        <v>19930630</v>
      </c>
      <c r="CH51" s="190">
        <v>19921231</v>
      </c>
      <c r="CI51" s="190">
        <v>19911231</v>
      </c>
      <c r="CJ51" s="190">
        <v>19901231</v>
      </c>
      <c r="CK51" s="190">
        <v>19700101</v>
      </c>
    </row>
    <row r="52" spans="1:89" s="43" customFormat="1" x14ac:dyDescent="0.25">
      <c r="A52" s="131" t="s">
        <v>571</v>
      </c>
      <c r="B52" s="42">
        <v>-25636</v>
      </c>
      <c r="C52" s="42">
        <v>-27718</v>
      </c>
      <c r="D52" s="42">
        <v>-35317</v>
      </c>
      <c r="E52" s="42">
        <v>-5254000000</v>
      </c>
      <c r="F52" s="42">
        <v>-34414</v>
      </c>
      <c r="G52" s="42">
        <v>-23309</v>
      </c>
      <c r="H52" s="42">
        <v>-16814</v>
      </c>
      <c r="I52" s="42">
        <v>-3218000000</v>
      </c>
      <c r="J52" s="42"/>
      <c r="K52" s="42"/>
      <c r="M52" s="43">
        <v>-2978000000</v>
      </c>
      <c r="Q52" s="43">
        <v>-1779000000</v>
      </c>
      <c r="U52" s="43">
        <v>-1568000000</v>
      </c>
      <c r="Y52" s="43">
        <v>-1254000000</v>
      </c>
      <c r="AC52" s="157">
        <v>-1584000000</v>
      </c>
      <c r="AG52" s="43">
        <v>-660000000</v>
      </c>
      <c r="AK52" s="43">
        <v>-277000000</v>
      </c>
      <c r="AO52" s="43">
        <v>-446000000</v>
      </c>
    </row>
    <row r="53" spans="1:89" s="43" customFormat="1" x14ac:dyDescent="0.25">
      <c r="A53" s="132" t="s">
        <v>90</v>
      </c>
      <c r="B53" s="42">
        <v>217</v>
      </c>
      <c r="C53" s="42">
        <v>189</v>
      </c>
      <c r="D53" s="42"/>
      <c r="E53" s="42">
        <v>6368000000</v>
      </c>
      <c r="F53" s="42"/>
      <c r="G53" s="42"/>
      <c r="H53" s="42"/>
      <c r="I53" s="42">
        <v>9021000000</v>
      </c>
      <c r="J53" s="42"/>
      <c r="K53" s="42"/>
      <c r="M53" s="43">
        <v>8273000000</v>
      </c>
      <c r="Q53" s="43">
        <v>11929000000</v>
      </c>
      <c r="U53" s="43">
        <v>11435000000</v>
      </c>
      <c r="Y53" s="43">
        <v>12069000000</v>
      </c>
      <c r="AC53" s="43">
        <v>9398000000</v>
      </c>
      <c r="AD53" s="42"/>
      <c r="AE53" s="42"/>
      <c r="AF53" s="42"/>
      <c r="AG53" s="42">
        <v>8664000000</v>
      </c>
      <c r="AH53" s="42"/>
      <c r="AI53" s="42"/>
      <c r="AJ53" s="42"/>
      <c r="AK53" s="42">
        <v>9574000000</v>
      </c>
      <c r="AL53" s="42"/>
      <c r="AM53" s="42"/>
      <c r="AN53" s="42"/>
      <c r="AO53" s="42">
        <v>13046000000</v>
      </c>
      <c r="AP53" s="42"/>
      <c r="AQ53" s="42"/>
      <c r="AR53" s="42"/>
      <c r="AS53" s="42"/>
      <c r="AT53" s="42"/>
      <c r="AU53" s="42"/>
      <c r="AV53" s="42"/>
      <c r="AW53" s="42"/>
      <c r="AX53" s="42"/>
      <c r="AY53" s="42"/>
      <c r="AZ53" s="42"/>
      <c r="BA53" s="42"/>
      <c r="BB53" s="42"/>
      <c r="BC53" s="42"/>
      <c r="BD53" s="42"/>
      <c r="BE53" s="42"/>
      <c r="BF53" s="42"/>
      <c r="BG53" s="42"/>
      <c r="BH53" s="42"/>
      <c r="BI53" s="42"/>
      <c r="BJ53" s="42"/>
      <c r="BK53" s="42"/>
      <c r="BL53" s="42"/>
      <c r="BM53" s="42"/>
      <c r="BN53" s="42">
        <v>0</v>
      </c>
      <c r="BO53" s="42">
        <v>0</v>
      </c>
      <c r="BP53" s="42">
        <v>0</v>
      </c>
      <c r="BQ53" s="42">
        <v>0</v>
      </c>
      <c r="BR53" s="42">
        <v>0</v>
      </c>
      <c r="BS53" s="42">
        <v>0</v>
      </c>
      <c r="BT53" s="42">
        <v>0</v>
      </c>
      <c r="BU53" s="42">
        <v>0</v>
      </c>
      <c r="BV53" s="42">
        <v>0</v>
      </c>
      <c r="BW53" s="42">
        <v>0</v>
      </c>
      <c r="BX53" s="42">
        <v>0</v>
      </c>
      <c r="BY53" s="42">
        <v>0</v>
      </c>
      <c r="BZ53" s="42">
        <v>0</v>
      </c>
      <c r="CA53" s="42">
        <v>0</v>
      </c>
      <c r="CB53" s="42">
        <v>0</v>
      </c>
      <c r="CC53" s="42">
        <v>0</v>
      </c>
      <c r="CD53" s="42">
        <v>0</v>
      </c>
      <c r="CE53" s="42">
        <v>0</v>
      </c>
      <c r="CF53" s="42">
        <v>0</v>
      </c>
      <c r="CG53" s="42">
        <v>0</v>
      </c>
    </row>
    <row r="54" spans="1:89" s="43" customFormat="1" x14ac:dyDescent="0.25">
      <c r="A54" s="132" t="s">
        <v>91</v>
      </c>
      <c r="B54" s="42">
        <v>3104</v>
      </c>
      <c r="C54" s="42">
        <v>-1424</v>
      </c>
      <c r="D54" s="42">
        <v>-340</v>
      </c>
      <c r="E54" s="42">
        <v>-332000000</v>
      </c>
      <c r="F54" s="42">
        <v>2684</v>
      </c>
      <c r="G54" s="42">
        <v>-377</v>
      </c>
      <c r="H54" s="42">
        <v>1008</v>
      </c>
      <c r="I54" s="42">
        <v>610000000</v>
      </c>
      <c r="J54" s="42"/>
      <c r="K54" s="42"/>
      <c r="M54" s="43">
        <v>3862000000</v>
      </c>
      <c r="Q54" s="43">
        <v>179000000</v>
      </c>
      <c r="U54" s="43">
        <v>-2760000000</v>
      </c>
      <c r="Y54" s="43">
        <v>-144000000</v>
      </c>
      <c r="AC54" s="43">
        <v>-1113000000</v>
      </c>
      <c r="AG54" s="43">
        <v>-465000000</v>
      </c>
      <c r="AK54" s="43">
        <v>327000000</v>
      </c>
      <c r="AO54" s="43">
        <v>954000000</v>
      </c>
    </row>
    <row r="55" spans="1:89" s="43" customFormat="1" x14ac:dyDescent="0.25">
      <c r="A55" s="132" t="s">
        <v>92</v>
      </c>
      <c r="B55" s="42">
        <v>463</v>
      </c>
      <c r="C55" s="42">
        <v>603</v>
      </c>
      <c r="D55" s="42">
        <v>653</v>
      </c>
      <c r="E55" s="42">
        <f>1501000000-723000000</f>
        <v>778000000</v>
      </c>
      <c r="F55" s="42">
        <v>1204</v>
      </c>
      <c r="G55" s="42">
        <v>868</v>
      </c>
      <c r="H55" s="42">
        <v>644</v>
      </c>
      <c r="I55" s="42">
        <f>1057000000-859000000</f>
        <v>198000000</v>
      </c>
      <c r="J55" s="42"/>
      <c r="K55" s="42"/>
      <c r="M55" s="43">
        <f>1081000000-1221000000</f>
        <v>-140000000</v>
      </c>
      <c r="Q55" s="43">
        <f>1008000000-1719000000</f>
        <v>-711000000</v>
      </c>
      <c r="U55" s="43">
        <f>877000000-1710000000</f>
        <v>-833000000</v>
      </c>
      <c r="Y55" s="43">
        <f>856000000-1708000000</f>
        <v>-852000000</v>
      </c>
    </row>
    <row r="56" spans="1:89" s="26" customFormat="1" x14ac:dyDescent="0.25">
      <c r="A56" s="133" t="s">
        <v>93</v>
      </c>
      <c r="B56" s="44">
        <f>SUM(B52:B55)</f>
        <v>-21852</v>
      </c>
      <c r="C56" s="44">
        <f t="shared" ref="C56:D56" si="64">SUM(C52:C55)</f>
        <v>-28350</v>
      </c>
      <c r="D56" s="44">
        <f t="shared" si="64"/>
        <v>-35004</v>
      </c>
      <c r="E56" s="44">
        <f>SUM(E52:E55)</f>
        <v>1560000000</v>
      </c>
      <c r="F56" s="44">
        <f t="shared" ref="F56:BQ56" si="65">SUM(F52:F55)</f>
        <v>-30526</v>
      </c>
      <c r="G56" s="44">
        <f t="shared" si="65"/>
        <v>-22818</v>
      </c>
      <c r="H56" s="44">
        <f t="shared" si="65"/>
        <v>-15162</v>
      </c>
      <c r="I56" s="44">
        <f t="shared" si="65"/>
        <v>6611000000</v>
      </c>
      <c r="J56" s="44">
        <f t="shared" si="65"/>
        <v>0</v>
      </c>
      <c r="K56" s="44">
        <f t="shared" si="65"/>
        <v>0</v>
      </c>
      <c r="L56" s="44">
        <f t="shared" si="65"/>
        <v>0</v>
      </c>
      <c r="M56" s="44">
        <f t="shared" si="65"/>
        <v>9017000000</v>
      </c>
      <c r="N56" s="44">
        <f t="shared" si="65"/>
        <v>0</v>
      </c>
      <c r="O56" s="44">
        <f t="shared" si="65"/>
        <v>0</v>
      </c>
      <c r="P56" s="44">
        <f t="shared" si="65"/>
        <v>0</v>
      </c>
      <c r="Q56" s="44">
        <f t="shared" si="65"/>
        <v>9618000000</v>
      </c>
      <c r="R56" s="44">
        <f t="shared" si="65"/>
        <v>0</v>
      </c>
      <c r="S56" s="44">
        <f t="shared" si="65"/>
        <v>0</v>
      </c>
      <c r="T56" s="44">
        <f t="shared" si="65"/>
        <v>0</v>
      </c>
      <c r="U56" s="44">
        <f t="shared" si="65"/>
        <v>6274000000</v>
      </c>
      <c r="V56" s="44">
        <f t="shared" si="65"/>
        <v>0</v>
      </c>
      <c r="W56" s="44">
        <f t="shared" si="65"/>
        <v>0</v>
      </c>
      <c r="X56" s="44">
        <f t="shared" si="65"/>
        <v>0</v>
      </c>
      <c r="Y56" s="44">
        <f t="shared" si="65"/>
        <v>9819000000</v>
      </c>
      <c r="Z56" s="44">
        <f t="shared" si="65"/>
        <v>0</v>
      </c>
      <c r="AA56" s="44">
        <f t="shared" si="65"/>
        <v>0</v>
      </c>
      <c r="AB56" s="44">
        <f t="shared" si="65"/>
        <v>0</v>
      </c>
      <c r="AC56" s="44">
        <f>SUM(AC53:AC55)</f>
        <v>8285000000</v>
      </c>
      <c r="AD56" s="44">
        <f t="shared" si="65"/>
        <v>0</v>
      </c>
      <c r="AE56" s="44">
        <f t="shared" si="65"/>
        <v>0</v>
      </c>
      <c r="AF56" s="44">
        <f t="shared" si="65"/>
        <v>0</v>
      </c>
      <c r="AG56" s="44">
        <f t="shared" si="65"/>
        <v>7539000000</v>
      </c>
      <c r="AH56" s="44">
        <f t="shared" si="65"/>
        <v>0</v>
      </c>
      <c r="AI56" s="44">
        <f t="shared" si="65"/>
        <v>0</v>
      </c>
      <c r="AJ56" s="44">
        <f t="shared" si="65"/>
        <v>0</v>
      </c>
      <c r="AK56" s="44">
        <f t="shared" si="65"/>
        <v>9624000000</v>
      </c>
      <c r="AL56" s="44">
        <f t="shared" si="65"/>
        <v>0</v>
      </c>
      <c r="AM56" s="44">
        <f t="shared" si="65"/>
        <v>0</v>
      </c>
      <c r="AN56" s="44">
        <f t="shared" si="65"/>
        <v>0</v>
      </c>
      <c r="AO56" s="44">
        <f t="shared" si="65"/>
        <v>13554000000</v>
      </c>
      <c r="AP56" s="44">
        <f t="shared" si="65"/>
        <v>0</v>
      </c>
      <c r="AQ56" s="44">
        <f t="shared" si="65"/>
        <v>0</v>
      </c>
      <c r="AR56" s="44">
        <f t="shared" si="65"/>
        <v>0</v>
      </c>
      <c r="AS56" s="44">
        <f t="shared" si="65"/>
        <v>0</v>
      </c>
      <c r="AT56" s="44">
        <f t="shared" si="65"/>
        <v>0</v>
      </c>
      <c r="AU56" s="44">
        <f t="shared" si="65"/>
        <v>0</v>
      </c>
      <c r="AV56" s="44">
        <f t="shared" si="65"/>
        <v>0</v>
      </c>
      <c r="AW56" s="44">
        <f t="shared" si="65"/>
        <v>0</v>
      </c>
      <c r="AX56" s="44">
        <f t="shared" si="65"/>
        <v>0</v>
      </c>
      <c r="AY56" s="44">
        <f t="shared" si="65"/>
        <v>0</v>
      </c>
      <c r="AZ56" s="44">
        <f t="shared" si="65"/>
        <v>0</v>
      </c>
      <c r="BA56" s="44">
        <f t="shared" si="65"/>
        <v>0</v>
      </c>
      <c r="BB56" s="44">
        <f t="shared" si="65"/>
        <v>0</v>
      </c>
      <c r="BC56" s="44">
        <f t="shared" si="65"/>
        <v>0</v>
      </c>
      <c r="BD56" s="44">
        <f t="shared" si="65"/>
        <v>0</v>
      </c>
      <c r="BE56" s="44">
        <f t="shared" si="65"/>
        <v>0</v>
      </c>
      <c r="BF56" s="44">
        <f t="shared" si="65"/>
        <v>0</v>
      </c>
      <c r="BG56" s="44">
        <f t="shared" si="65"/>
        <v>0</v>
      </c>
      <c r="BH56" s="44">
        <f t="shared" si="65"/>
        <v>0</v>
      </c>
      <c r="BI56" s="44">
        <f t="shared" si="65"/>
        <v>0</v>
      </c>
      <c r="BJ56" s="44">
        <f t="shared" si="65"/>
        <v>0</v>
      </c>
      <c r="BK56" s="44">
        <f t="shared" si="65"/>
        <v>0</v>
      </c>
      <c r="BL56" s="44">
        <f t="shared" si="65"/>
        <v>0</v>
      </c>
      <c r="BM56" s="44">
        <f t="shared" si="65"/>
        <v>0</v>
      </c>
      <c r="BN56" s="44">
        <f t="shared" si="65"/>
        <v>0</v>
      </c>
      <c r="BO56" s="44">
        <f t="shared" si="65"/>
        <v>0</v>
      </c>
      <c r="BP56" s="44">
        <f t="shared" si="65"/>
        <v>0</v>
      </c>
      <c r="BQ56" s="44">
        <f t="shared" si="65"/>
        <v>0</v>
      </c>
      <c r="BR56" s="44">
        <f t="shared" ref="BR56:CK56" si="66">SUM(BR52:BR55)</f>
        <v>0</v>
      </c>
      <c r="BS56" s="44">
        <f t="shared" si="66"/>
        <v>0</v>
      </c>
      <c r="BT56" s="44">
        <f t="shared" si="66"/>
        <v>0</v>
      </c>
      <c r="BU56" s="44">
        <f t="shared" si="66"/>
        <v>0</v>
      </c>
      <c r="BV56" s="44">
        <f t="shared" si="66"/>
        <v>0</v>
      </c>
      <c r="BW56" s="44">
        <f t="shared" si="66"/>
        <v>0</v>
      </c>
      <c r="BX56" s="44">
        <f t="shared" si="66"/>
        <v>0</v>
      </c>
      <c r="BY56" s="44">
        <f t="shared" si="66"/>
        <v>0</v>
      </c>
      <c r="BZ56" s="44">
        <f t="shared" si="66"/>
        <v>0</v>
      </c>
      <c r="CA56" s="44">
        <f t="shared" si="66"/>
        <v>0</v>
      </c>
      <c r="CB56" s="44">
        <f t="shared" si="66"/>
        <v>0</v>
      </c>
      <c r="CC56" s="44">
        <f t="shared" si="66"/>
        <v>0</v>
      </c>
      <c r="CD56" s="44">
        <f t="shared" si="66"/>
        <v>0</v>
      </c>
      <c r="CE56" s="44">
        <f t="shared" si="66"/>
        <v>0</v>
      </c>
      <c r="CF56" s="44">
        <f t="shared" si="66"/>
        <v>0</v>
      </c>
      <c r="CG56" s="44">
        <f t="shared" si="66"/>
        <v>0</v>
      </c>
      <c r="CH56" s="44">
        <f t="shared" si="66"/>
        <v>0</v>
      </c>
      <c r="CI56" s="44">
        <f t="shared" si="66"/>
        <v>0</v>
      </c>
      <c r="CJ56" s="44">
        <f t="shared" si="66"/>
        <v>0</v>
      </c>
      <c r="CK56" s="44">
        <f t="shared" si="66"/>
        <v>0</v>
      </c>
    </row>
    <row r="57" spans="1:89" ht="12" customHeight="1" x14ac:dyDescent="0.25"/>
    <row r="58" spans="1:89" ht="28.8" x14ac:dyDescent="0.25">
      <c r="A58" s="134" t="s">
        <v>97</v>
      </c>
    </row>
    <row r="59" spans="1:89" x14ac:dyDescent="0.25">
      <c r="A59" s="22" t="s">
        <v>96</v>
      </c>
      <c r="B59" s="190">
        <v>75779000000</v>
      </c>
      <c r="C59" s="190">
        <v>53281000000</v>
      </c>
      <c r="D59" s="190">
        <v>24522000000</v>
      </c>
      <c r="E59" s="190">
        <v>70294000000</v>
      </c>
      <c r="F59" s="190">
        <v>51829000000</v>
      </c>
      <c r="G59" s="190">
        <v>36117000000</v>
      </c>
      <c r="H59" s="190">
        <v>21683000000</v>
      </c>
      <c r="I59" s="190">
        <v>59170000000</v>
      </c>
      <c r="J59" s="190">
        <v>40070000000</v>
      </c>
      <c r="K59" s="190">
        <v>26381000000</v>
      </c>
      <c r="L59" s="190">
        <v>9025000000</v>
      </c>
      <c r="M59" s="190">
        <v>43346000000</v>
      </c>
      <c r="N59" s="190">
        <v>34549000000</v>
      </c>
      <c r="O59" s="190">
        <v>30542000000</v>
      </c>
      <c r="P59" s="190">
        <v>1980000000</v>
      </c>
      <c r="Q59" s="190">
        <v>48910000000</v>
      </c>
      <c r="R59" s="190">
        <v>53603000000</v>
      </c>
      <c r="S59" s="190">
        <v>32694000000</v>
      </c>
      <c r="T59" s="190">
        <v>14482000000</v>
      </c>
      <c r="U59" s="190">
        <v>71377000000</v>
      </c>
      <c r="V59" s="190">
        <v>54969000000</v>
      </c>
      <c r="W59" s="190">
        <v>31504000000</v>
      </c>
      <c r="X59" s="190">
        <v>16831000000</v>
      </c>
      <c r="Y59" s="190">
        <v>66411000000</v>
      </c>
      <c r="Z59" s="190">
        <v>43812000000</v>
      </c>
      <c r="AA59" s="190">
        <v>24946000000</v>
      </c>
      <c r="AB59" s="190">
        <v>14104000000</v>
      </c>
      <c r="AC59" s="190">
        <v>76864000000</v>
      </c>
      <c r="AD59" s="190">
        <v>64558000000</v>
      </c>
      <c r="AE59" s="190">
        <v>43212000000</v>
      </c>
      <c r="AF59" s="190">
        <v>22264000000</v>
      </c>
      <c r="AG59" s="190">
        <v>76843000000</v>
      </c>
      <c r="AH59" s="190">
        <v>60590000000</v>
      </c>
      <c r="AI59" s="190">
        <v>37311000000</v>
      </c>
      <c r="AJ59" s="190">
        <v>16600000000</v>
      </c>
      <c r="AK59" s="190">
        <v>64000000000</v>
      </c>
      <c r="AL59" s="190">
        <v>51835000000</v>
      </c>
      <c r="AM59" s="190">
        <v>34650000000</v>
      </c>
      <c r="AN59" s="190">
        <v>11657000000</v>
      </c>
      <c r="AO59" s="190">
        <v>26115000000</v>
      </c>
      <c r="AP59" s="190">
        <v>16056000000</v>
      </c>
      <c r="AQ59" s="190">
        <v>9415000000</v>
      </c>
      <c r="AR59" s="190">
        <v>6644000000</v>
      </c>
      <c r="AS59" s="190">
        <v>57153000000</v>
      </c>
      <c r="AT59" s="190">
        <v>50473000000</v>
      </c>
      <c r="AU59" s="190">
        <v>36357000000</v>
      </c>
      <c r="AV59" s="190">
        <v>20257000000</v>
      </c>
      <c r="AW59" s="190">
        <v>51360000000</v>
      </c>
      <c r="AX59" s="190">
        <v>34068000000</v>
      </c>
      <c r="AY59" s="190">
        <v>20840000000</v>
      </c>
      <c r="AZ59" s="190">
        <v>9189000000</v>
      </c>
      <c r="BA59" s="190">
        <v>42460000000</v>
      </c>
      <c r="BB59" s="190">
        <v>28839000000</v>
      </c>
      <c r="BC59" s="190">
        <v>20145000000</v>
      </c>
      <c r="BD59" s="190">
        <v>10402000000</v>
      </c>
      <c r="BE59" s="190">
        <v>37945000000</v>
      </c>
      <c r="BF59" s="190">
        <v>27853000000</v>
      </c>
      <c r="BG59" s="190">
        <v>17451000000</v>
      </c>
      <c r="BH59" s="190">
        <v>8571000000</v>
      </c>
      <c r="BI59" s="190">
        <v>20897000000</v>
      </c>
      <c r="BJ59" s="190">
        <v>16202000000</v>
      </c>
      <c r="BK59" s="190">
        <v>10524000000</v>
      </c>
      <c r="BL59" s="190">
        <v>6301000000</v>
      </c>
      <c r="BM59" s="190">
        <v>15203000000</v>
      </c>
      <c r="BN59" s="190">
        <v>9842000000</v>
      </c>
      <c r="BO59" s="190">
        <v>4943000000</v>
      </c>
      <c r="BP59" s="190">
        <v>70000000</v>
      </c>
      <c r="BQ59" s="190">
        <v>14559000000</v>
      </c>
      <c r="BR59" s="190">
        <v>9109000000</v>
      </c>
      <c r="BS59" s="190">
        <v>17983000000</v>
      </c>
      <c r="BT59" s="190">
        <v>7166000000</v>
      </c>
      <c r="BU59" s="190">
        <v>354000000</v>
      </c>
      <c r="BV59" s="190">
        <v>0</v>
      </c>
      <c r="BW59" s="190">
        <v>649021962.89999998</v>
      </c>
      <c r="BX59" s="190">
        <v>317076251.63999999</v>
      </c>
      <c r="BY59" s="190">
        <v>553291095.09000003</v>
      </c>
      <c r="BZ59" s="190">
        <v>252919406.88</v>
      </c>
      <c r="CA59" s="190">
        <v>341298375.86000001</v>
      </c>
      <c r="CB59" s="190">
        <v>259939328.41</v>
      </c>
      <c r="CC59" s="190">
        <v>216927477.38</v>
      </c>
      <c r="CD59" s="190">
        <v>0</v>
      </c>
      <c r="CE59" s="190">
        <v>162135000</v>
      </c>
      <c r="CF59" s="190">
        <v>90056788.769999996</v>
      </c>
      <c r="CG59" s="190">
        <v>54430000</v>
      </c>
      <c r="CH59" s="190">
        <v>80440000</v>
      </c>
      <c r="CI59" s="190">
        <v>58950000</v>
      </c>
      <c r="CJ59" s="190">
        <v>67670000</v>
      </c>
      <c r="CK59" s="190">
        <v>0</v>
      </c>
    </row>
    <row r="60" spans="1:89" x14ac:dyDescent="0.25">
      <c r="A60" s="22" t="s">
        <v>95</v>
      </c>
      <c r="B60" s="190">
        <v>20923000000</v>
      </c>
      <c r="C60" s="190">
        <v>14586000000</v>
      </c>
      <c r="D60" s="190">
        <v>6993000000</v>
      </c>
      <c r="E60" s="190">
        <v>16279000000</v>
      </c>
      <c r="F60" s="190">
        <v>12996000000</v>
      </c>
      <c r="G60" s="190">
        <v>8915000000</v>
      </c>
      <c r="H60" s="190">
        <v>6297000000</v>
      </c>
      <c r="I60" s="190">
        <v>20707000000</v>
      </c>
      <c r="J60" s="190">
        <v>11865000000</v>
      </c>
      <c r="K60" s="190">
        <v>8379000000</v>
      </c>
      <c r="L60" s="190">
        <v>3181000000</v>
      </c>
      <c r="M60" s="190">
        <v>12613000000</v>
      </c>
      <c r="N60" s="190">
        <v>10464000000</v>
      </c>
      <c r="O60" s="190">
        <v>9674000000</v>
      </c>
      <c r="P60" s="190">
        <v>950000000</v>
      </c>
      <c r="Q60" s="190">
        <v>17571000000</v>
      </c>
      <c r="R60" s="190">
        <v>17624000000</v>
      </c>
      <c r="S60" s="190">
        <v>11908000000</v>
      </c>
      <c r="T60" s="190">
        <v>4818000000</v>
      </c>
      <c r="U60" s="190">
        <v>25605000000</v>
      </c>
      <c r="V60" s="190">
        <v>20102000000</v>
      </c>
      <c r="W60" s="190">
        <v>12468000000</v>
      </c>
      <c r="X60" s="190">
        <v>6175000000</v>
      </c>
      <c r="Y60" s="190">
        <v>23696000000</v>
      </c>
      <c r="Z60" s="190">
        <v>16752000000</v>
      </c>
      <c r="AA60" s="190">
        <v>9337000000</v>
      </c>
      <c r="AB60" s="190">
        <v>4437000000</v>
      </c>
      <c r="AC60" s="190">
        <v>25774000000</v>
      </c>
      <c r="AD60" s="190">
        <v>20272000000</v>
      </c>
      <c r="AE60" s="190">
        <v>13543000000</v>
      </c>
      <c r="AF60" s="190">
        <v>7738000000</v>
      </c>
      <c r="AG60" s="190">
        <v>25335000000</v>
      </c>
      <c r="AH60" s="190">
        <v>19148000000</v>
      </c>
      <c r="AI60" s="190">
        <v>11024000000</v>
      </c>
      <c r="AJ60" s="190">
        <v>4658000000</v>
      </c>
      <c r="AK60" s="190">
        <v>16076000000</v>
      </c>
      <c r="AL60" s="190">
        <v>14082000000</v>
      </c>
      <c r="AM60" s="190">
        <v>9118000000</v>
      </c>
      <c r="AN60" s="190">
        <v>3050000000</v>
      </c>
      <c r="AO60" s="190">
        <v>-1889000000</v>
      </c>
      <c r="AP60" s="190">
        <v>2678000000</v>
      </c>
      <c r="AQ60" s="190">
        <v>101000000</v>
      </c>
      <c r="AR60" s="190">
        <v>190000000</v>
      </c>
      <c r="AS60" s="190">
        <v>25758000000</v>
      </c>
      <c r="AT60" s="190">
        <v>22114000000</v>
      </c>
      <c r="AU60" s="190">
        <v>16107000000</v>
      </c>
      <c r="AV60" s="190">
        <v>7793000000</v>
      </c>
      <c r="AW60" s="190">
        <v>22519000000</v>
      </c>
      <c r="AX60" s="190">
        <v>15339000000</v>
      </c>
      <c r="AY60" s="190">
        <v>9964000000</v>
      </c>
      <c r="AZ60" s="190">
        <v>4156000000</v>
      </c>
      <c r="BA60" s="190">
        <v>18903000000</v>
      </c>
      <c r="BB60" s="190">
        <v>12927000000</v>
      </c>
      <c r="BC60" s="190">
        <v>9168000000</v>
      </c>
      <c r="BD60" s="190">
        <v>4629000000</v>
      </c>
      <c r="BE60" s="190">
        <v>16060000000</v>
      </c>
      <c r="BF60" s="190">
        <v>11316000000</v>
      </c>
      <c r="BG60" s="190">
        <v>7154000000</v>
      </c>
      <c r="BH60" s="190">
        <v>3456000000</v>
      </c>
      <c r="BI60" s="190">
        <v>9361000000</v>
      </c>
      <c r="BJ60" s="190">
        <v>6995000000</v>
      </c>
      <c r="BK60" s="190">
        <v>4762000000</v>
      </c>
      <c r="BL60" s="190">
        <v>2788000000</v>
      </c>
      <c r="BM60" s="190">
        <v>6809000000</v>
      </c>
      <c r="BN60" s="190">
        <v>4499000000</v>
      </c>
      <c r="BO60" s="190">
        <v>2174000000</v>
      </c>
      <c r="BP60" s="190">
        <v>35000000</v>
      </c>
      <c r="BQ60" s="190">
        <v>7092000000</v>
      </c>
      <c r="BR60" s="190">
        <v>3411000000</v>
      </c>
      <c r="BS60" s="190">
        <v>7954000000</v>
      </c>
      <c r="BT60" s="190">
        <v>1166000000</v>
      </c>
      <c r="BU60" s="190">
        <v>-1636000000</v>
      </c>
      <c r="BV60" s="190">
        <v>0</v>
      </c>
      <c r="BW60" s="190">
        <v>303429006.82999998</v>
      </c>
      <c r="BX60" s="190">
        <v>66653678.539999999</v>
      </c>
      <c r="BY60" s="190">
        <v>260578360.56999999</v>
      </c>
      <c r="BZ60" s="190">
        <v>44632836.509999998</v>
      </c>
      <c r="CA60" s="190">
        <v>168102185.13</v>
      </c>
      <c r="CB60" s="190">
        <v>128029818.47</v>
      </c>
      <c r="CC60" s="190">
        <v>106844876.92</v>
      </c>
      <c r="CD60" s="190">
        <v>0</v>
      </c>
      <c r="CE60" s="190">
        <v>27810000</v>
      </c>
      <c r="CF60" s="190">
        <v>16447145.279999999</v>
      </c>
      <c r="CG60" s="190">
        <v>4330000</v>
      </c>
      <c r="CH60" s="190">
        <v>4220000</v>
      </c>
      <c r="CI60" s="190">
        <v>12510000</v>
      </c>
      <c r="CJ60" s="190">
        <v>3630000</v>
      </c>
      <c r="CK60" s="190">
        <v>0</v>
      </c>
    </row>
    <row r="61" spans="1:89" x14ac:dyDescent="0.25">
      <c r="A61" s="22" t="s">
        <v>94</v>
      </c>
      <c r="B61" s="190">
        <v>96702000000</v>
      </c>
      <c r="C61" s="190">
        <v>67867000000</v>
      </c>
      <c r="D61" s="190">
        <v>31515000000</v>
      </c>
      <c r="E61" s="190">
        <v>86573000000</v>
      </c>
      <c r="F61" s="190">
        <v>64825000000</v>
      </c>
      <c r="G61" s="190">
        <v>45032000000</v>
      </c>
      <c r="H61" s="190">
        <v>27980000000</v>
      </c>
      <c r="I61" s="190">
        <v>79877000000</v>
      </c>
      <c r="J61" s="190">
        <v>51935000000</v>
      </c>
      <c r="K61" s="190">
        <v>34760000000</v>
      </c>
      <c r="L61" s="190">
        <v>12206000000</v>
      </c>
      <c r="M61" s="190">
        <v>55959000000</v>
      </c>
      <c r="N61" s="190">
        <v>45013000000</v>
      </c>
      <c r="O61" s="190">
        <v>40216000000</v>
      </c>
      <c r="P61" s="190">
        <v>2930000000</v>
      </c>
      <c r="Q61" s="190">
        <v>66481000000</v>
      </c>
      <c r="R61" s="190">
        <v>71227000000</v>
      </c>
      <c r="S61" s="190">
        <v>44602000000</v>
      </c>
      <c r="T61" s="190">
        <v>19300000000</v>
      </c>
      <c r="U61" s="190">
        <v>96982000000</v>
      </c>
      <c r="V61" s="190">
        <v>75071000000</v>
      </c>
      <c r="W61" s="190">
        <v>43972000000</v>
      </c>
      <c r="X61" s="190">
        <v>23006000000</v>
      </c>
      <c r="Y61" s="190">
        <v>90107000000</v>
      </c>
      <c r="Z61" s="190">
        <v>60564000000</v>
      </c>
      <c r="AA61" s="190">
        <v>34283000000</v>
      </c>
      <c r="AB61" s="190">
        <v>18541000000</v>
      </c>
      <c r="AC61" s="190">
        <v>102638000000</v>
      </c>
      <c r="AD61" s="190">
        <v>84830000000</v>
      </c>
      <c r="AE61" s="190">
        <v>56755000000</v>
      </c>
      <c r="AF61" s="190">
        <v>30002000000</v>
      </c>
      <c r="AG61" s="190">
        <v>102178000000</v>
      </c>
      <c r="AH61" s="190">
        <v>79738000000</v>
      </c>
      <c r="AI61" s="190">
        <v>48335000000</v>
      </c>
      <c r="AJ61" s="190">
        <v>21258000000</v>
      </c>
      <c r="AK61" s="190">
        <v>80076000000</v>
      </c>
      <c r="AL61" s="190">
        <v>65917000000</v>
      </c>
      <c r="AM61" s="190">
        <v>43768000000</v>
      </c>
      <c r="AN61" s="190">
        <v>14707000000</v>
      </c>
      <c r="AO61" s="190">
        <v>24226000000</v>
      </c>
      <c r="AP61" s="190">
        <v>18734000000</v>
      </c>
      <c r="AQ61" s="190">
        <v>9516000000</v>
      </c>
      <c r="AR61" s="190">
        <v>6834000000</v>
      </c>
      <c r="AS61" s="190">
        <v>82911000000</v>
      </c>
      <c r="AT61" s="190">
        <v>72587000000</v>
      </c>
      <c r="AU61" s="190">
        <v>52464000000</v>
      </c>
      <c r="AV61" s="190">
        <v>28050000000</v>
      </c>
      <c r="AW61" s="190">
        <v>73252000000</v>
      </c>
      <c r="AX61" s="190">
        <v>48709000000</v>
      </c>
      <c r="AY61" s="190">
        <v>30815000000</v>
      </c>
      <c r="AZ61" s="190">
        <v>13356000000</v>
      </c>
      <c r="BA61" s="190">
        <v>61482000000</v>
      </c>
      <c r="BB61" s="190">
        <v>41926000000</v>
      </c>
      <c r="BC61" s="190">
        <v>29426000000</v>
      </c>
      <c r="BD61" s="190">
        <v>15094000000</v>
      </c>
      <c r="BE61" s="190">
        <v>53535000000</v>
      </c>
      <c r="BF61" s="190">
        <v>38686000000</v>
      </c>
      <c r="BG61" s="190">
        <v>24098000000</v>
      </c>
      <c r="BH61" s="190">
        <v>11960000000</v>
      </c>
      <c r="BI61" s="190">
        <v>30015000000</v>
      </c>
      <c r="BJ61" s="190">
        <v>23197000000</v>
      </c>
      <c r="BK61" s="190">
        <v>15286000000</v>
      </c>
      <c r="BL61" s="190">
        <v>9089000000</v>
      </c>
      <c r="BM61" s="190">
        <v>22012000000</v>
      </c>
      <c r="BN61" s="190">
        <v>14341000000</v>
      </c>
      <c r="BO61" s="190">
        <v>7117000000</v>
      </c>
      <c r="BP61" s="190">
        <v>105000000</v>
      </c>
      <c r="BQ61" s="190">
        <v>21651000000</v>
      </c>
      <c r="BR61" s="190">
        <v>12520000000</v>
      </c>
      <c r="BS61" s="190">
        <v>25937000000</v>
      </c>
      <c r="BT61" s="190">
        <v>8332000000</v>
      </c>
      <c r="BU61" s="190">
        <v>-1282000000</v>
      </c>
      <c r="BV61" s="190">
        <v>0</v>
      </c>
      <c r="BW61" s="190">
        <v>786944238.74000001</v>
      </c>
      <c r="BX61" s="190">
        <v>383729930.18000001</v>
      </c>
      <c r="BY61" s="190">
        <v>813869455.65999997</v>
      </c>
      <c r="BZ61" s="190">
        <v>297552243.38999999</v>
      </c>
      <c r="CA61" s="190">
        <v>509400560.99000001</v>
      </c>
      <c r="CB61" s="190">
        <v>387969146.88</v>
      </c>
      <c r="CC61" s="190">
        <v>323772354.30000001</v>
      </c>
      <c r="CD61" s="190">
        <v>0</v>
      </c>
      <c r="CE61" s="190">
        <v>189945000</v>
      </c>
      <c r="CF61" s="190">
        <v>106503934.05</v>
      </c>
      <c r="CG61" s="190">
        <v>58750000</v>
      </c>
      <c r="CH61" s="190">
        <v>84660000</v>
      </c>
      <c r="CI61" s="190">
        <v>71460000</v>
      </c>
      <c r="CJ61" s="190">
        <v>71300000</v>
      </c>
      <c r="CK61" s="190">
        <v>0</v>
      </c>
    </row>
    <row r="62" spans="1:89" x14ac:dyDescent="0.25">
      <c r="A62" s="22"/>
      <c r="B62" s="4"/>
      <c r="C62" s="4"/>
      <c r="D62" s="4"/>
      <c r="E62" s="157"/>
      <c r="F62" s="157"/>
      <c r="G62" s="157"/>
      <c r="H62" s="157"/>
      <c r="I62" s="157"/>
      <c r="J62" s="157"/>
      <c r="K62" s="157"/>
      <c r="L62" s="157"/>
      <c r="M62" s="157"/>
      <c r="N62" s="157"/>
      <c r="O62" s="157"/>
      <c r="P62" s="157"/>
      <c r="Q62" s="157"/>
      <c r="R62" s="157"/>
      <c r="S62" s="157"/>
      <c r="T62" s="157"/>
      <c r="U62" s="157"/>
      <c r="V62" s="157"/>
      <c r="W62" s="157"/>
      <c r="X62" s="157"/>
      <c r="Y62" s="157"/>
      <c r="Z62" s="157"/>
      <c r="AA62" s="157"/>
      <c r="AB62" s="157"/>
      <c r="AC62" s="157"/>
      <c r="AD62" s="157"/>
      <c r="AE62" s="157"/>
      <c r="AF62" s="157"/>
      <c r="AG62" s="157"/>
      <c r="AH62" s="157"/>
      <c r="AI62" s="157"/>
      <c r="AJ62" s="157"/>
      <c r="AK62" s="157"/>
      <c r="AL62" s="157"/>
      <c r="AM62" s="157"/>
      <c r="AN62" s="157"/>
      <c r="AO62" s="157"/>
      <c r="AP62" s="157"/>
      <c r="AQ62" s="157"/>
      <c r="AR62" s="157"/>
      <c r="AS62" s="157"/>
      <c r="AT62" s="157"/>
      <c r="AU62" s="157"/>
      <c r="AV62" s="157"/>
      <c r="AW62" s="157"/>
      <c r="AX62" s="157"/>
      <c r="AY62" s="157"/>
      <c r="AZ62" s="157"/>
      <c r="BA62" s="157"/>
      <c r="BB62" s="157"/>
      <c r="BC62" s="157"/>
      <c r="BD62" s="157"/>
      <c r="BE62" s="157"/>
      <c r="BF62" s="157"/>
      <c r="BG62" s="157"/>
      <c r="BH62" s="157"/>
      <c r="BI62" s="157"/>
      <c r="BJ62" s="157"/>
      <c r="BK62" s="157"/>
      <c r="BL62" s="157"/>
      <c r="BM62" s="157"/>
      <c r="BN62" s="157"/>
      <c r="BO62" s="157"/>
      <c r="BP62" s="157"/>
      <c r="BQ62" s="157"/>
      <c r="BR62" s="157"/>
      <c r="BS62" s="157"/>
      <c r="BT62" s="157"/>
      <c r="BU62" s="157"/>
      <c r="BV62" s="157"/>
      <c r="BW62" s="157"/>
      <c r="BX62" s="157"/>
      <c r="BY62" s="157"/>
      <c r="BZ62" s="157"/>
      <c r="CA62" s="157"/>
      <c r="CB62" s="157"/>
      <c r="CC62" s="157"/>
      <c r="CD62" s="157"/>
      <c r="CE62" s="157"/>
      <c r="CF62" s="157"/>
      <c r="CG62" s="157"/>
      <c r="CH62" s="157"/>
      <c r="CI62" s="157"/>
      <c r="CJ62" s="157"/>
      <c r="CK62" s="157"/>
    </row>
    <row r="65" spans="1:89" x14ac:dyDescent="0.25">
      <c r="A65" s="22" t="s">
        <v>98</v>
      </c>
      <c r="B65" s="190">
        <v>9703000000</v>
      </c>
      <c r="C65" s="190">
        <v>5884000000</v>
      </c>
      <c r="D65" s="190">
        <v>3355000000</v>
      </c>
      <c r="E65" s="190">
        <v>19060000000</v>
      </c>
      <c r="F65" s="190">
        <v>12020000000</v>
      </c>
      <c r="G65" s="190">
        <v>8152000000</v>
      </c>
      <c r="H65" s="190">
        <v>3944000000</v>
      </c>
      <c r="I65" s="190">
        <v>30779000000</v>
      </c>
      <c r="J65" s="190">
        <v>7253000000</v>
      </c>
      <c r="K65" s="190">
        <v>5394000000</v>
      </c>
      <c r="L65" s="190">
        <v>1336000000</v>
      </c>
      <c r="M65" s="190">
        <v>8573000000</v>
      </c>
      <c r="N65" s="190">
        <v>4650000000</v>
      </c>
      <c r="O65" s="190">
        <v>4461000000</v>
      </c>
      <c r="P65" s="190">
        <v>1065000000</v>
      </c>
      <c r="Q65" s="190">
        <v>8137000000</v>
      </c>
      <c r="R65" s="190">
        <v>6252000000</v>
      </c>
      <c r="S65" s="190">
        <v>2252000000</v>
      </c>
      <c r="T65" s="190">
        <v>854000000</v>
      </c>
      <c r="U65" s="190">
        <v>2510000000</v>
      </c>
      <c r="V65" s="190">
        <v>1538000000</v>
      </c>
      <c r="W65" s="190">
        <v>908000000</v>
      </c>
      <c r="X65" s="190">
        <v>549000000</v>
      </c>
      <c r="Y65" s="190">
        <v>1540000000</v>
      </c>
      <c r="Z65" s="190">
        <v>635000000</v>
      </c>
      <c r="AA65" s="190">
        <v>232000000</v>
      </c>
      <c r="AB65" s="190">
        <v>678000000</v>
      </c>
      <c r="AC65" s="190">
        <v>4186000000</v>
      </c>
      <c r="AD65" s="190">
        <v>3992000000</v>
      </c>
      <c r="AE65" s="190">
        <v>2822000000</v>
      </c>
      <c r="AF65" s="190">
        <v>1493000000</v>
      </c>
      <c r="AG65" s="190">
        <v>5671000000</v>
      </c>
      <c r="AH65" s="190">
        <v>2969000000</v>
      </c>
      <c r="AI65" s="190">
        <v>1994000000</v>
      </c>
      <c r="AJ65" s="190">
        <v>1026000000</v>
      </c>
      <c r="AK65" s="190">
        <v>3589000000</v>
      </c>
      <c r="AL65" s="190">
        <v>2714000000</v>
      </c>
      <c r="AM65" s="190">
        <v>1799000000</v>
      </c>
      <c r="AN65" s="190">
        <v>564000000</v>
      </c>
      <c r="AO65" s="190">
        <v>980000000</v>
      </c>
      <c r="AP65" s="190">
        <v>2125000000</v>
      </c>
      <c r="AQ65" s="190">
        <v>1677000000</v>
      </c>
      <c r="AR65" s="190">
        <v>779000000</v>
      </c>
      <c r="AS65" s="190">
        <v>5756000000</v>
      </c>
      <c r="AT65" s="190">
        <v>4117000000</v>
      </c>
      <c r="AU65" s="190">
        <v>2817000000</v>
      </c>
      <c r="AV65" s="190">
        <v>1175000000</v>
      </c>
      <c r="AW65" s="190">
        <v>43000000</v>
      </c>
      <c r="AX65" s="190">
        <v>27000000</v>
      </c>
      <c r="AY65" s="190">
        <v>184000000</v>
      </c>
      <c r="AZ65" s="190">
        <v>172000000</v>
      </c>
      <c r="BA65" s="190">
        <v>813000000</v>
      </c>
      <c r="BB65" s="190">
        <v>-524000000</v>
      </c>
      <c r="BC65" s="190">
        <v>-742000000</v>
      </c>
      <c r="BD65" s="190">
        <v>143000000</v>
      </c>
      <c r="BE65" s="190">
        <v>1088000000</v>
      </c>
      <c r="BF65" s="190">
        <v>788000000</v>
      </c>
      <c r="BG65" s="190">
        <v>516000000</v>
      </c>
      <c r="BH65" s="190">
        <v>141000000</v>
      </c>
      <c r="BI65" s="190">
        <v>548000000</v>
      </c>
      <c r="BJ65" s="190">
        <v>397000000</v>
      </c>
      <c r="BK65" s="190">
        <v>341000000</v>
      </c>
      <c r="BL65" s="190">
        <v>70000000</v>
      </c>
      <c r="BM65" s="190">
        <v>505000000</v>
      </c>
      <c r="BN65" s="190">
        <v>342000000</v>
      </c>
      <c r="BO65" s="190">
        <v>186000000</v>
      </c>
      <c r="BP65" s="190">
        <v>64000000</v>
      </c>
      <c r="BQ65" s="190">
        <v>546000000</v>
      </c>
      <c r="BR65" s="190">
        <v>303000000</v>
      </c>
      <c r="BS65" s="190">
        <v>235000000</v>
      </c>
      <c r="BT65" s="190">
        <v>854000000</v>
      </c>
      <c r="BU65" s="190">
        <v>954000000</v>
      </c>
      <c r="BV65" s="190">
        <v>0</v>
      </c>
      <c r="BW65" s="190">
        <v>0</v>
      </c>
      <c r="BX65" s="190">
        <v>0</v>
      </c>
      <c r="BY65" s="190">
        <v>0</v>
      </c>
      <c r="BZ65" s="190">
        <v>0</v>
      </c>
      <c r="CA65" s="190">
        <v>0</v>
      </c>
      <c r="CB65" s="190">
        <v>0</v>
      </c>
      <c r="CC65" s="190">
        <v>0</v>
      </c>
      <c r="CD65" s="190">
        <v>0</v>
      </c>
      <c r="CE65" s="190">
        <v>7729000</v>
      </c>
      <c r="CF65" s="190">
        <v>2092581.44</v>
      </c>
      <c r="CG65" s="190">
        <v>0</v>
      </c>
      <c r="CH65" s="190">
        <v>0</v>
      </c>
      <c r="CI65" s="190">
        <v>0</v>
      </c>
      <c r="CJ65" s="190">
        <v>0</v>
      </c>
      <c r="CK65" s="190">
        <v>0</v>
      </c>
    </row>
    <row r="66" spans="1:89" x14ac:dyDescent="0.25">
      <c r="A66" s="22" t="s">
        <v>99</v>
      </c>
      <c r="B66" s="190">
        <v>0</v>
      </c>
      <c r="C66" s="190">
        <v>0</v>
      </c>
      <c r="D66" s="190">
        <v>0</v>
      </c>
      <c r="E66" s="190">
        <v>0</v>
      </c>
      <c r="F66" s="190">
        <v>0</v>
      </c>
      <c r="G66" s="190">
        <v>0</v>
      </c>
      <c r="H66" s="190">
        <v>0</v>
      </c>
      <c r="I66" s="190">
        <v>0</v>
      </c>
      <c r="J66" s="190">
        <v>0</v>
      </c>
      <c r="K66" s="190">
        <v>0</v>
      </c>
      <c r="L66" s="190">
        <v>0</v>
      </c>
      <c r="M66" s="190">
        <v>0</v>
      </c>
      <c r="N66" s="190">
        <v>0</v>
      </c>
      <c r="O66" s="190">
        <v>0</v>
      </c>
      <c r="P66" s="190">
        <v>0</v>
      </c>
      <c r="Q66" s="190">
        <v>0</v>
      </c>
      <c r="R66" s="190">
        <v>0</v>
      </c>
      <c r="S66" s="190">
        <v>0</v>
      </c>
      <c r="T66" s="190">
        <v>0</v>
      </c>
      <c r="U66" s="190">
        <v>0</v>
      </c>
      <c r="V66" s="190">
        <v>0</v>
      </c>
      <c r="W66" s="190">
        <v>0</v>
      </c>
      <c r="X66" s="190">
        <v>0</v>
      </c>
      <c r="Y66" s="190">
        <v>0</v>
      </c>
      <c r="Z66" s="190">
        <v>0</v>
      </c>
      <c r="AA66" s="190">
        <v>0</v>
      </c>
      <c r="AB66" s="190">
        <v>0</v>
      </c>
      <c r="AC66" s="190">
        <v>0</v>
      </c>
      <c r="AD66" s="190">
        <v>0</v>
      </c>
      <c r="AE66" s="190">
        <v>0</v>
      </c>
      <c r="AF66" s="190">
        <v>0</v>
      </c>
      <c r="AG66" s="190">
        <v>0</v>
      </c>
      <c r="AH66" s="190">
        <v>0</v>
      </c>
      <c r="AI66" s="190">
        <v>0</v>
      </c>
      <c r="AJ66" s="190">
        <v>0</v>
      </c>
      <c r="AK66" s="190">
        <v>0</v>
      </c>
      <c r="AL66" s="190">
        <v>0</v>
      </c>
      <c r="AM66" s="190">
        <v>0</v>
      </c>
      <c r="AN66" s="190">
        <v>463000000</v>
      </c>
      <c r="AO66" s="190">
        <v>0</v>
      </c>
      <c r="AP66" s="190">
        <v>0</v>
      </c>
      <c r="AQ66" s="190">
        <v>0</v>
      </c>
      <c r="AR66" s="190">
        <v>0</v>
      </c>
      <c r="AS66" s="190">
        <v>0</v>
      </c>
      <c r="AT66" s="190">
        <v>0</v>
      </c>
      <c r="AU66" s="190">
        <v>0</v>
      </c>
      <c r="AV66" s="190">
        <v>0</v>
      </c>
      <c r="AW66" s="190">
        <v>0</v>
      </c>
      <c r="AX66" s="190">
        <v>0</v>
      </c>
      <c r="AY66" s="190">
        <v>0</v>
      </c>
      <c r="AZ66" s="190">
        <v>0</v>
      </c>
      <c r="BA66" s="190">
        <v>0</v>
      </c>
      <c r="BB66" s="190">
        <v>0</v>
      </c>
      <c r="BC66" s="190">
        <v>0</v>
      </c>
      <c r="BD66" s="190">
        <v>0</v>
      </c>
      <c r="BE66" s="190">
        <v>0</v>
      </c>
      <c r="BF66" s="190">
        <v>0</v>
      </c>
      <c r="BG66" s="190">
        <v>0</v>
      </c>
      <c r="BH66" s="190">
        <v>0</v>
      </c>
      <c r="BI66" s="190">
        <v>0</v>
      </c>
      <c r="BJ66" s="190">
        <v>0</v>
      </c>
      <c r="BK66" s="190">
        <v>0</v>
      </c>
      <c r="BL66" s="190">
        <v>0</v>
      </c>
      <c r="BM66" s="190">
        <v>0</v>
      </c>
      <c r="BN66" s="190">
        <v>0</v>
      </c>
      <c r="BO66" s="190">
        <v>0</v>
      </c>
      <c r="BP66" s="190">
        <v>0</v>
      </c>
      <c r="BQ66" s="190">
        <v>0</v>
      </c>
      <c r="BR66" s="190">
        <v>0</v>
      </c>
      <c r="BS66" s="190">
        <v>0</v>
      </c>
      <c r="BT66" s="190">
        <v>0</v>
      </c>
      <c r="BU66" s="190">
        <v>0</v>
      </c>
      <c r="BV66" s="190">
        <v>0</v>
      </c>
      <c r="BW66" s="190">
        <v>0</v>
      </c>
      <c r="BX66" s="190">
        <v>0</v>
      </c>
      <c r="BY66" s="190">
        <v>0</v>
      </c>
      <c r="BZ66" s="190">
        <v>0</v>
      </c>
      <c r="CA66" s="190">
        <v>0</v>
      </c>
      <c r="CB66" s="190">
        <v>0</v>
      </c>
      <c r="CC66" s="190">
        <v>0</v>
      </c>
      <c r="CD66" s="190">
        <v>0</v>
      </c>
      <c r="CE66" s="190">
        <v>0</v>
      </c>
      <c r="CF66" s="190">
        <v>0</v>
      </c>
      <c r="CG66" s="190">
        <v>0</v>
      </c>
      <c r="CH66" s="190">
        <v>0</v>
      </c>
      <c r="CI66" s="190">
        <v>0</v>
      </c>
      <c r="CJ66" s="190">
        <v>0</v>
      </c>
      <c r="CK66" s="190">
        <v>0</v>
      </c>
    </row>
    <row r="67" spans="1:89" x14ac:dyDescent="0.25">
      <c r="A67" s="22" t="s">
        <v>100</v>
      </c>
      <c r="B67" s="4">
        <f>B65-B66</f>
        <v>9703000000</v>
      </c>
      <c r="C67" s="4">
        <f t="shared" ref="C67:BN67" si="67">C65-C66</f>
        <v>5884000000</v>
      </c>
      <c r="D67" s="4">
        <f t="shared" si="67"/>
        <v>3355000000</v>
      </c>
      <c r="E67" s="4">
        <f t="shared" si="67"/>
        <v>19060000000</v>
      </c>
      <c r="F67" s="4">
        <f t="shared" si="67"/>
        <v>12020000000</v>
      </c>
      <c r="G67" s="4">
        <f t="shared" si="67"/>
        <v>8152000000</v>
      </c>
      <c r="H67" s="4">
        <f t="shared" si="67"/>
        <v>3944000000</v>
      </c>
      <c r="I67" s="4">
        <f t="shared" si="67"/>
        <v>30779000000</v>
      </c>
      <c r="J67" s="4">
        <f t="shared" si="67"/>
        <v>7253000000</v>
      </c>
      <c r="K67" s="4">
        <f t="shared" si="67"/>
        <v>5394000000</v>
      </c>
      <c r="L67" s="4">
        <f t="shared" si="67"/>
        <v>1336000000</v>
      </c>
      <c r="M67" s="4">
        <f t="shared" si="67"/>
        <v>8573000000</v>
      </c>
      <c r="N67" s="4">
        <f t="shared" si="67"/>
        <v>4650000000</v>
      </c>
      <c r="O67" s="4">
        <f t="shared" si="67"/>
        <v>4461000000</v>
      </c>
      <c r="P67" s="4">
        <f t="shared" si="67"/>
        <v>1065000000</v>
      </c>
      <c r="Q67" s="4">
        <f t="shared" si="67"/>
        <v>8137000000</v>
      </c>
      <c r="R67" s="4">
        <f t="shared" si="67"/>
        <v>6252000000</v>
      </c>
      <c r="S67" s="4">
        <f t="shared" si="67"/>
        <v>2252000000</v>
      </c>
      <c r="T67" s="4">
        <f t="shared" si="67"/>
        <v>854000000</v>
      </c>
      <c r="U67" s="4">
        <f t="shared" si="67"/>
        <v>2510000000</v>
      </c>
      <c r="V67" s="4">
        <f t="shared" si="67"/>
        <v>1538000000</v>
      </c>
      <c r="W67" s="4">
        <f t="shared" si="67"/>
        <v>908000000</v>
      </c>
      <c r="X67" s="4">
        <f t="shared" si="67"/>
        <v>549000000</v>
      </c>
      <c r="Y67" s="4">
        <f t="shared" si="67"/>
        <v>1540000000</v>
      </c>
      <c r="Z67" s="4">
        <f t="shared" si="67"/>
        <v>635000000</v>
      </c>
      <c r="AA67" s="4">
        <f t="shared" si="67"/>
        <v>232000000</v>
      </c>
      <c r="AB67" s="4">
        <f t="shared" si="67"/>
        <v>678000000</v>
      </c>
      <c r="AC67" s="4">
        <f t="shared" si="67"/>
        <v>4186000000</v>
      </c>
      <c r="AD67" s="4">
        <f t="shared" si="67"/>
        <v>3992000000</v>
      </c>
      <c r="AE67" s="4">
        <f t="shared" si="67"/>
        <v>2822000000</v>
      </c>
      <c r="AF67" s="4">
        <f t="shared" si="67"/>
        <v>1493000000</v>
      </c>
      <c r="AG67" s="4">
        <f t="shared" si="67"/>
        <v>5671000000</v>
      </c>
      <c r="AH67" s="4">
        <f t="shared" si="67"/>
        <v>2969000000</v>
      </c>
      <c r="AI67" s="4">
        <f t="shared" si="67"/>
        <v>1994000000</v>
      </c>
      <c r="AJ67" s="4">
        <f t="shared" si="67"/>
        <v>1026000000</v>
      </c>
      <c r="AK67" s="4">
        <f t="shared" si="67"/>
        <v>3589000000</v>
      </c>
      <c r="AL67" s="4">
        <f t="shared" si="67"/>
        <v>2714000000</v>
      </c>
      <c r="AM67" s="4">
        <f t="shared" si="67"/>
        <v>1799000000</v>
      </c>
      <c r="AN67" s="4">
        <f t="shared" si="67"/>
        <v>101000000</v>
      </c>
      <c r="AO67" s="4">
        <f t="shared" si="67"/>
        <v>980000000</v>
      </c>
      <c r="AP67" s="4">
        <f t="shared" si="67"/>
        <v>2125000000</v>
      </c>
      <c r="AQ67" s="4">
        <f t="shared" si="67"/>
        <v>1677000000</v>
      </c>
      <c r="AR67" s="4">
        <f t="shared" si="67"/>
        <v>779000000</v>
      </c>
      <c r="AS67" s="4">
        <f t="shared" si="67"/>
        <v>5756000000</v>
      </c>
      <c r="AT67" s="4">
        <f t="shared" si="67"/>
        <v>4117000000</v>
      </c>
      <c r="AU67" s="4">
        <f t="shared" si="67"/>
        <v>2817000000</v>
      </c>
      <c r="AV67" s="4">
        <f t="shared" si="67"/>
        <v>1175000000</v>
      </c>
      <c r="AW67" s="4">
        <f t="shared" si="67"/>
        <v>43000000</v>
      </c>
      <c r="AX67" s="4">
        <f t="shared" si="67"/>
        <v>27000000</v>
      </c>
      <c r="AY67" s="4">
        <f t="shared" si="67"/>
        <v>184000000</v>
      </c>
      <c r="AZ67" s="4">
        <f t="shared" si="67"/>
        <v>172000000</v>
      </c>
      <c r="BA67" s="4">
        <f t="shared" si="67"/>
        <v>813000000</v>
      </c>
      <c r="BB67" s="4">
        <f t="shared" si="67"/>
        <v>-524000000</v>
      </c>
      <c r="BC67" s="4">
        <f t="shared" si="67"/>
        <v>-742000000</v>
      </c>
      <c r="BD67" s="4">
        <f t="shared" si="67"/>
        <v>143000000</v>
      </c>
      <c r="BE67" s="4">
        <f t="shared" si="67"/>
        <v>1088000000</v>
      </c>
      <c r="BF67" s="4">
        <f t="shared" si="67"/>
        <v>788000000</v>
      </c>
      <c r="BG67" s="4">
        <f t="shared" si="67"/>
        <v>516000000</v>
      </c>
      <c r="BH67" s="4">
        <f t="shared" si="67"/>
        <v>141000000</v>
      </c>
      <c r="BI67" s="4">
        <f t="shared" si="67"/>
        <v>548000000</v>
      </c>
      <c r="BJ67" s="4">
        <f t="shared" si="67"/>
        <v>397000000</v>
      </c>
      <c r="BK67" s="4">
        <f t="shared" si="67"/>
        <v>341000000</v>
      </c>
      <c r="BL67" s="4">
        <f t="shared" si="67"/>
        <v>70000000</v>
      </c>
      <c r="BM67" s="4">
        <f t="shared" si="67"/>
        <v>505000000</v>
      </c>
      <c r="BN67" s="4">
        <f t="shared" si="67"/>
        <v>342000000</v>
      </c>
      <c r="BO67" s="4">
        <f t="shared" ref="BO67:CJ67" si="68">BO65-BO66</f>
        <v>186000000</v>
      </c>
      <c r="BP67" s="4">
        <f t="shared" si="68"/>
        <v>64000000</v>
      </c>
      <c r="BQ67" s="4">
        <f t="shared" si="68"/>
        <v>546000000</v>
      </c>
      <c r="BR67" s="4">
        <f t="shared" si="68"/>
        <v>303000000</v>
      </c>
      <c r="BS67" s="4">
        <f t="shared" si="68"/>
        <v>235000000</v>
      </c>
      <c r="BT67" s="4">
        <f t="shared" si="68"/>
        <v>854000000</v>
      </c>
      <c r="BU67" s="4">
        <f t="shared" si="68"/>
        <v>954000000</v>
      </c>
      <c r="BV67" s="4">
        <f t="shared" si="68"/>
        <v>0</v>
      </c>
      <c r="BW67" s="4">
        <f t="shared" si="68"/>
        <v>0</v>
      </c>
      <c r="BX67" s="4">
        <f t="shared" si="68"/>
        <v>0</v>
      </c>
      <c r="BY67" s="4">
        <f t="shared" si="68"/>
        <v>0</v>
      </c>
      <c r="BZ67" s="4">
        <f t="shared" si="68"/>
        <v>0</v>
      </c>
      <c r="CA67" s="4">
        <f t="shared" si="68"/>
        <v>0</v>
      </c>
      <c r="CB67" s="4">
        <f t="shared" si="68"/>
        <v>0</v>
      </c>
      <c r="CC67" s="4">
        <f t="shared" si="68"/>
        <v>0</v>
      </c>
      <c r="CD67" s="4">
        <f t="shared" si="68"/>
        <v>0</v>
      </c>
      <c r="CE67" s="4">
        <f t="shared" si="68"/>
        <v>7729000</v>
      </c>
      <c r="CF67" s="4">
        <f t="shared" si="68"/>
        <v>2092581.44</v>
      </c>
      <c r="CG67" s="4">
        <f t="shared" si="68"/>
        <v>0</v>
      </c>
      <c r="CH67" s="4">
        <f t="shared" si="68"/>
        <v>0</v>
      </c>
      <c r="CI67" s="4">
        <f t="shared" si="68"/>
        <v>0</v>
      </c>
      <c r="CJ67" s="4">
        <f t="shared" si="68"/>
        <v>0</v>
      </c>
      <c r="CK67" s="4"/>
    </row>
    <row r="68" spans="1:89" x14ac:dyDescent="0.25">
      <c r="A68" s="22" t="s">
        <v>101</v>
      </c>
      <c r="B68" s="190">
        <v>632000000</v>
      </c>
      <c r="C68" s="190">
        <v>263000000</v>
      </c>
      <c r="D68" s="190">
        <v>455000000</v>
      </c>
      <c r="E68" s="190">
        <v>1560000000</v>
      </c>
      <c r="F68" s="190">
        <v>1790000000</v>
      </c>
      <c r="G68" s="190">
        <v>1289000000</v>
      </c>
      <c r="H68" s="190">
        <v>827000000</v>
      </c>
      <c r="I68" s="190">
        <v>6611000000</v>
      </c>
      <c r="J68" s="190">
        <v>5447000000</v>
      </c>
      <c r="K68" s="190">
        <v>4284000000</v>
      </c>
      <c r="L68" s="190">
        <v>1826000000</v>
      </c>
      <c r="M68" s="190">
        <v>9017000000</v>
      </c>
      <c r="N68" s="190">
        <v>7730000000</v>
      </c>
      <c r="O68" s="190">
        <v>3145000000</v>
      </c>
      <c r="P68" s="190">
        <v>2409000000</v>
      </c>
      <c r="Q68" s="190">
        <v>9618000000</v>
      </c>
      <c r="R68" s="190">
        <v>8539000000</v>
      </c>
      <c r="S68" s="190">
        <v>6539000000</v>
      </c>
      <c r="T68" s="190">
        <v>4188000000</v>
      </c>
      <c r="U68" s="190">
        <v>6274000000</v>
      </c>
      <c r="V68" s="190">
        <v>5463000000</v>
      </c>
      <c r="W68" s="190">
        <v>3292000000</v>
      </c>
      <c r="X68" s="190">
        <v>2511000000</v>
      </c>
      <c r="Y68" s="190">
        <v>9819000000</v>
      </c>
      <c r="Z68" s="190">
        <v>8284000000</v>
      </c>
      <c r="AA68" s="190">
        <v>5533000000</v>
      </c>
      <c r="AB68" s="190">
        <v>2613000000</v>
      </c>
      <c r="AC68" s="190">
        <v>6544000000</v>
      </c>
      <c r="AD68" s="190">
        <v>4946000000</v>
      </c>
      <c r="AE68" s="190">
        <v>3486000000</v>
      </c>
      <c r="AF68" s="190">
        <v>1874000000</v>
      </c>
      <c r="AG68" s="190">
        <v>6847000000</v>
      </c>
      <c r="AH68" s="190">
        <v>5285000000</v>
      </c>
      <c r="AI68" s="190">
        <v>3649000000</v>
      </c>
      <c r="AJ68" s="190">
        <v>1433000000</v>
      </c>
      <c r="AK68" s="190">
        <v>7016000000</v>
      </c>
      <c r="AL68" s="190">
        <v>5735000000</v>
      </c>
      <c r="AM68" s="190">
        <v>3881000000</v>
      </c>
      <c r="AN68" s="190">
        <v>2281000000</v>
      </c>
      <c r="AO68" s="190">
        <v>8723000000</v>
      </c>
      <c r="AP68" s="190">
        <v>6706000000</v>
      </c>
      <c r="AQ68" s="190">
        <v>3658000000</v>
      </c>
      <c r="AR68" s="190">
        <v>765000000</v>
      </c>
      <c r="AS68" s="190">
        <v>4890000000</v>
      </c>
      <c r="AT68" s="190">
        <v>4088000000</v>
      </c>
      <c r="AU68" s="190">
        <v>2696000000</v>
      </c>
      <c r="AV68" s="190">
        <v>1457000000</v>
      </c>
      <c r="AW68" s="190">
        <v>6729000000</v>
      </c>
      <c r="AX68" s="190">
        <v>5227000000</v>
      </c>
      <c r="AY68" s="190">
        <v>3522000000</v>
      </c>
      <c r="AZ68" s="190">
        <v>1606000000</v>
      </c>
      <c r="BA68" s="190">
        <v>5266000000</v>
      </c>
      <c r="BB68" s="190">
        <v>3916000000</v>
      </c>
      <c r="BC68" s="190">
        <v>2852000000</v>
      </c>
      <c r="BD68" s="190">
        <v>1372000000</v>
      </c>
      <c r="BE68" s="190">
        <v>4331000000</v>
      </c>
      <c r="BF68" s="190">
        <v>3161000000</v>
      </c>
      <c r="BG68" s="190">
        <v>2094000000</v>
      </c>
      <c r="BH68" s="190">
        <v>1162000000</v>
      </c>
      <c r="BI68" s="190">
        <v>4129000000</v>
      </c>
      <c r="BJ68" s="190">
        <v>3385000000</v>
      </c>
      <c r="BK68" s="190">
        <v>2234000000</v>
      </c>
      <c r="BL68" s="190">
        <v>1168000000</v>
      </c>
      <c r="BM68" s="190">
        <v>4327000000</v>
      </c>
      <c r="BN68" s="190">
        <v>3609000000</v>
      </c>
      <c r="BO68" s="190">
        <v>2452000000</v>
      </c>
      <c r="BP68" s="190">
        <v>999000000</v>
      </c>
      <c r="BQ68" s="190">
        <v>3596000000</v>
      </c>
      <c r="BR68" s="190">
        <v>2297000000</v>
      </c>
      <c r="BS68" s="190">
        <v>4843000000</v>
      </c>
      <c r="BT68" s="190">
        <v>8085000000</v>
      </c>
      <c r="BU68" s="190">
        <v>8416000000</v>
      </c>
      <c r="BV68" s="190">
        <v>0</v>
      </c>
      <c r="BW68" s="190">
        <v>-15086567.960000001</v>
      </c>
      <c r="BX68" s="190">
        <v>-9593131.2100000009</v>
      </c>
      <c r="BY68" s="190">
        <v>-42791521.079999998</v>
      </c>
      <c r="BZ68" s="190">
        <v>-3834295.55</v>
      </c>
      <c r="CA68" s="190">
        <v>11835075.34</v>
      </c>
      <c r="CB68" s="190">
        <v>16252757.800000001</v>
      </c>
      <c r="CC68" s="190">
        <v>12407743.33</v>
      </c>
      <c r="CD68" s="190">
        <v>0</v>
      </c>
      <c r="CE68" s="190">
        <v>0</v>
      </c>
      <c r="CF68" s="190">
        <v>0</v>
      </c>
      <c r="CG68" s="190">
        <v>0</v>
      </c>
      <c r="CH68" s="190">
        <v>0</v>
      </c>
      <c r="CI68" s="190">
        <v>0</v>
      </c>
      <c r="CJ68" s="190">
        <v>0</v>
      </c>
      <c r="CK68" s="190">
        <v>0</v>
      </c>
    </row>
    <row r="69" spans="1:89" x14ac:dyDescent="0.25">
      <c r="A69" s="22" t="s">
        <v>102</v>
      </c>
      <c r="B69" s="31">
        <v>0.08</v>
      </c>
      <c r="C69" s="31">
        <v>0.08</v>
      </c>
      <c r="D69" s="31">
        <v>0.08</v>
      </c>
      <c r="E69" s="31">
        <v>0.08</v>
      </c>
      <c r="F69" s="31">
        <v>0.08</v>
      </c>
      <c r="G69" s="31">
        <v>0.08</v>
      </c>
      <c r="H69" s="31">
        <v>0.08</v>
      </c>
      <c r="I69" s="31">
        <v>0.08</v>
      </c>
      <c r="J69" s="31">
        <v>0.08</v>
      </c>
      <c r="K69" s="31">
        <v>0.08</v>
      </c>
      <c r="L69" s="31">
        <v>0.08</v>
      </c>
      <c r="M69" s="31">
        <v>0.08</v>
      </c>
      <c r="N69" s="31">
        <v>0.08</v>
      </c>
      <c r="O69" s="31">
        <v>0.08</v>
      </c>
      <c r="P69" s="31">
        <v>0.08</v>
      </c>
      <c r="Q69" s="31">
        <v>0.08</v>
      </c>
      <c r="R69" s="31">
        <v>0.08</v>
      </c>
      <c r="S69" s="31">
        <v>0.08</v>
      </c>
      <c r="T69" s="31">
        <v>0.08</v>
      </c>
      <c r="U69" s="31">
        <v>0.08</v>
      </c>
      <c r="V69" s="31">
        <v>0.08</v>
      </c>
      <c r="W69" s="31">
        <v>0.08</v>
      </c>
      <c r="X69" s="31">
        <v>0.08</v>
      </c>
      <c r="Y69" s="31">
        <v>0.08</v>
      </c>
      <c r="Z69" s="31">
        <v>0.08</v>
      </c>
      <c r="AA69" s="31">
        <v>0.08</v>
      </c>
      <c r="AB69" s="31">
        <v>0.08</v>
      </c>
      <c r="AC69" s="31">
        <v>0.08</v>
      </c>
      <c r="AD69" s="31">
        <v>0.08</v>
      </c>
      <c r="AE69" s="31">
        <v>0.08</v>
      </c>
      <c r="AF69" s="31">
        <v>0.08</v>
      </c>
      <c r="AG69" s="31">
        <v>0.08</v>
      </c>
      <c r="AH69" s="31">
        <v>0.08</v>
      </c>
      <c r="AI69" s="31">
        <v>0.08</v>
      </c>
      <c r="AJ69" s="31">
        <v>0.08</v>
      </c>
      <c r="AK69" s="31">
        <v>0.08</v>
      </c>
      <c r="AL69" s="31">
        <v>0.08</v>
      </c>
      <c r="AM69" s="31">
        <v>0.08</v>
      </c>
      <c r="AN69" s="31">
        <v>0.08</v>
      </c>
      <c r="AO69" s="31">
        <v>0.08</v>
      </c>
      <c r="AP69" s="31">
        <v>0.08</v>
      </c>
      <c r="AQ69" s="31">
        <v>0.08</v>
      </c>
      <c r="AR69" s="31">
        <v>0.08</v>
      </c>
      <c r="AS69" s="31">
        <v>0.08</v>
      </c>
      <c r="AT69" s="31">
        <v>0.08</v>
      </c>
      <c r="AU69" s="31">
        <v>0.08</v>
      </c>
      <c r="AV69" s="31">
        <v>0.08</v>
      </c>
      <c r="AW69" s="31">
        <v>0.08</v>
      </c>
      <c r="AX69" s="31">
        <v>0.08</v>
      </c>
      <c r="AY69" s="31">
        <v>0.08</v>
      </c>
      <c r="AZ69" s="31">
        <v>0.08</v>
      </c>
      <c r="BA69" s="31">
        <v>0.08</v>
      </c>
      <c r="BB69" s="31">
        <v>0.08</v>
      </c>
      <c r="BC69" s="31">
        <v>0.08</v>
      </c>
      <c r="BD69" s="31">
        <v>0.08</v>
      </c>
      <c r="BE69" s="31">
        <v>0.08</v>
      </c>
      <c r="BF69" s="31">
        <v>0.08</v>
      </c>
      <c r="BG69" s="31">
        <v>0.08</v>
      </c>
      <c r="BH69" s="31">
        <v>0.08</v>
      </c>
      <c r="BI69" s="31">
        <v>0.08</v>
      </c>
      <c r="BJ69" s="31">
        <v>0.08</v>
      </c>
      <c r="BK69" s="31">
        <v>0.08</v>
      </c>
      <c r="BL69" s="31">
        <v>0.08</v>
      </c>
      <c r="BM69" s="31">
        <v>0.08</v>
      </c>
      <c r="BN69" s="31">
        <v>0.08</v>
      </c>
      <c r="BO69" s="31">
        <v>0.08</v>
      </c>
      <c r="BP69" s="31">
        <v>0.08</v>
      </c>
      <c r="BQ69" s="31">
        <v>0.08</v>
      </c>
      <c r="BR69" s="31">
        <v>0.08</v>
      </c>
      <c r="BS69" s="31">
        <v>0.08</v>
      </c>
      <c r="BT69" s="31">
        <v>0.08</v>
      </c>
      <c r="BU69" s="31">
        <v>0.08</v>
      </c>
      <c r="BV69" s="31">
        <v>0.08</v>
      </c>
      <c r="BW69" s="31">
        <v>0.08</v>
      </c>
      <c r="BX69" s="31">
        <v>0.08</v>
      </c>
      <c r="BY69" s="31">
        <v>0.08</v>
      </c>
      <c r="BZ69" s="31">
        <v>0.08</v>
      </c>
      <c r="CA69" s="31">
        <v>0.08</v>
      </c>
      <c r="CB69" s="31">
        <v>0.08</v>
      </c>
      <c r="CC69" s="31">
        <v>0.08</v>
      </c>
      <c r="CD69" s="31">
        <v>0.08</v>
      </c>
      <c r="CE69" s="31">
        <v>0.08</v>
      </c>
      <c r="CF69" s="31">
        <v>0.08</v>
      </c>
      <c r="CG69" s="31">
        <v>0.08</v>
      </c>
      <c r="CH69" s="31">
        <v>0.08</v>
      </c>
      <c r="CI69" s="31">
        <v>0.08</v>
      </c>
      <c r="CJ69" s="31">
        <v>0.08</v>
      </c>
      <c r="CK69" s="4"/>
    </row>
    <row r="70" spans="1:89" x14ac:dyDescent="0.25">
      <c r="A70" s="22" t="s">
        <v>103</v>
      </c>
      <c r="B70" s="190">
        <v>862725000000</v>
      </c>
      <c r="C70" s="190">
        <v>857311000000</v>
      </c>
      <c r="D70" s="190">
        <v>877316000000</v>
      </c>
      <c r="E70" s="190">
        <v>854070000000</v>
      </c>
      <c r="F70" s="190">
        <v>845425000000</v>
      </c>
      <c r="G70" s="190">
        <v>845826000000</v>
      </c>
      <c r="H70" s="190">
        <v>853607000000</v>
      </c>
      <c r="I70" s="190">
        <v>832525000000</v>
      </c>
      <c r="J70" s="190">
        <v>813502000000</v>
      </c>
      <c r="K70" s="190">
        <v>809983000000</v>
      </c>
      <c r="L70" s="190">
        <v>796505000000</v>
      </c>
      <c r="M70" s="190">
        <v>785623000000</v>
      </c>
      <c r="N70" s="190">
        <v>785521000000</v>
      </c>
      <c r="O70" s="190">
        <v>788418000000</v>
      </c>
      <c r="P70" s="190">
        <v>774054000000</v>
      </c>
      <c r="Q70" s="190">
        <v>647095000000</v>
      </c>
      <c r="R70" s="190">
        <v>650980000000</v>
      </c>
      <c r="S70" s="190">
        <v>643121000000</v>
      </c>
      <c r="T70" s="190">
        <v>641059000000</v>
      </c>
      <c r="U70" s="190">
        <v>623260000000</v>
      </c>
      <c r="V70" s="190">
        <v>599936000000</v>
      </c>
      <c r="W70" s="190">
        <v>587377000000</v>
      </c>
      <c r="X70" s="190">
        <v>588013000000</v>
      </c>
      <c r="Y70" s="190">
        <v>550601000000</v>
      </c>
      <c r="Z70" s="190">
        <v>530222000000</v>
      </c>
      <c r="AA70" s="190">
        <v>519221000000</v>
      </c>
      <c r="AB70" s="190">
        <v>525457000000</v>
      </c>
      <c r="AC70" s="190">
        <v>509525000000</v>
      </c>
      <c r="AD70" s="190">
        <v>500873000000</v>
      </c>
      <c r="AE70" s="190">
        <v>488615000000</v>
      </c>
      <c r="AF70" s="190">
        <v>478854000000</v>
      </c>
      <c r="AG70" s="190">
        <v>452682000000</v>
      </c>
      <c r="AH70" s="190">
        <v>436002000000</v>
      </c>
      <c r="AI70" s="190">
        <v>427883000000</v>
      </c>
      <c r="AJ70" s="190">
        <v>416953000000</v>
      </c>
      <c r="AK70" s="190">
        <v>400585000000</v>
      </c>
      <c r="AL70" s="190">
        <v>387750000000</v>
      </c>
      <c r="AM70" s="190">
        <v>376760000000</v>
      </c>
      <c r="AN70" s="190">
        <v>362880000000</v>
      </c>
      <c r="AO70" s="190">
        <v>350946000000</v>
      </c>
      <c r="AP70" s="190">
        <v>334316000000</v>
      </c>
      <c r="AQ70" s="190">
        <v>331299000000</v>
      </c>
      <c r="AR70" s="190">
        <v>340332000000</v>
      </c>
      <c r="AS70" s="190">
        <v>326347000000</v>
      </c>
      <c r="AT70" s="190">
        <v>317110000000</v>
      </c>
      <c r="AU70" s="190">
        <v>307023000000</v>
      </c>
      <c r="AV70" s="190">
        <v>300191000000</v>
      </c>
      <c r="AW70" s="190">
        <v>276860000000</v>
      </c>
      <c r="AX70" s="190">
        <v>257109000000</v>
      </c>
      <c r="AY70" s="190">
        <v>248628000000</v>
      </c>
      <c r="AZ70" s="190">
        <v>254206000000</v>
      </c>
      <c r="BA70" s="190">
        <v>245006000000</v>
      </c>
      <c r="BB70" s="190">
        <v>231729000000</v>
      </c>
      <c r="BC70" s="190">
        <v>226745000000</v>
      </c>
      <c r="BD70" s="190">
        <v>228202000000</v>
      </c>
      <c r="BE70" s="190">
        <v>217566000000</v>
      </c>
      <c r="BF70" s="190">
        <v>207527000000</v>
      </c>
      <c r="BG70" s="190">
        <v>200186000000</v>
      </c>
      <c r="BH70" s="190">
        <v>197563000000</v>
      </c>
      <c r="BI70" s="190">
        <v>189023000000</v>
      </c>
      <c r="BJ70" s="190">
        <v>183975000000</v>
      </c>
      <c r="BK70" s="190">
        <v>180805000000</v>
      </c>
      <c r="BL70" s="190">
        <v>177065000000</v>
      </c>
      <c r="BM70" s="190">
        <v>175826000000</v>
      </c>
      <c r="BN70" s="190">
        <v>170169000000</v>
      </c>
      <c r="BO70" s="190">
        <v>165727000000</v>
      </c>
      <c r="BP70" s="190">
        <v>162666000000</v>
      </c>
      <c r="BQ70" s="190">
        <v>162447000000</v>
      </c>
      <c r="BR70" s="190">
        <v>151390000000</v>
      </c>
      <c r="BS70" s="190">
        <v>144092000000</v>
      </c>
      <c r="BT70" s="190">
        <v>0</v>
      </c>
      <c r="BU70" s="190"/>
      <c r="BV70" s="190"/>
      <c r="BW70" s="190">
        <v>2420499366.4499998</v>
      </c>
      <c r="BX70" s="190">
        <v>2089698452.7</v>
      </c>
      <c r="BY70" s="190">
        <v>1764990217.6700001</v>
      </c>
      <c r="BZ70" s="190">
        <v>1864618529.46</v>
      </c>
      <c r="CA70" s="190">
        <v>392384778.43000001</v>
      </c>
      <c r="CB70" s="190">
        <v>264958379.21000001</v>
      </c>
      <c r="CC70" s="190">
        <v>225967479.94999999</v>
      </c>
      <c r="CD70" s="190">
        <v>0</v>
      </c>
      <c r="CE70" s="190">
        <v>1079738000</v>
      </c>
      <c r="CF70" s="190">
        <v>1004228352.76</v>
      </c>
      <c r="CG70" s="190">
        <v>492689900.37</v>
      </c>
      <c r="CH70" s="190">
        <v>0</v>
      </c>
      <c r="CI70" s="190">
        <v>0</v>
      </c>
      <c r="CJ70" s="190">
        <v>0</v>
      </c>
      <c r="CK70" s="190">
        <v>0</v>
      </c>
    </row>
  </sheetData>
  <phoneticPr fontId="1" type="noConversion"/>
  <pageMargins left="0.7" right="0.7" top="0.75" bottom="0.75" header="0.3" footer="0.3"/>
  <pageSetup paperSize="9" orientation="portrait" r:id="rId1"/>
  <ignoredErrors>
    <ignoredError sqref="AS56" formulaRange="1"/>
  </ignoredErrors>
  <drawing r:id="rId2"/>
  <tableParts count="3">
    <tablePart r:id="rId3"/>
    <tablePart r:id="rId4"/>
    <tablePart r:id="rId5"/>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投资和筹资活动现金流表"/>
  <dimension ref="A1:BV51"/>
  <sheetViews>
    <sheetView topLeftCell="I31" zoomScale="95" zoomScaleNormal="95" workbookViewId="0">
      <selection activeCell="AK42" sqref="AK42"/>
    </sheetView>
  </sheetViews>
  <sheetFormatPr defaultRowHeight="14.4" x14ac:dyDescent="0.25"/>
  <cols>
    <col min="1" max="1" width="77.5546875" style="17" bestFit="1" customWidth="1"/>
    <col min="2" max="3" width="22.6640625" hidden="1" customWidth="1"/>
    <col min="4" max="4" width="25" hidden="1" customWidth="1"/>
    <col min="5" max="5" width="25" bestFit="1" customWidth="1"/>
    <col min="6" max="8" width="25" hidden="1" customWidth="1"/>
    <col min="9" max="9" width="25" bestFit="1" customWidth="1"/>
    <col min="10" max="12" width="25" hidden="1" customWidth="1"/>
    <col min="13" max="13" width="25" bestFit="1" customWidth="1"/>
    <col min="14" max="16" width="25" hidden="1" customWidth="1"/>
    <col min="17" max="17" width="25" bestFit="1" customWidth="1"/>
    <col min="18" max="19" width="25" hidden="1" customWidth="1"/>
    <col min="20" max="20" width="22.6640625" hidden="1" customWidth="1"/>
    <col min="21" max="21" width="25" bestFit="1" customWidth="1"/>
    <col min="22" max="24" width="22.6640625" hidden="1" customWidth="1"/>
    <col min="25" max="25" width="22.6640625" bestFit="1" customWidth="1"/>
    <col min="26" max="28" width="22.6640625" hidden="1" customWidth="1"/>
    <col min="29" max="29" width="22.6640625" bestFit="1" customWidth="1"/>
    <col min="30" max="32" width="22.6640625" hidden="1" customWidth="1"/>
    <col min="33" max="33" width="22.6640625" bestFit="1" customWidth="1"/>
    <col min="34" max="36" width="22.6640625" hidden="1" customWidth="1"/>
    <col min="37" max="37" width="22.6640625" bestFit="1" customWidth="1"/>
    <col min="38" max="40" width="22.6640625" hidden="1" customWidth="1"/>
    <col min="41" max="41" width="22.6640625" bestFit="1" customWidth="1"/>
    <col min="42" max="44" width="22.6640625" hidden="1" customWidth="1"/>
    <col min="45" max="45" width="22.6640625" bestFit="1" customWidth="1"/>
    <col min="46" max="48" width="22.6640625" hidden="1" customWidth="1"/>
    <col min="49" max="49" width="22.6640625" bestFit="1" customWidth="1"/>
    <col min="50" max="52" width="22.6640625" hidden="1" customWidth="1"/>
    <col min="53" max="53" width="22.6640625" bestFit="1" customWidth="1"/>
    <col min="54" max="56" width="22.6640625" hidden="1" customWidth="1"/>
    <col min="57" max="57" width="22.6640625" bestFit="1" customWidth="1"/>
    <col min="58" max="60" width="22.6640625" hidden="1" customWidth="1"/>
    <col min="61" max="61" width="22.6640625" bestFit="1" customWidth="1"/>
    <col min="62" max="64" width="22.6640625" hidden="1" customWidth="1"/>
    <col min="65" max="65" width="22.6640625" bestFit="1" customWidth="1"/>
    <col min="66" max="66" width="22.6640625" hidden="1" customWidth="1"/>
    <col min="67" max="67" width="22.6640625" bestFit="1" customWidth="1"/>
    <col min="68" max="68" width="22.6640625" hidden="1" customWidth="1"/>
    <col min="69" max="69" width="22.6640625" bestFit="1" customWidth="1"/>
    <col min="70" max="70" width="22.6640625" hidden="1" customWidth="1"/>
    <col min="71" max="71" width="22.6640625" bestFit="1" customWidth="1"/>
    <col min="72" max="72" width="14.6640625" hidden="1" customWidth="1"/>
    <col min="73" max="73" width="20.33203125" bestFit="1" customWidth="1"/>
    <col min="74" max="74" width="12.21875" hidden="1" customWidth="1"/>
  </cols>
  <sheetData>
    <row r="1" spans="1:74" s="6" customFormat="1" x14ac:dyDescent="0.25">
      <c r="A1" s="104">
        <v>600028</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37437</v>
      </c>
      <c r="BO1" s="1">
        <v>37256</v>
      </c>
      <c r="BP1" s="1">
        <v>37072</v>
      </c>
      <c r="BQ1" s="1">
        <v>36891</v>
      </c>
      <c r="BR1" s="1">
        <v>25569</v>
      </c>
      <c r="BS1" s="1">
        <v>36525</v>
      </c>
      <c r="BT1" s="1">
        <v>36341</v>
      </c>
      <c r="BU1" s="1">
        <v>36160</v>
      </c>
      <c r="BV1" s="1">
        <v>25569</v>
      </c>
    </row>
    <row r="2" spans="1:74" s="45" customFormat="1" x14ac:dyDescent="0.25">
      <c r="A2" s="46" t="s">
        <v>292</v>
      </c>
    </row>
    <row r="3" spans="1:74" s="26" customFormat="1" x14ac:dyDescent="0.25">
      <c r="A3" s="17" t="s">
        <v>320</v>
      </c>
      <c r="B3" s="190">
        <v>8490000000</v>
      </c>
      <c r="C3" s="190">
        <v>7480000000</v>
      </c>
      <c r="D3" s="190">
        <v>0</v>
      </c>
      <c r="E3" s="190">
        <v>1313000000</v>
      </c>
      <c r="F3" s="190">
        <v>530000000</v>
      </c>
      <c r="G3" s="190">
        <v>216000000</v>
      </c>
      <c r="H3" s="190">
        <v>106000000</v>
      </c>
      <c r="I3" s="190">
        <v>440000000</v>
      </c>
      <c r="J3" s="190">
        <v>375000000</v>
      </c>
      <c r="K3" s="190">
        <v>306000000</v>
      </c>
      <c r="L3" s="190">
        <v>63000000</v>
      </c>
      <c r="M3" s="190">
        <v>454000000</v>
      </c>
      <c r="N3" s="190">
        <v>413000000</v>
      </c>
      <c r="O3" s="190">
        <v>222000000</v>
      </c>
      <c r="P3" s="190">
        <v>57000000</v>
      </c>
      <c r="Q3" s="190">
        <v>1020000000</v>
      </c>
      <c r="R3" s="190">
        <v>547000000</v>
      </c>
      <c r="S3" s="190">
        <v>494000000</v>
      </c>
      <c r="T3" s="190">
        <v>222000000</v>
      </c>
      <c r="U3" s="190">
        <v>1550000000</v>
      </c>
      <c r="V3" s="190">
        <v>980000000</v>
      </c>
      <c r="W3" s="190">
        <v>902000000</v>
      </c>
      <c r="X3" s="190">
        <v>58000000</v>
      </c>
      <c r="Y3" s="190">
        <v>325000000</v>
      </c>
      <c r="Z3" s="190">
        <v>240000000</v>
      </c>
      <c r="AA3" s="190">
        <v>166000000</v>
      </c>
      <c r="AB3" s="190">
        <v>14000000</v>
      </c>
      <c r="AC3" s="190">
        <v>1216000000</v>
      </c>
      <c r="AD3" s="190">
        <v>243000000</v>
      </c>
      <c r="AE3" s="190">
        <v>168000000</v>
      </c>
      <c r="AF3" s="190">
        <v>13000000</v>
      </c>
      <c r="AG3" s="190">
        <v>16145000000</v>
      </c>
      <c r="AH3" s="190">
        <v>15736000000</v>
      </c>
      <c r="AI3" s="190">
        <v>13082000000</v>
      </c>
      <c r="AJ3" s="190">
        <v>12000000</v>
      </c>
      <c r="AK3" s="190">
        <v>692000000</v>
      </c>
      <c r="AL3" s="190">
        <v>458000000</v>
      </c>
      <c r="AM3" s="190">
        <v>430000000</v>
      </c>
      <c r="AN3" s="190">
        <v>90000000</v>
      </c>
      <c r="AO3" s="190">
        <v>602000000</v>
      </c>
      <c r="AP3" s="190">
        <v>165000000</v>
      </c>
      <c r="AQ3" s="190">
        <v>109000000</v>
      </c>
      <c r="AR3" s="190">
        <v>44000000</v>
      </c>
      <c r="AS3" s="190">
        <v>446000000</v>
      </c>
      <c r="AT3" s="190">
        <v>178000000</v>
      </c>
      <c r="AU3" s="190">
        <v>156000000</v>
      </c>
      <c r="AV3" s="190">
        <v>21000000</v>
      </c>
      <c r="AW3" s="190">
        <v>349000000</v>
      </c>
      <c r="AX3" s="190">
        <v>312000000</v>
      </c>
      <c r="AY3" s="190">
        <v>166000000</v>
      </c>
      <c r="AZ3" s="190">
        <v>20000000</v>
      </c>
      <c r="BA3" s="190">
        <v>510000000</v>
      </c>
      <c r="BB3" s="190">
        <v>332000000</v>
      </c>
      <c r="BC3" s="190">
        <v>201000000</v>
      </c>
      <c r="BD3" s="190">
        <v>0</v>
      </c>
      <c r="BE3" s="190">
        <v>315000000</v>
      </c>
      <c r="BF3" s="190">
        <v>234000000</v>
      </c>
      <c r="BG3" s="190">
        <v>187000000</v>
      </c>
      <c r="BH3" s="190">
        <v>26000000</v>
      </c>
      <c r="BI3" s="190">
        <v>380000000</v>
      </c>
      <c r="BJ3" s="190">
        <v>346000000</v>
      </c>
      <c r="BK3" s="190">
        <v>279000000</v>
      </c>
      <c r="BL3" s="190">
        <v>137000000</v>
      </c>
      <c r="BM3" s="190">
        <v>579000000</v>
      </c>
      <c r="BN3" s="190">
        <v>360000000</v>
      </c>
      <c r="BO3" s="190">
        <v>374000000</v>
      </c>
      <c r="BP3" s="190">
        <v>70000000</v>
      </c>
      <c r="BQ3" s="190">
        <v>151000000</v>
      </c>
      <c r="BR3" s="190">
        <v>0</v>
      </c>
      <c r="BS3" s="190">
        <v>52101.23</v>
      </c>
      <c r="BT3" s="190">
        <v>1680</v>
      </c>
      <c r="BU3" s="190">
        <v>25980.76</v>
      </c>
      <c r="BV3" s="190">
        <v>0</v>
      </c>
    </row>
    <row r="4" spans="1:74" s="26" customFormat="1" x14ac:dyDescent="0.25">
      <c r="A4" s="17" t="s">
        <v>304</v>
      </c>
      <c r="B4" s="190">
        <v>54464000000</v>
      </c>
      <c r="C4" s="190">
        <v>35084000000</v>
      </c>
      <c r="D4" s="190">
        <v>17901000000</v>
      </c>
      <c r="E4" s="190">
        <v>70948000000</v>
      </c>
      <c r="F4" s="190">
        <v>43992000000</v>
      </c>
      <c r="G4" s="190">
        <v>28742000000</v>
      </c>
      <c r="H4" s="190">
        <v>15184000000</v>
      </c>
      <c r="I4" s="190">
        <v>72847000000</v>
      </c>
      <c r="J4" s="190">
        <v>45909000000</v>
      </c>
      <c r="K4" s="190">
        <v>31353000000</v>
      </c>
      <c r="L4" s="190">
        <v>18961000000</v>
      </c>
      <c r="M4" s="190">
        <v>102657000000</v>
      </c>
      <c r="N4" s="190">
        <v>71363000000</v>
      </c>
      <c r="O4" s="190">
        <v>52911000000</v>
      </c>
      <c r="P4" s="190">
        <v>33417000000</v>
      </c>
      <c r="Q4" s="190">
        <v>124381000000</v>
      </c>
      <c r="R4" s="190">
        <v>84649000000</v>
      </c>
      <c r="S4" s="190">
        <v>59266000000</v>
      </c>
      <c r="T4" s="190">
        <v>34663000000</v>
      </c>
      <c r="U4" s="190">
        <v>154946000000</v>
      </c>
      <c r="V4" s="190">
        <v>98012000000</v>
      </c>
      <c r="W4" s="190">
        <v>62870000000</v>
      </c>
      <c r="X4" s="190">
        <v>48240000000</v>
      </c>
      <c r="Y4" s="190">
        <v>158148000000</v>
      </c>
      <c r="Z4" s="190">
        <v>95421000000</v>
      </c>
      <c r="AA4" s="190">
        <v>77126000000</v>
      </c>
      <c r="AB4" s="190">
        <v>34385000000</v>
      </c>
      <c r="AC4" s="190">
        <v>142813000000</v>
      </c>
      <c r="AD4" s="190">
        <v>70023000000</v>
      </c>
      <c r="AE4" s="190">
        <v>53782000000</v>
      </c>
      <c r="AF4" s="190">
        <v>28298000000</v>
      </c>
      <c r="AG4" s="190">
        <v>114711000000</v>
      </c>
      <c r="AH4" s="190">
        <v>65449000000</v>
      </c>
      <c r="AI4" s="190">
        <v>48239000000</v>
      </c>
      <c r="AJ4" s="190">
        <v>29287000000</v>
      </c>
      <c r="AK4" s="190">
        <v>114063000000</v>
      </c>
      <c r="AL4" s="190">
        <v>68758000000</v>
      </c>
      <c r="AM4" s="190">
        <v>43668000000</v>
      </c>
      <c r="AN4" s="190">
        <v>16915000000</v>
      </c>
      <c r="AO4" s="190">
        <v>108575000000</v>
      </c>
      <c r="AP4" s="190">
        <v>70645000000</v>
      </c>
      <c r="AQ4" s="190">
        <v>44880000000</v>
      </c>
      <c r="AR4" s="190">
        <v>15457000000</v>
      </c>
      <c r="AS4" s="190">
        <v>110638000000</v>
      </c>
      <c r="AT4" s="190">
        <v>66629000000</v>
      </c>
      <c r="AU4" s="190">
        <v>40599000000</v>
      </c>
      <c r="AV4" s="190">
        <v>16274000000</v>
      </c>
      <c r="AW4" s="190">
        <v>77083000000</v>
      </c>
      <c r="AX4" s="190">
        <v>46817000000</v>
      </c>
      <c r="AY4" s="190">
        <v>30953000000</v>
      </c>
      <c r="AZ4" s="190">
        <v>15047000000</v>
      </c>
      <c r="BA4" s="190">
        <v>67505000000</v>
      </c>
      <c r="BB4" s="190">
        <v>41096000000</v>
      </c>
      <c r="BC4" s="190">
        <v>28235000000</v>
      </c>
      <c r="BD4" s="190">
        <v>13019000000</v>
      </c>
      <c r="BE4" s="190">
        <v>66693000000</v>
      </c>
      <c r="BF4" s="190">
        <v>43781000000</v>
      </c>
      <c r="BG4" s="190">
        <v>29792000000</v>
      </c>
      <c r="BH4" s="190">
        <v>11458000000</v>
      </c>
      <c r="BI4" s="190">
        <v>48073000000</v>
      </c>
      <c r="BJ4" s="190">
        <v>27132000000</v>
      </c>
      <c r="BK4" s="190">
        <v>20814000000</v>
      </c>
      <c r="BL4" s="190">
        <v>8960000000</v>
      </c>
      <c r="BM4" s="190">
        <v>43066000000</v>
      </c>
      <c r="BN4" s="190">
        <v>15596000000</v>
      </c>
      <c r="BO4" s="190">
        <v>56300000000</v>
      </c>
      <c r="BP4" s="190">
        <v>20795000000</v>
      </c>
      <c r="BQ4" s="190">
        <v>43090000000</v>
      </c>
      <c r="BR4" s="190">
        <v>0</v>
      </c>
      <c r="BS4" s="190">
        <v>94153230.329999998</v>
      </c>
      <c r="BT4" s="190">
        <v>6757461.4400000004</v>
      </c>
      <c r="BU4" s="190">
        <v>585117171</v>
      </c>
      <c r="BV4" s="190">
        <v>0</v>
      </c>
    </row>
    <row r="5" spans="1:74" s="47" customFormat="1" x14ac:dyDescent="0.25">
      <c r="A5" s="135" t="s">
        <v>295</v>
      </c>
      <c r="E5" s="47">
        <f>E4-E3</f>
        <v>69635000000</v>
      </c>
      <c r="F5" s="47">
        <f t="shared" ref="F5:AR5" si="0">F4-F3</f>
        <v>43462000000</v>
      </c>
      <c r="G5" s="47">
        <f t="shared" si="0"/>
        <v>28526000000</v>
      </c>
      <c r="H5" s="47">
        <f t="shared" si="0"/>
        <v>15078000000</v>
      </c>
      <c r="I5" s="47">
        <f t="shared" si="0"/>
        <v>72407000000</v>
      </c>
      <c r="J5" s="47">
        <f t="shared" si="0"/>
        <v>45534000000</v>
      </c>
      <c r="K5" s="47">
        <f t="shared" si="0"/>
        <v>31047000000</v>
      </c>
      <c r="L5" s="47">
        <f t="shared" si="0"/>
        <v>18898000000</v>
      </c>
      <c r="M5" s="47">
        <f t="shared" si="0"/>
        <v>102203000000</v>
      </c>
      <c r="N5" s="47">
        <f t="shared" si="0"/>
        <v>70950000000</v>
      </c>
      <c r="O5" s="47">
        <f t="shared" si="0"/>
        <v>52689000000</v>
      </c>
      <c r="P5" s="47">
        <f t="shared" si="0"/>
        <v>33360000000</v>
      </c>
      <c r="Q5" s="47">
        <f t="shared" si="0"/>
        <v>123361000000</v>
      </c>
      <c r="R5" s="47">
        <f t="shared" si="0"/>
        <v>84102000000</v>
      </c>
      <c r="S5" s="47">
        <f t="shared" si="0"/>
        <v>58772000000</v>
      </c>
      <c r="T5" s="47">
        <f t="shared" si="0"/>
        <v>34441000000</v>
      </c>
      <c r="U5" s="47">
        <f t="shared" si="0"/>
        <v>153396000000</v>
      </c>
      <c r="V5" s="47">
        <f t="shared" si="0"/>
        <v>97032000000</v>
      </c>
      <c r="W5" s="47">
        <f t="shared" si="0"/>
        <v>61968000000</v>
      </c>
      <c r="X5" s="47">
        <f t="shared" si="0"/>
        <v>48182000000</v>
      </c>
      <c r="Y5" s="47">
        <f t="shared" si="0"/>
        <v>157823000000</v>
      </c>
      <c r="Z5" s="47">
        <f t="shared" si="0"/>
        <v>95181000000</v>
      </c>
      <c r="AA5" s="47">
        <f t="shared" si="0"/>
        <v>76960000000</v>
      </c>
      <c r="AB5" s="47">
        <f t="shared" si="0"/>
        <v>34371000000</v>
      </c>
      <c r="AC5" s="47">
        <f t="shared" si="0"/>
        <v>141597000000</v>
      </c>
      <c r="AD5" s="47">
        <f t="shared" si="0"/>
        <v>69780000000</v>
      </c>
      <c r="AE5" s="47">
        <f t="shared" si="0"/>
        <v>53614000000</v>
      </c>
      <c r="AF5" s="47">
        <f t="shared" si="0"/>
        <v>28285000000</v>
      </c>
      <c r="AG5" s="47">
        <f t="shared" si="0"/>
        <v>98566000000</v>
      </c>
      <c r="AH5" s="47">
        <f t="shared" si="0"/>
        <v>49713000000</v>
      </c>
      <c r="AI5" s="47">
        <f t="shared" si="0"/>
        <v>35157000000</v>
      </c>
      <c r="AJ5" s="47">
        <f t="shared" si="0"/>
        <v>29275000000</v>
      </c>
      <c r="AK5" s="47">
        <f t="shared" si="0"/>
        <v>113371000000</v>
      </c>
      <c r="AL5" s="47">
        <f t="shared" si="0"/>
        <v>68300000000</v>
      </c>
      <c r="AM5" s="47">
        <f t="shared" si="0"/>
        <v>43238000000</v>
      </c>
      <c r="AN5" s="47">
        <f t="shared" si="0"/>
        <v>16825000000</v>
      </c>
      <c r="AO5" s="47">
        <f t="shared" si="0"/>
        <v>107973000000</v>
      </c>
      <c r="AP5" s="47">
        <f t="shared" si="0"/>
        <v>70480000000</v>
      </c>
      <c r="AQ5" s="47">
        <f t="shared" si="0"/>
        <v>44771000000</v>
      </c>
      <c r="AR5" s="47">
        <f t="shared" si="0"/>
        <v>15413000000</v>
      </c>
    </row>
    <row r="6" spans="1:74" s="105" customFormat="1" x14ac:dyDescent="0.25">
      <c r="A6" s="136" t="s">
        <v>305</v>
      </c>
      <c r="B6" s="190">
        <v>0</v>
      </c>
      <c r="C6" s="190">
        <v>46777000000</v>
      </c>
      <c r="D6" s="190">
        <v>0</v>
      </c>
      <c r="E6" s="190">
        <v>106149000000</v>
      </c>
      <c r="F6" s="190">
        <v>0</v>
      </c>
      <c r="G6" s="190">
        <v>50862000000</v>
      </c>
      <c r="H6" s="190">
        <v>0</v>
      </c>
      <c r="I6" s="190">
        <v>99592000000</v>
      </c>
      <c r="J6" s="190">
        <v>0</v>
      </c>
      <c r="K6" s="190">
        <v>44869000000</v>
      </c>
      <c r="L6" s="190">
        <v>0</v>
      </c>
      <c r="M6" s="190">
        <v>87069000000</v>
      </c>
      <c r="N6" s="190">
        <v>0</v>
      </c>
      <c r="O6" s="190">
        <v>41155000000</v>
      </c>
      <c r="P6" s="190">
        <v>0</v>
      </c>
      <c r="Q6" s="190">
        <v>82156000000</v>
      </c>
      <c r="R6" s="190">
        <v>0</v>
      </c>
      <c r="S6" s="190">
        <v>39573000000</v>
      </c>
      <c r="T6" s="190">
        <v>0</v>
      </c>
      <c r="U6" s="190">
        <v>74853000000</v>
      </c>
      <c r="V6" s="190">
        <v>0</v>
      </c>
      <c r="W6" s="190">
        <v>36254000000</v>
      </c>
      <c r="X6" s="190">
        <v>0</v>
      </c>
      <c r="Y6" s="190">
        <v>68180000000</v>
      </c>
      <c r="Z6" s="190">
        <v>0</v>
      </c>
      <c r="AA6" s="190">
        <v>33589000000</v>
      </c>
      <c r="AB6" s="190">
        <v>0</v>
      </c>
      <c r="AC6" s="190">
        <v>0</v>
      </c>
      <c r="AD6" s="190">
        <v>0</v>
      </c>
      <c r="AE6" s="190">
        <v>29779000000</v>
      </c>
      <c r="AF6" s="190">
        <v>0</v>
      </c>
      <c r="AG6" s="190">
        <v>57974000000</v>
      </c>
      <c r="AH6" s="190">
        <v>0</v>
      </c>
      <c r="AI6" s="190">
        <v>26195000000</v>
      </c>
      <c r="AJ6" s="190">
        <v>0</v>
      </c>
      <c r="AK6" s="190">
        <v>49515000000</v>
      </c>
      <c r="AL6" s="190">
        <v>0</v>
      </c>
      <c r="AM6" s="190">
        <v>24103000000</v>
      </c>
      <c r="AN6" s="190">
        <v>0</v>
      </c>
      <c r="AO6" s="190">
        <v>45012000000</v>
      </c>
      <c r="AP6" s="190">
        <v>0</v>
      </c>
      <c r="AQ6" s="190">
        <v>20631000000</v>
      </c>
      <c r="AR6" s="190">
        <v>0</v>
      </c>
      <c r="AS6" s="190">
        <v>42138000000</v>
      </c>
      <c r="AT6" s="190">
        <v>28809000000</v>
      </c>
      <c r="AU6" s="190">
        <v>19000000000</v>
      </c>
      <c r="AV6" s="190">
        <v>9497000000</v>
      </c>
      <c r="AW6" s="190">
        <v>33627000000</v>
      </c>
      <c r="AX6" s="190">
        <v>24688000000</v>
      </c>
      <c r="AY6" s="190">
        <v>16292000000</v>
      </c>
      <c r="AZ6" s="190">
        <v>7956000000</v>
      </c>
      <c r="BA6" s="190">
        <v>30845000000</v>
      </c>
      <c r="BB6" s="190">
        <v>22797000000</v>
      </c>
      <c r="BC6" s="190">
        <v>15107000000</v>
      </c>
      <c r="BD6" s="190">
        <v>7545000000</v>
      </c>
      <c r="BE6" s="190">
        <v>30766000000</v>
      </c>
      <c r="BF6" s="190">
        <v>22038000000</v>
      </c>
      <c r="BG6" s="190">
        <v>14749000000</v>
      </c>
      <c r="BH6" s="190">
        <v>6907000000</v>
      </c>
      <c r="BI6" s="190">
        <v>27151000000</v>
      </c>
      <c r="BJ6" s="190">
        <v>20148000000</v>
      </c>
      <c r="BK6" s="190">
        <v>13542000000</v>
      </c>
      <c r="BL6" s="190">
        <v>6744000000</v>
      </c>
      <c r="BM6" s="190">
        <v>26327000000</v>
      </c>
      <c r="BN6" s="190">
        <v>12484000000</v>
      </c>
      <c r="BO6" s="190">
        <v>24659000000</v>
      </c>
      <c r="BP6" s="190">
        <v>11860000000</v>
      </c>
      <c r="BQ6" s="190">
        <v>24150000000</v>
      </c>
      <c r="BR6" s="190">
        <v>0</v>
      </c>
      <c r="BS6" s="190">
        <v>56928281.189999998</v>
      </c>
      <c r="BT6" s="190">
        <v>29633190.559999999</v>
      </c>
      <c r="BU6" s="190">
        <v>42460875.850000001</v>
      </c>
      <c r="BV6" s="190">
        <v>0</v>
      </c>
    </row>
    <row r="7" spans="1:74" s="26" customFormat="1" x14ac:dyDescent="0.25">
      <c r="A7" s="17" t="s">
        <v>306</v>
      </c>
      <c r="B7" s="190">
        <v>0</v>
      </c>
      <c r="C7" s="190">
        <v>5125000000</v>
      </c>
      <c r="D7" s="190">
        <v>0</v>
      </c>
      <c r="E7" s="190">
        <v>9161000000</v>
      </c>
      <c r="F7" s="190">
        <v>0</v>
      </c>
      <c r="G7" s="190">
        <v>4355000000</v>
      </c>
      <c r="H7" s="190">
        <v>0</v>
      </c>
      <c r="I7" s="190">
        <v>8833000000</v>
      </c>
      <c r="J7" s="190">
        <v>0</v>
      </c>
      <c r="K7" s="190">
        <v>4236000000</v>
      </c>
      <c r="L7" s="190">
        <v>0</v>
      </c>
      <c r="M7" s="190">
        <v>9299000000</v>
      </c>
      <c r="N7" s="190">
        <v>0</v>
      </c>
      <c r="O7" s="190">
        <v>5094000000</v>
      </c>
      <c r="P7" s="190">
        <v>0</v>
      </c>
      <c r="Q7" s="190">
        <v>7941000000</v>
      </c>
      <c r="R7" s="190">
        <v>0</v>
      </c>
      <c r="S7" s="190">
        <v>3660000000</v>
      </c>
      <c r="T7" s="190">
        <v>0</v>
      </c>
      <c r="U7" s="190">
        <v>6412000000</v>
      </c>
      <c r="V7" s="190">
        <v>0</v>
      </c>
      <c r="W7" s="190">
        <v>2715000000</v>
      </c>
      <c r="X7" s="190">
        <v>0</v>
      </c>
      <c r="Y7" s="190">
        <v>2276000000</v>
      </c>
      <c r="Z7" s="190">
        <v>0</v>
      </c>
      <c r="AA7" s="190">
        <v>945000000</v>
      </c>
      <c r="AB7" s="190">
        <v>0</v>
      </c>
      <c r="AC7" s="190">
        <v>1561000000</v>
      </c>
      <c r="AD7" s="190">
        <v>0</v>
      </c>
      <c r="AE7" s="190">
        <v>731000000</v>
      </c>
      <c r="AF7" s="190">
        <v>0</v>
      </c>
      <c r="AG7" s="190">
        <v>1279000000</v>
      </c>
      <c r="AH7" s="190">
        <v>0</v>
      </c>
      <c r="AI7" s="190">
        <v>620000000</v>
      </c>
      <c r="AJ7" s="190">
        <v>0</v>
      </c>
      <c r="AK7" s="190">
        <v>1002000000</v>
      </c>
      <c r="AL7" s="190">
        <v>0</v>
      </c>
      <c r="AM7" s="190">
        <v>496000000</v>
      </c>
      <c r="AN7" s="190">
        <v>0</v>
      </c>
      <c r="AO7" s="190">
        <v>841000000</v>
      </c>
      <c r="AP7" s="190">
        <v>0</v>
      </c>
      <c r="AQ7" s="190">
        <v>483000000</v>
      </c>
      <c r="AR7" s="190">
        <v>0</v>
      </c>
      <c r="AS7" s="190">
        <v>1246000000</v>
      </c>
      <c r="AT7" s="190">
        <v>663000000</v>
      </c>
      <c r="AU7" s="190">
        <v>369000000</v>
      </c>
      <c r="AV7" s="190">
        <v>130000000</v>
      </c>
      <c r="AW7" s="190">
        <v>633000000</v>
      </c>
      <c r="AX7" s="190">
        <v>424000000</v>
      </c>
      <c r="AY7" s="190">
        <v>341000000</v>
      </c>
      <c r="AZ7" s="190">
        <v>139000000</v>
      </c>
      <c r="BA7" s="190">
        <v>986000000</v>
      </c>
      <c r="BB7" s="190">
        <v>465000000</v>
      </c>
      <c r="BC7" s="190">
        <v>305000000</v>
      </c>
      <c r="BD7" s="190">
        <v>133000000</v>
      </c>
      <c r="BE7" s="190">
        <v>476000000</v>
      </c>
      <c r="BF7" s="190">
        <v>383000000</v>
      </c>
      <c r="BG7" s="190">
        <v>287000000</v>
      </c>
      <c r="BH7" s="190">
        <v>140000000</v>
      </c>
      <c r="BI7" s="190">
        <v>520000000</v>
      </c>
      <c r="BJ7" s="190">
        <v>231000000</v>
      </c>
      <c r="BK7" s="190">
        <v>153000000</v>
      </c>
      <c r="BL7" s="190">
        <v>105000000</v>
      </c>
      <c r="BM7" s="190">
        <v>286000000</v>
      </c>
      <c r="BN7" s="190">
        <v>219000000</v>
      </c>
      <c r="BO7" s="190">
        <v>260000000</v>
      </c>
      <c r="BP7" s="190">
        <v>82000000</v>
      </c>
      <c r="BQ7" s="190">
        <v>136000000</v>
      </c>
      <c r="BR7" s="190">
        <v>0</v>
      </c>
      <c r="BS7" s="190">
        <v>16746446.949999999</v>
      </c>
      <c r="BT7" s="190">
        <v>1394056.95</v>
      </c>
      <c r="BU7" s="190">
        <v>2442875.52</v>
      </c>
      <c r="BV7" s="190">
        <v>0</v>
      </c>
    </row>
    <row r="8" spans="1:74" s="26" customFormat="1" x14ac:dyDescent="0.25">
      <c r="A8" s="17" t="s">
        <v>307</v>
      </c>
      <c r="B8" s="190">
        <v>0</v>
      </c>
      <c r="C8" s="190">
        <v>0</v>
      </c>
      <c r="D8" s="190">
        <v>0</v>
      </c>
      <c r="E8" s="190">
        <v>0</v>
      </c>
      <c r="F8" s="190">
        <v>0</v>
      </c>
      <c r="G8" s="190">
        <v>0</v>
      </c>
      <c r="H8" s="190">
        <v>0</v>
      </c>
      <c r="I8" s="190">
        <v>0</v>
      </c>
      <c r="J8" s="190">
        <v>0</v>
      </c>
      <c r="K8" s="190">
        <v>0</v>
      </c>
      <c r="L8" s="190">
        <v>0</v>
      </c>
      <c r="M8" s="190">
        <v>0</v>
      </c>
      <c r="N8" s="190">
        <v>0</v>
      </c>
      <c r="O8" s="190">
        <v>0</v>
      </c>
      <c r="P8" s="190">
        <v>0</v>
      </c>
      <c r="Q8" s="190">
        <v>0</v>
      </c>
      <c r="R8" s="190">
        <v>0</v>
      </c>
      <c r="S8" s="190">
        <v>0</v>
      </c>
      <c r="T8" s="190">
        <v>0</v>
      </c>
      <c r="U8" s="190">
        <v>0</v>
      </c>
      <c r="V8" s="190">
        <v>0</v>
      </c>
      <c r="W8" s="190">
        <v>0</v>
      </c>
      <c r="X8" s="190">
        <v>0</v>
      </c>
      <c r="Y8" s="190">
        <v>0</v>
      </c>
      <c r="Z8" s="190">
        <v>0</v>
      </c>
      <c r="AA8" s="190">
        <v>0</v>
      </c>
      <c r="AB8" s="190">
        <v>0</v>
      </c>
      <c r="AC8" s="190">
        <v>0</v>
      </c>
      <c r="AD8" s="190">
        <v>0</v>
      </c>
      <c r="AE8" s="190">
        <v>0</v>
      </c>
      <c r="AF8" s="190">
        <v>0</v>
      </c>
      <c r="AG8" s="190">
        <v>0</v>
      </c>
      <c r="AH8" s="190">
        <v>0</v>
      </c>
      <c r="AI8" s="190">
        <v>0</v>
      </c>
      <c r="AJ8" s="190">
        <v>0</v>
      </c>
      <c r="AK8" s="190">
        <v>0</v>
      </c>
      <c r="AL8" s="190">
        <v>0</v>
      </c>
      <c r="AM8" s="190">
        <v>0</v>
      </c>
      <c r="AN8" s="190">
        <v>0</v>
      </c>
      <c r="AO8" s="190">
        <v>0</v>
      </c>
      <c r="AP8" s="190">
        <v>0</v>
      </c>
      <c r="AQ8" s="190">
        <v>0</v>
      </c>
      <c r="AR8" s="190">
        <v>0</v>
      </c>
      <c r="AS8" s="190">
        <v>0</v>
      </c>
      <c r="AT8" s="190">
        <v>0</v>
      </c>
      <c r="AU8" s="190">
        <v>0</v>
      </c>
      <c r="AV8" s="190">
        <v>0</v>
      </c>
      <c r="AW8" s="190">
        <v>0</v>
      </c>
      <c r="AX8" s="190">
        <v>0</v>
      </c>
      <c r="AY8" s="190">
        <v>0</v>
      </c>
      <c r="AZ8" s="190">
        <v>0</v>
      </c>
      <c r="BA8" s="190">
        <v>0</v>
      </c>
      <c r="BB8" s="190">
        <v>0</v>
      </c>
      <c r="BC8" s="190">
        <v>0</v>
      </c>
      <c r="BD8" s="190">
        <v>0</v>
      </c>
      <c r="BE8" s="190">
        <v>0</v>
      </c>
      <c r="BF8" s="190">
        <v>0</v>
      </c>
      <c r="BG8" s="190">
        <v>0</v>
      </c>
      <c r="BH8" s="190">
        <v>0</v>
      </c>
      <c r="BI8" s="190">
        <v>0</v>
      </c>
      <c r="BJ8" s="190">
        <v>0</v>
      </c>
      <c r="BK8" s="190">
        <v>0</v>
      </c>
      <c r="BL8" s="190">
        <v>0</v>
      </c>
      <c r="BM8" s="190">
        <v>0</v>
      </c>
      <c r="BN8" s="190">
        <v>0</v>
      </c>
      <c r="BO8" s="190">
        <v>0</v>
      </c>
      <c r="BP8" s="190">
        <v>0</v>
      </c>
      <c r="BQ8" s="190">
        <v>0</v>
      </c>
      <c r="BR8" s="190">
        <v>0</v>
      </c>
      <c r="BS8" s="190">
        <v>0</v>
      </c>
      <c r="BT8" s="190">
        <v>0</v>
      </c>
      <c r="BU8" s="190">
        <v>0</v>
      </c>
      <c r="BV8" s="190">
        <v>0</v>
      </c>
    </row>
    <row r="9" spans="1:74" s="26" customFormat="1" x14ac:dyDescent="0.25">
      <c r="A9" s="17" t="s">
        <v>308</v>
      </c>
      <c r="B9" s="190">
        <v>0</v>
      </c>
      <c r="C9" s="190">
        <v>-218000000</v>
      </c>
      <c r="D9" s="190">
        <v>0</v>
      </c>
      <c r="E9" s="190">
        <v>1518000000</v>
      </c>
      <c r="F9" s="190">
        <v>0</v>
      </c>
      <c r="G9" s="190">
        <v>98000000</v>
      </c>
      <c r="H9" s="190">
        <v>0</v>
      </c>
      <c r="I9" s="190">
        <v>1528000000</v>
      </c>
      <c r="J9" s="190">
        <v>0</v>
      </c>
      <c r="K9" s="190">
        <v>-7000000</v>
      </c>
      <c r="L9" s="190">
        <v>0</v>
      </c>
      <c r="M9" s="190">
        <v>721000000</v>
      </c>
      <c r="N9" s="190">
        <v>0</v>
      </c>
      <c r="O9" s="190">
        <v>61000000</v>
      </c>
      <c r="P9" s="190">
        <v>0</v>
      </c>
      <c r="Q9" s="190">
        <v>1622000000</v>
      </c>
      <c r="R9" s="190">
        <v>0</v>
      </c>
      <c r="S9" s="190">
        <v>561000000</v>
      </c>
      <c r="T9" s="190">
        <v>0</v>
      </c>
      <c r="U9" s="190">
        <v>826000000</v>
      </c>
      <c r="V9" s="190">
        <v>0</v>
      </c>
      <c r="W9" s="190">
        <v>95000000</v>
      </c>
      <c r="X9" s="190">
        <v>0</v>
      </c>
      <c r="Y9" s="190">
        <v>-16000000</v>
      </c>
      <c r="Z9" s="190">
        <v>0</v>
      </c>
      <c r="AA9" s="190">
        <v>0</v>
      </c>
      <c r="AB9" s="190">
        <v>0</v>
      </c>
      <c r="AC9" s="190">
        <v>0</v>
      </c>
      <c r="AD9" s="190">
        <v>0</v>
      </c>
      <c r="AE9" s="190">
        <v>0</v>
      </c>
      <c r="AF9" s="190">
        <v>0</v>
      </c>
      <c r="AG9" s="190">
        <v>0</v>
      </c>
      <c r="AH9" s="190">
        <v>0</v>
      </c>
      <c r="AI9" s="190">
        <v>0</v>
      </c>
      <c r="AJ9" s="190">
        <v>0</v>
      </c>
      <c r="AK9" s="190">
        <v>0</v>
      </c>
      <c r="AL9" s="190">
        <v>0</v>
      </c>
      <c r="AM9" s="190">
        <v>0</v>
      </c>
      <c r="AN9" s="190">
        <v>0</v>
      </c>
      <c r="AO9" s="190">
        <v>0</v>
      </c>
      <c r="AP9" s="190">
        <v>0</v>
      </c>
      <c r="AQ9" s="190">
        <v>0</v>
      </c>
      <c r="AR9" s="190">
        <v>0</v>
      </c>
      <c r="AS9" s="190">
        <v>0</v>
      </c>
      <c r="AT9" s="190">
        <v>0</v>
      </c>
      <c r="AU9" s="190">
        <v>0</v>
      </c>
      <c r="AV9" s="190">
        <v>-11000000</v>
      </c>
      <c r="AW9" s="190">
        <v>1646000000</v>
      </c>
      <c r="AX9" s="190">
        <v>-6000000</v>
      </c>
      <c r="AY9" s="190">
        <v>13000000</v>
      </c>
      <c r="AZ9" s="190">
        <v>3000000</v>
      </c>
      <c r="BA9" s="190">
        <v>2202000000</v>
      </c>
      <c r="BB9" s="190">
        <v>-18000000</v>
      </c>
      <c r="BC9" s="190">
        <v>21000000</v>
      </c>
      <c r="BD9" s="190">
        <v>306000000</v>
      </c>
      <c r="BE9" s="190">
        <v>3989000000</v>
      </c>
      <c r="BF9" s="190">
        <v>3021000000</v>
      </c>
      <c r="BG9" s="190">
        <v>1376000000</v>
      </c>
      <c r="BH9" s="190">
        <v>844000000</v>
      </c>
      <c r="BI9" s="190">
        <v>3291000000</v>
      </c>
      <c r="BJ9" s="190">
        <v>1703000000</v>
      </c>
      <c r="BK9" s="190">
        <v>234000000</v>
      </c>
      <c r="BL9" s="190">
        <v>55000000</v>
      </c>
      <c r="BM9" s="190">
        <v>663000000</v>
      </c>
      <c r="BN9" s="190">
        <v>92000000</v>
      </c>
      <c r="BO9" s="190">
        <v>107000000</v>
      </c>
      <c r="BP9" s="190">
        <v>258000000</v>
      </c>
      <c r="BQ9" s="190">
        <v>778000000</v>
      </c>
      <c r="BR9" s="190">
        <v>0</v>
      </c>
      <c r="BS9" s="190">
        <v>169771.53</v>
      </c>
      <c r="BT9" s="190">
        <v>-1680</v>
      </c>
      <c r="BU9" s="190">
        <v>0</v>
      </c>
      <c r="BV9" s="190">
        <v>0</v>
      </c>
    </row>
    <row r="10" spans="1:74" s="26" customFormat="1" x14ac:dyDescent="0.25">
      <c r="A10" s="17" t="s">
        <v>309</v>
      </c>
      <c r="B10" s="190">
        <v>0</v>
      </c>
      <c r="C10" s="190">
        <v>0</v>
      </c>
      <c r="D10" s="190">
        <v>0</v>
      </c>
      <c r="E10" s="190">
        <v>0</v>
      </c>
      <c r="F10" s="190">
        <v>0</v>
      </c>
      <c r="G10" s="190">
        <v>0</v>
      </c>
      <c r="H10" s="190">
        <v>0</v>
      </c>
      <c r="I10" s="190">
        <v>0</v>
      </c>
      <c r="J10" s="190">
        <v>0</v>
      </c>
      <c r="K10" s="190">
        <v>0</v>
      </c>
      <c r="L10" s="190">
        <v>0</v>
      </c>
      <c r="M10" s="190">
        <v>0</v>
      </c>
      <c r="N10" s="190">
        <v>0</v>
      </c>
      <c r="O10" s="190">
        <v>0</v>
      </c>
      <c r="P10" s="190">
        <v>0</v>
      </c>
      <c r="Q10" s="190">
        <v>0</v>
      </c>
      <c r="R10" s="190">
        <v>0</v>
      </c>
      <c r="S10" s="190">
        <v>0</v>
      </c>
      <c r="T10" s="190">
        <v>0</v>
      </c>
      <c r="U10" s="190">
        <v>0</v>
      </c>
      <c r="V10" s="190">
        <v>0</v>
      </c>
      <c r="W10" s="190">
        <v>0</v>
      </c>
      <c r="X10" s="190">
        <v>0</v>
      </c>
      <c r="Y10" s="190">
        <v>0</v>
      </c>
      <c r="Z10" s="190">
        <v>0</v>
      </c>
      <c r="AA10" s="190">
        <v>0</v>
      </c>
      <c r="AB10" s="190">
        <v>0</v>
      </c>
      <c r="AC10" s="190">
        <v>62255000000</v>
      </c>
      <c r="AD10" s="190">
        <v>0</v>
      </c>
      <c r="AE10" s="190">
        <v>-541000000</v>
      </c>
      <c r="AF10" s="190">
        <v>0</v>
      </c>
      <c r="AG10" s="190">
        <v>-253000000</v>
      </c>
      <c r="AH10" s="190">
        <v>0</v>
      </c>
      <c r="AI10" s="190">
        <v>-361000000</v>
      </c>
      <c r="AJ10" s="190">
        <v>0</v>
      </c>
      <c r="AK10" s="190">
        <v>-211000000</v>
      </c>
      <c r="AL10" s="190">
        <v>0</v>
      </c>
      <c r="AM10" s="190">
        <v>-168000000</v>
      </c>
      <c r="AN10" s="190">
        <v>0</v>
      </c>
      <c r="AO10" s="190">
        <v>-248000000</v>
      </c>
      <c r="AP10" s="190">
        <v>0</v>
      </c>
      <c r="AQ10" s="190">
        <v>-97000000</v>
      </c>
      <c r="AR10" s="190">
        <v>0</v>
      </c>
      <c r="AS10" s="190">
        <v>-766000000</v>
      </c>
      <c r="AT10" s="190">
        <v>294000000</v>
      </c>
      <c r="AU10" s="190">
        <v>290000000</v>
      </c>
      <c r="AV10" s="190">
        <v>0</v>
      </c>
      <c r="AW10" s="190">
        <v>0</v>
      </c>
      <c r="AX10" s="190">
        <v>0</v>
      </c>
      <c r="AY10" s="190">
        <v>0</v>
      </c>
      <c r="AZ10" s="190">
        <v>0</v>
      </c>
      <c r="BA10" s="190">
        <v>0</v>
      </c>
      <c r="BB10" s="190">
        <v>0</v>
      </c>
      <c r="BC10" s="190">
        <v>0</v>
      </c>
      <c r="BD10" s="190">
        <v>0</v>
      </c>
      <c r="BE10" s="190">
        <v>0</v>
      </c>
      <c r="BF10" s="190">
        <v>0</v>
      </c>
      <c r="BG10" s="190">
        <v>0</v>
      </c>
      <c r="BH10" s="190">
        <v>0</v>
      </c>
      <c r="BI10" s="190">
        <v>0</v>
      </c>
      <c r="BJ10" s="190">
        <v>0</v>
      </c>
      <c r="BK10" s="190">
        <v>0</v>
      </c>
      <c r="BL10" s="190">
        <v>0</v>
      </c>
      <c r="BM10" s="190">
        <v>0</v>
      </c>
      <c r="BN10" s="190">
        <v>0</v>
      </c>
      <c r="BO10" s="190">
        <v>0</v>
      </c>
      <c r="BP10" s="190">
        <v>0</v>
      </c>
      <c r="BQ10" s="190">
        <v>0</v>
      </c>
      <c r="BR10" s="190">
        <v>0</v>
      </c>
      <c r="BS10" s="190">
        <v>0</v>
      </c>
      <c r="BT10" s="190">
        <v>7101</v>
      </c>
      <c r="BU10" s="190">
        <v>0</v>
      </c>
      <c r="BV10" s="190">
        <v>0</v>
      </c>
    </row>
    <row r="11" spans="1:74" s="47" customFormat="1" x14ac:dyDescent="0.25">
      <c r="A11" s="135" t="s">
        <v>296</v>
      </c>
      <c r="E11" s="47">
        <f>E5-E6-E7-E8-E9-E10</f>
        <v>-47193000000</v>
      </c>
      <c r="F11" s="47">
        <f t="shared" ref="F11:BQ11" si="1">F5-F6-F7-F8-F9-F10</f>
        <v>43462000000</v>
      </c>
      <c r="G11" s="47">
        <f t="shared" si="1"/>
        <v>-26789000000</v>
      </c>
      <c r="H11" s="47">
        <f t="shared" si="1"/>
        <v>15078000000</v>
      </c>
      <c r="I11" s="47">
        <f t="shared" si="1"/>
        <v>-37546000000</v>
      </c>
      <c r="J11" s="47">
        <f t="shared" si="1"/>
        <v>45534000000</v>
      </c>
      <c r="K11" s="47">
        <f t="shared" si="1"/>
        <v>-18051000000</v>
      </c>
      <c r="L11" s="47">
        <f t="shared" si="1"/>
        <v>18898000000</v>
      </c>
      <c r="M11" s="47">
        <f t="shared" si="1"/>
        <v>5114000000</v>
      </c>
      <c r="N11" s="47">
        <f t="shared" si="1"/>
        <v>70950000000</v>
      </c>
      <c r="O11" s="47">
        <f t="shared" si="1"/>
        <v>6379000000</v>
      </c>
      <c r="P11" s="47">
        <f t="shared" si="1"/>
        <v>33360000000</v>
      </c>
      <c r="Q11" s="47">
        <f t="shared" si="1"/>
        <v>31642000000</v>
      </c>
      <c r="R11" s="47">
        <f t="shared" si="1"/>
        <v>84102000000</v>
      </c>
      <c r="S11" s="47">
        <f t="shared" si="1"/>
        <v>14978000000</v>
      </c>
      <c r="T11" s="47">
        <f t="shared" si="1"/>
        <v>34441000000</v>
      </c>
      <c r="U11" s="47">
        <f t="shared" si="1"/>
        <v>71305000000</v>
      </c>
      <c r="V11" s="47">
        <f t="shared" si="1"/>
        <v>97032000000</v>
      </c>
      <c r="W11" s="47">
        <f t="shared" si="1"/>
        <v>22904000000</v>
      </c>
      <c r="X11" s="47">
        <f t="shared" si="1"/>
        <v>48182000000</v>
      </c>
      <c r="Y11" s="47">
        <f t="shared" si="1"/>
        <v>87383000000</v>
      </c>
      <c r="Z11" s="47">
        <f t="shared" si="1"/>
        <v>95181000000</v>
      </c>
      <c r="AA11" s="47">
        <f t="shared" si="1"/>
        <v>42426000000</v>
      </c>
      <c r="AB11" s="47">
        <f t="shared" si="1"/>
        <v>34371000000</v>
      </c>
      <c r="AC11" s="47">
        <f t="shared" si="1"/>
        <v>77781000000</v>
      </c>
      <c r="AD11" s="47">
        <f t="shared" si="1"/>
        <v>69780000000</v>
      </c>
      <c r="AE11" s="47">
        <f t="shared" si="1"/>
        <v>23645000000</v>
      </c>
      <c r="AF11" s="47">
        <f t="shared" si="1"/>
        <v>28285000000</v>
      </c>
      <c r="AG11" s="47">
        <f t="shared" si="1"/>
        <v>39566000000</v>
      </c>
      <c r="AH11" s="47">
        <f t="shared" si="1"/>
        <v>49713000000</v>
      </c>
      <c r="AI11" s="47">
        <f t="shared" si="1"/>
        <v>8703000000</v>
      </c>
      <c r="AJ11" s="47">
        <f t="shared" si="1"/>
        <v>29275000000</v>
      </c>
      <c r="AK11" s="47">
        <f t="shared" si="1"/>
        <v>63065000000</v>
      </c>
      <c r="AL11" s="47">
        <f t="shared" si="1"/>
        <v>68300000000</v>
      </c>
      <c r="AM11" s="47">
        <f t="shared" si="1"/>
        <v>18807000000</v>
      </c>
      <c r="AN11" s="47">
        <f t="shared" si="1"/>
        <v>16825000000</v>
      </c>
      <c r="AO11" s="47">
        <f t="shared" si="1"/>
        <v>62368000000</v>
      </c>
      <c r="AP11" s="47">
        <f t="shared" si="1"/>
        <v>70480000000</v>
      </c>
      <c r="AQ11" s="47">
        <f t="shared" si="1"/>
        <v>23754000000</v>
      </c>
      <c r="AR11" s="47">
        <f t="shared" si="1"/>
        <v>15413000000</v>
      </c>
      <c r="AS11" s="47">
        <f t="shared" si="1"/>
        <v>-42618000000</v>
      </c>
      <c r="AT11" s="47">
        <f t="shared" si="1"/>
        <v>-29766000000</v>
      </c>
      <c r="AU11" s="47">
        <f t="shared" si="1"/>
        <v>-19659000000</v>
      </c>
      <c r="AV11" s="47">
        <f t="shared" si="1"/>
        <v>-9616000000</v>
      </c>
      <c r="AW11" s="47">
        <f t="shared" si="1"/>
        <v>-35906000000</v>
      </c>
      <c r="AX11" s="47">
        <f t="shared" si="1"/>
        <v>-25106000000</v>
      </c>
      <c r="AY11" s="47">
        <f t="shared" si="1"/>
        <v>-16646000000</v>
      </c>
      <c r="AZ11" s="47">
        <f t="shared" si="1"/>
        <v>-8098000000</v>
      </c>
      <c r="BA11" s="47">
        <f t="shared" si="1"/>
        <v>-34033000000</v>
      </c>
      <c r="BB11" s="47">
        <f t="shared" si="1"/>
        <v>-23244000000</v>
      </c>
      <c r="BC11" s="47">
        <f t="shared" si="1"/>
        <v>-15433000000</v>
      </c>
      <c r="BD11" s="47">
        <f t="shared" si="1"/>
        <v>-7984000000</v>
      </c>
      <c r="BE11" s="47">
        <f t="shared" si="1"/>
        <v>-35231000000</v>
      </c>
      <c r="BF11" s="47">
        <f t="shared" si="1"/>
        <v>-25442000000</v>
      </c>
      <c r="BG11" s="47">
        <f t="shared" si="1"/>
        <v>-16412000000</v>
      </c>
      <c r="BH11" s="47">
        <f t="shared" si="1"/>
        <v>-7891000000</v>
      </c>
      <c r="BI11" s="47">
        <f t="shared" si="1"/>
        <v>-30962000000</v>
      </c>
      <c r="BJ11" s="47">
        <f t="shared" si="1"/>
        <v>-22082000000</v>
      </c>
      <c r="BK11" s="47">
        <f t="shared" si="1"/>
        <v>-13929000000</v>
      </c>
      <c r="BL11" s="47">
        <f t="shared" si="1"/>
        <v>-6904000000</v>
      </c>
      <c r="BM11" s="47">
        <f t="shared" si="1"/>
        <v>-27276000000</v>
      </c>
      <c r="BN11" s="47">
        <f t="shared" si="1"/>
        <v>-12795000000</v>
      </c>
      <c r="BO11" s="47">
        <f t="shared" si="1"/>
        <v>-25026000000</v>
      </c>
      <c r="BP11" s="47">
        <f t="shared" si="1"/>
        <v>-12200000000</v>
      </c>
      <c r="BQ11" s="47">
        <f t="shared" si="1"/>
        <v>-25064000000</v>
      </c>
      <c r="BR11" s="47">
        <f t="shared" ref="BR11:BS11" si="2">BR5-BR6-BR7-BR8-BR9-BR10</f>
        <v>0</v>
      </c>
      <c r="BS11" s="47">
        <f t="shared" si="2"/>
        <v>-73844499.670000002</v>
      </c>
    </row>
    <row r="12" spans="1:74" s="26" customFormat="1" x14ac:dyDescent="0.25">
      <c r="A12" s="17" t="s">
        <v>297</v>
      </c>
      <c r="E12" s="26">
        <f t="shared" ref="E12:Q12" si="3">I34</f>
        <v>1068587000000</v>
      </c>
      <c r="F12" s="26">
        <f t="shared" si="3"/>
        <v>1056732000000</v>
      </c>
      <c r="G12" s="26">
        <f t="shared" si="3"/>
        <v>1067496000000</v>
      </c>
      <c r="H12" s="26">
        <f t="shared" si="3"/>
        <v>1073558000000</v>
      </c>
      <c r="I12" s="26">
        <f t="shared" si="3"/>
        <v>1094127000000</v>
      </c>
      <c r="J12" s="26">
        <f t="shared" si="3"/>
        <v>1059646000000</v>
      </c>
      <c r="K12" s="26">
        <f t="shared" si="3"/>
        <v>1067444000000</v>
      </c>
      <c r="L12" s="26">
        <f t="shared" si="3"/>
        <v>1071351000000</v>
      </c>
      <c r="M12" s="26">
        <f t="shared" si="3"/>
        <v>1084075000000</v>
      </c>
      <c r="N12" s="26">
        <f t="shared" si="3"/>
        <v>1023614000000</v>
      </c>
      <c r="O12" s="26">
        <f t="shared" si="3"/>
        <v>1002560000000</v>
      </c>
      <c r="P12" s="26">
        <f t="shared" si="3"/>
        <v>996205000000</v>
      </c>
      <c r="Q12" s="26">
        <f t="shared" si="3"/>
        <v>1003651000000</v>
      </c>
      <c r="R12" s="193">
        <f t="shared" ref="R12" si="4">V34</f>
        <v>936549000000</v>
      </c>
      <c r="S12" s="193">
        <f t="shared" ref="S12" si="5">W34</f>
        <v>902846000000</v>
      </c>
      <c r="T12" s="193">
        <f t="shared" ref="T12" si="6">X34</f>
        <v>898315000000</v>
      </c>
      <c r="U12" s="193">
        <f t="shared" ref="U12" si="7">Y34</f>
        <v>887514000000</v>
      </c>
      <c r="V12" s="193">
        <f t="shared" ref="V12" si="8">Z34</f>
        <v>832374000000</v>
      </c>
      <c r="W12" s="193">
        <f t="shared" ref="W12" si="9">AA34</f>
        <v>817733000000</v>
      </c>
      <c r="X12" s="193">
        <f t="shared" ref="X12" si="10">AB34</f>
        <v>798169000000</v>
      </c>
      <c r="Y12" s="193">
        <f t="shared" ref="Y12" si="11">AC34</f>
        <v>794253000000</v>
      </c>
      <c r="Z12" s="193">
        <f t="shared" ref="Z12" si="12">AD34</f>
        <v>738927000000</v>
      </c>
      <c r="AA12" s="193">
        <f t="shared" ref="AA12" si="13">AE34</f>
        <v>731606000000</v>
      </c>
      <c r="AB12" s="193">
        <f t="shared" ref="AB12" si="14">AF34</f>
        <v>727353000000</v>
      </c>
      <c r="AC12" s="193">
        <f t="shared" ref="AC12" si="15">AG34</f>
        <v>727641000000</v>
      </c>
      <c r="AD12" s="193">
        <f t="shared" ref="AD12" si="16">AH34</f>
        <v>680297000000</v>
      </c>
      <c r="AE12" s="193">
        <f t="shared" ref="AE12" si="17">AI34</f>
        <v>656668000000</v>
      </c>
      <c r="AF12" s="193">
        <f t="shared" ref="AF12" si="18">AJ34</f>
        <v>651859000000</v>
      </c>
      <c r="AG12" s="193">
        <f t="shared" ref="AG12" si="19">AK34</f>
        <v>663089000000</v>
      </c>
      <c r="AH12" s="193">
        <f t="shared" ref="AH12" si="20">AL34</f>
        <v>627391000000</v>
      </c>
      <c r="AI12" s="193">
        <f t="shared" ref="AI12" si="21">AM34</f>
        <v>615590000000</v>
      </c>
      <c r="AJ12" s="193">
        <f t="shared" ref="AJ12" si="22">AN34</f>
        <v>594051000000</v>
      </c>
      <c r="AK12" s="193">
        <f t="shared" ref="AK12" si="23">AO34</f>
        <v>589900000000</v>
      </c>
      <c r="AL12" s="193">
        <f t="shared" ref="AL12" si="24">AP34</f>
        <v>553027000000</v>
      </c>
      <c r="AM12" s="193">
        <f t="shared" ref="AM12" si="25">AQ34</f>
        <v>544808000000</v>
      </c>
      <c r="AN12" s="193">
        <f t="shared" ref="AN12" si="26">AR34</f>
        <v>528122000000</v>
      </c>
      <c r="AO12" s="193">
        <f t="shared" ref="AO12" si="27">AS34</f>
        <v>521347000000</v>
      </c>
      <c r="AP12" s="193">
        <f t="shared" ref="AP12" si="28">AT34</f>
        <v>474886000000</v>
      </c>
      <c r="AQ12" s="193">
        <f t="shared" ref="AQ12" si="29">AU34</f>
        <v>459425000000</v>
      </c>
      <c r="AR12" s="193">
        <f t="shared" ref="AR12" si="30">AV34</f>
        <v>450726000000</v>
      </c>
      <c r="AS12" s="193">
        <f t="shared" ref="AS12" si="31">AW34</f>
        <v>452450000000</v>
      </c>
      <c r="AT12" s="193">
        <f t="shared" ref="AT12" si="32">AX34</f>
        <v>412750000000</v>
      </c>
      <c r="AU12" s="193">
        <f t="shared" ref="AU12" si="33">AY34</f>
        <v>407537000000</v>
      </c>
      <c r="AV12" s="193">
        <f t="shared" ref="AV12" si="34">AZ34</f>
        <v>385885000000</v>
      </c>
      <c r="AW12" s="193">
        <f t="shared" ref="AW12" si="35">BA34</f>
        <v>378676000000</v>
      </c>
      <c r="AX12" s="193">
        <f t="shared" ref="AX12" si="36">BB34</f>
        <v>365249000000</v>
      </c>
      <c r="AY12" s="193">
        <f t="shared" ref="AY12" si="37">BC34</f>
        <v>357671000000</v>
      </c>
      <c r="AZ12" s="193">
        <f t="shared" ref="AZ12" si="38">BD34</f>
        <v>352756000000</v>
      </c>
      <c r="BA12" s="193">
        <f t="shared" ref="BA12" si="39">BE34</f>
        <v>343025000000</v>
      </c>
      <c r="BB12" s="193">
        <f t="shared" ref="BB12" si="40">BF34</f>
        <v>314478000000</v>
      </c>
      <c r="BC12" s="193">
        <f t="shared" ref="BC12" si="41">BG34</f>
        <v>305863000000</v>
      </c>
      <c r="BD12" s="193">
        <f t="shared" ref="BD12" si="42">BH34</f>
        <v>298827000000</v>
      </c>
      <c r="BE12" s="193">
        <f t="shared" ref="BE12" si="43">BI34</f>
        <v>293295000000</v>
      </c>
      <c r="BF12" s="193">
        <f t="shared" ref="BF12" si="44">BJ34</f>
        <v>276752000000</v>
      </c>
      <c r="BG12" s="193">
        <f t="shared" ref="BG12" si="45">BK34</f>
        <v>275429000000</v>
      </c>
      <c r="BH12" s="193">
        <f t="shared" ref="BH12" si="46">BL34</f>
        <v>272128000000</v>
      </c>
      <c r="BI12" s="193">
        <f t="shared" ref="BI12" si="47">BM34</f>
        <v>269367000000</v>
      </c>
      <c r="BJ12" s="193">
        <f t="shared" ref="BJ12" si="48">BN34</f>
        <v>263714000000</v>
      </c>
      <c r="BK12" s="193">
        <f t="shared" ref="BK12" si="49">BO34</f>
        <v>261328000000</v>
      </c>
      <c r="BL12" s="193">
        <f t="shared" ref="BL12" si="50">BP34</f>
        <v>258764000000</v>
      </c>
      <c r="BM12" s="193">
        <f t="shared" ref="BM12" si="51">BQ34</f>
        <v>553027000000</v>
      </c>
      <c r="BN12" s="193">
        <f t="shared" ref="BN12" si="52">BR34</f>
        <v>544808000000</v>
      </c>
    </row>
    <row r="13" spans="1:74" s="220" customFormat="1" x14ac:dyDescent="0.25">
      <c r="A13" s="220" t="s">
        <v>350</v>
      </c>
      <c r="E13" s="220">
        <f>E11/E12</f>
        <v>-4.4163928627243269E-2</v>
      </c>
      <c r="F13" s="220">
        <f t="shared" ref="F13:AR13" si="53">F11/F12</f>
        <v>4.112868731144699E-2</v>
      </c>
      <c r="G13" s="220">
        <f t="shared" si="53"/>
        <v>-2.5095176000659487E-2</v>
      </c>
      <c r="H13" s="220">
        <f t="shared" si="53"/>
        <v>1.4044886256727628E-2</v>
      </c>
      <c r="I13" s="220">
        <f t="shared" si="53"/>
        <v>-3.4315943213173605E-2</v>
      </c>
      <c r="J13" s="220">
        <f t="shared" si="53"/>
        <v>4.2970954450826028E-2</v>
      </c>
      <c r="K13" s="220">
        <f t="shared" si="53"/>
        <v>-1.6910488981154985E-2</v>
      </c>
      <c r="L13" s="220">
        <f t="shared" si="53"/>
        <v>1.7639410426648221E-2</v>
      </c>
      <c r="M13" s="220">
        <f t="shared" si="53"/>
        <v>4.71738578972857E-3</v>
      </c>
      <c r="N13" s="220">
        <f t="shared" si="53"/>
        <v>6.9313237216372572E-2</v>
      </c>
      <c r="O13" s="220">
        <f t="shared" si="53"/>
        <v>6.3627114586658155E-3</v>
      </c>
      <c r="P13" s="220">
        <f t="shared" si="53"/>
        <v>3.3487083481813479E-2</v>
      </c>
      <c r="Q13" s="220">
        <f t="shared" si="53"/>
        <v>3.1526895305240568E-2</v>
      </c>
      <c r="R13" s="220">
        <f t="shared" si="53"/>
        <v>8.979989301147083E-2</v>
      </c>
      <c r="S13" s="220">
        <f t="shared" si="53"/>
        <v>1.6589761709084383E-2</v>
      </c>
      <c r="T13" s="220">
        <f t="shared" si="53"/>
        <v>3.8339557950162251E-2</v>
      </c>
      <c r="U13" s="220">
        <f t="shared" si="53"/>
        <v>8.0342394598845762E-2</v>
      </c>
      <c r="V13" s="220">
        <f t="shared" si="53"/>
        <v>0.11657259837524958</v>
      </c>
      <c r="W13" s="220">
        <f t="shared" si="53"/>
        <v>2.800914234841935E-2</v>
      </c>
      <c r="X13" s="220">
        <f t="shared" si="53"/>
        <v>6.0365661908693524E-2</v>
      </c>
      <c r="Y13" s="220">
        <f t="shared" si="53"/>
        <v>0.11001909970752392</v>
      </c>
      <c r="Z13" s="220">
        <f t="shared" si="53"/>
        <v>0.12880974710627707</v>
      </c>
      <c r="AA13" s="220">
        <f t="shared" si="53"/>
        <v>5.7990229713807705E-2</v>
      </c>
      <c r="AB13" s="220">
        <f t="shared" si="53"/>
        <v>4.7254909239392705E-2</v>
      </c>
      <c r="AC13" s="220">
        <f t="shared" si="53"/>
        <v>0.10689474617290669</v>
      </c>
      <c r="AD13" s="220">
        <f t="shared" si="53"/>
        <v>0.10257284685953341</v>
      </c>
      <c r="AE13" s="220">
        <f t="shared" si="53"/>
        <v>3.6007541101439389E-2</v>
      </c>
      <c r="AF13" s="220">
        <f t="shared" si="53"/>
        <v>4.3391285538743808E-2</v>
      </c>
      <c r="AG13" s="220">
        <f t="shared" si="53"/>
        <v>5.9669214841446626E-2</v>
      </c>
      <c r="AH13" s="220">
        <f t="shared" si="53"/>
        <v>7.9237668375861312E-2</v>
      </c>
      <c r="AI13" s="220">
        <f t="shared" si="53"/>
        <v>1.4137656557124061E-2</v>
      </c>
      <c r="AJ13" s="220">
        <f t="shared" si="53"/>
        <v>4.9280280649304523E-2</v>
      </c>
      <c r="AK13" s="220">
        <f t="shared" si="53"/>
        <v>0.10690795050008477</v>
      </c>
      <c r="AL13" s="220">
        <f t="shared" si="53"/>
        <v>0.12350210749203927</v>
      </c>
      <c r="AM13" s="220">
        <f t="shared" si="53"/>
        <v>3.4520418202375884E-2</v>
      </c>
      <c r="AN13" s="220">
        <f t="shared" si="53"/>
        <v>3.185816913516195E-2</v>
      </c>
      <c r="AO13" s="220">
        <f t="shared" si="53"/>
        <v>0.11962857751171485</v>
      </c>
      <c r="AP13" s="220">
        <f t="shared" si="53"/>
        <v>0.14841456686446852</v>
      </c>
      <c r="AQ13" s="220">
        <f t="shared" si="53"/>
        <v>5.1703760134951295E-2</v>
      </c>
      <c r="AR13" s="220">
        <f t="shared" si="53"/>
        <v>3.4195941658568624E-2</v>
      </c>
    </row>
    <row r="14" spans="1:74" s="48" customFormat="1" x14ac:dyDescent="0.25">
      <c r="A14" s="46" t="s">
        <v>293</v>
      </c>
    </row>
    <row r="15" spans="1:74" s="26" customFormat="1" x14ac:dyDescent="0.25">
      <c r="A15" s="17" t="s">
        <v>313</v>
      </c>
      <c r="B15" s="190">
        <v>0</v>
      </c>
      <c r="C15" s="190">
        <v>0</v>
      </c>
      <c r="D15" s="190">
        <v>0</v>
      </c>
      <c r="E15" s="190">
        <v>80000000</v>
      </c>
      <c r="F15" s="190">
        <v>1000000</v>
      </c>
      <c r="G15" s="190">
        <v>1000000</v>
      </c>
      <c r="H15" s="190">
        <v>0</v>
      </c>
      <c r="I15" s="190">
        <v>2027000000</v>
      </c>
      <c r="J15" s="190">
        <v>2027000000</v>
      </c>
      <c r="K15" s="190">
        <v>2027000000</v>
      </c>
      <c r="L15" s="190">
        <v>2027000000</v>
      </c>
      <c r="M15" s="190">
        <v>0</v>
      </c>
      <c r="N15" s="190">
        <v>0</v>
      </c>
      <c r="O15" s="190">
        <v>0</v>
      </c>
      <c r="P15" s="190">
        <v>0</v>
      </c>
      <c r="Q15" s="190">
        <v>0</v>
      </c>
      <c r="R15" s="190">
        <v>0</v>
      </c>
      <c r="S15" s="190">
        <v>0</v>
      </c>
      <c r="T15" s="190">
        <v>0</v>
      </c>
      <c r="U15" s="190">
        <v>0</v>
      </c>
      <c r="V15" s="190">
        <v>0</v>
      </c>
      <c r="W15" s="190">
        <v>0</v>
      </c>
      <c r="X15" s="190">
        <v>0</v>
      </c>
      <c r="Y15" s="190">
        <v>0</v>
      </c>
      <c r="Z15" s="190">
        <v>0</v>
      </c>
      <c r="AA15" s="190">
        <v>0</v>
      </c>
      <c r="AB15" s="190">
        <v>0</v>
      </c>
      <c r="AC15" s="190">
        <v>0</v>
      </c>
      <c r="AD15" s="190">
        <v>0</v>
      </c>
      <c r="AE15" s="190">
        <v>0</v>
      </c>
      <c r="AF15" s="190">
        <v>0</v>
      </c>
      <c r="AG15" s="190">
        <v>0</v>
      </c>
      <c r="AH15" s="190">
        <v>0</v>
      </c>
      <c r="AI15" s="190">
        <v>0</v>
      </c>
      <c r="AJ15" s="190">
        <v>0</v>
      </c>
      <c r="AK15" s="190">
        <v>0</v>
      </c>
      <c r="AL15" s="190">
        <v>0</v>
      </c>
      <c r="AM15" s="190">
        <v>0</v>
      </c>
      <c r="AN15" s="190">
        <v>0</v>
      </c>
      <c r="AO15" s="190">
        <v>0</v>
      </c>
      <c r="AP15" s="190">
        <v>0</v>
      </c>
      <c r="AQ15" s="190">
        <v>0</v>
      </c>
      <c r="AR15" s="190">
        <v>39000000</v>
      </c>
      <c r="AS15" s="190">
        <v>0</v>
      </c>
      <c r="AT15" s="190">
        <v>0</v>
      </c>
      <c r="AU15" s="190">
        <v>0</v>
      </c>
      <c r="AV15" s="190">
        <v>0</v>
      </c>
      <c r="AW15" s="190">
        <v>0</v>
      </c>
      <c r="AX15" s="190">
        <v>0</v>
      </c>
      <c r="AY15" s="190">
        <v>0</v>
      </c>
      <c r="AZ15" s="190">
        <v>0</v>
      </c>
      <c r="BA15" s="190">
        <v>0</v>
      </c>
      <c r="BB15" s="190">
        <v>0</v>
      </c>
      <c r="BC15" s="190">
        <v>0</v>
      </c>
      <c r="BD15" s="190">
        <v>0</v>
      </c>
      <c r="BE15" s="190">
        <v>0</v>
      </c>
      <c r="BF15" s="190">
        <v>0</v>
      </c>
      <c r="BG15" s="190">
        <v>0</v>
      </c>
      <c r="BH15" s="190">
        <v>0</v>
      </c>
      <c r="BI15" s="190">
        <v>0</v>
      </c>
      <c r="BJ15" s="190">
        <v>0</v>
      </c>
      <c r="BK15" s="190">
        <v>0</v>
      </c>
      <c r="BL15" s="190">
        <v>0</v>
      </c>
      <c r="BM15" s="190">
        <v>0</v>
      </c>
      <c r="BN15" s="190">
        <v>0</v>
      </c>
      <c r="BO15" s="190">
        <v>0</v>
      </c>
      <c r="BP15" s="190">
        <v>0</v>
      </c>
      <c r="BQ15" s="190">
        <v>0</v>
      </c>
      <c r="BR15" s="190">
        <v>0</v>
      </c>
      <c r="BS15" s="190">
        <v>0</v>
      </c>
      <c r="BT15" s="190">
        <v>0</v>
      </c>
      <c r="BU15" s="190">
        <v>0</v>
      </c>
      <c r="BV15" s="190">
        <v>0</v>
      </c>
    </row>
    <row r="16" spans="1:74" s="26" customFormat="1" x14ac:dyDescent="0.25">
      <c r="A16" s="17" t="s">
        <v>314</v>
      </c>
      <c r="B16" s="190">
        <v>3188000000</v>
      </c>
      <c r="C16" s="190">
        <v>3188000000</v>
      </c>
      <c r="D16" s="190">
        <v>3188000000</v>
      </c>
      <c r="E16" s="190">
        <v>1288000000</v>
      </c>
      <c r="F16" s="190">
        <v>44000000</v>
      </c>
      <c r="G16" s="190">
        <v>17000000</v>
      </c>
      <c r="H16" s="190">
        <v>0</v>
      </c>
      <c r="I16" s="190">
        <v>0</v>
      </c>
      <c r="J16" s="190">
        <v>0</v>
      </c>
      <c r="K16" s="190">
        <v>0</v>
      </c>
      <c r="L16" s="190">
        <v>0</v>
      </c>
      <c r="M16" s="190">
        <v>89000000</v>
      </c>
      <c r="N16" s="190">
        <v>0</v>
      </c>
      <c r="O16" s="190">
        <v>0</v>
      </c>
      <c r="P16" s="190">
        <v>0</v>
      </c>
      <c r="Q16" s="190">
        <v>2532000000</v>
      </c>
      <c r="R16" s="190">
        <v>0</v>
      </c>
      <c r="S16" s="190">
        <v>0</v>
      </c>
      <c r="T16" s="190">
        <v>0</v>
      </c>
      <c r="U16" s="190">
        <v>0</v>
      </c>
      <c r="V16" s="190">
        <v>0</v>
      </c>
      <c r="W16" s="190">
        <v>0</v>
      </c>
      <c r="X16" s="190">
        <v>0</v>
      </c>
      <c r="Y16" s="190">
        <v>0</v>
      </c>
      <c r="Z16" s="190">
        <v>0</v>
      </c>
      <c r="AA16" s="190">
        <v>0</v>
      </c>
      <c r="AB16" s="190">
        <v>0</v>
      </c>
      <c r="AC16" s="190">
        <v>0</v>
      </c>
      <c r="AD16" s="190">
        <v>0</v>
      </c>
      <c r="AE16" s="190">
        <v>0</v>
      </c>
      <c r="AF16" s="190">
        <v>0</v>
      </c>
      <c r="AG16" s="190">
        <v>0</v>
      </c>
      <c r="AH16" s="190">
        <v>0</v>
      </c>
      <c r="AI16" s="190">
        <v>0</v>
      </c>
      <c r="AJ16" s="190">
        <v>0</v>
      </c>
      <c r="AK16" s="190">
        <v>0</v>
      </c>
      <c r="AL16" s="190">
        <v>0</v>
      </c>
      <c r="AM16" s="190">
        <v>0</v>
      </c>
      <c r="AN16" s="190">
        <v>208000000</v>
      </c>
      <c r="AO16" s="190">
        <v>0</v>
      </c>
      <c r="AP16" s="190">
        <v>0</v>
      </c>
      <c r="AQ16" s="190">
        <v>0</v>
      </c>
      <c r="AR16" s="190">
        <v>287000000</v>
      </c>
      <c r="AS16" s="190">
        <v>7468000000</v>
      </c>
      <c r="AT16" s="190">
        <v>7116000000</v>
      </c>
      <c r="AU16" s="190">
        <v>7116000000</v>
      </c>
      <c r="AV16" s="190">
        <v>0</v>
      </c>
      <c r="AW16" s="190">
        <v>21971000000</v>
      </c>
      <c r="AX16" s="190">
        <v>21971000000</v>
      </c>
      <c r="AY16" s="190">
        <v>21971000000</v>
      </c>
      <c r="AZ16" s="190">
        <v>0</v>
      </c>
      <c r="BA16" s="190">
        <v>0</v>
      </c>
      <c r="BB16" s="190">
        <v>0</v>
      </c>
      <c r="BC16" s="190">
        <v>0</v>
      </c>
      <c r="BD16" s="190">
        <v>0</v>
      </c>
      <c r="BE16" s="190">
        <v>0</v>
      </c>
      <c r="BF16" s="190">
        <v>0</v>
      </c>
      <c r="BG16" s="190">
        <v>0</v>
      </c>
      <c r="BH16" s="190">
        <v>0</v>
      </c>
      <c r="BI16" s="190">
        <v>0</v>
      </c>
      <c r="BJ16" s="190">
        <v>0</v>
      </c>
      <c r="BK16" s="190">
        <v>0</v>
      </c>
      <c r="BL16" s="190">
        <v>0</v>
      </c>
      <c r="BM16" s="190">
        <v>0</v>
      </c>
      <c r="BN16" s="190">
        <v>0</v>
      </c>
      <c r="BO16" s="190">
        <v>0</v>
      </c>
      <c r="BP16" s="190">
        <v>0</v>
      </c>
      <c r="BQ16" s="190">
        <v>0</v>
      </c>
      <c r="BR16" s="190">
        <v>0</v>
      </c>
      <c r="BS16" s="190">
        <v>0</v>
      </c>
      <c r="BT16" s="190">
        <v>0</v>
      </c>
      <c r="BU16" s="190">
        <v>0</v>
      </c>
      <c r="BV16" s="190">
        <v>0</v>
      </c>
    </row>
    <row r="17" spans="1:74" s="47" customFormat="1" x14ac:dyDescent="0.25">
      <c r="A17" s="135" t="s">
        <v>298</v>
      </c>
      <c r="E17" s="47">
        <f>E16-E15</f>
        <v>1208000000</v>
      </c>
      <c r="F17" s="47">
        <f t="shared" ref="F17:AV17" si="54">F16-F15</f>
        <v>43000000</v>
      </c>
      <c r="G17" s="47">
        <f t="shared" si="54"/>
        <v>16000000</v>
      </c>
      <c r="H17" s="47">
        <f t="shared" si="54"/>
        <v>0</v>
      </c>
      <c r="I17" s="47">
        <f t="shared" si="54"/>
        <v>-2027000000</v>
      </c>
      <c r="J17" s="47">
        <f t="shared" si="54"/>
        <v>-2027000000</v>
      </c>
      <c r="K17" s="47">
        <f t="shared" si="54"/>
        <v>-2027000000</v>
      </c>
      <c r="L17" s="47">
        <f t="shared" si="54"/>
        <v>-2027000000</v>
      </c>
      <c r="M17" s="47">
        <f t="shared" si="54"/>
        <v>89000000</v>
      </c>
      <c r="N17" s="47">
        <f t="shared" si="54"/>
        <v>0</v>
      </c>
      <c r="O17" s="47">
        <f t="shared" si="54"/>
        <v>0</v>
      </c>
      <c r="P17" s="47">
        <f t="shared" si="54"/>
        <v>0</v>
      </c>
      <c r="Q17" s="47">
        <f t="shared" si="54"/>
        <v>2532000000</v>
      </c>
      <c r="R17" s="47">
        <f t="shared" si="54"/>
        <v>0</v>
      </c>
      <c r="S17" s="47">
        <f t="shared" si="54"/>
        <v>0</v>
      </c>
      <c r="T17" s="47">
        <f t="shared" si="54"/>
        <v>0</v>
      </c>
      <c r="U17" s="47">
        <f t="shared" si="54"/>
        <v>0</v>
      </c>
      <c r="V17" s="47">
        <f t="shared" si="54"/>
        <v>0</v>
      </c>
      <c r="W17" s="47">
        <f t="shared" si="54"/>
        <v>0</v>
      </c>
      <c r="X17" s="47">
        <f t="shared" si="54"/>
        <v>0</v>
      </c>
      <c r="Y17" s="47">
        <f t="shared" si="54"/>
        <v>0</v>
      </c>
      <c r="Z17" s="47">
        <f t="shared" si="54"/>
        <v>0</v>
      </c>
      <c r="AA17" s="47">
        <f t="shared" si="54"/>
        <v>0</v>
      </c>
      <c r="AB17" s="47">
        <f t="shared" si="54"/>
        <v>0</v>
      </c>
      <c r="AC17" s="47">
        <f t="shared" si="54"/>
        <v>0</v>
      </c>
      <c r="AD17" s="47">
        <f t="shared" si="54"/>
        <v>0</v>
      </c>
      <c r="AE17" s="47">
        <f t="shared" si="54"/>
        <v>0</v>
      </c>
      <c r="AF17" s="47">
        <f t="shared" si="54"/>
        <v>0</v>
      </c>
      <c r="AG17" s="47">
        <f t="shared" si="54"/>
        <v>0</v>
      </c>
      <c r="AH17" s="47">
        <f t="shared" si="54"/>
        <v>0</v>
      </c>
      <c r="AI17" s="47">
        <f t="shared" si="54"/>
        <v>0</v>
      </c>
      <c r="AJ17" s="47">
        <f t="shared" si="54"/>
        <v>0</v>
      </c>
      <c r="AK17" s="47">
        <f t="shared" si="54"/>
        <v>0</v>
      </c>
      <c r="AL17" s="47">
        <f t="shared" si="54"/>
        <v>0</v>
      </c>
      <c r="AM17" s="47">
        <f t="shared" si="54"/>
        <v>0</v>
      </c>
      <c r="AN17" s="47">
        <f t="shared" si="54"/>
        <v>208000000</v>
      </c>
      <c r="AO17" s="47">
        <f t="shared" si="54"/>
        <v>0</v>
      </c>
      <c r="AP17" s="47">
        <f t="shared" si="54"/>
        <v>0</v>
      </c>
      <c r="AQ17" s="47">
        <f t="shared" si="54"/>
        <v>0</v>
      </c>
      <c r="AR17" s="47">
        <f t="shared" si="54"/>
        <v>248000000</v>
      </c>
      <c r="AS17" s="47">
        <f t="shared" si="54"/>
        <v>7468000000</v>
      </c>
      <c r="AT17" s="47">
        <f t="shared" si="54"/>
        <v>7116000000</v>
      </c>
      <c r="AU17" s="47">
        <f t="shared" si="54"/>
        <v>7116000000</v>
      </c>
      <c r="AV17" s="47">
        <f t="shared" si="54"/>
        <v>0</v>
      </c>
    </row>
    <row r="18" spans="1:74" s="48" customFormat="1" x14ac:dyDescent="0.25">
      <c r="A18" s="46" t="s">
        <v>294</v>
      </c>
    </row>
    <row r="19" spans="1:74" s="193" customFormat="1" x14ac:dyDescent="0.25">
      <c r="A19" s="193" t="s">
        <v>299</v>
      </c>
      <c r="E19" s="193">
        <f>E5+E17</f>
        <v>70843000000</v>
      </c>
      <c r="F19" s="193">
        <f t="shared" ref="F19:AS19" si="55">F5+F17</f>
        <v>43505000000</v>
      </c>
      <c r="G19" s="193">
        <f t="shared" si="55"/>
        <v>28542000000</v>
      </c>
      <c r="H19" s="193">
        <f t="shared" si="55"/>
        <v>15078000000</v>
      </c>
      <c r="I19" s="193">
        <f t="shared" si="55"/>
        <v>70380000000</v>
      </c>
      <c r="J19" s="193">
        <f t="shared" si="55"/>
        <v>43507000000</v>
      </c>
      <c r="K19" s="193">
        <f t="shared" si="55"/>
        <v>29020000000</v>
      </c>
      <c r="L19" s="193">
        <f t="shared" si="55"/>
        <v>16871000000</v>
      </c>
      <c r="M19" s="193">
        <f t="shared" si="55"/>
        <v>102292000000</v>
      </c>
      <c r="N19" s="193">
        <f t="shared" si="55"/>
        <v>70950000000</v>
      </c>
      <c r="O19" s="193">
        <f t="shared" si="55"/>
        <v>52689000000</v>
      </c>
      <c r="P19" s="193">
        <f t="shared" si="55"/>
        <v>33360000000</v>
      </c>
      <c r="Q19" s="193">
        <f t="shared" si="55"/>
        <v>125893000000</v>
      </c>
      <c r="R19" s="193">
        <f t="shared" si="55"/>
        <v>84102000000</v>
      </c>
      <c r="S19" s="193">
        <f t="shared" si="55"/>
        <v>58772000000</v>
      </c>
      <c r="T19" s="193">
        <f t="shared" si="55"/>
        <v>34441000000</v>
      </c>
      <c r="U19" s="193">
        <f t="shared" si="55"/>
        <v>153396000000</v>
      </c>
      <c r="V19" s="193">
        <f t="shared" si="55"/>
        <v>97032000000</v>
      </c>
      <c r="W19" s="193">
        <f t="shared" si="55"/>
        <v>61968000000</v>
      </c>
      <c r="X19" s="193">
        <f t="shared" si="55"/>
        <v>48182000000</v>
      </c>
      <c r="Y19" s="193">
        <f t="shared" si="55"/>
        <v>157823000000</v>
      </c>
      <c r="Z19" s="193">
        <f t="shared" si="55"/>
        <v>95181000000</v>
      </c>
      <c r="AA19" s="193">
        <f t="shared" si="55"/>
        <v>76960000000</v>
      </c>
      <c r="AB19" s="193">
        <f t="shared" si="55"/>
        <v>34371000000</v>
      </c>
      <c r="AC19" s="193">
        <f t="shared" si="55"/>
        <v>141597000000</v>
      </c>
      <c r="AD19" s="193">
        <f t="shared" si="55"/>
        <v>69780000000</v>
      </c>
      <c r="AE19" s="193">
        <f t="shared" si="55"/>
        <v>53614000000</v>
      </c>
      <c r="AF19" s="193">
        <f t="shared" si="55"/>
        <v>28285000000</v>
      </c>
      <c r="AG19" s="193">
        <f t="shared" si="55"/>
        <v>98566000000</v>
      </c>
      <c r="AH19" s="193">
        <f t="shared" si="55"/>
        <v>49713000000</v>
      </c>
      <c r="AI19" s="193">
        <f t="shared" si="55"/>
        <v>35157000000</v>
      </c>
      <c r="AJ19" s="193">
        <f t="shared" si="55"/>
        <v>29275000000</v>
      </c>
      <c r="AK19" s="193">
        <f t="shared" si="55"/>
        <v>113371000000</v>
      </c>
      <c r="AL19" s="193">
        <f t="shared" si="55"/>
        <v>68300000000</v>
      </c>
      <c r="AM19" s="193">
        <f t="shared" si="55"/>
        <v>43238000000</v>
      </c>
      <c r="AN19" s="193">
        <f t="shared" si="55"/>
        <v>17033000000</v>
      </c>
      <c r="AO19" s="193">
        <f t="shared" si="55"/>
        <v>107973000000</v>
      </c>
      <c r="AP19" s="193">
        <f t="shared" si="55"/>
        <v>70480000000</v>
      </c>
      <c r="AQ19" s="193">
        <f t="shared" si="55"/>
        <v>44771000000</v>
      </c>
      <c r="AR19" s="193">
        <f t="shared" si="55"/>
        <v>15661000000</v>
      </c>
      <c r="AS19" s="193">
        <f t="shared" si="55"/>
        <v>7468000000</v>
      </c>
    </row>
    <row r="20" spans="1:74" s="193" customFormat="1" x14ac:dyDescent="0.25">
      <c r="A20" s="193" t="s">
        <v>300</v>
      </c>
      <c r="B20" s="190">
        <v>137919000000</v>
      </c>
      <c r="C20" s="190">
        <v>71620000000</v>
      </c>
      <c r="D20" s="190">
        <v>12052000000</v>
      </c>
      <c r="E20" s="190">
        <v>190935000000</v>
      </c>
      <c r="F20" s="190">
        <v>111193000000</v>
      </c>
      <c r="G20" s="190">
        <v>60847000000</v>
      </c>
      <c r="H20" s="190">
        <v>13276000000</v>
      </c>
      <c r="I20" s="190">
        <v>214543000000</v>
      </c>
      <c r="J20" s="190">
        <v>131700000000</v>
      </c>
      <c r="K20" s="190">
        <v>76112000000</v>
      </c>
      <c r="L20" s="190">
        <v>34348000000</v>
      </c>
      <c r="M20" s="190">
        <v>165818000000</v>
      </c>
      <c r="N20" s="190">
        <v>116593000000</v>
      </c>
      <c r="O20" s="190">
        <v>67442000000</v>
      </c>
      <c r="P20" s="190">
        <v>6682000000</v>
      </c>
      <c r="Q20" s="190">
        <v>148347000000</v>
      </c>
      <c r="R20" s="190">
        <v>108247000000</v>
      </c>
      <c r="S20" s="190">
        <v>58214000000</v>
      </c>
      <c r="T20" s="190">
        <v>12621000000</v>
      </c>
      <c r="U20" s="190">
        <v>151893000000</v>
      </c>
      <c r="V20" s="190">
        <v>79612000000</v>
      </c>
      <c r="W20" s="190">
        <v>32903000000</v>
      </c>
      <c r="X20" s="190">
        <v>8220000000</v>
      </c>
      <c r="Y20" s="190">
        <v>143462000000</v>
      </c>
      <c r="Z20" s="190">
        <v>73559000000</v>
      </c>
      <c r="AA20" s="190">
        <v>20554000000</v>
      </c>
      <c r="AB20" s="190">
        <v>-30916000000</v>
      </c>
      <c r="AC20" s="190">
        <v>151181000000</v>
      </c>
      <c r="AD20" s="190">
        <v>78449000000</v>
      </c>
      <c r="AE20" s="190">
        <v>30863000000</v>
      </c>
      <c r="AF20" s="190">
        <v>13004000000</v>
      </c>
      <c r="AG20" s="190">
        <v>171262000000</v>
      </c>
      <c r="AH20" s="190">
        <v>95240000000</v>
      </c>
      <c r="AI20" s="190">
        <v>50055000000</v>
      </c>
      <c r="AJ20" s="190">
        <v>30149000000</v>
      </c>
      <c r="AK20" s="190">
        <v>158796000000</v>
      </c>
      <c r="AL20" s="190">
        <v>104860000000</v>
      </c>
      <c r="AM20" s="190">
        <v>82370000000</v>
      </c>
      <c r="AN20" s="190">
        <v>55655000000</v>
      </c>
      <c r="AO20" s="190">
        <v>74883000000</v>
      </c>
      <c r="AP20" s="190">
        <v>-3427000000</v>
      </c>
      <c r="AQ20" s="190">
        <v>5986000000</v>
      </c>
      <c r="AR20" s="190">
        <v>5255000000</v>
      </c>
      <c r="AS20" s="190">
        <v>124250000000</v>
      </c>
      <c r="AT20" s="190">
        <v>102277000000</v>
      </c>
      <c r="AU20" s="190">
        <v>63997000000</v>
      </c>
      <c r="AV20" s="190">
        <v>31891000000</v>
      </c>
      <c r="AW20" s="190">
        <v>102587000000</v>
      </c>
      <c r="AX20" s="190">
        <v>50119000000</v>
      </c>
      <c r="AY20" s="190">
        <v>25166000000</v>
      </c>
      <c r="AZ20" s="190">
        <v>3463000000</v>
      </c>
      <c r="BA20" s="190">
        <v>84963000000</v>
      </c>
      <c r="BB20" s="190">
        <v>47245000000</v>
      </c>
      <c r="BC20" s="190">
        <v>25044000000</v>
      </c>
      <c r="BD20" s="190">
        <v>14854000000</v>
      </c>
      <c r="BE20" s="190">
        <v>70139000000</v>
      </c>
      <c r="BF20" s="190">
        <v>45237000000</v>
      </c>
      <c r="BG20" s="190">
        <v>21694000000</v>
      </c>
      <c r="BH20" s="190">
        <v>11208000000</v>
      </c>
      <c r="BI20" s="190">
        <v>64448000000</v>
      </c>
      <c r="BJ20" s="190">
        <v>45969000000</v>
      </c>
      <c r="BK20" s="190">
        <v>29982000000</v>
      </c>
      <c r="BL20" s="190">
        <v>13605000000</v>
      </c>
      <c r="BM20" s="190">
        <v>60069000000</v>
      </c>
      <c r="BN20" s="190">
        <v>21659000000</v>
      </c>
      <c r="BO20" s="190">
        <v>59692000000</v>
      </c>
      <c r="BP20" s="190">
        <v>8157000000</v>
      </c>
      <c r="BQ20" s="190">
        <v>34472000000</v>
      </c>
      <c r="BR20" s="190">
        <v>0</v>
      </c>
      <c r="BS20" s="190">
        <v>898446895.69000006</v>
      </c>
      <c r="BT20" s="190">
        <v>436278873.26999998</v>
      </c>
      <c r="BU20" s="190">
        <v>359005459.04000002</v>
      </c>
      <c r="BV20" s="190">
        <v>0</v>
      </c>
    </row>
    <row r="21" spans="1:74" s="221" customFormat="1" x14ac:dyDescent="0.25">
      <c r="A21" s="221" t="s">
        <v>666</v>
      </c>
      <c r="E21" s="221">
        <f>E20/E19</f>
        <v>2.6951851276766936</v>
      </c>
      <c r="F21" s="221">
        <f t="shared" ref="F21:AS21" si="56">F20/F19</f>
        <v>2.5558671417078496</v>
      </c>
      <c r="G21" s="221">
        <f t="shared" si="56"/>
        <v>2.1318407960199006</v>
      </c>
      <c r="H21" s="221">
        <f t="shared" si="56"/>
        <v>0.88048812839899193</v>
      </c>
      <c r="I21" s="221">
        <f t="shared" si="56"/>
        <v>3.0483518044899118</v>
      </c>
      <c r="J21" s="221">
        <f t="shared" si="56"/>
        <v>3.0270990875031605</v>
      </c>
      <c r="K21" s="221">
        <f t="shared" si="56"/>
        <v>2.6227429359062717</v>
      </c>
      <c r="L21" s="221">
        <f t="shared" si="56"/>
        <v>2.0359196253926859</v>
      </c>
      <c r="M21" s="221">
        <f t="shared" si="56"/>
        <v>1.6210260821960663</v>
      </c>
      <c r="N21" s="221">
        <f t="shared" si="56"/>
        <v>1.6433121916842848</v>
      </c>
      <c r="O21" s="221">
        <f t="shared" si="56"/>
        <v>1.2800015183434872</v>
      </c>
      <c r="P21" s="221">
        <f t="shared" si="56"/>
        <v>0.20029976019184653</v>
      </c>
      <c r="Q21" s="221">
        <f t="shared" si="56"/>
        <v>1.1783578117925539</v>
      </c>
      <c r="R21" s="221">
        <f t="shared" si="56"/>
        <v>1.2870918646405556</v>
      </c>
      <c r="S21" s="221">
        <f t="shared" si="56"/>
        <v>0.990505682978289</v>
      </c>
      <c r="T21" s="221">
        <f t="shared" si="56"/>
        <v>0.36645277430968903</v>
      </c>
      <c r="U21" s="221">
        <f t="shared" si="56"/>
        <v>0.99020183055620747</v>
      </c>
      <c r="V21" s="221">
        <f t="shared" si="56"/>
        <v>0.82047159699892824</v>
      </c>
      <c r="W21" s="221">
        <f t="shared" si="56"/>
        <v>0.53096759617867284</v>
      </c>
      <c r="X21" s="221">
        <f t="shared" si="56"/>
        <v>0.1706031297995102</v>
      </c>
      <c r="Y21" s="221">
        <f t="shared" si="56"/>
        <v>0.90900565823739254</v>
      </c>
      <c r="Z21" s="221">
        <f t="shared" si="56"/>
        <v>0.77283281327155628</v>
      </c>
      <c r="AA21" s="221">
        <f t="shared" si="56"/>
        <v>0.26707380457380459</v>
      </c>
      <c r="AB21" s="221">
        <f t="shared" si="56"/>
        <v>-0.89947921212650195</v>
      </c>
      <c r="AC21" s="221">
        <f t="shared" si="56"/>
        <v>1.0676850498245019</v>
      </c>
      <c r="AD21" s="221">
        <f t="shared" si="56"/>
        <v>1.1242333046718258</v>
      </c>
      <c r="AE21" s="221">
        <f t="shared" si="56"/>
        <v>0.57565188197112693</v>
      </c>
      <c r="AF21" s="221">
        <f t="shared" si="56"/>
        <v>0.45974898356019089</v>
      </c>
      <c r="AG21" s="221">
        <f t="shared" si="56"/>
        <v>1.7375362701134265</v>
      </c>
      <c r="AH21" s="221">
        <f t="shared" si="56"/>
        <v>1.91579667290246</v>
      </c>
      <c r="AI21" s="221">
        <f t="shared" si="56"/>
        <v>1.4237562931990784</v>
      </c>
      <c r="AJ21" s="221">
        <f t="shared" si="56"/>
        <v>1.0298548249359523</v>
      </c>
      <c r="AK21" s="221">
        <f t="shared" si="56"/>
        <v>1.4006756577960855</v>
      </c>
      <c r="AL21" s="221">
        <f t="shared" si="56"/>
        <v>1.5352855051244509</v>
      </c>
      <c r="AM21" s="221">
        <f t="shared" si="56"/>
        <v>1.9050372357648364</v>
      </c>
      <c r="AN21" s="221">
        <f t="shared" si="56"/>
        <v>3.2674807726178594</v>
      </c>
      <c r="AO21" s="221">
        <f t="shared" si="56"/>
        <v>0.69353449473479478</v>
      </c>
      <c r="AP21" s="221">
        <f t="shared" si="56"/>
        <v>-4.8623723041997732E-2</v>
      </c>
      <c r="AQ21" s="221">
        <f t="shared" si="56"/>
        <v>0.1337026199995533</v>
      </c>
      <c r="AR21" s="221">
        <f t="shared" si="56"/>
        <v>0.3355468999425324</v>
      </c>
      <c r="AS21" s="221">
        <f t="shared" si="56"/>
        <v>16.637653990358864</v>
      </c>
    </row>
    <row r="22" spans="1:74" s="193" customFormat="1" x14ac:dyDescent="0.25">
      <c r="A22" s="193" t="s">
        <v>301</v>
      </c>
      <c r="E22" s="193">
        <f>I35</f>
        <v>153905000000</v>
      </c>
      <c r="F22" s="193">
        <f t="shared" ref="F22:Y22" si="57">J35</f>
        <v>97480000000</v>
      </c>
      <c r="G22" s="193">
        <f t="shared" si="57"/>
        <v>88123000000</v>
      </c>
      <c r="H22" s="193">
        <f t="shared" si="57"/>
        <v>74170000000</v>
      </c>
      <c r="I22" s="193">
        <f t="shared" si="57"/>
        <v>78883000000</v>
      </c>
      <c r="J22" s="193">
        <f t="shared" si="57"/>
        <v>58454000000</v>
      </c>
      <c r="K22" s="193">
        <f t="shared" si="57"/>
        <v>75278000000</v>
      </c>
      <c r="L22" s="193">
        <f t="shared" si="57"/>
        <v>74981000000</v>
      </c>
      <c r="M22" s="193">
        <f t="shared" si="57"/>
        <v>10968000000</v>
      </c>
      <c r="N22" s="193">
        <f t="shared" si="57"/>
        <v>22524000000</v>
      </c>
      <c r="O22" s="193">
        <f t="shared" si="57"/>
        <v>14346000000</v>
      </c>
      <c r="P22" s="193">
        <f t="shared" si="57"/>
        <v>20771000000</v>
      </c>
      <c r="Q22" s="193">
        <f t="shared" si="57"/>
        <v>15101000000</v>
      </c>
      <c r="R22" s="193">
        <f t="shared" si="57"/>
        <v>12096000000</v>
      </c>
      <c r="S22" s="193">
        <f t="shared" si="57"/>
        <v>11385000000</v>
      </c>
      <c r="T22" s="193">
        <f t="shared" si="57"/>
        <v>14788000000</v>
      </c>
      <c r="U22" s="193">
        <f t="shared" si="57"/>
        <v>10864000000</v>
      </c>
      <c r="V22" s="193">
        <f t="shared" si="57"/>
        <v>14855000000</v>
      </c>
      <c r="W22" s="193">
        <f t="shared" si="57"/>
        <v>13960000000</v>
      </c>
      <c r="X22" s="193">
        <f t="shared" si="57"/>
        <v>24609000000</v>
      </c>
      <c r="Y22" s="193">
        <f t="shared" si="57"/>
        <v>25197000000</v>
      </c>
      <c r="Z22" s="193">
        <f t="shared" ref="Z22" si="58">AD35</f>
        <v>27189000000</v>
      </c>
      <c r="AA22" s="193">
        <f t="shared" ref="AA22" si="59">AE35</f>
        <v>14186000000</v>
      </c>
      <c r="AB22" s="193">
        <f t="shared" ref="AB22" si="60">AF35</f>
        <v>27007000000</v>
      </c>
      <c r="AC22" s="193">
        <f t="shared" ref="AC22" si="61">AG35</f>
        <v>18140000000</v>
      </c>
      <c r="AD22" s="193">
        <f t="shared" ref="AD22" si="62">AH35</f>
        <v>11562000000</v>
      </c>
      <c r="AE22" s="193">
        <f t="shared" ref="AE22" si="63">AI35</f>
        <v>16695000000</v>
      </c>
      <c r="AF22" s="193">
        <f t="shared" ref="AF22" si="64">AJ35</f>
        <v>11361000000</v>
      </c>
      <c r="AG22" s="193">
        <f t="shared" ref="AG22" si="65">AK35</f>
        <v>9986000000</v>
      </c>
      <c r="AH22" s="193">
        <f t="shared" ref="AH22" si="66">AL35</f>
        <v>8601000000</v>
      </c>
      <c r="AI22" s="193">
        <f t="shared" ref="AI22" si="67">AM35</f>
        <v>9082000000</v>
      </c>
      <c r="AJ22" s="193">
        <f t="shared" ref="AJ22" si="68">AN35</f>
        <v>12227000000</v>
      </c>
      <c r="AK22" s="193">
        <f t="shared" ref="AK22" si="69">AO35</f>
        <v>7700000000</v>
      </c>
      <c r="AL22" s="193">
        <f t="shared" ref="AL22" si="70">AP35</f>
        <v>11605000000</v>
      </c>
      <c r="AM22" s="193">
        <f t="shared" ref="AM22" si="71">AQ35</f>
        <v>9774000000</v>
      </c>
      <c r="AN22" s="193">
        <f t="shared" ref="AN22" si="72">AR35</f>
        <v>28397000000</v>
      </c>
      <c r="AO22" s="193">
        <f t="shared" ref="AO22" si="73">AS35</f>
        <v>8364000000</v>
      </c>
      <c r="AP22" s="193">
        <f t="shared" ref="AP22" si="74">AT35</f>
        <v>8908000000</v>
      </c>
      <c r="AQ22" s="193">
        <f t="shared" ref="AQ22" si="75">AU35</f>
        <v>12989000000</v>
      </c>
      <c r="AR22" s="193">
        <f t="shared" ref="AR22" si="76">AV35</f>
        <v>15943000000</v>
      </c>
      <c r="AS22" s="193">
        <f t="shared" ref="AS22" si="77">AW35</f>
        <v>8723000000</v>
      </c>
    </row>
    <row r="23" spans="1:74" s="193" customFormat="1" x14ac:dyDescent="0.25">
      <c r="A23" s="193" t="s">
        <v>302</v>
      </c>
      <c r="E23" s="193">
        <f>E20+E22-E19</f>
        <v>273997000000</v>
      </c>
      <c r="F23" s="193">
        <f t="shared" ref="F23:AS23" si="78">F20+F22-F19</f>
        <v>165168000000</v>
      </c>
      <c r="G23" s="193">
        <f t="shared" si="78"/>
        <v>120428000000</v>
      </c>
      <c r="H23" s="193">
        <f t="shared" si="78"/>
        <v>72368000000</v>
      </c>
      <c r="I23" s="193">
        <f t="shared" si="78"/>
        <v>223046000000</v>
      </c>
      <c r="J23" s="193">
        <f t="shared" si="78"/>
        <v>146647000000</v>
      </c>
      <c r="K23" s="193">
        <f t="shared" si="78"/>
        <v>122370000000</v>
      </c>
      <c r="L23" s="193">
        <f t="shared" si="78"/>
        <v>92458000000</v>
      </c>
      <c r="M23" s="193">
        <f t="shared" si="78"/>
        <v>74494000000</v>
      </c>
      <c r="N23" s="193">
        <f t="shared" si="78"/>
        <v>68167000000</v>
      </c>
      <c r="O23" s="193">
        <f t="shared" si="78"/>
        <v>29099000000</v>
      </c>
      <c r="P23" s="193">
        <f t="shared" si="78"/>
        <v>-5907000000</v>
      </c>
      <c r="Q23" s="193">
        <f t="shared" si="78"/>
        <v>37555000000</v>
      </c>
      <c r="R23" s="193">
        <f t="shared" si="78"/>
        <v>36241000000</v>
      </c>
      <c r="S23" s="193">
        <f t="shared" si="78"/>
        <v>10827000000</v>
      </c>
      <c r="T23" s="193">
        <f t="shared" si="78"/>
        <v>-7032000000</v>
      </c>
      <c r="U23" s="193">
        <f t="shared" si="78"/>
        <v>9361000000</v>
      </c>
      <c r="V23" s="193">
        <f t="shared" si="78"/>
        <v>-2565000000</v>
      </c>
      <c r="W23" s="193">
        <f t="shared" si="78"/>
        <v>-15105000000</v>
      </c>
      <c r="X23" s="193">
        <f t="shared" si="78"/>
        <v>-15353000000</v>
      </c>
      <c r="Y23" s="193">
        <f t="shared" si="78"/>
        <v>10836000000</v>
      </c>
      <c r="Z23" s="193">
        <f t="shared" si="78"/>
        <v>5567000000</v>
      </c>
      <c r="AA23" s="193">
        <f t="shared" si="78"/>
        <v>-42220000000</v>
      </c>
      <c r="AB23" s="193">
        <f t="shared" si="78"/>
        <v>-38280000000</v>
      </c>
      <c r="AC23" s="193">
        <f t="shared" si="78"/>
        <v>27724000000</v>
      </c>
      <c r="AD23" s="193">
        <f t="shared" si="78"/>
        <v>20231000000</v>
      </c>
      <c r="AE23" s="193">
        <f t="shared" si="78"/>
        <v>-6056000000</v>
      </c>
      <c r="AF23" s="193">
        <f t="shared" si="78"/>
        <v>-3920000000</v>
      </c>
      <c r="AG23" s="193">
        <f t="shared" si="78"/>
        <v>82682000000</v>
      </c>
      <c r="AH23" s="193">
        <f t="shared" si="78"/>
        <v>54128000000</v>
      </c>
      <c r="AI23" s="193">
        <f t="shared" si="78"/>
        <v>23980000000</v>
      </c>
      <c r="AJ23" s="193">
        <f t="shared" si="78"/>
        <v>13101000000</v>
      </c>
      <c r="AK23" s="193">
        <f t="shared" si="78"/>
        <v>53125000000</v>
      </c>
      <c r="AL23" s="193">
        <f t="shared" si="78"/>
        <v>48165000000</v>
      </c>
      <c r="AM23" s="193">
        <f t="shared" si="78"/>
        <v>48906000000</v>
      </c>
      <c r="AN23" s="193">
        <f t="shared" si="78"/>
        <v>67019000000</v>
      </c>
      <c r="AO23" s="193">
        <f t="shared" si="78"/>
        <v>-24726000000</v>
      </c>
      <c r="AP23" s="193">
        <f t="shared" si="78"/>
        <v>-64999000000</v>
      </c>
      <c r="AQ23" s="193">
        <f t="shared" si="78"/>
        <v>-25796000000</v>
      </c>
      <c r="AR23" s="193">
        <f t="shared" si="78"/>
        <v>5537000000</v>
      </c>
      <c r="AS23" s="193">
        <f t="shared" si="78"/>
        <v>125505000000</v>
      </c>
    </row>
    <row r="24" spans="1:74" s="221" customFormat="1" x14ac:dyDescent="0.25">
      <c r="A24" s="221" t="s">
        <v>303</v>
      </c>
      <c r="B24" s="190">
        <v>-75898000000</v>
      </c>
      <c r="C24" s="190">
        <v>-49308000000</v>
      </c>
      <c r="D24" s="190">
        <v>6461000000</v>
      </c>
      <c r="E24" s="190">
        <v>-56509000000</v>
      </c>
      <c r="F24" s="190">
        <v>-50216000000</v>
      </c>
      <c r="G24" s="190">
        <v>-16038000000</v>
      </c>
      <c r="H24" s="190">
        <v>-5131000000</v>
      </c>
      <c r="I24" s="190">
        <v>-93047000000</v>
      </c>
      <c r="J24" s="190">
        <v>-78568000000</v>
      </c>
      <c r="K24" s="190">
        <v>-45930000000</v>
      </c>
      <c r="L24" s="190">
        <v>-14087000000</v>
      </c>
      <c r="M24" s="190">
        <v>9310000000</v>
      </c>
      <c r="N24" s="190">
        <v>4764000000</v>
      </c>
      <c r="O24" s="190">
        <v>51039000000</v>
      </c>
      <c r="P24" s="190">
        <v>92996000000</v>
      </c>
      <c r="Q24" s="190">
        <v>-21421000000</v>
      </c>
      <c r="R24" s="190">
        <v>-16372000000</v>
      </c>
      <c r="S24" s="190">
        <v>2531000000</v>
      </c>
      <c r="T24" s="190">
        <v>30459000000</v>
      </c>
      <c r="U24" s="190">
        <v>31519000000</v>
      </c>
      <c r="V24" s="190">
        <v>43866000000</v>
      </c>
      <c r="W24" s="190">
        <v>34654000000</v>
      </c>
      <c r="X24" s="190">
        <v>46961000000</v>
      </c>
      <c r="Y24" s="190">
        <v>5628000000</v>
      </c>
      <c r="Z24" s="190">
        <v>12700000000</v>
      </c>
      <c r="AA24" s="190">
        <v>47242000000</v>
      </c>
      <c r="AB24" s="190">
        <v>65041000000</v>
      </c>
      <c r="AC24" s="190">
        <v>-2516000000</v>
      </c>
      <c r="AD24" s="190">
        <v>-2356000000</v>
      </c>
      <c r="AE24" s="190">
        <v>16130000000</v>
      </c>
      <c r="AF24" s="190">
        <v>24072000000</v>
      </c>
      <c r="AG24" s="190">
        <v>-56294000000</v>
      </c>
      <c r="AH24" s="190">
        <v>-39825000000</v>
      </c>
      <c r="AI24" s="190">
        <v>-5153000000</v>
      </c>
      <c r="AJ24" s="190">
        <v>2689000000</v>
      </c>
      <c r="AK24" s="190">
        <v>-41929000000</v>
      </c>
      <c r="AL24" s="190">
        <v>-35816000000</v>
      </c>
      <c r="AM24" s="190">
        <v>-37838000000</v>
      </c>
      <c r="AN24" s="190">
        <v>-33858000000</v>
      </c>
      <c r="AO24" s="190">
        <v>30698000000</v>
      </c>
      <c r="AP24" s="190">
        <v>76877000000</v>
      </c>
      <c r="AQ24" s="190">
        <v>40473000000</v>
      </c>
      <c r="AR24" s="190">
        <v>30255000000</v>
      </c>
      <c r="AS24" s="190">
        <v>-8781000000</v>
      </c>
      <c r="AT24" s="190">
        <v>-29762000000</v>
      </c>
      <c r="AU24" s="190">
        <v>-12461000000</v>
      </c>
      <c r="AV24" s="190">
        <v>-3241000000</v>
      </c>
      <c r="AW24" s="190">
        <v>-7996000000</v>
      </c>
      <c r="AX24" s="190">
        <v>16133000000</v>
      </c>
      <c r="AY24" s="190">
        <v>25015000000</v>
      </c>
      <c r="AZ24" s="190">
        <v>10087000000</v>
      </c>
      <c r="BA24" s="190">
        <v>-11893000000</v>
      </c>
      <c r="BB24" s="190">
        <v>476000000</v>
      </c>
      <c r="BC24" s="190">
        <v>7361000000</v>
      </c>
      <c r="BD24" s="190">
        <v>2734000000</v>
      </c>
      <c r="BE24" s="190">
        <v>7158000000</v>
      </c>
      <c r="BF24" s="190">
        <v>7396000000</v>
      </c>
      <c r="BG24" s="190">
        <v>9859000000</v>
      </c>
      <c r="BH24" s="190">
        <v>5771000000</v>
      </c>
      <c r="BI24" s="190">
        <v>-17371000000</v>
      </c>
      <c r="BJ24" s="190">
        <v>-16758000000</v>
      </c>
      <c r="BK24" s="190">
        <v>-6692000000</v>
      </c>
      <c r="BL24" s="190">
        <v>-776000000</v>
      </c>
      <c r="BM24" s="190">
        <v>-20155000000</v>
      </c>
      <c r="BN24" s="190">
        <v>-7321000000</v>
      </c>
      <c r="BO24" s="190">
        <v>-13998000000</v>
      </c>
      <c r="BP24" s="190">
        <v>12319000000</v>
      </c>
      <c r="BQ24" s="190">
        <v>23980000000</v>
      </c>
      <c r="BR24" s="190">
        <v>0</v>
      </c>
      <c r="BS24" s="190">
        <v>-400000000</v>
      </c>
      <c r="BT24" s="190">
        <v>-237866348.78</v>
      </c>
      <c r="BU24" s="190">
        <v>1108113819.7</v>
      </c>
      <c r="BV24" s="190">
        <v>0</v>
      </c>
    </row>
    <row r="25" spans="1:74" s="242" customFormat="1" ht="138.6" customHeight="1" x14ac:dyDescent="0.25">
      <c r="A25" s="274" t="s">
        <v>742</v>
      </c>
      <c r="B25" s="275"/>
      <c r="C25" s="275"/>
      <c r="D25" s="275"/>
      <c r="E25" s="275"/>
      <c r="F25" s="275"/>
      <c r="G25" s="275"/>
      <c r="H25" s="275"/>
      <c r="I25" s="275"/>
      <c r="J25" s="275"/>
      <c r="K25" s="275"/>
      <c r="L25" s="275"/>
      <c r="M25" s="275"/>
      <c r="N25" s="275"/>
      <c r="O25" s="275"/>
      <c r="P25" s="275"/>
      <c r="Q25" s="275"/>
      <c r="R25" s="275"/>
      <c r="S25" s="275"/>
      <c r="T25" s="275"/>
      <c r="U25" s="275"/>
      <c r="V25" s="275"/>
      <c r="W25" s="275"/>
      <c r="X25" s="275"/>
      <c r="Y25" s="275"/>
      <c r="Z25" s="275"/>
      <c r="AA25" s="275"/>
      <c r="AB25" s="275"/>
      <c r="AC25" s="275"/>
      <c r="AD25" s="275"/>
      <c r="AE25" s="275"/>
      <c r="AF25" s="275"/>
      <c r="AG25" s="275"/>
      <c r="AH25" s="275"/>
      <c r="AI25" s="275"/>
      <c r="AJ25" s="275"/>
      <c r="AK25" s="275"/>
    </row>
    <row r="26" spans="1:74" s="26" customFormat="1" x14ac:dyDescent="0.25">
      <c r="A26" s="17" t="s">
        <v>630</v>
      </c>
      <c r="E26" s="26">
        <f>现金流量表!E15</f>
        <v>4729000000</v>
      </c>
      <c r="F26" s="26">
        <f>现金流量表!F15</f>
        <v>894000000</v>
      </c>
      <c r="G26" s="26">
        <f>现金流量表!G15</f>
        <v>717000000</v>
      </c>
      <c r="H26" s="26">
        <f>现金流量表!H15</f>
        <v>357000000</v>
      </c>
      <c r="I26" s="26">
        <f>现金流量表!I15</f>
        <v>31489000000</v>
      </c>
      <c r="J26" s="26">
        <f>现金流量表!J15</f>
        <v>17930000000</v>
      </c>
      <c r="K26" s="26">
        <f>现金流量表!K15</f>
        <v>17911000000</v>
      </c>
      <c r="L26" s="26">
        <f>现金流量表!L15</f>
        <v>3120000000</v>
      </c>
      <c r="M26" s="26">
        <f>现金流量表!M15</f>
        <v>3353000000</v>
      </c>
      <c r="N26" s="26">
        <f>现金流量表!N15</f>
        <v>1253000000</v>
      </c>
      <c r="O26" s="26">
        <f>现金流量表!O15</f>
        <v>493000000</v>
      </c>
      <c r="P26" s="26">
        <f>现金流量表!P15</f>
        <v>388000000</v>
      </c>
      <c r="Q26" s="26">
        <f>现金流量表!Q15</f>
        <v>3874000000</v>
      </c>
      <c r="R26" s="26">
        <f>现金流量表!R15</f>
        <v>3564000000</v>
      </c>
      <c r="S26" s="26">
        <f>现金流量表!S15</f>
        <v>435000000</v>
      </c>
      <c r="T26" s="26">
        <f>现金流量表!T15</f>
        <v>474000000</v>
      </c>
      <c r="U26" s="26">
        <f>现金流量表!U15</f>
        <v>4198000000</v>
      </c>
      <c r="V26" s="26">
        <f>现金流量表!V15</f>
        <v>186000000</v>
      </c>
      <c r="W26" s="26">
        <f>现金流量表!W15</f>
        <v>156000000</v>
      </c>
      <c r="X26" s="26">
        <f>现金流量表!X15</f>
        <v>85000000</v>
      </c>
      <c r="Y26" s="26">
        <f>现金流量表!Y15</f>
        <v>1384000000</v>
      </c>
      <c r="Z26" s="26">
        <f>现金流量表!Z15</f>
        <v>1459000000</v>
      </c>
      <c r="AA26" s="26">
        <f>现金流量表!AA15</f>
        <v>1315000000</v>
      </c>
      <c r="AB26" s="26">
        <f>现金流量表!AB15</f>
        <v>16000000</v>
      </c>
      <c r="AC26" s="26">
        <f>现金流量表!AC15</f>
        <v>3039000000</v>
      </c>
      <c r="AD26" s="26">
        <f>现金流量表!AD15</f>
        <v>2551000000</v>
      </c>
      <c r="AE26" s="26">
        <f>现金流量表!AE15</f>
        <v>2482000000</v>
      </c>
      <c r="AF26" s="26">
        <f>现金流量表!AF15</f>
        <v>0</v>
      </c>
      <c r="AG26" s="26">
        <f>现金流量表!AG15</f>
        <v>1687000000</v>
      </c>
      <c r="AH26" s="26">
        <f>现金流量表!AH15</f>
        <v>1997000000</v>
      </c>
      <c r="AI26" s="26">
        <f>现金流量表!AI15</f>
        <v>733000000</v>
      </c>
      <c r="AJ26" s="26">
        <f>现金流量表!AJ15</f>
        <v>650000000</v>
      </c>
      <c r="AK26" s="26">
        <f>现金流量表!AK15</f>
        <v>504000000</v>
      </c>
      <c r="AL26" s="26">
        <f>现金流量表!AL15</f>
        <v>260000000</v>
      </c>
      <c r="AM26" s="26">
        <f>现金流量表!AM15</f>
        <v>260000000</v>
      </c>
      <c r="AN26" s="26">
        <f>现金流量表!AN15</f>
        <v>72000000</v>
      </c>
      <c r="AO26" s="26">
        <f>现金流量表!AO15</f>
        <v>1366000000</v>
      </c>
      <c r="AP26" s="26">
        <f>现金流量表!AP15</f>
        <v>1326000000</v>
      </c>
      <c r="AQ26" s="26">
        <f>现金流量表!AQ15</f>
        <v>1049000000</v>
      </c>
      <c r="AR26" s="26">
        <f>现金流量表!AR15</f>
        <v>788000000</v>
      </c>
      <c r="AS26" s="26">
        <f>现金流量表!AS15</f>
        <v>1441000000</v>
      </c>
      <c r="AT26" s="26">
        <f>现金流量表!AT15</f>
        <v>999000000</v>
      </c>
      <c r="AU26" s="26">
        <f>现金流量表!AU15</f>
        <v>752000000</v>
      </c>
      <c r="AV26" s="26">
        <f>现金流量表!AV15</f>
        <v>0</v>
      </c>
      <c r="AW26" s="26">
        <f>现金流量表!AW15</f>
        <v>510000000</v>
      </c>
      <c r="AX26" s="26">
        <f>现金流量表!AX15</f>
        <v>306000000</v>
      </c>
      <c r="AY26" s="26">
        <f>现金流量表!AY15</f>
        <v>163000000</v>
      </c>
      <c r="AZ26" s="26">
        <f>现金流量表!AZ15</f>
        <v>63000000</v>
      </c>
      <c r="BA26" s="26">
        <f>现金流量表!BA15</f>
        <v>1879000000</v>
      </c>
      <c r="BB26" s="26">
        <f>现金流量表!BB15</f>
        <v>93000000</v>
      </c>
      <c r="BC26" s="26">
        <f>现金流量表!BC15</f>
        <v>63000000</v>
      </c>
      <c r="BD26" s="26">
        <f>现金流量表!BD15</f>
        <v>33000000</v>
      </c>
      <c r="BE26" s="26">
        <f>现金流量表!BE15</f>
        <v>186000000</v>
      </c>
      <c r="BF26" s="26">
        <f>现金流量表!BF15</f>
        <v>31000000</v>
      </c>
      <c r="BG26" s="26">
        <f>现金流量表!BG15</f>
        <v>31000000</v>
      </c>
      <c r="BH26" s="26">
        <f>现金流量表!BH15</f>
        <v>31000000</v>
      </c>
      <c r="BI26" s="26">
        <f>现金流量表!BI15</f>
        <v>107000000</v>
      </c>
      <c r="BJ26" s="26">
        <f>现金流量表!BJ15</f>
        <v>101000000</v>
      </c>
      <c r="BK26" s="26">
        <f>现金流量表!BK15</f>
        <v>95000000</v>
      </c>
      <c r="BL26" s="26">
        <f>现金流量表!BL15</f>
        <v>5000000</v>
      </c>
      <c r="BM26" s="26">
        <f>现金流量表!BM15</f>
        <v>150000000</v>
      </c>
      <c r="BN26" s="26">
        <f>现金流量表!BN15</f>
        <v>84000000</v>
      </c>
      <c r="BO26" s="26">
        <f>现金流量表!BO15</f>
        <v>307000000</v>
      </c>
      <c r="BP26" s="26">
        <f>现金流量表!BP15</f>
        <v>156000000</v>
      </c>
      <c r="BQ26" s="26">
        <f>现金流量表!BQ15</f>
        <v>86000000</v>
      </c>
      <c r="BR26" s="26">
        <f>现金流量表!BR15</f>
        <v>0</v>
      </c>
      <c r="BS26" s="26">
        <f>现金流量表!BS15</f>
        <v>0</v>
      </c>
      <c r="BT26" s="26">
        <f>现金流量表!BT15</f>
        <v>0</v>
      </c>
      <c r="BU26" s="26">
        <f>现金流量表!BU15</f>
        <v>0</v>
      </c>
      <c r="BV26" s="26">
        <f>现金流量表!BV15</f>
        <v>0</v>
      </c>
    </row>
    <row r="27" spans="1:74" s="26" customFormat="1" x14ac:dyDescent="0.25">
      <c r="A27" s="17" t="s">
        <v>631</v>
      </c>
      <c r="E27" s="26">
        <f>现金流量表!E22</f>
        <v>57627000000</v>
      </c>
      <c r="F27" s="26">
        <f>现金流量表!F22</f>
        <v>4914000000</v>
      </c>
      <c r="G27" s="26">
        <f>现金流量表!G22</f>
        <v>3253000000</v>
      </c>
      <c r="H27" s="26">
        <f>现金流量表!H22</f>
        <v>1668000000</v>
      </c>
      <c r="I27" s="26">
        <f>现金流量表!I22</f>
        <v>16389000000</v>
      </c>
      <c r="J27" s="26">
        <f>现金流量表!J22</f>
        <v>15197000000</v>
      </c>
      <c r="K27" s="26">
        <f>现金流量表!K22</f>
        <v>14393000000</v>
      </c>
      <c r="L27" s="26">
        <f>现金流量表!L22</f>
        <v>11934000000</v>
      </c>
      <c r="M27" s="26">
        <f>现金流量表!M22</f>
        <v>23332000000</v>
      </c>
      <c r="N27" s="26">
        <f>现金流量表!N22</f>
        <v>8382000000</v>
      </c>
      <c r="O27" s="26">
        <f>现金流量表!O22</f>
        <v>3556000000</v>
      </c>
      <c r="P27" s="26">
        <f>现金流量表!P22</f>
        <v>2822000000</v>
      </c>
      <c r="Q27" s="26">
        <f>现金流量表!Q22</f>
        <v>13855000000</v>
      </c>
      <c r="R27" s="26">
        <f>现金流量表!R22</f>
        <v>8276000000</v>
      </c>
      <c r="S27" s="26">
        <f>现金流量表!S22</f>
        <v>5030000000</v>
      </c>
      <c r="T27" s="26">
        <f>现金流量表!T22</f>
        <v>4044000000</v>
      </c>
      <c r="U27" s="26">
        <f>现金流量表!U22</f>
        <v>33487000000</v>
      </c>
      <c r="V27" s="26">
        <f>现金流量表!V22</f>
        <v>28109000000</v>
      </c>
      <c r="W27" s="26">
        <f>现金流量表!W22</f>
        <v>6450000000</v>
      </c>
      <c r="X27" s="26">
        <f>现金流量表!X22</f>
        <v>2924000000</v>
      </c>
      <c r="Y27" s="26">
        <f>现金流量表!Y22</f>
        <v>10246000000</v>
      </c>
      <c r="Z27" s="26">
        <f>现金流量表!Z22</f>
        <v>5609000000</v>
      </c>
      <c r="AA27" s="26">
        <f>现金流量表!AA22</f>
        <v>4825000000</v>
      </c>
      <c r="AB27" s="26">
        <f>现金流量表!AB22</f>
        <v>741000000</v>
      </c>
      <c r="AC27" s="26">
        <f>现金流量表!AC22</f>
        <v>7488000000</v>
      </c>
      <c r="AD27" s="26">
        <f>现金流量表!AD22</f>
        <v>3185000000</v>
      </c>
      <c r="AE27" s="26">
        <f>现金流量表!AE22</f>
        <v>2692000000</v>
      </c>
      <c r="AF27" s="26">
        <f>现金流量表!AF22</f>
        <v>764000000</v>
      </c>
      <c r="AG27" s="26">
        <f>现金流量表!AG22</f>
        <v>11310000000</v>
      </c>
      <c r="AH27" s="26">
        <f>现金流量表!AH22</f>
        <v>5014000000</v>
      </c>
      <c r="AI27" s="26">
        <f>现金流量表!AI22</f>
        <v>4300000000</v>
      </c>
      <c r="AJ27" s="26">
        <f>现金流量表!AJ22</f>
        <v>2803000000</v>
      </c>
      <c r="AK27" s="26">
        <f>现金流量表!AK22</f>
        <v>3240000000</v>
      </c>
      <c r="AL27" s="26">
        <f>现金流量表!AL22</f>
        <v>1750000000</v>
      </c>
      <c r="AM27" s="26">
        <f>现金流量表!AM22</f>
        <v>792000000</v>
      </c>
      <c r="AN27" s="26">
        <f>现金流量表!AN22</f>
        <v>388000000</v>
      </c>
      <c r="AO27" s="26">
        <f>现金流量表!AO22</f>
        <v>3089000000</v>
      </c>
      <c r="AP27" s="26">
        <f>现金流量表!AP22</f>
        <v>3021000000</v>
      </c>
      <c r="AQ27" s="26">
        <f>现金流量表!AQ22</f>
        <v>2675000000</v>
      </c>
      <c r="AR27" s="26">
        <f>现金流量表!AR22</f>
        <v>1201000000</v>
      </c>
      <c r="AS27" s="26">
        <f>现金流量表!AS22</f>
        <v>1581000000</v>
      </c>
      <c r="AT27" s="26">
        <f>现金流量表!AT22</f>
        <v>1214000000</v>
      </c>
      <c r="AU27" s="26">
        <f>现金流量表!AU22</f>
        <v>1037000000</v>
      </c>
      <c r="AV27" s="26">
        <f>现金流量表!AV22</f>
        <v>470000000</v>
      </c>
      <c r="AW27" s="26">
        <f>现金流量表!AW22</f>
        <v>3569000000</v>
      </c>
      <c r="AX27" s="26">
        <f>现金流量表!AX22</f>
        <v>3037000000</v>
      </c>
      <c r="AY27" s="26">
        <f>现金流量表!AY22</f>
        <v>2180000000</v>
      </c>
      <c r="AZ27" s="26">
        <f>现金流量表!AZ22</f>
        <v>362000000</v>
      </c>
      <c r="BA27" s="26">
        <f>现金流量表!BA22</f>
        <v>4170000000</v>
      </c>
      <c r="BB27" s="26">
        <f>现金流量表!BB22</f>
        <v>1947000000</v>
      </c>
      <c r="BC27" s="26">
        <f>现金流量表!BC22</f>
        <v>706000000</v>
      </c>
      <c r="BD27" s="26">
        <f>现金流量表!BD22</f>
        <v>812000000</v>
      </c>
      <c r="BE27" s="26">
        <f>现金流量表!BE22</f>
        <v>1225000000</v>
      </c>
      <c r="BF27" s="26">
        <f>现金流量表!BF22</f>
        <v>1151000000</v>
      </c>
      <c r="BG27" s="26">
        <f>现金流量表!BG22</f>
        <v>919000000</v>
      </c>
      <c r="BH27" s="26">
        <f>现金流量表!BH22</f>
        <v>264000000</v>
      </c>
      <c r="BI27" s="26">
        <f>现金流量表!BI22</f>
        <v>1545000000</v>
      </c>
      <c r="BJ27" s="26">
        <f>现金流量表!BJ22</f>
        <v>468000000</v>
      </c>
      <c r="BK27" s="26">
        <f>现金流量表!BK22</f>
        <v>89000000</v>
      </c>
      <c r="BL27" s="26">
        <f>现金流量表!BL22</f>
        <v>503000000</v>
      </c>
      <c r="BM27" s="26">
        <f>现金流量表!BM22</f>
        <v>2357000000</v>
      </c>
      <c r="BN27" s="26">
        <f>现金流量表!BN22</f>
        <v>1085000000</v>
      </c>
      <c r="BO27" s="26">
        <f>现金流量表!BO22</f>
        <v>3779000000</v>
      </c>
      <c r="BP27" s="26">
        <f>现金流量表!BP22</f>
        <v>2046000000</v>
      </c>
      <c r="BQ27" s="26">
        <f>现金流量表!BQ22</f>
        <v>1546000000</v>
      </c>
      <c r="BR27" s="26">
        <f>现金流量表!BR22</f>
        <v>0</v>
      </c>
      <c r="BS27" s="26">
        <f>现金流量表!BS22</f>
        <v>0</v>
      </c>
      <c r="BT27" s="26">
        <f>现金流量表!BT22</f>
        <v>0</v>
      </c>
      <c r="BU27" s="26">
        <f>现金流量表!BU22</f>
        <v>0</v>
      </c>
      <c r="BV27" s="26">
        <f>现金流量表!BV22</f>
        <v>0</v>
      </c>
    </row>
    <row r="28" spans="1:74" s="26" customFormat="1" x14ac:dyDescent="0.25">
      <c r="A28" s="17" t="s">
        <v>632</v>
      </c>
      <c r="E28" s="26">
        <f>E27-E26</f>
        <v>52898000000</v>
      </c>
      <c r="F28" s="26">
        <f t="shared" ref="F28:BQ28" si="79">F27-F26</f>
        <v>4020000000</v>
      </c>
      <c r="G28" s="26">
        <f t="shared" si="79"/>
        <v>2536000000</v>
      </c>
      <c r="H28" s="26">
        <f t="shared" si="79"/>
        <v>1311000000</v>
      </c>
      <c r="I28" s="26">
        <f t="shared" si="79"/>
        <v>-15100000000</v>
      </c>
      <c r="J28" s="26">
        <f t="shared" si="79"/>
        <v>-2733000000</v>
      </c>
      <c r="K28" s="26">
        <f t="shared" si="79"/>
        <v>-3518000000</v>
      </c>
      <c r="L28" s="26">
        <f t="shared" si="79"/>
        <v>8814000000</v>
      </c>
      <c r="M28" s="26">
        <f t="shared" si="79"/>
        <v>19979000000</v>
      </c>
      <c r="N28" s="26">
        <f t="shared" si="79"/>
        <v>7129000000</v>
      </c>
      <c r="O28" s="26">
        <f t="shared" si="79"/>
        <v>3063000000</v>
      </c>
      <c r="P28" s="26">
        <f t="shared" si="79"/>
        <v>2434000000</v>
      </c>
      <c r="Q28" s="26">
        <f t="shared" si="79"/>
        <v>9981000000</v>
      </c>
      <c r="R28" s="26">
        <f t="shared" si="79"/>
        <v>4712000000</v>
      </c>
      <c r="S28" s="26">
        <f t="shared" si="79"/>
        <v>4595000000</v>
      </c>
      <c r="T28" s="26">
        <f t="shared" si="79"/>
        <v>3570000000</v>
      </c>
      <c r="U28" s="26">
        <f t="shared" si="79"/>
        <v>29289000000</v>
      </c>
      <c r="V28" s="26">
        <f t="shared" si="79"/>
        <v>27923000000</v>
      </c>
      <c r="W28" s="26">
        <f t="shared" si="79"/>
        <v>6294000000</v>
      </c>
      <c r="X28" s="26">
        <f t="shared" si="79"/>
        <v>2839000000</v>
      </c>
      <c r="Y28" s="26">
        <f t="shared" si="79"/>
        <v>8862000000</v>
      </c>
      <c r="Z28" s="26">
        <f t="shared" si="79"/>
        <v>4150000000</v>
      </c>
      <c r="AA28" s="26">
        <f t="shared" si="79"/>
        <v>3510000000</v>
      </c>
      <c r="AB28" s="26">
        <f t="shared" si="79"/>
        <v>725000000</v>
      </c>
      <c r="AC28" s="26">
        <f t="shared" si="79"/>
        <v>4449000000</v>
      </c>
      <c r="AD28" s="26">
        <f t="shared" si="79"/>
        <v>634000000</v>
      </c>
      <c r="AE28" s="26">
        <f t="shared" si="79"/>
        <v>210000000</v>
      </c>
      <c r="AF28" s="26">
        <f t="shared" si="79"/>
        <v>764000000</v>
      </c>
      <c r="AG28" s="26">
        <f t="shared" si="79"/>
        <v>9623000000</v>
      </c>
      <c r="AH28" s="26">
        <f t="shared" si="79"/>
        <v>3017000000</v>
      </c>
      <c r="AI28" s="26">
        <f t="shared" si="79"/>
        <v>3567000000</v>
      </c>
      <c r="AJ28" s="26">
        <f t="shared" si="79"/>
        <v>2153000000</v>
      </c>
      <c r="AK28" s="26">
        <f t="shared" si="79"/>
        <v>2736000000</v>
      </c>
      <c r="AL28" s="26">
        <f t="shared" si="79"/>
        <v>1490000000</v>
      </c>
      <c r="AM28" s="26">
        <f t="shared" si="79"/>
        <v>532000000</v>
      </c>
      <c r="AN28" s="26">
        <f t="shared" si="79"/>
        <v>316000000</v>
      </c>
      <c r="AO28" s="26">
        <f t="shared" si="79"/>
        <v>1723000000</v>
      </c>
      <c r="AP28" s="26">
        <f t="shared" si="79"/>
        <v>1695000000</v>
      </c>
      <c r="AQ28" s="26">
        <f t="shared" si="79"/>
        <v>1626000000</v>
      </c>
      <c r="AR28" s="26">
        <f t="shared" si="79"/>
        <v>413000000</v>
      </c>
      <c r="AS28" s="26">
        <f t="shared" si="79"/>
        <v>140000000</v>
      </c>
      <c r="AT28" s="26">
        <f t="shared" si="79"/>
        <v>215000000</v>
      </c>
      <c r="AU28" s="26">
        <f t="shared" si="79"/>
        <v>285000000</v>
      </c>
      <c r="AV28" s="26">
        <f t="shared" si="79"/>
        <v>470000000</v>
      </c>
      <c r="AW28" s="26">
        <f t="shared" si="79"/>
        <v>3059000000</v>
      </c>
      <c r="AX28" s="26">
        <f t="shared" si="79"/>
        <v>2731000000</v>
      </c>
      <c r="AY28" s="26">
        <f t="shared" si="79"/>
        <v>2017000000</v>
      </c>
      <c r="AZ28" s="26">
        <f t="shared" si="79"/>
        <v>299000000</v>
      </c>
      <c r="BA28" s="26">
        <f t="shared" si="79"/>
        <v>2291000000</v>
      </c>
      <c r="BB28" s="26">
        <f t="shared" si="79"/>
        <v>1854000000</v>
      </c>
      <c r="BC28" s="26">
        <f t="shared" si="79"/>
        <v>643000000</v>
      </c>
      <c r="BD28" s="26">
        <f t="shared" si="79"/>
        <v>779000000</v>
      </c>
      <c r="BE28" s="26">
        <f t="shared" si="79"/>
        <v>1039000000</v>
      </c>
      <c r="BF28" s="26">
        <f t="shared" si="79"/>
        <v>1120000000</v>
      </c>
      <c r="BG28" s="26">
        <f t="shared" si="79"/>
        <v>888000000</v>
      </c>
      <c r="BH28" s="26">
        <f t="shared" si="79"/>
        <v>233000000</v>
      </c>
      <c r="BI28" s="26">
        <f t="shared" si="79"/>
        <v>1438000000</v>
      </c>
      <c r="BJ28" s="26">
        <f t="shared" si="79"/>
        <v>367000000</v>
      </c>
      <c r="BK28" s="26">
        <f t="shared" si="79"/>
        <v>-6000000</v>
      </c>
      <c r="BL28" s="26">
        <f t="shared" si="79"/>
        <v>498000000</v>
      </c>
      <c r="BM28" s="26">
        <f t="shared" si="79"/>
        <v>2207000000</v>
      </c>
      <c r="BN28" s="26">
        <f t="shared" si="79"/>
        <v>1001000000</v>
      </c>
      <c r="BO28" s="26">
        <f t="shared" si="79"/>
        <v>3472000000</v>
      </c>
      <c r="BP28" s="26">
        <f t="shared" si="79"/>
        <v>1890000000</v>
      </c>
      <c r="BQ28" s="26">
        <f t="shared" si="79"/>
        <v>1460000000</v>
      </c>
      <c r="BR28" s="26">
        <f t="shared" ref="BR28:BV28" si="80">BR27-BR26</f>
        <v>0</v>
      </c>
      <c r="BS28" s="26">
        <f t="shared" si="80"/>
        <v>0</v>
      </c>
      <c r="BT28" s="26">
        <f t="shared" si="80"/>
        <v>0</v>
      </c>
      <c r="BU28" s="26">
        <f t="shared" si="80"/>
        <v>0</v>
      </c>
      <c r="BV28" s="26">
        <f t="shared" si="80"/>
        <v>0</v>
      </c>
    </row>
    <row r="29" spans="1:74" s="26" customFormat="1" ht="16.2" customHeight="1" x14ac:dyDescent="0.25">
      <c r="A29" s="181" t="s">
        <v>633</v>
      </c>
      <c r="E29" s="182">
        <f>POWER(E28/U28,1/5)-1</f>
        <v>0.12550373784376911</v>
      </c>
    </row>
    <row r="30" spans="1:74" s="30" customFormat="1" ht="15" customHeight="1" thickBot="1" x14ac:dyDescent="0.3">
      <c r="A30" s="137" t="s">
        <v>315</v>
      </c>
      <c r="B30" s="1">
        <v>43373</v>
      </c>
      <c r="C30" s="1">
        <v>43281</v>
      </c>
      <c r="D30" s="1">
        <v>43190</v>
      </c>
      <c r="E30" s="1">
        <v>43100</v>
      </c>
      <c r="F30" s="1">
        <v>43008</v>
      </c>
      <c r="G30" s="1">
        <v>42916</v>
      </c>
      <c r="H30" s="1">
        <v>42825</v>
      </c>
      <c r="I30" s="1">
        <v>42735</v>
      </c>
      <c r="J30" s="1">
        <v>42643</v>
      </c>
      <c r="K30" s="1">
        <v>42551</v>
      </c>
      <c r="L30" s="1">
        <v>42460</v>
      </c>
      <c r="M30" s="1">
        <v>42369</v>
      </c>
      <c r="N30" s="1">
        <v>42277</v>
      </c>
      <c r="O30" s="1">
        <v>42185</v>
      </c>
      <c r="P30" s="1">
        <v>42094</v>
      </c>
      <c r="Q30" s="1">
        <v>42004</v>
      </c>
      <c r="R30" s="1">
        <v>41912</v>
      </c>
      <c r="S30" s="1">
        <v>41820</v>
      </c>
      <c r="T30" s="1">
        <v>41729</v>
      </c>
      <c r="U30" s="1">
        <v>41639</v>
      </c>
      <c r="V30" s="1">
        <v>41547</v>
      </c>
      <c r="W30" s="1">
        <v>41455</v>
      </c>
      <c r="X30" s="1">
        <v>41364</v>
      </c>
      <c r="Y30" s="1">
        <v>41274</v>
      </c>
      <c r="Z30" s="1">
        <v>41182</v>
      </c>
      <c r="AA30" s="1">
        <v>41090</v>
      </c>
      <c r="AB30" s="1">
        <v>40999</v>
      </c>
      <c r="AC30" s="1">
        <v>40908</v>
      </c>
      <c r="AD30" s="1">
        <v>40816</v>
      </c>
      <c r="AE30" s="1">
        <v>40724</v>
      </c>
      <c r="AF30" s="1">
        <v>40633</v>
      </c>
      <c r="AG30" s="1">
        <v>40543</v>
      </c>
      <c r="AH30" s="1">
        <v>40451</v>
      </c>
      <c r="AI30" s="1">
        <v>40359</v>
      </c>
      <c r="AJ30" s="1">
        <v>40268</v>
      </c>
      <c r="AK30" s="1">
        <v>40178</v>
      </c>
      <c r="AL30" s="1">
        <v>40086</v>
      </c>
      <c r="AM30" s="1">
        <v>39994</v>
      </c>
      <c r="AN30" s="1">
        <v>39903</v>
      </c>
      <c r="AO30" s="1">
        <v>39813</v>
      </c>
      <c r="AP30" s="1">
        <v>39721</v>
      </c>
      <c r="AQ30" s="1">
        <v>39629</v>
      </c>
      <c r="AR30" s="1">
        <v>39538</v>
      </c>
      <c r="AS30" s="1">
        <v>39447</v>
      </c>
      <c r="AT30" s="1">
        <v>39355</v>
      </c>
      <c r="AU30" s="1">
        <v>39263</v>
      </c>
      <c r="AV30" s="1">
        <v>39172</v>
      </c>
      <c r="AW30" s="1">
        <v>39082</v>
      </c>
      <c r="AX30" s="1">
        <v>38990</v>
      </c>
      <c r="AY30" s="1">
        <v>38898</v>
      </c>
      <c r="AZ30" s="1">
        <v>38807</v>
      </c>
      <c r="BA30" s="1">
        <v>38717</v>
      </c>
      <c r="BB30" s="1">
        <v>38625</v>
      </c>
      <c r="BC30" s="1">
        <v>38533</v>
      </c>
      <c r="BD30" s="1">
        <v>38442</v>
      </c>
      <c r="BE30" s="1">
        <v>38352</v>
      </c>
      <c r="BF30" s="1">
        <v>38260</v>
      </c>
      <c r="BG30" s="1">
        <v>38168</v>
      </c>
      <c r="BH30" s="1">
        <v>38077</v>
      </c>
      <c r="BI30" s="1">
        <v>37986</v>
      </c>
      <c r="BJ30" s="1">
        <v>37894</v>
      </c>
      <c r="BK30" s="1">
        <v>37802</v>
      </c>
      <c r="BL30" s="1">
        <v>37711</v>
      </c>
      <c r="BM30" s="1">
        <v>37621</v>
      </c>
      <c r="BN30" s="1">
        <v>37437</v>
      </c>
      <c r="BO30" s="1">
        <v>37256</v>
      </c>
      <c r="BP30" s="1">
        <v>37072</v>
      </c>
      <c r="BQ30" s="1">
        <v>36891</v>
      </c>
      <c r="BR30" s="1">
        <v>25569</v>
      </c>
      <c r="BS30" s="1">
        <v>36525</v>
      </c>
      <c r="BT30" s="1">
        <v>36341</v>
      </c>
      <c r="BU30" s="1">
        <v>36160</v>
      </c>
      <c r="BV30" s="1">
        <v>25569</v>
      </c>
    </row>
    <row r="31" spans="1:74" s="51" customFormat="1" ht="17.399999999999999" customHeight="1" x14ac:dyDescent="0.25">
      <c r="A31" s="111" t="s">
        <v>310</v>
      </c>
      <c r="B31" s="190">
        <v>1050842000000</v>
      </c>
      <c r="C31" s="190">
        <v>1048366000000</v>
      </c>
      <c r="D31" s="190">
        <v>1051297000000</v>
      </c>
      <c r="E31" s="190">
        <v>1066455000000</v>
      </c>
      <c r="F31" s="190">
        <v>1039528000000</v>
      </c>
      <c r="G31" s="190">
        <v>1053379000000</v>
      </c>
      <c r="H31" s="190">
        <v>1066218000000</v>
      </c>
      <c r="I31" s="190">
        <v>1086348000000</v>
      </c>
      <c r="J31" s="190">
        <v>1074153000000</v>
      </c>
      <c r="K31" s="190">
        <v>1084950000000</v>
      </c>
      <c r="L31" s="190">
        <v>1090139000000</v>
      </c>
      <c r="M31" s="190">
        <v>1110724000000</v>
      </c>
      <c r="N31" s="190">
        <v>1067208000000</v>
      </c>
      <c r="O31" s="190">
        <v>1074800000000</v>
      </c>
      <c r="P31" s="190">
        <v>1078667000000</v>
      </c>
      <c r="Q31" s="190">
        <v>1091224000000</v>
      </c>
      <c r="R31" s="190">
        <v>1031474000000</v>
      </c>
      <c r="S31" s="190">
        <v>1008815000000</v>
      </c>
      <c r="T31" s="190">
        <v>1002460000000</v>
      </c>
      <c r="U31" s="190">
        <v>1009906000000</v>
      </c>
      <c r="V31" s="190">
        <v>942803000000</v>
      </c>
      <c r="W31" s="190">
        <v>909103000000</v>
      </c>
      <c r="X31" s="190">
        <v>904572000000</v>
      </c>
      <c r="Y31" s="190">
        <v>893771000000</v>
      </c>
      <c r="Z31" s="190">
        <v>839036000000</v>
      </c>
      <c r="AA31" s="190">
        <v>824269000000</v>
      </c>
      <c r="AB31" s="190">
        <v>806471000000</v>
      </c>
      <c r="AC31" s="190">
        <v>802465000000</v>
      </c>
      <c r="AD31" s="190">
        <v>747844000000</v>
      </c>
      <c r="AE31" s="190">
        <v>740381000000</v>
      </c>
      <c r="AF31" s="190">
        <v>735770000000</v>
      </c>
      <c r="AG31" s="190">
        <v>735939000000</v>
      </c>
      <c r="AH31" s="190">
        <v>694565000000</v>
      </c>
      <c r="AI31" s="190">
        <v>670958000000</v>
      </c>
      <c r="AJ31" s="190">
        <v>666153000000</v>
      </c>
      <c r="AK31" s="190">
        <v>677252000000</v>
      </c>
      <c r="AL31" s="190">
        <v>641400000000</v>
      </c>
      <c r="AM31" s="190">
        <v>629983000000</v>
      </c>
      <c r="AN31" s="190">
        <v>608446000000</v>
      </c>
      <c r="AO31" s="190">
        <v>604228000000</v>
      </c>
      <c r="AP31" s="190">
        <v>568713000000</v>
      </c>
      <c r="AQ31" s="190">
        <v>560515000000</v>
      </c>
      <c r="AR31" s="190">
        <v>543823000000</v>
      </c>
      <c r="AS31" s="190">
        <v>537037000000</v>
      </c>
      <c r="AT31" s="190">
        <v>490293000000</v>
      </c>
      <c r="AU31" s="190">
        <v>474832000000</v>
      </c>
      <c r="AV31" s="190">
        <v>465236000000</v>
      </c>
      <c r="AW31" s="190">
        <v>452450000000</v>
      </c>
      <c r="AX31" s="190">
        <v>412750000000</v>
      </c>
      <c r="AY31" s="190">
        <v>407537000000</v>
      </c>
      <c r="AZ31" s="190">
        <v>385885000000</v>
      </c>
      <c r="BA31" s="190">
        <v>378676000000</v>
      </c>
      <c r="BB31" s="190">
        <v>365249000000</v>
      </c>
      <c r="BC31" s="190">
        <v>357671000000</v>
      </c>
      <c r="BD31" s="190">
        <v>352756000000</v>
      </c>
      <c r="BE31" s="190">
        <v>343025000000</v>
      </c>
      <c r="BF31" s="190">
        <v>314478000000</v>
      </c>
      <c r="BG31" s="190">
        <v>305863000000</v>
      </c>
      <c r="BH31" s="190">
        <v>298827000000</v>
      </c>
      <c r="BI31" s="190">
        <v>293295000000</v>
      </c>
      <c r="BJ31" s="190">
        <v>276752000000</v>
      </c>
      <c r="BK31" s="190">
        <v>275429000000</v>
      </c>
      <c r="BL31" s="190">
        <v>272128000000</v>
      </c>
      <c r="BM31" s="190">
        <v>269367000000</v>
      </c>
      <c r="BN31" s="190">
        <v>263714000000</v>
      </c>
      <c r="BO31" s="190">
        <v>261328000000</v>
      </c>
      <c r="BP31" s="190">
        <v>258764000000</v>
      </c>
      <c r="BQ31" s="190">
        <v>253529000000</v>
      </c>
      <c r="BR31" s="190">
        <v>218213000000</v>
      </c>
      <c r="BS31" s="190">
        <v>3540915525.1199999</v>
      </c>
      <c r="BT31" s="190">
        <v>1786934979.5599999</v>
      </c>
      <c r="BU31" s="190">
        <v>1665815375.1099999</v>
      </c>
      <c r="BV31" s="190">
        <v>1686369507.6900001</v>
      </c>
    </row>
    <row r="32" spans="1:74" s="54" customFormat="1" ht="15" customHeight="1" x14ac:dyDescent="0.25">
      <c r="A32" s="138" t="s">
        <v>311</v>
      </c>
      <c r="B32" s="190">
        <v>8680000000</v>
      </c>
      <c r="C32" s="190">
        <v>8642000000</v>
      </c>
      <c r="D32" s="190">
        <v>8598000000</v>
      </c>
      <c r="E32" s="190">
        <v>8634000000</v>
      </c>
      <c r="F32" s="190">
        <v>6326000000</v>
      </c>
      <c r="G32" s="190">
        <v>6325000000</v>
      </c>
      <c r="H32" s="190">
        <v>6346000000</v>
      </c>
      <c r="I32" s="190">
        <v>6353000000</v>
      </c>
      <c r="J32" s="190">
        <v>6324000000</v>
      </c>
      <c r="K32" s="190">
        <v>6317000000</v>
      </c>
      <c r="L32" s="190">
        <v>6300000000</v>
      </c>
      <c r="M32" s="190">
        <v>6271000000</v>
      </c>
      <c r="N32" s="190">
        <v>6281000000</v>
      </c>
      <c r="O32" s="190">
        <v>6281000000</v>
      </c>
      <c r="P32" s="190">
        <v>6281000000</v>
      </c>
      <c r="Q32" s="190">
        <v>6281000000</v>
      </c>
      <c r="R32" s="190">
        <v>6255000000</v>
      </c>
      <c r="S32" s="190">
        <v>6255000000</v>
      </c>
      <c r="T32" s="190">
        <v>6255000000</v>
      </c>
      <c r="U32" s="190">
        <v>6255000000</v>
      </c>
      <c r="V32" s="190">
        <v>6254000000</v>
      </c>
      <c r="W32" s="190">
        <v>6257000000</v>
      </c>
      <c r="X32" s="190">
        <v>6257000000</v>
      </c>
      <c r="Y32" s="190">
        <v>6257000000</v>
      </c>
      <c r="Z32" s="190">
        <v>6662000000</v>
      </c>
      <c r="AA32" s="190">
        <v>6536000000</v>
      </c>
      <c r="AB32" s="190">
        <v>8302000000</v>
      </c>
      <c r="AC32" s="190">
        <v>8212000000</v>
      </c>
      <c r="AD32" s="190">
        <v>8917000000</v>
      </c>
      <c r="AE32" s="190">
        <v>8775000000</v>
      </c>
      <c r="AF32" s="190">
        <v>8417000000</v>
      </c>
      <c r="AG32" s="190">
        <v>8298000000</v>
      </c>
      <c r="AH32" s="190">
        <v>14268000000</v>
      </c>
      <c r="AI32" s="190">
        <v>14290000000</v>
      </c>
      <c r="AJ32" s="190">
        <v>14294000000</v>
      </c>
      <c r="AK32" s="190">
        <v>14163000000</v>
      </c>
      <c r="AL32" s="190">
        <v>14009000000</v>
      </c>
      <c r="AM32" s="190">
        <v>14393000000</v>
      </c>
      <c r="AN32" s="190">
        <v>14395000000</v>
      </c>
      <c r="AO32" s="190">
        <v>14328000000</v>
      </c>
      <c r="AP32" s="190">
        <v>15686000000</v>
      </c>
      <c r="AQ32" s="190">
        <v>15707000000</v>
      </c>
      <c r="AR32" s="190">
        <v>15701000000</v>
      </c>
      <c r="AS32" s="190">
        <v>15690000000</v>
      </c>
      <c r="AT32" s="190">
        <v>15407000000</v>
      </c>
      <c r="AU32" s="190">
        <v>15407000000</v>
      </c>
      <c r="AV32" s="190">
        <v>14510000000</v>
      </c>
      <c r="AW32" s="190">
        <v>0</v>
      </c>
      <c r="AX32" s="190">
        <v>0</v>
      </c>
      <c r="AY32" s="190">
        <v>0</v>
      </c>
      <c r="AZ32" s="190">
        <v>0</v>
      </c>
      <c r="BA32" s="190">
        <v>0</v>
      </c>
      <c r="BB32" s="190">
        <v>0</v>
      </c>
      <c r="BC32" s="190">
        <v>0</v>
      </c>
      <c r="BD32" s="190">
        <v>0</v>
      </c>
      <c r="BE32" s="190">
        <v>0</v>
      </c>
      <c r="BF32" s="190">
        <v>0</v>
      </c>
      <c r="BG32" s="190">
        <v>0</v>
      </c>
      <c r="BH32" s="190">
        <v>0</v>
      </c>
      <c r="BI32" s="190">
        <v>0</v>
      </c>
      <c r="BJ32" s="190">
        <v>0</v>
      </c>
      <c r="BK32" s="190">
        <v>0</v>
      </c>
      <c r="BL32" s="190">
        <v>0</v>
      </c>
      <c r="BM32" s="190">
        <v>0</v>
      </c>
      <c r="BN32" s="190">
        <v>0</v>
      </c>
      <c r="BO32" s="190">
        <v>0</v>
      </c>
      <c r="BP32" s="190">
        <v>0</v>
      </c>
      <c r="BQ32" s="190">
        <v>0</v>
      </c>
      <c r="BR32" s="190">
        <v>0</v>
      </c>
      <c r="BS32" s="190">
        <v>0</v>
      </c>
      <c r="BT32" s="190">
        <v>0</v>
      </c>
      <c r="BU32" s="190">
        <v>0</v>
      </c>
      <c r="BV32" s="190">
        <v>0</v>
      </c>
    </row>
    <row r="33" spans="1:74" s="54" customFormat="1" ht="19.2" customHeight="1" x14ac:dyDescent="0.25">
      <c r="A33" s="138" t="s">
        <v>312</v>
      </c>
      <c r="B33" s="190">
        <v>0</v>
      </c>
      <c r="C33" s="190">
        <v>0</v>
      </c>
      <c r="D33" s="190">
        <v>0</v>
      </c>
      <c r="E33" s="190">
        <v>1676000000</v>
      </c>
      <c r="F33" s="190">
        <v>11227000000</v>
      </c>
      <c r="G33" s="190">
        <v>11325000000</v>
      </c>
      <c r="H33" s="190">
        <v>11521000000</v>
      </c>
      <c r="I33" s="190">
        <v>11408000000</v>
      </c>
      <c r="J33" s="190">
        <v>11097000000</v>
      </c>
      <c r="K33" s="190">
        <v>11137000000</v>
      </c>
      <c r="L33" s="190">
        <v>10281000000</v>
      </c>
      <c r="M33" s="190">
        <v>10326000000</v>
      </c>
      <c r="N33" s="190">
        <v>1281000000</v>
      </c>
      <c r="O33" s="190">
        <v>1075000000</v>
      </c>
      <c r="P33" s="190">
        <v>1035000000</v>
      </c>
      <c r="Q33" s="190">
        <v>868000000</v>
      </c>
      <c r="R33" s="190">
        <v>1605000000</v>
      </c>
      <c r="S33" s="190">
        <v>0</v>
      </c>
      <c r="T33" s="190">
        <v>0</v>
      </c>
      <c r="U33" s="190">
        <v>0</v>
      </c>
      <c r="V33" s="190">
        <v>0</v>
      </c>
      <c r="W33" s="190">
        <v>0</v>
      </c>
      <c r="X33" s="190">
        <v>0</v>
      </c>
      <c r="Y33" s="190">
        <v>0</v>
      </c>
      <c r="Z33" s="190">
        <v>0</v>
      </c>
      <c r="AA33" s="190">
        <v>0</v>
      </c>
      <c r="AB33" s="190">
        <v>0</v>
      </c>
      <c r="AC33" s="190">
        <v>0</v>
      </c>
      <c r="AD33" s="190">
        <v>0</v>
      </c>
      <c r="AE33" s="190">
        <v>0</v>
      </c>
      <c r="AF33" s="190">
        <v>0</v>
      </c>
      <c r="AG33" s="190">
        <v>0</v>
      </c>
      <c r="AH33" s="190">
        <v>0</v>
      </c>
      <c r="AI33" s="190">
        <v>0</v>
      </c>
      <c r="AJ33" s="190">
        <v>0</v>
      </c>
      <c r="AK33" s="190">
        <v>0</v>
      </c>
      <c r="AL33" s="190">
        <v>0</v>
      </c>
      <c r="AM33" s="190">
        <v>0</v>
      </c>
      <c r="AN33" s="190">
        <v>0</v>
      </c>
      <c r="AO33" s="190">
        <v>0</v>
      </c>
      <c r="AP33" s="190">
        <v>0</v>
      </c>
      <c r="AQ33" s="190">
        <v>0</v>
      </c>
      <c r="AR33" s="190">
        <v>0</v>
      </c>
      <c r="AS33" s="190">
        <v>0</v>
      </c>
      <c r="AT33" s="190">
        <v>0</v>
      </c>
      <c r="AU33" s="190">
        <v>0</v>
      </c>
      <c r="AV33" s="190">
        <v>0</v>
      </c>
      <c r="AW33" s="190">
        <v>0</v>
      </c>
      <c r="AX33" s="190">
        <v>0</v>
      </c>
      <c r="AY33" s="190">
        <v>0</v>
      </c>
      <c r="AZ33" s="190">
        <v>0</v>
      </c>
      <c r="BA33" s="190">
        <v>0</v>
      </c>
      <c r="BB33" s="190">
        <v>0</v>
      </c>
      <c r="BC33" s="190">
        <v>0</v>
      </c>
      <c r="BD33" s="190">
        <v>0</v>
      </c>
      <c r="BE33" s="190">
        <v>0</v>
      </c>
      <c r="BF33" s="190">
        <v>0</v>
      </c>
      <c r="BG33" s="190">
        <v>0</v>
      </c>
      <c r="BH33" s="190">
        <v>0</v>
      </c>
      <c r="BI33" s="190">
        <v>0</v>
      </c>
      <c r="BJ33" s="190">
        <v>0</v>
      </c>
      <c r="BK33" s="190">
        <v>0</v>
      </c>
      <c r="BL33" s="190">
        <v>0</v>
      </c>
      <c r="BM33" s="190">
        <v>0</v>
      </c>
      <c r="BN33" s="190">
        <v>0</v>
      </c>
      <c r="BO33" s="190">
        <v>0</v>
      </c>
      <c r="BP33" s="190">
        <v>0</v>
      </c>
      <c r="BQ33" s="190">
        <v>0</v>
      </c>
      <c r="BR33" s="190">
        <v>0</v>
      </c>
      <c r="BS33" s="190">
        <v>0</v>
      </c>
      <c r="BT33" s="190">
        <v>0</v>
      </c>
      <c r="BU33" s="190">
        <v>0</v>
      </c>
      <c r="BV33" s="190">
        <v>0</v>
      </c>
    </row>
    <row r="34" spans="1:74" s="44" customFormat="1" ht="15" thickBot="1" x14ac:dyDescent="0.3">
      <c r="A34" s="139" t="s">
        <v>315</v>
      </c>
      <c r="B34" s="49"/>
      <c r="C34" s="49"/>
      <c r="D34" s="49"/>
      <c r="E34" s="49">
        <f>E31-E32-E33</f>
        <v>1056145000000</v>
      </c>
      <c r="F34" s="49">
        <f t="shared" ref="F34:BP34" si="81">F31-F32-F33</f>
        <v>1021975000000</v>
      </c>
      <c r="G34" s="49">
        <f t="shared" si="81"/>
        <v>1035729000000</v>
      </c>
      <c r="H34" s="49">
        <f t="shared" si="81"/>
        <v>1048351000000</v>
      </c>
      <c r="I34" s="49">
        <f t="shared" si="81"/>
        <v>1068587000000</v>
      </c>
      <c r="J34" s="49">
        <f t="shared" si="81"/>
        <v>1056732000000</v>
      </c>
      <c r="K34" s="49">
        <f t="shared" si="81"/>
        <v>1067496000000</v>
      </c>
      <c r="L34" s="49">
        <f t="shared" si="81"/>
        <v>1073558000000</v>
      </c>
      <c r="M34" s="49">
        <f t="shared" si="81"/>
        <v>1094127000000</v>
      </c>
      <c r="N34" s="49">
        <f t="shared" si="81"/>
        <v>1059646000000</v>
      </c>
      <c r="O34" s="49">
        <f t="shared" si="81"/>
        <v>1067444000000</v>
      </c>
      <c r="P34" s="49">
        <f t="shared" si="81"/>
        <v>1071351000000</v>
      </c>
      <c r="Q34" s="49">
        <f t="shared" si="81"/>
        <v>1084075000000</v>
      </c>
      <c r="R34" s="49">
        <f t="shared" si="81"/>
        <v>1023614000000</v>
      </c>
      <c r="S34" s="49">
        <f t="shared" si="81"/>
        <v>1002560000000</v>
      </c>
      <c r="T34" s="49">
        <f t="shared" si="81"/>
        <v>996205000000</v>
      </c>
      <c r="U34" s="49">
        <f t="shared" si="81"/>
        <v>1003651000000</v>
      </c>
      <c r="V34" s="49">
        <f t="shared" si="81"/>
        <v>936549000000</v>
      </c>
      <c r="W34" s="49">
        <f t="shared" si="81"/>
        <v>902846000000</v>
      </c>
      <c r="X34" s="49">
        <f t="shared" si="81"/>
        <v>898315000000</v>
      </c>
      <c r="Y34" s="49">
        <f t="shared" si="81"/>
        <v>887514000000</v>
      </c>
      <c r="Z34" s="49">
        <f t="shared" si="81"/>
        <v>832374000000</v>
      </c>
      <c r="AA34" s="49">
        <f t="shared" si="81"/>
        <v>817733000000</v>
      </c>
      <c r="AB34" s="49">
        <f t="shared" si="81"/>
        <v>798169000000</v>
      </c>
      <c r="AC34" s="49">
        <f t="shared" si="81"/>
        <v>794253000000</v>
      </c>
      <c r="AD34" s="49">
        <f t="shared" si="81"/>
        <v>738927000000</v>
      </c>
      <c r="AE34" s="49">
        <f t="shared" si="81"/>
        <v>731606000000</v>
      </c>
      <c r="AF34" s="49">
        <f t="shared" si="81"/>
        <v>727353000000</v>
      </c>
      <c r="AG34" s="49">
        <f t="shared" si="81"/>
        <v>727641000000</v>
      </c>
      <c r="AH34" s="49">
        <f t="shared" si="81"/>
        <v>680297000000</v>
      </c>
      <c r="AI34" s="49">
        <f t="shared" si="81"/>
        <v>656668000000</v>
      </c>
      <c r="AJ34" s="49">
        <f t="shared" si="81"/>
        <v>651859000000</v>
      </c>
      <c r="AK34" s="49">
        <f t="shared" si="81"/>
        <v>663089000000</v>
      </c>
      <c r="AL34" s="49">
        <f t="shared" si="81"/>
        <v>627391000000</v>
      </c>
      <c r="AM34" s="49">
        <f t="shared" si="81"/>
        <v>615590000000</v>
      </c>
      <c r="AN34" s="49">
        <f t="shared" si="81"/>
        <v>594051000000</v>
      </c>
      <c r="AO34" s="49">
        <f t="shared" si="81"/>
        <v>589900000000</v>
      </c>
      <c r="AP34" s="49">
        <f t="shared" si="81"/>
        <v>553027000000</v>
      </c>
      <c r="AQ34" s="49">
        <f t="shared" si="81"/>
        <v>544808000000</v>
      </c>
      <c r="AR34" s="49">
        <f t="shared" si="81"/>
        <v>528122000000</v>
      </c>
      <c r="AS34" s="49">
        <f t="shared" si="81"/>
        <v>521347000000</v>
      </c>
      <c r="AT34" s="49">
        <f t="shared" si="81"/>
        <v>474886000000</v>
      </c>
      <c r="AU34" s="49">
        <f t="shared" si="81"/>
        <v>459425000000</v>
      </c>
      <c r="AV34" s="49">
        <f t="shared" si="81"/>
        <v>450726000000</v>
      </c>
      <c r="AW34" s="49">
        <f t="shared" si="81"/>
        <v>452450000000</v>
      </c>
      <c r="AX34" s="49">
        <f t="shared" si="81"/>
        <v>412750000000</v>
      </c>
      <c r="AY34" s="49">
        <f t="shared" si="81"/>
        <v>407537000000</v>
      </c>
      <c r="AZ34" s="49">
        <f t="shared" si="81"/>
        <v>385885000000</v>
      </c>
      <c r="BA34" s="49">
        <f t="shared" si="81"/>
        <v>378676000000</v>
      </c>
      <c r="BB34" s="49">
        <f t="shared" si="81"/>
        <v>365249000000</v>
      </c>
      <c r="BC34" s="49">
        <f t="shared" si="81"/>
        <v>357671000000</v>
      </c>
      <c r="BD34" s="49">
        <f t="shared" si="81"/>
        <v>352756000000</v>
      </c>
      <c r="BE34" s="49">
        <f t="shared" si="81"/>
        <v>343025000000</v>
      </c>
      <c r="BF34" s="49">
        <f t="shared" si="81"/>
        <v>314478000000</v>
      </c>
      <c r="BG34" s="49">
        <f t="shared" si="81"/>
        <v>305863000000</v>
      </c>
      <c r="BH34" s="49">
        <f t="shared" si="81"/>
        <v>298827000000</v>
      </c>
      <c r="BI34" s="49">
        <f t="shared" si="81"/>
        <v>293295000000</v>
      </c>
      <c r="BJ34" s="49">
        <f t="shared" si="81"/>
        <v>276752000000</v>
      </c>
      <c r="BK34" s="49">
        <f t="shared" si="81"/>
        <v>275429000000</v>
      </c>
      <c r="BL34" s="49">
        <f t="shared" si="81"/>
        <v>272128000000</v>
      </c>
      <c r="BM34" s="49">
        <f t="shared" si="81"/>
        <v>269367000000</v>
      </c>
      <c r="BN34" s="49">
        <f t="shared" si="81"/>
        <v>263714000000</v>
      </c>
      <c r="BO34" s="49">
        <f t="shared" si="81"/>
        <v>261328000000</v>
      </c>
      <c r="BP34" s="49">
        <f t="shared" si="81"/>
        <v>258764000000</v>
      </c>
      <c r="BQ34" s="49">
        <f>AP31-AP32-AP33</f>
        <v>553027000000</v>
      </c>
      <c r="BR34" s="49">
        <f>AQ31-AQ32-AQ33</f>
        <v>544808000000</v>
      </c>
      <c r="BS34" s="49">
        <f>AR31-AR32-AR33</f>
        <v>528122000000</v>
      </c>
      <c r="BT34" s="49"/>
      <c r="BU34" s="50"/>
    </row>
    <row r="35" spans="1:74" s="106" customFormat="1" ht="15" thickBot="1" x14ac:dyDescent="0.3">
      <c r="A35" s="140" t="s">
        <v>317</v>
      </c>
      <c r="B35" s="33">
        <f>SUM(B22:B31)</f>
        <v>974944043373</v>
      </c>
      <c r="C35" s="33">
        <f>SUM(C22:C31)</f>
        <v>999058043281</v>
      </c>
      <c r="D35" s="33">
        <f>SUM(D22:D31)</f>
        <v>1057758043190</v>
      </c>
      <c r="E35" s="33">
        <f>资产资本表!E17</f>
        <v>217876000000</v>
      </c>
      <c r="F35" s="33">
        <f>资产资本表!F17</f>
        <v>173130000000</v>
      </c>
      <c r="G35" s="33">
        <f>资产资本表!G17</f>
        <v>172147000000</v>
      </c>
      <c r="H35" s="33">
        <f>资产资本表!H17</f>
        <v>146571000000</v>
      </c>
      <c r="I35" s="33">
        <f>资产资本表!I17</f>
        <v>153905000000</v>
      </c>
      <c r="J35" s="33">
        <f>资产资本表!J17</f>
        <v>97480000000</v>
      </c>
      <c r="K35" s="33">
        <f>资产资本表!K17</f>
        <v>88123000000</v>
      </c>
      <c r="L35" s="33">
        <f>资产资本表!L17</f>
        <v>74170000000</v>
      </c>
      <c r="M35" s="33">
        <f>资产资本表!M17</f>
        <v>78883000000</v>
      </c>
      <c r="N35" s="33">
        <f>资产资本表!N17</f>
        <v>58454000000</v>
      </c>
      <c r="O35" s="33">
        <f>资产资本表!O17</f>
        <v>75278000000</v>
      </c>
      <c r="P35" s="33">
        <f>资产资本表!P17</f>
        <v>74981000000</v>
      </c>
      <c r="Q35" s="33">
        <f>资产资本表!Q17</f>
        <v>10968000000</v>
      </c>
      <c r="R35" s="33">
        <f>资产资本表!R17</f>
        <v>22524000000</v>
      </c>
      <c r="S35" s="33">
        <f>资产资本表!S17</f>
        <v>14346000000</v>
      </c>
      <c r="T35" s="33">
        <f>资产资本表!T17</f>
        <v>20771000000</v>
      </c>
      <c r="U35" s="33">
        <f>资产资本表!U17</f>
        <v>15101000000</v>
      </c>
      <c r="V35" s="33">
        <f>资产资本表!V17</f>
        <v>12096000000</v>
      </c>
      <c r="W35" s="33">
        <f>资产资本表!W17</f>
        <v>11385000000</v>
      </c>
      <c r="X35" s="33">
        <f>资产资本表!X17</f>
        <v>14788000000</v>
      </c>
      <c r="Y35" s="33">
        <f>资产资本表!Y17</f>
        <v>10864000000</v>
      </c>
      <c r="Z35" s="33">
        <f>资产资本表!Z17</f>
        <v>14855000000</v>
      </c>
      <c r="AA35" s="33">
        <f>资产资本表!AA17</f>
        <v>13960000000</v>
      </c>
      <c r="AB35" s="33">
        <f>资产资本表!AB17</f>
        <v>24609000000</v>
      </c>
      <c r="AC35" s="33">
        <f>资产资本表!AC17</f>
        <v>25197000000</v>
      </c>
      <c r="AD35" s="33">
        <f>资产资本表!AD17</f>
        <v>27189000000</v>
      </c>
      <c r="AE35" s="33">
        <f>资产资本表!AE17</f>
        <v>14186000000</v>
      </c>
      <c r="AF35" s="33">
        <f>资产资本表!AF17</f>
        <v>27007000000</v>
      </c>
      <c r="AG35" s="33">
        <f>资产资本表!AG17</f>
        <v>18140000000</v>
      </c>
      <c r="AH35" s="33">
        <f>资产资本表!AH17</f>
        <v>11562000000</v>
      </c>
      <c r="AI35" s="33">
        <f>资产资本表!AI17</f>
        <v>16695000000</v>
      </c>
      <c r="AJ35" s="33">
        <f>资产资本表!AJ17</f>
        <v>11361000000</v>
      </c>
      <c r="AK35" s="33">
        <f>资产资本表!AK17</f>
        <v>9986000000</v>
      </c>
      <c r="AL35" s="33">
        <f>资产资本表!AL17</f>
        <v>8601000000</v>
      </c>
      <c r="AM35" s="33">
        <f>资产资本表!AM17</f>
        <v>9082000000</v>
      </c>
      <c r="AN35" s="33">
        <f>资产资本表!AN17</f>
        <v>12227000000</v>
      </c>
      <c r="AO35" s="33">
        <f>资产资本表!AO17</f>
        <v>7700000000</v>
      </c>
      <c r="AP35" s="33">
        <f>资产资本表!AP17</f>
        <v>11605000000</v>
      </c>
      <c r="AQ35" s="33">
        <f>资产资本表!AQ17</f>
        <v>9774000000</v>
      </c>
      <c r="AR35" s="33">
        <f>资产资本表!AR17</f>
        <v>28397000000</v>
      </c>
      <c r="AS35" s="33">
        <f>资产资本表!AS17</f>
        <v>8364000000</v>
      </c>
      <c r="AT35" s="33">
        <f>资产资本表!AT17</f>
        <v>8908000000</v>
      </c>
      <c r="AU35" s="33">
        <f>资产资本表!AU17</f>
        <v>12989000000</v>
      </c>
      <c r="AV35" s="33">
        <f>资产资本表!AV17</f>
        <v>15943000000</v>
      </c>
      <c r="AW35" s="33">
        <f>资产资本表!AW17</f>
        <v>8723000000</v>
      </c>
      <c r="AX35" s="33">
        <f>资产资本表!AX17</f>
        <v>10590000000</v>
      </c>
      <c r="AY35" s="33">
        <f>资产资本表!AY17</f>
        <v>10777000000</v>
      </c>
      <c r="AZ35" s="33">
        <f>资产资本表!AZ17</f>
        <v>13089000000</v>
      </c>
      <c r="BA35" s="33">
        <f>资产资本表!BA17</f>
        <v>14747000000</v>
      </c>
      <c r="BB35" s="33">
        <f>资产资本表!BB17</f>
        <v>16567000000</v>
      </c>
      <c r="BC35" s="33">
        <f>资产资本表!BC17</f>
        <v>15322000000</v>
      </c>
      <c r="BD35" s="33">
        <f>资产资本表!BD17</f>
        <v>19884000000</v>
      </c>
      <c r="BE35" s="33">
        <f>资产资本表!BE17</f>
        <v>18280000000</v>
      </c>
      <c r="BF35" s="33">
        <f>资产资本表!BF17</f>
        <v>17324000000</v>
      </c>
      <c r="BG35" s="33">
        <f>资产资本表!BG17</f>
        <v>17028000000</v>
      </c>
      <c r="BH35" s="33">
        <f>资产资本表!BH17</f>
        <v>20367000000</v>
      </c>
      <c r="BI35" s="33">
        <f>资产资本表!BI17</f>
        <v>17405000000</v>
      </c>
      <c r="BJ35" s="33">
        <f>资产资本表!BJ17</f>
        <v>18630000000</v>
      </c>
      <c r="BK35" s="33">
        <f>资产资本表!BK17</f>
        <v>21844000000</v>
      </c>
      <c r="BL35" s="33">
        <f>资产资本表!BL17</f>
        <v>22282000000</v>
      </c>
      <c r="BM35" s="33">
        <f>资产资本表!BM17</f>
        <v>18712000000</v>
      </c>
      <c r="BN35" s="33">
        <f>资产资本表!BN17</f>
        <v>19233000000</v>
      </c>
      <c r="BO35" s="33">
        <f>资产资本表!BO17</f>
        <v>21212000000</v>
      </c>
      <c r="BP35" s="33">
        <f>资产资本表!BP17</f>
        <v>20986000000</v>
      </c>
      <c r="BQ35" s="33">
        <f>资产资本表!BQ17</f>
        <v>22870000000</v>
      </c>
      <c r="BR35" s="33">
        <f>资产资本表!BR17</f>
        <v>39991000000</v>
      </c>
      <c r="BS35" s="33">
        <f>资产资本表!BS17</f>
        <v>41204000000</v>
      </c>
      <c r="BT35" s="33">
        <f>资产资本表!BT17</f>
        <v>0</v>
      </c>
      <c r="BU35" s="33">
        <f>资产资本表!BU17</f>
        <v>0</v>
      </c>
      <c r="BV35" s="33">
        <f>资产资本表!BV17</f>
        <v>0</v>
      </c>
    </row>
    <row r="36" spans="1:74" s="26" customFormat="1" x14ac:dyDescent="0.25">
      <c r="A36" s="17"/>
    </row>
    <row r="37" spans="1:74" s="26" customFormat="1" x14ac:dyDescent="0.25">
      <c r="A37" s="17"/>
    </row>
    <row r="38" spans="1:74" s="18" customFormat="1" x14ac:dyDescent="0.25">
      <c r="A38" s="18" t="s">
        <v>318</v>
      </c>
      <c r="B38" s="1">
        <v>43373</v>
      </c>
      <c r="C38" s="1">
        <v>43281</v>
      </c>
      <c r="D38" s="1">
        <v>43190</v>
      </c>
      <c r="E38" s="1">
        <v>43100</v>
      </c>
      <c r="F38" s="1">
        <v>43008</v>
      </c>
      <c r="G38" s="1">
        <v>42916</v>
      </c>
      <c r="H38" s="1">
        <v>42825</v>
      </c>
      <c r="I38" s="1">
        <v>42735</v>
      </c>
      <c r="J38" s="1">
        <v>42643</v>
      </c>
      <c r="K38" s="1">
        <v>42551</v>
      </c>
      <c r="L38" s="1">
        <v>42460</v>
      </c>
      <c r="M38" s="1">
        <v>42369</v>
      </c>
      <c r="N38" s="1">
        <v>42277</v>
      </c>
      <c r="O38" s="1">
        <v>42185</v>
      </c>
      <c r="P38" s="1">
        <v>42094</v>
      </c>
      <c r="Q38" s="1">
        <v>42004</v>
      </c>
      <c r="R38" s="1">
        <v>41912</v>
      </c>
      <c r="S38" s="1">
        <v>41820</v>
      </c>
      <c r="T38" s="1">
        <v>41729</v>
      </c>
      <c r="U38" s="1">
        <v>41639</v>
      </c>
      <c r="V38" s="1">
        <v>41547</v>
      </c>
      <c r="W38" s="1">
        <v>41455</v>
      </c>
      <c r="X38" s="1">
        <v>41364</v>
      </c>
      <c r="Y38" s="1">
        <v>41274</v>
      </c>
      <c r="Z38" s="1">
        <v>41182</v>
      </c>
      <c r="AA38" s="1">
        <v>41090</v>
      </c>
      <c r="AB38" s="1">
        <v>40999</v>
      </c>
      <c r="AC38" s="1">
        <v>40908</v>
      </c>
      <c r="AD38" s="1">
        <v>40816</v>
      </c>
      <c r="AE38" s="1">
        <v>40724</v>
      </c>
      <c r="AF38" s="1">
        <v>40633</v>
      </c>
      <c r="AG38" s="1">
        <v>40543</v>
      </c>
      <c r="AH38" s="1">
        <v>40451</v>
      </c>
      <c r="AI38" s="1">
        <v>40359</v>
      </c>
      <c r="AJ38" s="1">
        <v>40268</v>
      </c>
      <c r="AK38" s="1">
        <v>40178</v>
      </c>
      <c r="AL38" s="1">
        <v>40086</v>
      </c>
      <c r="AM38" s="1">
        <v>39994</v>
      </c>
      <c r="AN38" s="1">
        <v>39903</v>
      </c>
      <c r="AO38" s="1">
        <v>39813</v>
      </c>
      <c r="AP38" s="1">
        <v>39721</v>
      </c>
      <c r="AQ38" s="1">
        <v>39629</v>
      </c>
      <c r="AR38" s="1">
        <v>39538</v>
      </c>
      <c r="AS38" s="1">
        <v>39447</v>
      </c>
      <c r="AT38" s="1">
        <v>39355</v>
      </c>
      <c r="AU38" s="1">
        <v>39263</v>
      </c>
      <c r="AV38" s="1">
        <v>39172</v>
      </c>
      <c r="AW38" s="1">
        <v>39082</v>
      </c>
      <c r="AX38" s="1">
        <v>38990</v>
      </c>
      <c r="AY38" s="1">
        <v>38898</v>
      </c>
      <c r="AZ38" s="1">
        <v>38807</v>
      </c>
      <c r="BA38" s="1">
        <v>38717</v>
      </c>
      <c r="BB38" s="1">
        <v>38625</v>
      </c>
      <c r="BC38" s="1">
        <v>38533</v>
      </c>
      <c r="BD38" s="1">
        <v>38442</v>
      </c>
      <c r="BE38" s="1">
        <v>38352</v>
      </c>
      <c r="BF38" s="1">
        <v>38260</v>
      </c>
      <c r="BG38" s="1">
        <v>38168</v>
      </c>
      <c r="BH38" s="1">
        <v>38077</v>
      </c>
      <c r="BI38" s="1">
        <v>37986</v>
      </c>
      <c r="BJ38" s="1">
        <v>37894</v>
      </c>
      <c r="BK38" s="1">
        <v>37802</v>
      </c>
      <c r="BL38" s="1">
        <v>37711</v>
      </c>
      <c r="BM38" s="1">
        <v>37621</v>
      </c>
      <c r="BN38" s="1">
        <v>37437</v>
      </c>
      <c r="BO38" s="1">
        <v>37256</v>
      </c>
      <c r="BP38" s="1">
        <v>37072</v>
      </c>
      <c r="BQ38" s="1">
        <v>36891</v>
      </c>
      <c r="BR38" s="1">
        <v>25569</v>
      </c>
      <c r="BS38" s="1">
        <v>36525</v>
      </c>
      <c r="BT38" s="1">
        <v>36341</v>
      </c>
      <c r="BU38" s="1">
        <v>36160</v>
      </c>
      <c r="BV38" s="1">
        <v>25569</v>
      </c>
    </row>
    <row r="39" spans="1:74" s="48" customFormat="1" x14ac:dyDescent="0.25">
      <c r="A39" s="46" t="s">
        <v>319</v>
      </c>
    </row>
    <row r="40" spans="1:74" s="193" customFormat="1" x14ac:dyDescent="0.25">
      <c r="A40" s="193" t="s">
        <v>743</v>
      </c>
      <c r="B40" s="190">
        <v>874000000</v>
      </c>
      <c r="C40" s="190">
        <v>502000000</v>
      </c>
      <c r="D40" s="190">
        <v>70000000</v>
      </c>
      <c r="E40" s="190">
        <v>946000000</v>
      </c>
      <c r="F40" s="190">
        <v>853000000</v>
      </c>
      <c r="G40" s="190">
        <v>331000000</v>
      </c>
      <c r="H40" s="190">
        <v>42000000</v>
      </c>
      <c r="I40" s="190">
        <v>343000000</v>
      </c>
      <c r="J40" s="190">
        <v>202000000</v>
      </c>
      <c r="K40" s="190">
        <v>192000000</v>
      </c>
      <c r="L40" s="190">
        <v>72000000</v>
      </c>
      <c r="M40" s="190">
        <v>105477000000</v>
      </c>
      <c r="N40" s="190">
        <v>105681000000</v>
      </c>
      <c r="O40" s="190">
        <v>105144000000</v>
      </c>
      <c r="P40" s="190">
        <v>105089000000</v>
      </c>
      <c r="Q40" s="190">
        <v>4128000000</v>
      </c>
      <c r="R40" s="190">
        <v>2701000000</v>
      </c>
      <c r="S40" s="190">
        <v>2441000000</v>
      </c>
      <c r="T40" s="190">
        <v>2312000000</v>
      </c>
      <c r="U40" s="190">
        <v>32102000000</v>
      </c>
      <c r="V40" s="190">
        <v>31709000000</v>
      </c>
      <c r="W40" s="190">
        <v>22259000000</v>
      </c>
      <c r="X40" s="190">
        <v>20363000000</v>
      </c>
      <c r="Y40" s="190">
        <v>1474000000</v>
      </c>
      <c r="Z40" s="190">
        <v>931000000</v>
      </c>
      <c r="AA40" s="190">
        <v>936000000</v>
      </c>
      <c r="AB40" s="190">
        <v>57000000</v>
      </c>
      <c r="AC40" s="190">
        <v>117000000</v>
      </c>
      <c r="AD40" s="190">
        <v>22000000</v>
      </c>
      <c r="AE40" s="190">
        <v>22000000</v>
      </c>
      <c r="AF40" s="190">
        <v>48000000</v>
      </c>
      <c r="AG40" s="190">
        <v>408000000</v>
      </c>
      <c r="AH40" s="190">
        <v>127000000</v>
      </c>
      <c r="AI40" s="190">
        <v>49000000</v>
      </c>
      <c r="AJ40" s="190">
        <v>2000000</v>
      </c>
      <c r="AK40" s="190">
        <v>0</v>
      </c>
      <c r="AL40" s="190">
        <v>369000000</v>
      </c>
      <c r="AM40" s="190">
        <v>31304000000</v>
      </c>
      <c r="AN40" s="190">
        <v>123000000</v>
      </c>
      <c r="AO40" s="190">
        <v>45987000000</v>
      </c>
      <c r="AP40" s="190">
        <v>30915000000</v>
      </c>
      <c r="AQ40" s="190">
        <v>1065000000</v>
      </c>
      <c r="AR40" s="190">
        <v>582000000</v>
      </c>
      <c r="AS40" s="190">
        <v>12623000000</v>
      </c>
      <c r="AT40" s="190">
        <v>1052000000</v>
      </c>
      <c r="AU40" s="190">
        <v>194000000</v>
      </c>
      <c r="AV40" s="190">
        <v>3000000</v>
      </c>
      <c r="AW40" s="190">
        <v>23944000000</v>
      </c>
      <c r="AX40" s="190">
        <v>10969000000</v>
      </c>
      <c r="AY40" s="190">
        <v>10928000000</v>
      </c>
      <c r="AZ40" s="190">
        <v>0</v>
      </c>
      <c r="BA40" s="190">
        <v>10004000000</v>
      </c>
      <c r="BB40" s="190">
        <v>129000000</v>
      </c>
      <c r="BC40" s="190">
        <v>86000000</v>
      </c>
      <c r="BD40" s="190">
        <v>171000000</v>
      </c>
      <c r="BE40" s="190">
        <v>1008000000</v>
      </c>
      <c r="BF40" s="190">
        <v>147000000</v>
      </c>
      <c r="BG40" s="190">
        <v>92000000</v>
      </c>
      <c r="BH40" s="190">
        <v>36000000</v>
      </c>
      <c r="BI40" s="190">
        <v>580000000</v>
      </c>
      <c r="BJ40" s="190">
        <v>19000000</v>
      </c>
      <c r="BK40" s="190">
        <v>12000000</v>
      </c>
      <c r="BL40" s="190">
        <v>142000000</v>
      </c>
      <c r="BM40" s="190">
        <v>230000000</v>
      </c>
      <c r="BN40" s="190">
        <v>182000000</v>
      </c>
      <c r="BO40" s="190">
        <v>12170000000</v>
      </c>
      <c r="BP40" s="190">
        <v>0</v>
      </c>
      <c r="BQ40" s="190">
        <v>25802000000</v>
      </c>
      <c r="BR40" s="190">
        <v>0</v>
      </c>
      <c r="BS40" s="190">
        <v>0</v>
      </c>
      <c r="BT40" s="190">
        <v>0</v>
      </c>
      <c r="BU40" s="190">
        <v>1165397962.47</v>
      </c>
      <c r="BV40" s="190">
        <v>0</v>
      </c>
    </row>
    <row r="41" spans="1:74" s="53" customFormat="1" ht="21.75" customHeight="1" x14ac:dyDescent="0.25">
      <c r="A41" s="141" t="s">
        <v>634</v>
      </c>
      <c r="B41" s="53">
        <v>1419647033.29</v>
      </c>
      <c r="C41" s="53">
        <v>682396282.87</v>
      </c>
      <c r="D41" s="53">
        <v>73246783.790000007</v>
      </c>
      <c r="E41" s="53">
        <v>30150000000</v>
      </c>
      <c r="I41" s="53">
        <v>18160000000</v>
      </c>
      <c r="M41" s="53">
        <v>23830000000</v>
      </c>
      <c r="Q41" s="53">
        <v>28010000000</v>
      </c>
      <c r="U41" s="53">
        <v>26615000000</v>
      </c>
      <c r="Y41" s="53">
        <v>26034000000</v>
      </c>
      <c r="AC41" s="53">
        <v>18207000000</v>
      </c>
      <c r="AG41" s="53">
        <v>15606000000</v>
      </c>
      <c r="AK41" s="53">
        <v>10404000000</v>
      </c>
    </row>
    <row r="42" spans="1:74" s="26" customFormat="1" x14ac:dyDescent="0.25">
      <c r="A42" s="17" t="s">
        <v>322</v>
      </c>
      <c r="E42" s="26">
        <f>E40-E41</f>
        <v>-29204000000</v>
      </c>
      <c r="F42" s="26">
        <f t="shared" ref="F42:Y42" si="82">F40-F41</f>
        <v>853000000</v>
      </c>
      <c r="G42" s="26">
        <f t="shared" si="82"/>
        <v>331000000</v>
      </c>
      <c r="H42" s="26">
        <f t="shared" si="82"/>
        <v>42000000</v>
      </c>
      <c r="I42" s="26">
        <f>I40-I41</f>
        <v>-17817000000</v>
      </c>
      <c r="J42" s="26">
        <f t="shared" si="82"/>
        <v>202000000</v>
      </c>
      <c r="K42" s="26">
        <f t="shared" si="82"/>
        <v>192000000</v>
      </c>
      <c r="L42" s="26">
        <f t="shared" si="82"/>
        <v>72000000</v>
      </c>
      <c r="M42" s="26">
        <f t="shared" si="82"/>
        <v>81647000000</v>
      </c>
      <c r="N42" s="26">
        <f t="shared" si="82"/>
        <v>105681000000</v>
      </c>
      <c r="O42" s="26">
        <f t="shared" si="82"/>
        <v>105144000000</v>
      </c>
      <c r="P42" s="26">
        <f t="shared" si="82"/>
        <v>105089000000</v>
      </c>
      <c r="Q42" s="26">
        <f t="shared" si="82"/>
        <v>-23882000000</v>
      </c>
      <c r="R42" s="26">
        <f t="shared" si="82"/>
        <v>2701000000</v>
      </c>
      <c r="S42" s="26">
        <f t="shared" si="82"/>
        <v>2441000000</v>
      </c>
      <c r="T42" s="26">
        <f t="shared" si="82"/>
        <v>2312000000</v>
      </c>
      <c r="U42" s="26">
        <f t="shared" si="82"/>
        <v>5487000000</v>
      </c>
      <c r="V42" s="26">
        <f t="shared" si="82"/>
        <v>31709000000</v>
      </c>
      <c r="W42" s="26">
        <f t="shared" si="82"/>
        <v>22259000000</v>
      </c>
      <c r="X42" s="26">
        <f t="shared" si="82"/>
        <v>20363000000</v>
      </c>
      <c r="Y42" s="26">
        <f t="shared" si="82"/>
        <v>-24560000000</v>
      </c>
      <c r="Z42" s="26">
        <f t="shared" ref="Z42:BQ42" si="83">Z40-Z41</f>
        <v>931000000</v>
      </c>
      <c r="AA42" s="26">
        <f t="shared" si="83"/>
        <v>936000000</v>
      </c>
      <c r="AB42" s="26">
        <f t="shared" si="83"/>
        <v>57000000</v>
      </c>
      <c r="AC42" s="26">
        <f t="shared" si="83"/>
        <v>-18090000000</v>
      </c>
      <c r="AD42" s="26">
        <f t="shared" si="83"/>
        <v>22000000</v>
      </c>
      <c r="AE42" s="26">
        <f t="shared" si="83"/>
        <v>22000000</v>
      </c>
      <c r="AF42" s="26">
        <f t="shared" si="83"/>
        <v>48000000</v>
      </c>
      <c r="AG42" s="26">
        <f t="shared" si="83"/>
        <v>-15198000000</v>
      </c>
      <c r="AH42" s="26">
        <f t="shared" si="83"/>
        <v>127000000</v>
      </c>
      <c r="AI42" s="26">
        <f t="shared" si="83"/>
        <v>49000000</v>
      </c>
      <c r="AJ42" s="26">
        <f t="shared" si="83"/>
        <v>2000000</v>
      </c>
      <c r="AK42" s="26">
        <f t="shared" si="83"/>
        <v>-10404000000</v>
      </c>
      <c r="AL42" s="193">
        <f t="shared" si="83"/>
        <v>369000000</v>
      </c>
      <c r="AM42" s="193">
        <f t="shared" si="83"/>
        <v>31304000000</v>
      </c>
      <c r="AN42" s="193">
        <f t="shared" si="83"/>
        <v>123000000</v>
      </c>
      <c r="AO42" s="193">
        <f t="shared" si="83"/>
        <v>45987000000</v>
      </c>
      <c r="AP42" s="193">
        <f t="shared" si="83"/>
        <v>30915000000</v>
      </c>
      <c r="AQ42" s="193">
        <f t="shared" si="83"/>
        <v>1065000000</v>
      </c>
      <c r="AR42" s="193">
        <f t="shared" si="83"/>
        <v>582000000</v>
      </c>
      <c r="AS42" s="193">
        <f t="shared" si="83"/>
        <v>12623000000</v>
      </c>
      <c r="AT42" s="193">
        <f t="shared" si="83"/>
        <v>1052000000</v>
      </c>
      <c r="AU42" s="193">
        <f t="shared" si="83"/>
        <v>194000000</v>
      </c>
      <c r="AV42" s="193">
        <f t="shared" si="83"/>
        <v>3000000</v>
      </c>
      <c r="AW42" s="193">
        <f t="shared" si="83"/>
        <v>23944000000</v>
      </c>
      <c r="AX42" s="193">
        <f t="shared" si="83"/>
        <v>10969000000</v>
      </c>
      <c r="AY42" s="193">
        <f t="shared" si="83"/>
        <v>10928000000</v>
      </c>
      <c r="AZ42" s="193">
        <f t="shared" si="83"/>
        <v>0</v>
      </c>
      <c r="BA42" s="26">
        <f t="shared" si="83"/>
        <v>10004000000</v>
      </c>
      <c r="BB42" s="26">
        <f t="shared" si="83"/>
        <v>129000000</v>
      </c>
      <c r="BC42" s="26">
        <f t="shared" si="83"/>
        <v>86000000</v>
      </c>
      <c r="BD42" s="26">
        <f t="shared" si="83"/>
        <v>171000000</v>
      </c>
      <c r="BE42" s="26">
        <f t="shared" si="83"/>
        <v>1008000000</v>
      </c>
      <c r="BF42" s="26">
        <f t="shared" si="83"/>
        <v>147000000</v>
      </c>
      <c r="BG42" s="26">
        <f t="shared" si="83"/>
        <v>92000000</v>
      </c>
      <c r="BH42" s="26">
        <f t="shared" si="83"/>
        <v>36000000</v>
      </c>
      <c r="BI42" s="26">
        <f t="shared" si="83"/>
        <v>580000000</v>
      </c>
      <c r="BJ42" s="26">
        <f t="shared" si="83"/>
        <v>19000000</v>
      </c>
      <c r="BK42" s="26">
        <f t="shared" si="83"/>
        <v>12000000</v>
      </c>
      <c r="BL42" s="26">
        <f t="shared" si="83"/>
        <v>142000000</v>
      </c>
      <c r="BM42" s="26">
        <f t="shared" si="83"/>
        <v>230000000</v>
      </c>
      <c r="BN42" s="26">
        <f t="shared" si="83"/>
        <v>182000000</v>
      </c>
      <c r="BO42" s="26">
        <f t="shared" si="83"/>
        <v>12170000000</v>
      </c>
      <c r="BP42" s="26">
        <f t="shared" si="83"/>
        <v>0</v>
      </c>
      <c r="BQ42" s="26">
        <f t="shared" si="83"/>
        <v>25802000000</v>
      </c>
      <c r="BR42" s="26">
        <f t="shared" ref="BR42:BV42" si="84">BR40-BR41</f>
        <v>0</v>
      </c>
      <c r="BS42" s="26">
        <f t="shared" si="84"/>
        <v>0</v>
      </c>
      <c r="BT42" s="26">
        <f t="shared" si="84"/>
        <v>0</v>
      </c>
      <c r="BU42" s="26">
        <f t="shared" si="84"/>
        <v>1165397962.47</v>
      </c>
      <c r="BV42" s="26">
        <f t="shared" si="84"/>
        <v>0</v>
      </c>
    </row>
    <row r="43" spans="1:74" s="52" customFormat="1" ht="15" customHeight="1" x14ac:dyDescent="0.25">
      <c r="A43" s="142" t="s">
        <v>321</v>
      </c>
    </row>
    <row r="44" spans="1:74" s="193" customFormat="1" x14ac:dyDescent="0.25">
      <c r="A44" s="193" t="s">
        <v>324</v>
      </c>
      <c r="B44" s="190">
        <v>526630000000</v>
      </c>
      <c r="C44" s="190">
        <v>317798000000</v>
      </c>
      <c r="D44" s="190">
        <v>126432000000</v>
      </c>
      <c r="E44" s="190">
        <v>524843000000</v>
      </c>
      <c r="F44" s="190">
        <v>361470000000</v>
      </c>
      <c r="G44" s="190">
        <v>269008000000</v>
      </c>
      <c r="H44" s="190">
        <v>139881000000</v>
      </c>
      <c r="I44" s="190">
        <v>506097000000</v>
      </c>
      <c r="J44" s="190">
        <v>401057000000</v>
      </c>
      <c r="K44" s="190">
        <v>262851000000</v>
      </c>
      <c r="L44" s="190">
        <v>147150000000</v>
      </c>
      <c r="M44" s="190">
        <v>1090241000000</v>
      </c>
      <c r="N44" s="190">
        <v>863620000000</v>
      </c>
      <c r="O44" s="190">
        <v>613159000000</v>
      </c>
      <c r="P44" s="190">
        <v>326634000000</v>
      </c>
      <c r="Q44" s="190">
        <v>1128447000000</v>
      </c>
      <c r="R44" s="190">
        <v>799899000000</v>
      </c>
      <c r="S44" s="190">
        <v>551031000000</v>
      </c>
      <c r="T44" s="190">
        <v>290155000000</v>
      </c>
      <c r="U44" s="190">
        <v>1142890000000</v>
      </c>
      <c r="V44" s="190">
        <v>875342000000</v>
      </c>
      <c r="W44" s="190">
        <v>550958000000</v>
      </c>
      <c r="X44" s="190">
        <v>264709000000</v>
      </c>
      <c r="Y44" s="190">
        <v>850317000000</v>
      </c>
      <c r="Z44" s="190">
        <v>594940000000</v>
      </c>
      <c r="AA44" s="190">
        <v>388230000000</v>
      </c>
      <c r="AB44" s="190">
        <v>198307000000</v>
      </c>
      <c r="AC44" s="190">
        <v>536397000000</v>
      </c>
      <c r="AD44" s="190">
        <v>454510000000</v>
      </c>
      <c r="AE44" s="190">
        <v>277196000000</v>
      </c>
      <c r="AF44" s="190">
        <v>145791000000</v>
      </c>
      <c r="AG44" s="190">
        <v>663491000000</v>
      </c>
      <c r="AH44" s="190">
        <v>539075000000</v>
      </c>
      <c r="AI44" s="190">
        <v>411657000000</v>
      </c>
      <c r="AJ44" s="190">
        <v>0</v>
      </c>
      <c r="AK44" s="190">
        <v>779987000000</v>
      </c>
      <c r="AL44" s="190">
        <v>535498000000</v>
      </c>
      <c r="AM44" s="190">
        <v>331561000000</v>
      </c>
      <c r="AN44" s="190">
        <v>157271000000</v>
      </c>
      <c r="AO44" s="190">
        <v>1147279000000</v>
      </c>
      <c r="AP44" s="190">
        <v>776258000000</v>
      </c>
      <c r="AQ44" s="190">
        <v>431302000000</v>
      </c>
      <c r="AR44" s="190">
        <v>266810000000</v>
      </c>
      <c r="AS44" s="190">
        <v>768039000000</v>
      </c>
      <c r="AT44" s="190">
        <v>542990000000</v>
      </c>
      <c r="AU44" s="190">
        <v>312612000000</v>
      </c>
      <c r="AV44" s="190">
        <v>146284000000</v>
      </c>
      <c r="AW44" s="190">
        <v>763858000000</v>
      </c>
      <c r="AX44" s="190">
        <v>446277000000</v>
      </c>
      <c r="AY44" s="190">
        <v>342665000000</v>
      </c>
      <c r="AZ44" s="190">
        <v>199547000000</v>
      </c>
      <c r="BA44" s="190">
        <v>550557000000</v>
      </c>
      <c r="BB44" s="190">
        <v>442650000000</v>
      </c>
      <c r="BC44" s="190">
        <v>295108000000</v>
      </c>
      <c r="BD44" s="190">
        <v>114822000000</v>
      </c>
      <c r="BE44" s="190">
        <v>391832000000</v>
      </c>
      <c r="BF44" s="190">
        <v>213589000000</v>
      </c>
      <c r="BG44" s="190">
        <v>161977000000</v>
      </c>
      <c r="BH44" s="190">
        <v>59442000000</v>
      </c>
      <c r="BI44" s="190">
        <v>228654000000</v>
      </c>
      <c r="BJ44" s="190">
        <v>145418000000</v>
      </c>
      <c r="BK44" s="190">
        <v>103722000000</v>
      </c>
      <c r="BL44" s="190">
        <v>62840000000</v>
      </c>
      <c r="BM44" s="190">
        <v>252675000000</v>
      </c>
      <c r="BN44" s="190">
        <v>132662000000</v>
      </c>
      <c r="BO44" s="190">
        <v>258928000000</v>
      </c>
      <c r="BP44" s="190">
        <v>120329000000</v>
      </c>
      <c r="BQ44" s="190">
        <v>130040000000</v>
      </c>
      <c r="BR44" s="190">
        <v>0</v>
      </c>
      <c r="BS44" s="190">
        <v>0</v>
      </c>
      <c r="BT44" s="190">
        <v>0</v>
      </c>
      <c r="BU44" s="190">
        <v>0</v>
      </c>
      <c r="BV44" s="190">
        <v>0</v>
      </c>
    </row>
    <row r="45" spans="1:74" s="193" customFormat="1" x14ac:dyDescent="0.25">
      <c r="A45" s="193" t="s">
        <v>323</v>
      </c>
      <c r="E45" s="193">
        <f>股权价值增加表!E53</f>
        <v>6368000000</v>
      </c>
      <c r="F45" s="193">
        <f>股权价值增加表!F53</f>
        <v>0</v>
      </c>
      <c r="G45" s="193">
        <f>股权价值增加表!G53</f>
        <v>0</v>
      </c>
      <c r="H45" s="193">
        <f>股权价值增加表!H53</f>
        <v>0</v>
      </c>
      <c r="I45" s="193">
        <f>股权价值增加表!I53</f>
        <v>9021000000</v>
      </c>
      <c r="J45" s="193">
        <f>股权价值增加表!J53</f>
        <v>0</v>
      </c>
      <c r="K45" s="193">
        <f>股权价值增加表!K53</f>
        <v>0</v>
      </c>
      <c r="L45" s="193">
        <f>股权价值增加表!L53</f>
        <v>0</v>
      </c>
      <c r="M45" s="193">
        <f>股权价值增加表!M53</f>
        <v>8273000000</v>
      </c>
      <c r="N45" s="193">
        <f>股权价值增加表!N53</f>
        <v>0</v>
      </c>
      <c r="O45" s="193">
        <f>股权价值增加表!O53</f>
        <v>0</v>
      </c>
      <c r="P45" s="193">
        <f>股权价值增加表!P53</f>
        <v>0</v>
      </c>
      <c r="Q45" s="193">
        <f>股权价值增加表!Q53</f>
        <v>11929000000</v>
      </c>
      <c r="R45" s="193">
        <f>股权价值增加表!R53</f>
        <v>0</v>
      </c>
      <c r="S45" s="193">
        <f>股权价值增加表!S53</f>
        <v>0</v>
      </c>
      <c r="T45" s="193">
        <f>股权价值增加表!T53</f>
        <v>0</v>
      </c>
      <c r="U45" s="193">
        <f>股权价值增加表!U53</f>
        <v>11435000000</v>
      </c>
      <c r="V45" s="193">
        <f>股权价值增加表!V53</f>
        <v>0</v>
      </c>
      <c r="W45" s="193">
        <f>股权价值增加表!W53</f>
        <v>0</v>
      </c>
      <c r="X45" s="193">
        <f>股权价值增加表!X53</f>
        <v>0</v>
      </c>
      <c r="Y45" s="193">
        <f>股权价值增加表!Y53</f>
        <v>12069000000</v>
      </c>
      <c r="Z45" s="193">
        <f>股权价值增加表!Z53</f>
        <v>0</v>
      </c>
      <c r="AA45" s="193">
        <f>股权价值增加表!AA53</f>
        <v>0</v>
      </c>
      <c r="AB45" s="193">
        <f>股权价值增加表!AB53</f>
        <v>0</v>
      </c>
      <c r="AC45" s="193" t="e">
        <f>股权价值增加表!#REF!</f>
        <v>#REF!</v>
      </c>
      <c r="AD45" s="193">
        <f>股权价值增加表!AD53</f>
        <v>0</v>
      </c>
      <c r="AE45" s="193">
        <f>股权价值增加表!AE53</f>
        <v>0</v>
      </c>
      <c r="AF45" s="193">
        <f>股权价值增加表!AF53</f>
        <v>0</v>
      </c>
      <c r="AG45" s="193">
        <f>股权价值增加表!AG53</f>
        <v>8664000000</v>
      </c>
      <c r="AH45" s="193">
        <f>股权价值增加表!AH53</f>
        <v>0</v>
      </c>
      <c r="AI45" s="193">
        <f>股权价值增加表!AI53</f>
        <v>0</v>
      </c>
      <c r="AJ45" s="193">
        <f>股权价值增加表!AJ53</f>
        <v>0</v>
      </c>
      <c r="AK45" s="193">
        <f>股权价值增加表!AK53</f>
        <v>9574000000</v>
      </c>
      <c r="AL45" s="193">
        <f>股权价值增加表!AL53</f>
        <v>0</v>
      </c>
      <c r="AM45" s="193">
        <f>股权价值增加表!AM53</f>
        <v>0</v>
      </c>
      <c r="AN45" s="193">
        <f>股权价值增加表!AN53</f>
        <v>0</v>
      </c>
      <c r="AO45" s="193">
        <f>股权价值增加表!AO53</f>
        <v>13046000000</v>
      </c>
      <c r="AP45" s="193">
        <f>股权价值增加表!AP53</f>
        <v>0</v>
      </c>
      <c r="AQ45" s="193">
        <f>股权价值增加表!AQ53</f>
        <v>0</v>
      </c>
      <c r="AR45" s="193">
        <f>股权价值增加表!AR53</f>
        <v>0</v>
      </c>
      <c r="AS45" s="193">
        <f>股权价值增加表!AS53</f>
        <v>0</v>
      </c>
      <c r="AT45" s="193">
        <f>股权价值增加表!AT53</f>
        <v>0</v>
      </c>
      <c r="AU45" s="193">
        <f>股权价值增加表!AU53</f>
        <v>0</v>
      </c>
      <c r="AV45" s="193">
        <f>股权价值增加表!AV53</f>
        <v>0</v>
      </c>
      <c r="AW45" s="193">
        <f>股权价值增加表!AW53</f>
        <v>0</v>
      </c>
      <c r="AX45" s="193">
        <f>股权价值增加表!AX53</f>
        <v>0</v>
      </c>
      <c r="AY45" s="193">
        <f>股权价值增加表!AY53</f>
        <v>0</v>
      </c>
      <c r="AZ45" s="193">
        <f>股权价值增加表!AZ53</f>
        <v>0</v>
      </c>
      <c r="BA45" s="193">
        <f>股权价值增加表!BA53</f>
        <v>0</v>
      </c>
      <c r="BB45" s="193">
        <f>股权价值增加表!BB53</f>
        <v>0</v>
      </c>
      <c r="BC45" s="193">
        <f>股权价值增加表!BC53</f>
        <v>0</v>
      </c>
      <c r="BD45" s="193">
        <f>股权价值增加表!BD53</f>
        <v>0</v>
      </c>
      <c r="BE45" s="193">
        <f>股权价值增加表!BE53</f>
        <v>0</v>
      </c>
      <c r="BF45" s="193">
        <f>股权价值增加表!BF53</f>
        <v>0</v>
      </c>
      <c r="BG45" s="193">
        <f>股权价值增加表!BG53</f>
        <v>0</v>
      </c>
      <c r="BH45" s="193">
        <f>股权价值增加表!BH53</f>
        <v>0</v>
      </c>
      <c r="BI45" s="193">
        <f>股权价值增加表!BI53</f>
        <v>0</v>
      </c>
      <c r="BJ45" s="193">
        <f>股权价值增加表!BJ53</f>
        <v>0</v>
      </c>
      <c r="BK45" s="193">
        <f>股权价值增加表!BK53</f>
        <v>0</v>
      </c>
      <c r="BL45" s="193">
        <f>股权价值增加表!BL53</f>
        <v>0</v>
      </c>
      <c r="BM45" s="193">
        <f>股权价值增加表!BM53</f>
        <v>0</v>
      </c>
      <c r="BN45" s="193">
        <f>股权价值增加表!BN53</f>
        <v>0</v>
      </c>
      <c r="BO45" s="193">
        <f>股权价值增加表!BO53</f>
        <v>0</v>
      </c>
      <c r="BP45" s="193">
        <f>股权价值增加表!BP53</f>
        <v>0</v>
      </c>
      <c r="BQ45" s="193">
        <f>股权价值增加表!BQ53</f>
        <v>0</v>
      </c>
      <c r="BR45" s="193">
        <f>股权价值增加表!BR53</f>
        <v>0</v>
      </c>
      <c r="BS45" s="193">
        <f>股权价值增加表!BS53</f>
        <v>0</v>
      </c>
      <c r="BT45" s="193">
        <f>股权价值增加表!BT53</f>
        <v>0</v>
      </c>
      <c r="BU45" s="193">
        <f>股权价值增加表!BU53</f>
        <v>0</v>
      </c>
      <c r="BV45" s="193">
        <f>股权价值增加表!BV53</f>
        <v>0</v>
      </c>
    </row>
    <row r="46" spans="1:74" s="193" customFormat="1" x14ac:dyDescent="0.25">
      <c r="A46" s="193" t="s">
        <v>325</v>
      </c>
      <c r="B46" s="190">
        <v>1191000000</v>
      </c>
      <c r="C46" s="190">
        <v>0</v>
      </c>
      <c r="D46" s="190">
        <v>0</v>
      </c>
      <c r="E46" s="190">
        <v>0</v>
      </c>
      <c r="F46" s="190">
        <v>0</v>
      </c>
      <c r="G46" s="190">
        <v>0</v>
      </c>
      <c r="H46" s="190">
        <v>0</v>
      </c>
      <c r="I46" s="190">
        <v>0</v>
      </c>
      <c r="J46" s="190">
        <v>0</v>
      </c>
      <c r="K46" s="190">
        <v>0</v>
      </c>
      <c r="L46" s="190">
        <v>0</v>
      </c>
      <c r="M46" s="190">
        <v>0</v>
      </c>
      <c r="N46" s="190">
        <v>0</v>
      </c>
      <c r="O46" s="190">
        <v>0</v>
      </c>
      <c r="P46" s="190">
        <v>0</v>
      </c>
      <c r="Q46" s="190">
        <v>0</v>
      </c>
      <c r="R46" s="190">
        <v>0</v>
      </c>
      <c r="S46" s="190">
        <v>0</v>
      </c>
      <c r="T46" s="190">
        <v>0</v>
      </c>
      <c r="U46" s="190">
        <v>0</v>
      </c>
      <c r="V46" s="190">
        <v>0</v>
      </c>
      <c r="W46" s="190">
        <v>0</v>
      </c>
      <c r="X46" s="190">
        <v>0</v>
      </c>
      <c r="Y46" s="190">
        <v>0</v>
      </c>
      <c r="Z46" s="190">
        <v>0</v>
      </c>
      <c r="AA46" s="190">
        <v>0</v>
      </c>
      <c r="AB46" s="190">
        <v>0</v>
      </c>
      <c r="AC46" s="190">
        <v>0</v>
      </c>
      <c r="AD46" s="190">
        <v>0</v>
      </c>
      <c r="AE46" s="190">
        <v>0</v>
      </c>
      <c r="AF46" s="190">
        <v>0</v>
      </c>
      <c r="AG46" s="190">
        <v>0</v>
      </c>
      <c r="AH46" s="190">
        <v>0</v>
      </c>
      <c r="AI46" s="190">
        <v>0</v>
      </c>
      <c r="AJ46" s="190">
        <v>0</v>
      </c>
      <c r="AK46" s="190">
        <v>0</v>
      </c>
      <c r="AL46" s="190">
        <v>0</v>
      </c>
      <c r="AM46" s="190">
        <v>0</v>
      </c>
      <c r="AN46" s="190">
        <v>0</v>
      </c>
      <c r="AO46" s="190">
        <v>0</v>
      </c>
      <c r="AP46" s="190">
        <v>0</v>
      </c>
      <c r="AQ46" s="190">
        <v>0</v>
      </c>
      <c r="AR46" s="190">
        <v>0</v>
      </c>
      <c r="AS46" s="190">
        <v>0</v>
      </c>
      <c r="AT46" s="190">
        <v>0</v>
      </c>
      <c r="AU46" s="190">
        <v>0</v>
      </c>
      <c r="AV46" s="190">
        <v>0</v>
      </c>
      <c r="AW46" s="190">
        <v>0</v>
      </c>
      <c r="AX46" s="190">
        <v>0</v>
      </c>
      <c r="AY46" s="190">
        <v>0</v>
      </c>
      <c r="AZ46" s="190">
        <v>0</v>
      </c>
      <c r="BA46" s="190">
        <v>0</v>
      </c>
      <c r="BB46" s="190">
        <v>0</v>
      </c>
      <c r="BC46" s="190">
        <v>0</v>
      </c>
      <c r="BD46" s="190">
        <v>0</v>
      </c>
      <c r="BE46" s="190">
        <v>0</v>
      </c>
      <c r="BF46" s="190">
        <v>0</v>
      </c>
      <c r="BG46" s="190">
        <v>0</v>
      </c>
      <c r="BH46" s="190">
        <v>0</v>
      </c>
      <c r="BI46" s="190">
        <v>0</v>
      </c>
      <c r="BJ46" s="190">
        <v>0</v>
      </c>
      <c r="BK46" s="190">
        <v>0</v>
      </c>
      <c r="BL46" s="190">
        <v>0</v>
      </c>
      <c r="BM46" s="190">
        <v>0</v>
      </c>
      <c r="BN46" s="190">
        <v>0</v>
      </c>
      <c r="BO46" s="190">
        <v>0</v>
      </c>
      <c r="BP46" s="190">
        <v>0</v>
      </c>
      <c r="BQ46" s="190">
        <v>0</v>
      </c>
      <c r="BR46" s="190">
        <v>0</v>
      </c>
      <c r="BS46" s="190">
        <v>0</v>
      </c>
      <c r="BT46" s="190">
        <v>0</v>
      </c>
      <c r="BU46" s="190">
        <v>0</v>
      </c>
      <c r="BV46" s="190">
        <v>0</v>
      </c>
    </row>
    <row r="47" spans="1:74" s="193" customFormat="1" x14ac:dyDescent="0.25">
      <c r="A47" s="193" t="s">
        <v>326</v>
      </c>
      <c r="B47" s="190">
        <v>517451000000</v>
      </c>
      <c r="C47" s="190">
        <v>308961000000</v>
      </c>
      <c r="D47" s="190">
        <v>118865000000</v>
      </c>
      <c r="E47" s="190">
        <v>536380000000</v>
      </c>
      <c r="F47" s="190">
        <v>371045000000</v>
      </c>
      <c r="G47" s="190">
        <v>279559000000</v>
      </c>
      <c r="H47" s="190">
        <v>144028000000</v>
      </c>
      <c r="I47" s="190">
        <v>569091000000</v>
      </c>
      <c r="J47" s="190">
        <v>453475000000</v>
      </c>
      <c r="K47" s="190">
        <v>293977000000</v>
      </c>
      <c r="L47" s="190">
        <v>157930000000</v>
      </c>
      <c r="M47" s="190">
        <v>1152837000000</v>
      </c>
      <c r="N47" s="190">
        <v>933811000000</v>
      </c>
      <c r="O47" s="190">
        <v>648938000000</v>
      </c>
      <c r="P47" s="190">
        <v>337583000000</v>
      </c>
      <c r="Q47" s="190">
        <v>1114481000000</v>
      </c>
      <c r="R47" s="190">
        <v>782212000000</v>
      </c>
      <c r="S47" s="190">
        <v>527717000000</v>
      </c>
      <c r="T47" s="190">
        <v>260689000000</v>
      </c>
      <c r="U47" s="190">
        <v>1105457000000</v>
      </c>
      <c r="V47" s="190">
        <v>827880000000</v>
      </c>
      <c r="W47" s="190">
        <v>519985000000</v>
      </c>
      <c r="X47" s="190">
        <v>237167000000</v>
      </c>
      <c r="Y47" s="190">
        <v>888567000000</v>
      </c>
      <c r="Z47" s="190">
        <v>40000000000</v>
      </c>
      <c r="AA47" s="190">
        <v>30000000000</v>
      </c>
      <c r="AB47" s="190">
        <v>161661000000</v>
      </c>
      <c r="AC47" s="190">
        <v>538703000000</v>
      </c>
      <c r="AD47" s="190">
        <v>458782000000</v>
      </c>
      <c r="AE47" s="190">
        <v>273694000000</v>
      </c>
      <c r="AF47" s="190">
        <v>147888000000</v>
      </c>
      <c r="AG47" s="190">
        <v>703804000000</v>
      </c>
      <c r="AH47" s="190">
        <v>16000000000</v>
      </c>
      <c r="AI47" s="190">
        <v>424599000000</v>
      </c>
      <c r="AJ47" s="190">
        <v>271690000000</v>
      </c>
      <c r="AK47" s="190">
        <v>860103000000</v>
      </c>
      <c r="AL47" s="190">
        <v>599758000000</v>
      </c>
      <c r="AM47" s="190">
        <v>392638000000</v>
      </c>
      <c r="AN47" s="190">
        <v>198725000000</v>
      </c>
      <c r="AO47" s="190">
        <v>1135333000000</v>
      </c>
      <c r="AP47" s="190">
        <v>709847000000</v>
      </c>
      <c r="AQ47" s="190">
        <v>406247000000</v>
      </c>
      <c r="AR47" s="190">
        <v>264294000000</v>
      </c>
      <c r="AS47" s="190">
        <v>800793000000</v>
      </c>
      <c r="AT47" s="190">
        <v>570152000000</v>
      </c>
      <c r="AU47" s="190">
        <v>328224000000</v>
      </c>
      <c r="AV47" s="190">
        <v>147718000000</v>
      </c>
      <c r="AW47" s="190">
        <v>774979000000</v>
      </c>
      <c r="AX47" s="190">
        <v>425965000000</v>
      </c>
      <c r="AY47" s="190">
        <v>322086000000</v>
      </c>
      <c r="AZ47" s="190">
        <v>187704000000</v>
      </c>
      <c r="BA47" s="190">
        <v>557432000000</v>
      </c>
      <c r="BB47" s="190">
        <v>428636000000</v>
      </c>
      <c r="BC47" s="190">
        <v>281804000000</v>
      </c>
      <c r="BD47" s="190">
        <v>110626000000</v>
      </c>
      <c r="BE47" s="190">
        <v>377855000000</v>
      </c>
      <c r="BF47" s="190">
        <v>201926000000</v>
      </c>
      <c r="BG47" s="190">
        <v>150838000000</v>
      </c>
      <c r="BH47" s="190">
        <v>57534000000</v>
      </c>
      <c r="BI47" s="190">
        <v>235175000000</v>
      </c>
      <c r="BJ47" s="190">
        <v>150655000000</v>
      </c>
      <c r="BK47" s="190">
        <v>102642000000</v>
      </c>
      <c r="BL47" s="190">
        <v>62550000000</v>
      </c>
      <c r="BM47" s="190">
        <v>258343000000</v>
      </c>
      <c r="BN47" s="190">
        <v>136836000000</v>
      </c>
      <c r="BO47" s="190">
        <v>272410000000</v>
      </c>
      <c r="BP47" s="190">
        <v>105196000000</v>
      </c>
      <c r="BQ47" s="190">
        <v>121104000000</v>
      </c>
      <c r="BR47" s="190">
        <v>0</v>
      </c>
      <c r="BS47" s="190">
        <v>0</v>
      </c>
      <c r="BT47" s="190">
        <v>0</v>
      </c>
      <c r="BU47" s="190">
        <v>70000000</v>
      </c>
      <c r="BV47" s="190">
        <v>0</v>
      </c>
    </row>
    <row r="48" spans="1:74" s="193" customFormat="1" x14ac:dyDescent="0.25">
      <c r="A48" s="193" t="s">
        <v>598</v>
      </c>
      <c r="B48" s="190">
        <v>0</v>
      </c>
      <c r="C48" s="190">
        <v>0</v>
      </c>
      <c r="D48" s="190">
        <v>0</v>
      </c>
      <c r="E48" s="190">
        <v>0</v>
      </c>
      <c r="F48" s="190">
        <v>0</v>
      </c>
      <c r="G48" s="190">
        <v>0</v>
      </c>
      <c r="H48" s="190">
        <v>0</v>
      </c>
      <c r="I48" s="190">
        <v>0</v>
      </c>
      <c r="J48" s="190">
        <v>0</v>
      </c>
      <c r="K48" s="190">
        <v>0</v>
      </c>
      <c r="L48" s="190">
        <v>0</v>
      </c>
      <c r="M48" s="190">
        <v>0</v>
      </c>
      <c r="N48" s="190">
        <v>0</v>
      </c>
      <c r="O48" s="190">
        <v>0</v>
      </c>
      <c r="P48" s="190">
        <v>0</v>
      </c>
      <c r="Q48" s="190">
        <v>0</v>
      </c>
      <c r="R48" s="190">
        <v>0</v>
      </c>
      <c r="S48" s="190">
        <v>0</v>
      </c>
      <c r="T48" s="190">
        <v>0</v>
      </c>
      <c r="U48" s="190">
        <v>0</v>
      </c>
      <c r="V48" s="190">
        <v>0</v>
      </c>
      <c r="W48" s="190">
        <v>0</v>
      </c>
      <c r="X48" s="190">
        <v>0</v>
      </c>
      <c r="Y48" s="190">
        <v>80000000000</v>
      </c>
      <c r="Z48" s="190">
        <v>55000000000</v>
      </c>
      <c r="AA48" s="190">
        <v>50000000000</v>
      </c>
      <c r="AB48" s="190">
        <v>30000000000</v>
      </c>
      <c r="AC48" s="190">
        <v>27889000000</v>
      </c>
      <c r="AD48" s="190">
        <v>27889000000</v>
      </c>
      <c r="AE48" s="190">
        <v>27889000000</v>
      </c>
      <c r="AF48" s="190">
        <v>27889000000</v>
      </c>
      <c r="AG48" s="190">
        <v>21000000000</v>
      </c>
      <c r="AH48" s="190">
        <v>21000000000</v>
      </c>
      <c r="AI48" s="190">
        <v>21000000000</v>
      </c>
      <c r="AJ48" s="190">
        <v>276801000000</v>
      </c>
      <c r="AK48" s="190">
        <v>61000000000</v>
      </c>
      <c r="AL48" s="190">
        <v>46000000000</v>
      </c>
      <c r="AM48" s="190">
        <v>0</v>
      </c>
      <c r="AN48" s="190">
        <v>0</v>
      </c>
      <c r="AO48" s="190">
        <v>0</v>
      </c>
      <c r="AP48" s="190">
        <v>0</v>
      </c>
      <c r="AQ48" s="190">
        <v>29850000000</v>
      </c>
      <c r="AR48" s="190">
        <v>29850000000</v>
      </c>
      <c r="AS48" s="190">
        <v>35000000000</v>
      </c>
      <c r="AT48" s="190">
        <v>16368000000</v>
      </c>
      <c r="AU48" s="190">
        <v>16368000000</v>
      </c>
      <c r="AV48" s="190">
        <v>0</v>
      </c>
      <c r="AW48" s="190">
        <v>0</v>
      </c>
      <c r="AX48" s="190">
        <v>0</v>
      </c>
      <c r="AY48" s="190">
        <v>0</v>
      </c>
      <c r="AZ48" s="190">
        <v>0</v>
      </c>
      <c r="BA48" s="190">
        <v>0</v>
      </c>
      <c r="BB48" s="190">
        <v>0</v>
      </c>
      <c r="BC48" s="190">
        <v>0</v>
      </c>
      <c r="BD48" s="190">
        <v>0</v>
      </c>
      <c r="BE48" s="190">
        <v>0</v>
      </c>
      <c r="BF48" s="190">
        <v>0</v>
      </c>
      <c r="BG48" s="190">
        <v>0</v>
      </c>
      <c r="BH48" s="190">
        <v>0</v>
      </c>
      <c r="BI48" s="190">
        <v>0</v>
      </c>
      <c r="BJ48" s="190">
        <v>0</v>
      </c>
      <c r="BK48" s="190">
        <v>0</v>
      </c>
      <c r="BL48" s="190">
        <v>0</v>
      </c>
      <c r="BM48" s="190">
        <v>0</v>
      </c>
      <c r="BN48" s="190">
        <v>0</v>
      </c>
      <c r="BO48" s="190">
        <v>0</v>
      </c>
      <c r="BP48" s="190">
        <v>0</v>
      </c>
      <c r="BQ48" s="190">
        <v>0</v>
      </c>
      <c r="BR48" s="190">
        <v>0</v>
      </c>
      <c r="BS48" s="190">
        <v>0</v>
      </c>
      <c r="BT48" s="190">
        <v>0</v>
      </c>
      <c r="BU48" s="190">
        <v>0</v>
      </c>
      <c r="BV48" s="190">
        <v>0</v>
      </c>
    </row>
    <row r="49" spans="1:74" s="193" customFormat="1" x14ac:dyDescent="0.25">
      <c r="A49" s="193" t="s">
        <v>599</v>
      </c>
      <c r="E49" s="193">
        <f>E44+E48-E45-E46-E47</f>
        <v>-17905000000</v>
      </c>
      <c r="F49" s="193">
        <f t="shared" ref="F49:BQ49" si="85">F44+F48-F45-F46-F47</f>
        <v>-9575000000</v>
      </c>
      <c r="G49" s="193">
        <f t="shared" si="85"/>
        <v>-10551000000</v>
      </c>
      <c r="H49" s="193">
        <f t="shared" si="85"/>
        <v>-4147000000</v>
      </c>
      <c r="I49" s="193">
        <f t="shared" si="85"/>
        <v>-72015000000</v>
      </c>
      <c r="J49" s="193">
        <f t="shared" si="85"/>
        <v>-52418000000</v>
      </c>
      <c r="K49" s="193">
        <f t="shared" si="85"/>
        <v>-31126000000</v>
      </c>
      <c r="L49" s="193">
        <f t="shared" si="85"/>
        <v>-10780000000</v>
      </c>
      <c r="M49" s="193">
        <f t="shared" si="85"/>
        <v>-70869000000</v>
      </c>
      <c r="N49" s="193">
        <f t="shared" si="85"/>
        <v>-70191000000</v>
      </c>
      <c r="O49" s="193">
        <f t="shared" si="85"/>
        <v>-35779000000</v>
      </c>
      <c r="P49" s="193">
        <f t="shared" si="85"/>
        <v>-10949000000</v>
      </c>
      <c r="Q49" s="193">
        <f t="shared" si="85"/>
        <v>2037000000</v>
      </c>
      <c r="R49" s="193">
        <f t="shared" si="85"/>
        <v>17687000000</v>
      </c>
      <c r="S49" s="193">
        <f t="shared" si="85"/>
        <v>23314000000</v>
      </c>
      <c r="T49" s="193">
        <f t="shared" si="85"/>
        <v>29466000000</v>
      </c>
      <c r="U49" s="193">
        <f t="shared" si="85"/>
        <v>25998000000</v>
      </c>
      <c r="V49" s="193">
        <f t="shared" si="85"/>
        <v>47462000000</v>
      </c>
      <c r="W49" s="193">
        <f t="shared" si="85"/>
        <v>30973000000</v>
      </c>
      <c r="X49" s="193">
        <f t="shared" si="85"/>
        <v>27542000000</v>
      </c>
      <c r="Y49" s="193">
        <f t="shared" si="85"/>
        <v>29681000000</v>
      </c>
      <c r="Z49" s="193">
        <f t="shared" si="85"/>
        <v>609940000000</v>
      </c>
      <c r="AA49" s="193">
        <f t="shared" si="85"/>
        <v>408230000000</v>
      </c>
      <c r="AB49" s="193">
        <f t="shared" si="85"/>
        <v>66646000000</v>
      </c>
      <c r="AC49" s="193" t="e">
        <f t="shared" si="85"/>
        <v>#REF!</v>
      </c>
      <c r="AD49" s="193">
        <f t="shared" si="85"/>
        <v>23617000000</v>
      </c>
      <c r="AE49" s="193">
        <f t="shared" si="85"/>
        <v>31391000000</v>
      </c>
      <c r="AF49" s="193">
        <f t="shared" si="85"/>
        <v>25792000000</v>
      </c>
      <c r="AG49" s="193">
        <f t="shared" si="85"/>
        <v>-27977000000</v>
      </c>
      <c r="AH49" s="193">
        <f t="shared" si="85"/>
        <v>544075000000</v>
      </c>
      <c r="AI49" s="193">
        <f t="shared" si="85"/>
        <v>8058000000</v>
      </c>
      <c r="AJ49" s="193">
        <f t="shared" si="85"/>
        <v>5111000000</v>
      </c>
      <c r="AK49" s="193">
        <f t="shared" si="85"/>
        <v>-28690000000</v>
      </c>
      <c r="AL49" s="193">
        <f t="shared" si="85"/>
        <v>-18260000000</v>
      </c>
      <c r="AM49" s="193">
        <f t="shared" si="85"/>
        <v>-61077000000</v>
      </c>
      <c r="AN49" s="193">
        <f t="shared" si="85"/>
        <v>-41454000000</v>
      </c>
      <c r="AO49" s="193">
        <f t="shared" si="85"/>
        <v>-1100000000</v>
      </c>
      <c r="AP49" s="193">
        <f t="shared" si="85"/>
        <v>66411000000</v>
      </c>
      <c r="AQ49" s="193">
        <f t="shared" si="85"/>
        <v>54905000000</v>
      </c>
      <c r="AR49" s="193">
        <f t="shared" si="85"/>
        <v>32366000000</v>
      </c>
      <c r="AS49" s="193">
        <f t="shared" si="85"/>
        <v>2246000000</v>
      </c>
      <c r="AT49" s="193">
        <f t="shared" si="85"/>
        <v>-10794000000</v>
      </c>
      <c r="AU49" s="193">
        <f t="shared" si="85"/>
        <v>756000000</v>
      </c>
      <c r="AV49" s="193">
        <f t="shared" si="85"/>
        <v>-1434000000</v>
      </c>
      <c r="AW49" s="193">
        <f t="shared" si="85"/>
        <v>-11121000000</v>
      </c>
      <c r="AX49" s="193">
        <f t="shared" si="85"/>
        <v>20312000000</v>
      </c>
      <c r="AY49" s="193">
        <f t="shared" si="85"/>
        <v>20579000000</v>
      </c>
      <c r="AZ49" s="193">
        <f t="shared" si="85"/>
        <v>11843000000</v>
      </c>
      <c r="BA49" s="193">
        <f t="shared" si="85"/>
        <v>-6875000000</v>
      </c>
      <c r="BB49" s="193">
        <f t="shared" si="85"/>
        <v>14014000000</v>
      </c>
      <c r="BC49" s="193">
        <f t="shared" si="85"/>
        <v>13304000000</v>
      </c>
      <c r="BD49" s="193">
        <f t="shared" si="85"/>
        <v>4196000000</v>
      </c>
      <c r="BE49" s="193">
        <f t="shared" si="85"/>
        <v>13977000000</v>
      </c>
      <c r="BF49" s="193">
        <f t="shared" si="85"/>
        <v>11663000000</v>
      </c>
      <c r="BG49" s="193">
        <f t="shared" si="85"/>
        <v>11139000000</v>
      </c>
      <c r="BH49" s="193">
        <f t="shared" si="85"/>
        <v>1908000000</v>
      </c>
      <c r="BI49" s="193">
        <f t="shared" si="85"/>
        <v>-6521000000</v>
      </c>
      <c r="BJ49" s="193">
        <f t="shared" si="85"/>
        <v>-5237000000</v>
      </c>
      <c r="BK49" s="193">
        <f t="shared" si="85"/>
        <v>1080000000</v>
      </c>
      <c r="BL49" s="193">
        <f t="shared" si="85"/>
        <v>290000000</v>
      </c>
      <c r="BM49" s="193">
        <f t="shared" si="85"/>
        <v>-5668000000</v>
      </c>
      <c r="BN49" s="193">
        <f t="shared" si="85"/>
        <v>-4174000000</v>
      </c>
      <c r="BO49" s="193">
        <f t="shared" si="85"/>
        <v>-13482000000</v>
      </c>
      <c r="BP49" s="193">
        <f t="shared" si="85"/>
        <v>15133000000</v>
      </c>
      <c r="BQ49" s="193">
        <f t="shared" si="85"/>
        <v>8936000000</v>
      </c>
      <c r="BR49" s="193">
        <f t="shared" ref="BR49:BV49" si="86">BR44+BR48-BR45-BR46-BR47</f>
        <v>0</v>
      </c>
      <c r="BS49" s="193">
        <f t="shared" si="86"/>
        <v>0</v>
      </c>
      <c r="BT49" s="193">
        <f t="shared" si="86"/>
        <v>0</v>
      </c>
      <c r="BU49" s="193">
        <f t="shared" si="86"/>
        <v>-70000000</v>
      </c>
      <c r="BV49" s="193">
        <f t="shared" si="86"/>
        <v>0</v>
      </c>
    </row>
    <row r="50" spans="1:74" s="26" customFormat="1" x14ac:dyDescent="0.25"/>
    <row r="51" spans="1:74" s="16" customFormat="1" ht="120" customHeight="1" x14ac:dyDescent="0.25">
      <c r="A51" s="276" t="s">
        <v>667</v>
      </c>
      <c r="B51" s="277"/>
      <c r="C51" s="277"/>
      <c r="D51" s="277"/>
      <c r="E51" s="277"/>
      <c r="F51" s="277"/>
      <c r="G51" s="277"/>
      <c r="H51" s="277"/>
      <c r="I51" s="277"/>
      <c r="J51" s="277"/>
      <c r="K51" s="277"/>
      <c r="L51" s="277"/>
      <c r="M51" s="277"/>
      <c r="N51" s="277"/>
      <c r="O51" s="277"/>
      <c r="P51" s="277"/>
      <c r="Q51" s="277"/>
      <c r="R51" s="277"/>
      <c r="S51" s="277"/>
      <c r="T51" s="277"/>
      <c r="U51" s="277"/>
      <c r="V51" s="277"/>
      <c r="W51" s="277"/>
      <c r="X51" s="277"/>
      <c r="Y51" s="277"/>
      <c r="Z51" s="277"/>
      <c r="AA51" s="277"/>
      <c r="AB51" s="277"/>
      <c r="AC51" s="277"/>
      <c r="AD51" s="277"/>
      <c r="AE51" s="277"/>
      <c r="AF51" s="277"/>
      <c r="AG51" s="277"/>
      <c r="AH51" s="277"/>
      <c r="AI51" s="277"/>
      <c r="AJ51" s="277"/>
      <c r="AK51" s="277"/>
    </row>
  </sheetData>
  <mergeCells count="2">
    <mergeCell ref="A25:AK25"/>
    <mergeCell ref="A51:AK51"/>
  </mergeCells>
  <phoneticPr fontId="1" type="noConversion"/>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平均资本成本表"/>
  <dimension ref="A1:BV16"/>
  <sheetViews>
    <sheetView tabSelected="1" workbookViewId="0">
      <selection activeCell="A16" sqref="A16:E16"/>
    </sheetView>
  </sheetViews>
  <sheetFormatPr defaultRowHeight="14.4" x14ac:dyDescent="0.25"/>
  <cols>
    <col min="1" max="1" width="63.6640625" style="17" bestFit="1" customWidth="1"/>
    <col min="2" max="4" width="9.5546875" hidden="1" customWidth="1"/>
    <col min="5" max="5" width="23.77734375" bestFit="1" customWidth="1"/>
    <col min="6" max="8" width="23.77734375" hidden="1" customWidth="1"/>
    <col min="9" max="9" width="23.77734375" bestFit="1" customWidth="1"/>
    <col min="10" max="12" width="23.77734375" hidden="1" customWidth="1"/>
    <col min="13" max="13" width="23.77734375" bestFit="1" customWidth="1"/>
    <col min="14" max="16" width="23.77734375" hidden="1" customWidth="1"/>
    <col min="17" max="17" width="23.77734375" bestFit="1" customWidth="1"/>
    <col min="18" max="20" width="23.77734375" hidden="1" customWidth="1"/>
    <col min="21" max="21" width="21.5546875" bestFit="1" customWidth="1"/>
    <col min="22" max="24" width="21.5546875" hidden="1" customWidth="1"/>
    <col min="25" max="25" width="21.5546875" bestFit="1" customWidth="1"/>
    <col min="26" max="28" width="21.5546875" hidden="1" customWidth="1"/>
    <col min="29" max="29" width="21.5546875" bestFit="1" customWidth="1"/>
    <col min="30" max="32" width="21.5546875" hidden="1" customWidth="1"/>
    <col min="33" max="33" width="21.5546875" bestFit="1" customWidth="1"/>
    <col min="34" max="36" width="21.5546875" hidden="1" customWidth="1"/>
    <col min="37" max="37" width="21.5546875" bestFit="1" customWidth="1"/>
    <col min="38" max="40" width="21.5546875" hidden="1" customWidth="1"/>
    <col min="41" max="41" width="21.5546875" bestFit="1" customWidth="1"/>
    <col min="42" max="44" width="21.5546875" hidden="1" customWidth="1"/>
    <col min="45" max="45" width="21.5546875" bestFit="1" customWidth="1"/>
    <col min="46" max="48" width="21.5546875" hidden="1" customWidth="1"/>
    <col min="49" max="49" width="21.5546875" bestFit="1" customWidth="1"/>
    <col min="50" max="52" width="21.5546875" hidden="1" customWidth="1"/>
    <col min="53" max="53" width="21.5546875" bestFit="1" customWidth="1"/>
    <col min="54" max="56" width="21.5546875" hidden="1" customWidth="1"/>
    <col min="57" max="57" width="21.5546875" bestFit="1" customWidth="1"/>
    <col min="58" max="60" width="21.5546875" hidden="1" customWidth="1"/>
    <col min="61" max="61" width="21.5546875" bestFit="1" customWidth="1"/>
    <col min="62" max="64" width="21.5546875" hidden="1" customWidth="1"/>
    <col min="65" max="65" width="21.5546875" bestFit="1" customWidth="1"/>
    <col min="66" max="66" width="21.5546875" hidden="1" customWidth="1"/>
    <col min="67" max="67" width="21.5546875" bestFit="1" customWidth="1"/>
    <col min="68" max="68" width="21.5546875" hidden="1" customWidth="1"/>
    <col min="69" max="69" width="21.5546875" bestFit="1" customWidth="1"/>
    <col min="70" max="70" width="21.5546875" hidden="1" customWidth="1"/>
    <col min="71" max="71" width="21.5546875" bestFit="1" customWidth="1"/>
    <col min="72" max="72" width="10.5546875" hidden="1" customWidth="1"/>
    <col min="73" max="73" width="19.33203125" bestFit="1" customWidth="1"/>
    <col min="74" max="74" width="9.5546875" hidden="1" customWidth="1"/>
  </cols>
  <sheetData>
    <row r="1" spans="1:74" x14ac:dyDescent="0.25">
      <c r="A1" s="17">
        <v>600028</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37437</v>
      </c>
      <c r="BO1" s="1">
        <v>37256</v>
      </c>
      <c r="BP1" s="1">
        <v>37072</v>
      </c>
      <c r="BQ1" s="1">
        <v>36891</v>
      </c>
      <c r="BR1" s="1">
        <v>25569</v>
      </c>
      <c r="BS1" s="1">
        <v>36525</v>
      </c>
      <c r="BT1" s="1">
        <v>36341</v>
      </c>
      <c r="BU1" s="1">
        <v>36160</v>
      </c>
      <c r="BV1" s="1">
        <v>25569</v>
      </c>
    </row>
    <row r="2" spans="1:74" s="48" customFormat="1" x14ac:dyDescent="0.25">
      <c r="A2" s="46" t="s">
        <v>327</v>
      </c>
    </row>
    <row r="3" spans="1:74" s="26" customFormat="1" x14ac:dyDescent="0.25">
      <c r="A3" s="17" t="s">
        <v>328</v>
      </c>
      <c r="B3" s="26">
        <f>平均资本成本表!E53</f>
        <v>0</v>
      </c>
      <c r="E3" s="26">
        <f>股权价值增加表!E53</f>
        <v>6368000000</v>
      </c>
      <c r="F3" s="26">
        <f>股权价值增加表!F53</f>
        <v>0</v>
      </c>
      <c r="G3" s="26">
        <f>股权价值增加表!G53</f>
        <v>0</v>
      </c>
      <c r="H3" s="26">
        <f>股权价值增加表!H53</f>
        <v>0</v>
      </c>
      <c r="I3" s="26">
        <f>股权价值增加表!I53</f>
        <v>9021000000</v>
      </c>
      <c r="J3" s="26">
        <f>股权价值增加表!J53</f>
        <v>0</v>
      </c>
      <c r="K3" s="26">
        <f>股权价值增加表!K53</f>
        <v>0</v>
      </c>
      <c r="L3" s="26">
        <f>股权价值增加表!L53</f>
        <v>0</v>
      </c>
      <c r="M3" s="26">
        <f>股权价值增加表!M53</f>
        <v>8273000000</v>
      </c>
      <c r="N3" s="26">
        <f>股权价值增加表!N53</f>
        <v>0</v>
      </c>
      <c r="O3" s="26">
        <f>股权价值增加表!O53</f>
        <v>0</v>
      </c>
      <c r="P3" s="26">
        <f>股权价值增加表!P53</f>
        <v>0</v>
      </c>
      <c r="Q3" s="26">
        <f>股权价值增加表!Q53</f>
        <v>11929000000</v>
      </c>
      <c r="R3" s="26">
        <f>股权价值增加表!R53</f>
        <v>0</v>
      </c>
      <c r="S3" s="26">
        <f>股权价值增加表!S53</f>
        <v>0</v>
      </c>
      <c r="T3" s="26">
        <f>股权价值增加表!T53</f>
        <v>0</v>
      </c>
      <c r="U3" s="26">
        <f>股权价值增加表!U53</f>
        <v>11435000000</v>
      </c>
      <c r="V3" s="26">
        <f>股权价值增加表!V53</f>
        <v>0</v>
      </c>
      <c r="W3" s="26">
        <f>股权价值增加表!W53</f>
        <v>0</v>
      </c>
      <c r="X3" s="26">
        <f>股权价值增加表!X53</f>
        <v>0</v>
      </c>
      <c r="Y3" s="26">
        <f>股权价值增加表!Y53</f>
        <v>12069000000</v>
      </c>
      <c r="Z3" s="26">
        <f>股权价值增加表!Z53</f>
        <v>0</v>
      </c>
      <c r="AA3" s="26">
        <f>股权价值增加表!AA53</f>
        <v>0</v>
      </c>
      <c r="AB3" s="26">
        <f>股权价值增加表!AB53</f>
        <v>0</v>
      </c>
      <c r="AC3" s="26" t="e">
        <f>股权价值增加表!#REF!</f>
        <v>#REF!</v>
      </c>
      <c r="AD3" s="26">
        <f>股权价值增加表!AD53</f>
        <v>0</v>
      </c>
      <c r="AE3" s="26">
        <f>股权价值增加表!AE53</f>
        <v>0</v>
      </c>
      <c r="AF3" s="26">
        <f>股权价值增加表!AF53</f>
        <v>0</v>
      </c>
      <c r="AG3" s="26">
        <f>股权价值增加表!AG53</f>
        <v>8664000000</v>
      </c>
      <c r="AH3" s="26">
        <f>股权价值增加表!AH53</f>
        <v>0</v>
      </c>
      <c r="AI3" s="26">
        <f>股权价值增加表!AI53</f>
        <v>0</v>
      </c>
      <c r="AJ3" s="26">
        <f>股权价值增加表!AJ53</f>
        <v>0</v>
      </c>
      <c r="AK3" s="26">
        <f>股权价值增加表!AK53</f>
        <v>9574000000</v>
      </c>
      <c r="AL3" s="26">
        <f>股权价值增加表!AL53</f>
        <v>0</v>
      </c>
      <c r="AM3" s="26">
        <f>股权价值增加表!AM53</f>
        <v>0</v>
      </c>
      <c r="AN3" s="26">
        <f>股权价值增加表!AN53</f>
        <v>0</v>
      </c>
      <c r="AO3" s="26">
        <f>股权价值增加表!AO53</f>
        <v>13046000000</v>
      </c>
      <c r="AP3" s="26">
        <f>股权价值增加表!AP53</f>
        <v>0</v>
      </c>
      <c r="AQ3" s="26">
        <f>股权价值增加表!AQ53</f>
        <v>0</v>
      </c>
      <c r="AR3" s="26">
        <f>股权价值增加表!AR53</f>
        <v>0</v>
      </c>
      <c r="AS3" s="26">
        <f>股权价值增加表!AS53</f>
        <v>0</v>
      </c>
      <c r="AT3" s="26">
        <f>股权价值增加表!AT53</f>
        <v>0</v>
      </c>
      <c r="AU3" s="26">
        <f>股权价值增加表!AU53</f>
        <v>0</v>
      </c>
      <c r="AV3" s="26">
        <f>股权价值增加表!AV53</f>
        <v>0</v>
      </c>
      <c r="AW3" s="26">
        <f>股权价值增加表!AW53</f>
        <v>0</v>
      </c>
      <c r="AX3" s="26">
        <f>股权价值增加表!AX53</f>
        <v>0</v>
      </c>
      <c r="AY3" s="26">
        <f>股权价值增加表!AY53</f>
        <v>0</v>
      </c>
      <c r="AZ3" s="26">
        <f>股权价值增加表!AZ53</f>
        <v>0</v>
      </c>
      <c r="BA3" s="26">
        <f>股权价值增加表!BA53</f>
        <v>0</v>
      </c>
      <c r="BB3" s="26">
        <f>股权价值增加表!BB53</f>
        <v>0</v>
      </c>
      <c r="BC3" s="26">
        <f>股权价值增加表!BC53</f>
        <v>0</v>
      </c>
      <c r="BD3" s="26">
        <f>股权价值增加表!BD53</f>
        <v>0</v>
      </c>
      <c r="BE3" s="26">
        <f>股权价值增加表!BE53</f>
        <v>0</v>
      </c>
      <c r="BF3" s="26">
        <f>股权价值增加表!BF53</f>
        <v>0</v>
      </c>
      <c r="BG3" s="26">
        <f>股权价值增加表!BG53</f>
        <v>0</v>
      </c>
      <c r="BH3" s="26">
        <f>股权价值增加表!BH53</f>
        <v>0</v>
      </c>
      <c r="BI3" s="26">
        <f>股权价值增加表!BI53</f>
        <v>0</v>
      </c>
      <c r="BJ3" s="26">
        <f>股权价值增加表!BJ53</f>
        <v>0</v>
      </c>
      <c r="BK3" s="26">
        <f>股权价值增加表!BK53</f>
        <v>0</v>
      </c>
      <c r="BL3" s="26">
        <f>股权价值增加表!BL53</f>
        <v>0</v>
      </c>
      <c r="BM3" s="26">
        <f>股权价值增加表!BM53</f>
        <v>0</v>
      </c>
      <c r="BN3" s="26">
        <f>股权价值增加表!BN53</f>
        <v>0</v>
      </c>
      <c r="BO3" s="26">
        <f>股权价值增加表!BO53</f>
        <v>0</v>
      </c>
      <c r="BP3" s="26">
        <f>股权价值增加表!BP53</f>
        <v>0</v>
      </c>
      <c r="BQ3" s="26">
        <f>股权价值增加表!BQ53</f>
        <v>0</v>
      </c>
      <c r="BR3" s="26">
        <f>股权价值增加表!BR53</f>
        <v>0</v>
      </c>
      <c r="BS3" s="26">
        <f>股权价值增加表!BS53</f>
        <v>0</v>
      </c>
      <c r="BT3" s="26">
        <f>股权价值增加表!BT53</f>
        <v>0</v>
      </c>
      <c r="BU3" s="26">
        <f>股权价值增加表!BU53</f>
        <v>0</v>
      </c>
      <c r="BV3" s="26">
        <f>股权价值增加表!BV53</f>
        <v>0</v>
      </c>
    </row>
    <row r="4" spans="1:74" s="26" customFormat="1" x14ac:dyDescent="0.25">
      <c r="A4" s="17" t="s">
        <v>329</v>
      </c>
      <c r="E4" s="26">
        <f>资产资本表!E89</f>
        <v>196946000000</v>
      </c>
      <c r="F4" s="26">
        <f>资产资本表!F89</f>
        <v>202155000000</v>
      </c>
      <c r="G4" s="26">
        <f>资产资本表!G89</f>
        <v>200488000000</v>
      </c>
      <c r="H4" s="26">
        <f>资产资本表!H89</f>
        <v>205160000000</v>
      </c>
      <c r="I4" s="26">
        <f>资产资本表!I89</f>
        <v>208928000000</v>
      </c>
      <c r="J4" s="26">
        <f>资产资本表!J89</f>
        <v>220009000000</v>
      </c>
      <c r="K4" s="26">
        <f>资产资本表!K89</f>
        <v>239259000000</v>
      </c>
      <c r="L4" s="26">
        <f>资产资本表!L89</f>
        <v>258681000000</v>
      </c>
      <c r="M4" s="26">
        <f>资产资本表!M89</f>
        <v>269425000000</v>
      </c>
      <c r="N4" s="26">
        <f>资产资本表!N89</f>
        <v>265091000000</v>
      </c>
      <c r="O4" s="26">
        <f>资产资本表!O89</f>
        <v>289018000000</v>
      </c>
      <c r="P4" s="26">
        <f>资产资本表!P89</f>
        <v>314219000000</v>
      </c>
      <c r="Q4" s="26">
        <f>资产资本表!Q89</f>
        <v>341059000000</v>
      </c>
      <c r="R4" s="26">
        <f>资产资本表!R89</f>
        <v>350274000000</v>
      </c>
      <c r="S4" s="26">
        <f>资产资本表!S89</f>
        <v>344935000000</v>
      </c>
      <c r="T4" s="26">
        <f>资产资本表!T89</f>
        <v>349995000000</v>
      </c>
      <c r="U4" s="26">
        <f>资产资本表!U89</f>
        <v>317647000000</v>
      </c>
      <c r="V4" s="26">
        <f>资产资本表!V89</f>
        <v>329680000000</v>
      </c>
      <c r="W4" s="26">
        <f>资产资本表!W89</f>
        <v>313601000000</v>
      </c>
      <c r="X4" s="26">
        <f>资产资本表!X89</f>
        <v>313952000000</v>
      </c>
      <c r="Y4" s="26">
        <f>资产资本表!Y89</f>
        <v>281909000000</v>
      </c>
      <c r="Z4" s="26">
        <f>资产资本表!Z89</f>
        <v>281560000000</v>
      </c>
      <c r="AA4" s="26">
        <f>资产资本表!AA89</f>
        <v>307685000000</v>
      </c>
      <c r="AB4" s="26">
        <f>资产资本表!AB89</f>
        <v>305326000000</v>
      </c>
      <c r="AC4" s="26">
        <f>资产资本表!AC89</f>
        <v>238266000000</v>
      </c>
      <c r="AD4" s="26">
        <f>资产资本表!AD89</f>
        <v>232654000000</v>
      </c>
      <c r="AE4" s="26">
        <f>资产资本表!AE89</f>
        <v>240486000000</v>
      </c>
      <c r="AF4" s="26">
        <f>资产资本表!AF89</f>
        <v>234951000000</v>
      </c>
      <c r="AG4" s="26">
        <f>资产资本表!AG89</f>
        <v>212318000000</v>
      </c>
      <c r="AH4" s="26">
        <f>资产资本表!AH89</f>
        <v>226314000000</v>
      </c>
      <c r="AI4" s="26">
        <f>资产资本表!AI89</f>
        <v>229877000000</v>
      </c>
      <c r="AJ4" s="26">
        <f>资产资本表!AJ89</f>
        <v>226238000000</v>
      </c>
      <c r="AK4" s="26">
        <f>资产资本表!AK89</f>
        <v>220561000000</v>
      </c>
      <c r="AL4" s="26">
        <f>资产资本表!AL89</f>
        <v>220883000000</v>
      </c>
      <c r="AM4" s="26">
        <f>资产资本表!AM89</f>
        <v>208145000000</v>
      </c>
      <c r="AN4" s="26">
        <f>资产资本表!AN89</f>
        <v>195798000000</v>
      </c>
      <c r="AO4" s="26">
        <f>资产资本表!AO89</f>
        <v>227024000000</v>
      </c>
      <c r="AP4" s="26">
        <f>资产资本表!AP89</f>
        <v>265961000000</v>
      </c>
      <c r="AQ4" s="26">
        <f>资产资本表!AQ89</f>
        <v>225906000000</v>
      </c>
      <c r="AR4" s="26">
        <f>资产资本表!AR89</f>
        <v>203705000000</v>
      </c>
      <c r="AS4" s="26">
        <f>资产资本表!AS89</f>
        <v>181857000000</v>
      </c>
      <c r="AT4" s="26">
        <f>资产资本表!AT89</f>
        <v>152379000000</v>
      </c>
      <c r="AU4" s="26">
        <f>资产资本表!AU89</f>
        <v>163292000000</v>
      </c>
      <c r="AV4" s="26">
        <f>资产资本表!AV89</f>
        <v>159347000000</v>
      </c>
      <c r="AW4" s="26">
        <f>资产资本表!AW89</f>
        <v>168620000000</v>
      </c>
      <c r="AX4" s="26">
        <f>资产资本表!AX89</f>
        <v>180570000000</v>
      </c>
      <c r="AY4" s="26">
        <f>资产资本表!AY89</f>
        <v>181010000000</v>
      </c>
      <c r="AZ4" s="26">
        <f>资产资本表!AZ89</f>
        <v>160770000000</v>
      </c>
      <c r="BA4" s="26">
        <f>资产资本表!BA89</f>
        <v>149017000000</v>
      </c>
      <c r="BB4" s="26">
        <f>资产资本表!BB89</f>
        <v>156442000000</v>
      </c>
      <c r="BC4" s="26">
        <f>资产资本表!BC89</f>
        <v>156155000000</v>
      </c>
      <c r="BD4" s="26">
        <f>资产资本表!BD89</f>
        <v>147788000000</v>
      </c>
      <c r="BE4" s="26">
        <f>资产资本表!BE89</f>
        <v>139428000000</v>
      </c>
      <c r="BF4" s="26">
        <f>资产资本表!BF89</f>
        <v>126435000000</v>
      </c>
      <c r="BG4" s="26">
        <f>资产资本表!BG89</f>
        <v>123527000000</v>
      </c>
      <c r="BH4" s="26">
        <f>资产资本表!BH89</f>
        <v>116202000000</v>
      </c>
      <c r="BI4" s="26">
        <f>资产资本表!BI89</f>
        <v>109188000000</v>
      </c>
      <c r="BJ4" s="26">
        <f>资产资本表!BJ89</f>
        <v>106642000000</v>
      </c>
      <c r="BK4" s="26">
        <f>资产资本表!BK89</f>
        <v>112966000000</v>
      </c>
      <c r="BL4" s="26">
        <f>资产资本表!BL89</f>
        <v>112012000000</v>
      </c>
      <c r="BM4" s="26">
        <f>资产资本表!BM89</f>
        <v>111704000000</v>
      </c>
      <c r="BN4" s="26">
        <f>资产资本表!BN89</f>
        <v>112332000000</v>
      </c>
      <c r="BO4" s="26">
        <f>资产资本表!BO89</f>
        <v>112995000000</v>
      </c>
      <c r="BP4" s="26">
        <f>资产资本表!BP89</f>
        <v>117146000000</v>
      </c>
      <c r="BQ4" s="26">
        <f>资产资本表!BQ89</f>
        <v>117018000000</v>
      </c>
      <c r="BR4" s="26">
        <f>资产资本表!BR89</f>
        <v>142788000000</v>
      </c>
      <c r="BS4" s="26">
        <f>资产资本表!BS89</f>
        <v>127772000000</v>
      </c>
      <c r="BT4" s="26">
        <f>资产资本表!BT89</f>
        <v>0</v>
      </c>
      <c r="BU4" s="26">
        <f>资产资本表!BU89</f>
        <v>0</v>
      </c>
      <c r="BV4" s="26">
        <f>资产资本表!BV89</f>
        <v>0</v>
      </c>
    </row>
    <row r="5" spans="1:74" s="63" customFormat="1" x14ac:dyDescent="0.25">
      <c r="A5" s="63" t="s">
        <v>333</v>
      </c>
      <c r="E5" s="63">
        <f>IF(E4+I4=0,0,E3/((E4+I4)/2))</f>
        <v>3.1379196499406223E-2</v>
      </c>
      <c r="F5" s="63">
        <f t="shared" ref="F5:BQ5" si="0">IF(F4+J4=0,0,F3/((F4+J4)/2))</f>
        <v>0</v>
      </c>
      <c r="G5" s="63">
        <f t="shared" si="0"/>
        <v>0</v>
      </c>
      <c r="H5" s="63">
        <f t="shared" si="0"/>
        <v>0</v>
      </c>
      <c r="I5" s="63">
        <f t="shared" si="0"/>
        <v>3.7716916168603523E-2</v>
      </c>
      <c r="J5" s="63">
        <f t="shared" si="0"/>
        <v>0</v>
      </c>
      <c r="K5" s="63">
        <f t="shared" si="0"/>
        <v>0</v>
      </c>
      <c r="L5" s="63">
        <f t="shared" si="0"/>
        <v>0</v>
      </c>
      <c r="M5" s="63">
        <f t="shared" si="0"/>
        <v>2.7103085420748126E-2</v>
      </c>
      <c r="N5" s="63">
        <f t="shared" si="0"/>
        <v>0</v>
      </c>
      <c r="O5" s="63">
        <f t="shared" si="0"/>
        <v>0</v>
      </c>
      <c r="P5" s="63">
        <f t="shared" si="0"/>
        <v>0</v>
      </c>
      <c r="Q5" s="63">
        <f t="shared" si="0"/>
        <v>3.6219497013842292E-2</v>
      </c>
      <c r="R5" s="63">
        <f t="shared" si="0"/>
        <v>0</v>
      </c>
      <c r="S5" s="63">
        <f t="shared" si="0"/>
        <v>0</v>
      </c>
      <c r="T5" s="63">
        <f t="shared" si="0"/>
        <v>0</v>
      </c>
      <c r="U5" s="63">
        <f t="shared" si="0"/>
        <v>3.8144893888143891E-2</v>
      </c>
      <c r="V5" s="63">
        <f t="shared" si="0"/>
        <v>0</v>
      </c>
      <c r="W5" s="63">
        <f t="shared" si="0"/>
        <v>0</v>
      </c>
      <c r="X5" s="63">
        <f t="shared" si="0"/>
        <v>0</v>
      </c>
      <c r="Y5" s="63">
        <f t="shared" si="0"/>
        <v>4.6403614168308745E-2</v>
      </c>
      <c r="Z5" s="63">
        <f t="shared" si="0"/>
        <v>0</v>
      </c>
      <c r="AA5" s="63">
        <f t="shared" si="0"/>
        <v>0</v>
      </c>
      <c r="AB5" s="63">
        <f t="shared" si="0"/>
        <v>0</v>
      </c>
      <c r="AC5" s="63" t="e">
        <f t="shared" si="0"/>
        <v>#REF!</v>
      </c>
      <c r="AD5" s="63">
        <f t="shared" si="0"/>
        <v>0</v>
      </c>
      <c r="AE5" s="63">
        <f t="shared" si="0"/>
        <v>0</v>
      </c>
      <c r="AF5" s="63">
        <f t="shared" si="0"/>
        <v>0</v>
      </c>
      <c r="AG5" s="63">
        <f t="shared" si="0"/>
        <v>4.0029661868559115E-2</v>
      </c>
      <c r="AH5" s="63">
        <f t="shared" si="0"/>
        <v>0</v>
      </c>
      <c r="AI5" s="63">
        <f t="shared" si="0"/>
        <v>0</v>
      </c>
      <c r="AJ5" s="63">
        <f t="shared" si="0"/>
        <v>0</v>
      </c>
      <c r="AK5" s="63">
        <f t="shared" si="0"/>
        <v>4.2780700872459977E-2</v>
      </c>
      <c r="AL5" s="63">
        <f t="shared" si="0"/>
        <v>0</v>
      </c>
      <c r="AM5" s="63">
        <f t="shared" si="0"/>
        <v>0</v>
      </c>
      <c r="AN5" s="63">
        <f t="shared" si="0"/>
        <v>0</v>
      </c>
      <c r="AO5" s="63">
        <f t="shared" si="0"/>
        <v>6.3813187700088772E-2</v>
      </c>
      <c r="AP5" s="63">
        <f t="shared" si="0"/>
        <v>0</v>
      </c>
      <c r="AQ5" s="63">
        <f t="shared" si="0"/>
        <v>0</v>
      </c>
      <c r="AR5" s="63">
        <f t="shared" si="0"/>
        <v>0</v>
      </c>
      <c r="AS5" s="63">
        <f t="shared" si="0"/>
        <v>0</v>
      </c>
      <c r="AT5" s="63">
        <f t="shared" si="0"/>
        <v>0</v>
      </c>
      <c r="AU5" s="63">
        <f t="shared" si="0"/>
        <v>0</v>
      </c>
      <c r="AV5" s="63">
        <f t="shared" si="0"/>
        <v>0</v>
      </c>
      <c r="AW5" s="63">
        <f t="shared" si="0"/>
        <v>0</v>
      </c>
      <c r="AX5" s="63">
        <f t="shared" si="0"/>
        <v>0</v>
      </c>
      <c r="AY5" s="63">
        <f t="shared" si="0"/>
        <v>0</v>
      </c>
      <c r="AZ5" s="63">
        <f t="shared" si="0"/>
        <v>0</v>
      </c>
      <c r="BA5" s="63">
        <f t="shared" si="0"/>
        <v>0</v>
      </c>
      <c r="BB5" s="63">
        <f t="shared" si="0"/>
        <v>0</v>
      </c>
      <c r="BC5" s="63">
        <f t="shared" si="0"/>
        <v>0</v>
      </c>
      <c r="BD5" s="63">
        <f t="shared" si="0"/>
        <v>0</v>
      </c>
      <c r="BE5" s="63">
        <f t="shared" si="0"/>
        <v>0</v>
      </c>
      <c r="BF5" s="63">
        <f t="shared" si="0"/>
        <v>0</v>
      </c>
      <c r="BG5" s="63">
        <f t="shared" si="0"/>
        <v>0</v>
      </c>
      <c r="BH5" s="63">
        <f t="shared" si="0"/>
        <v>0</v>
      </c>
      <c r="BI5" s="63">
        <f t="shared" si="0"/>
        <v>0</v>
      </c>
      <c r="BJ5" s="63">
        <f t="shared" si="0"/>
        <v>0</v>
      </c>
      <c r="BK5" s="63">
        <f t="shared" si="0"/>
        <v>0</v>
      </c>
      <c r="BL5" s="63">
        <f t="shared" si="0"/>
        <v>0</v>
      </c>
      <c r="BM5" s="63">
        <f t="shared" si="0"/>
        <v>0</v>
      </c>
      <c r="BN5" s="63">
        <f t="shared" si="0"/>
        <v>0</v>
      </c>
      <c r="BO5" s="63">
        <f t="shared" si="0"/>
        <v>0</v>
      </c>
      <c r="BP5" s="63">
        <f t="shared" si="0"/>
        <v>0</v>
      </c>
      <c r="BQ5" s="63">
        <f t="shared" si="0"/>
        <v>0</v>
      </c>
      <c r="BR5" s="63">
        <f t="shared" ref="BR5:BV5" si="1">IF(BR4+BV4=0,0,BR3/((BR4+BV4)/2))</f>
        <v>0</v>
      </c>
      <c r="BS5" s="63">
        <f t="shared" si="1"/>
        <v>0</v>
      </c>
      <c r="BT5" s="63">
        <f t="shared" si="1"/>
        <v>0</v>
      </c>
      <c r="BU5" s="63">
        <f t="shared" si="1"/>
        <v>0</v>
      </c>
      <c r="BV5" s="63">
        <f t="shared" si="1"/>
        <v>0</v>
      </c>
    </row>
    <row r="6" spans="1:74" s="63" customFormat="1" x14ac:dyDescent="0.25">
      <c r="A6" s="63" t="s">
        <v>346</v>
      </c>
      <c r="E6" s="63">
        <f>股权价值增加表!E41</f>
        <v>0.18087375836092531</v>
      </c>
      <c r="F6" s="63">
        <f>股权价值增加表!F41</f>
        <v>0.19710620872916765</v>
      </c>
      <c r="G6" s="63">
        <f>股权价值增加表!G41</f>
        <v>0.18910548952868497</v>
      </c>
      <c r="H6" s="63">
        <f>股权价值增加表!H41</f>
        <v>0.2145120202477894</v>
      </c>
      <c r="I6" s="63">
        <f>股权价值增加表!I41</f>
        <v>0.21472049109781516</v>
      </c>
      <c r="J6" s="63">
        <f>股权价值增加表!J41</f>
        <v>0.19341429619365882</v>
      </c>
      <c r="K6" s="63">
        <f>股权价值增加表!K41</f>
        <v>0.19803828882060978</v>
      </c>
      <c r="L6" s="63">
        <f>股权价值增加表!L41</f>
        <v>0.20155873780255987</v>
      </c>
      <c r="M6" s="63">
        <f>股权价值增加表!M41</f>
        <v>0.20073846545605017</v>
      </c>
      <c r="N6" s="63">
        <f>股权价值增加表!N41</f>
        <v>0.18020872799917337</v>
      </c>
      <c r="O6" s="63">
        <f>股权价值增加表!O41</f>
        <v>0.20322675517835384</v>
      </c>
      <c r="P6" s="63">
        <f>股权价值增加表!P41</f>
        <v>0.1128400047511581</v>
      </c>
      <c r="Q6" s="63">
        <f>股权价值增加表!Q41</f>
        <v>0.25570463938529603</v>
      </c>
      <c r="R6" s="63">
        <f>股权价值增加表!R41</f>
        <v>0.22532474174082029</v>
      </c>
      <c r="S6" s="63">
        <f>股权价值增加表!S41</f>
        <v>0.23192583359301963</v>
      </c>
      <c r="T6" s="63">
        <f>股权价值增加表!T41</f>
        <v>0.21599569622523088</v>
      </c>
      <c r="U6" s="63">
        <f>股权价值增加表!U41</f>
        <v>0.2244477559607293</v>
      </c>
      <c r="V6" s="63">
        <f>股权价值增加表!V41</f>
        <v>0.23808508622323291</v>
      </c>
      <c r="W6" s="63">
        <f>股权价值增加表!W41</f>
        <v>0.2399584287611386</v>
      </c>
      <c r="X6" s="63">
        <f>股权价值增加表!X41</f>
        <v>0.23209050590092462</v>
      </c>
      <c r="Y6" s="63">
        <f>股权价值增加表!Y41</f>
        <v>0.22239950444404816</v>
      </c>
      <c r="Z6" s="63">
        <f>股权价值增加表!Z41</f>
        <v>0.23035986853866147</v>
      </c>
      <c r="AA6" s="63">
        <f>股权价值增加表!AA41</f>
        <v>0.22617605736156193</v>
      </c>
      <c r="AB6" s="63">
        <f>股权价值增加表!AB41</f>
        <v>0.19545394476014272</v>
      </c>
      <c r="AC6" s="63">
        <f>股权价值增加表!AC41</f>
        <v>0.22149462032931147</v>
      </c>
      <c r="AD6" s="63">
        <f>股权价值增加表!AD41</f>
        <v>0.21530683773392528</v>
      </c>
      <c r="AE6" s="63">
        <f>股权价值增加表!AE41</f>
        <v>0.21755823293172691</v>
      </c>
      <c r="AF6" s="63">
        <f>股权价值增加表!AF41</f>
        <v>0.23185018726591761</v>
      </c>
      <c r="AG6" s="63">
        <f>股权价值增加表!AG41</f>
        <v>0.22727068849517829</v>
      </c>
      <c r="AH6" s="63">
        <f>股权价值增加表!AH41</f>
        <v>0.21943616777446712</v>
      </c>
      <c r="AI6" s="63">
        <f>股权价值增加表!AI41</f>
        <v>0.20574457363617701</v>
      </c>
      <c r="AJ6" s="63">
        <f>股权价值增加表!AJ41</f>
        <v>0.19329404929869698</v>
      </c>
      <c r="AK6" s="63">
        <f>股权价值增加表!AK41</f>
        <v>0.17670011760955825</v>
      </c>
      <c r="AL6" s="63">
        <f>股权价值增加表!AL41</f>
        <v>0.19523083321780119</v>
      </c>
      <c r="AM6" s="63">
        <f>股权价值增加表!AM41</f>
        <v>0.18701288046599393</v>
      </c>
      <c r="AN6" s="63">
        <f>股权价值增加表!AN41</f>
        <v>0.18013229388140797</v>
      </c>
      <c r="AO6" s="63">
        <f>股权价值增加表!AO41</f>
        <v>-5.9812551453359508E-2</v>
      </c>
      <c r="AP6" s="63">
        <f>股权价值增加表!AP41</f>
        <v>0.10561186260204283</v>
      </c>
      <c r="AQ6" s="63">
        <f>股权价值增加表!AQ41</f>
        <v>7.0907048581859032E-3</v>
      </c>
      <c r="AR6" s="63">
        <f>股权价值增加表!AR41</f>
        <v>2.0456503014642548E-2</v>
      </c>
      <c r="AS6" s="63">
        <f>股权价值增加表!AS41</f>
        <v>0.27397464261402316</v>
      </c>
      <c r="AT6" s="63">
        <f>股权价值增加表!AT41</f>
        <v>0.27411557626992589</v>
      </c>
      <c r="AU6" s="63">
        <f>股权价值增加表!AU41</f>
        <v>0.27684295560406319</v>
      </c>
      <c r="AV6" s="63">
        <f>股权价值增加表!AV41</f>
        <v>0.30954083253892595</v>
      </c>
      <c r="AW6" s="63">
        <f>股权价值增加表!AW41</f>
        <v>0.2991921983365663</v>
      </c>
      <c r="AX6" s="63">
        <f>股权价值增加表!AX41</f>
        <v>0.28902246005426591</v>
      </c>
      <c r="AY6" s="63">
        <f>股权价值增加表!AY41</f>
        <v>0.29823406165818617</v>
      </c>
      <c r="AZ6" s="63">
        <f>股权价值增加表!AZ41</f>
        <v>0.28463803849051433</v>
      </c>
      <c r="BA6" s="63">
        <f>股权价值增加表!BA41</f>
        <v>0.32795503044813407</v>
      </c>
      <c r="BB6" s="63">
        <f>股权价值增加表!BB41</f>
        <v>0.2816094457999303</v>
      </c>
      <c r="BC6" s="63">
        <f>股权价值增加表!BC41</f>
        <v>0.28354054555576175</v>
      </c>
      <c r="BD6" s="63">
        <f>股权价值增加表!BD41</f>
        <v>0.28673191278493559</v>
      </c>
      <c r="BE6" s="63">
        <f>股权价值增加表!BE41</f>
        <v>0.27299461150113041</v>
      </c>
      <c r="BF6" s="63">
        <f>股权价值增加表!BF41</f>
        <v>0.26917221693625121</v>
      </c>
      <c r="BG6" s="63">
        <f>股权价值增加表!BG41</f>
        <v>0.27560966213352855</v>
      </c>
      <c r="BH6" s="63">
        <f>股权价值增加表!BH41</f>
        <v>0.26053524312099507</v>
      </c>
      <c r="BI6" s="63">
        <f>股权价值增加表!BI41</f>
        <v>0.26524424798821261</v>
      </c>
      <c r="BJ6" s="63">
        <f>股权价值增加表!BJ41</f>
        <v>0.26523338262617069</v>
      </c>
      <c r="BK6" s="63">
        <f>股权价值增加表!BK41</f>
        <v>0.27231657802939324</v>
      </c>
      <c r="BL6" s="63">
        <f>股权价值增加表!BL41</f>
        <v>0.27384343384736276</v>
      </c>
      <c r="BM6" s="63">
        <f>股权价值增加表!BM41</f>
        <v>0.26716628737345993</v>
      </c>
      <c r="BN6" s="63">
        <f>股权价值增加表!BN41</f>
        <v>0.27074682554010954</v>
      </c>
      <c r="BO6" s="63">
        <f>股权价值增加表!BO41</f>
        <v>0.2549249530956848</v>
      </c>
      <c r="BP6" s="63">
        <f>股权价值增加表!BP41</f>
        <v>3.7674919268030141E-2</v>
      </c>
      <c r="BQ6" s="63">
        <f>股权价值增加表!BQ41</f>
        <v>0.29684818550918757</v>
      </c>
      <c r="BR6" s="63">
        <f>股权价值增加表!BR41</f>
        <v>0.2472993547451606</v>
      </c>
      <c r="BS6" s="63">
        <f>股权价值增加表!BS41</f>
        <v>0.28619746689694875</v>
      </c>
      <c r="BT6" s="63">
        <f>股权价值增加表!BT41</f>
        <v>0.13016298280866265</v>
      </c>
      <c r="BU6" s="63">
        <f>股权价值增加表!BU41</f>
        <v>1.9926918392204629</v>
      </c>
    </row>
    <row r="7" spans="1:74" s="63" customFormat="1" x14ac:dyDescent="0.25">
      <c r="A7" s="63" t="s">
        <v>330</v>
      </c>
      <c r="E7" s="63">
        <f>E5*(1-E6)</f>
        <v>2.5703523294212629E-2</v>
      </c>
      <c r="F7" s="63">
        <f t="shared" ref="F7:BQ7" si="2">F5*(1-F6)</f>
        <v>0</v>
      </c>
      <c r="G7" s="63">
        <f t="shared" si="2"/>
        <v>0</v>
      </c>
      <c r="H7" s="63">
        <f t="shared" si="2"/>
        <v>0</v>
      </c>
      <c r="I7" s="63">
        <f t="shared" si="2"/>
        <v>2.9618321406185852E-2</v>
      </c>
      <c r="J7" s="63">
        <f t="shared" si="2"/>
        <v>0</v>
      </c>
      <c r="K7" s="63">
        <f t="shared" si="2"/>
        <v>0</v>
      </c>
      <c r="L7" s="63">
        <f t="shared" si="2"/>
        <v>0</v>
      </c>
      <c r="M7" s="63">
        <f t="shared" si="2"/>
        <v>2.1662453644262902E-2</v>
      </c>
      <c r="N7" s="63">
        <f t="shared" si="2"/>
        <v>0</v>
      </c>
      <c r="O7" s="63">
        <f t="shared" si="2"/>
        <v>0</v>
      </c>
      <c r="P7" s="63">
        <f t="shared" si="2"/>
        <v>0</v>
      </c>
      <c r="Q7" s="63">
        <f t="shared" si="2"/>
        <v>2.6958003591200944E-2</v>
      </c>
      <c r="R7" s="63">
        <f t="shared" si="2"/>
        <v>0</v>
      </c>
      <c r="S7" s="63">
        <f t="shared" si="2"/>
        <v>0</v>
      </c>
      <c r="T7" s="63">
        <f t="shared" si="2"/>
        <v>0</v>
      </c>
      <c r="U7" s="63">
        <f t="shared" si="2"/>
        <v>2.9583358053589855E-2</v>
      </c>
      <c r="V7" s="63">
        <f t="shared" si="2"/>
        <v>0</v>
      </c>
      <c r="W7" s="63">
        <f t="shared" si="2"/>
        <v>0</v>
      </c>
      <c r="X7" s="63">
        <f t="shared" si="2"/>
        <v>0</v>
      </c>
      <c r="Y7" s="63">
        <f t="shared" si="2"/>
        <v>3.6083473372864071E-2</v>
      </c>
      <c r="Z7" s="63">
        <f t="shared" si="2"/>
        <v>0</v>
      </c>
      <c r="AA7" s="63">
        <f t="shared" si="2"/>
        <v>0</v>
      </c>
      <c r="AB7" s="63">
        <f t="shared" si="2"/>
        <v>0</v>
      </c>
      <c r="AC7" s="63" t="e">
        <f t="shared" si="2"/>
        <v>#REF!</v>
      </c>
      <c r="AD7" s="63">
        <f t="shared" si="2"/>
        <v>0</v>
      </c>
      <c r="AE7" s="63">
        <f t="shared" si="2"/>
        <v>0</v>
      </c>
      <c r="AF7" s="63">
        <f t="shared" si="2"/>
        <v>0</v>
      </c>
      <c r="AG7" s="63">
        <f t="shared" si="2"/>
        <v>3.09320930554625E-2</v>
      </c>
      <c r="AH7" s="63">
        <f t="shared" si="2"/>
        <v>0</v>
      </c>
      <c r="AI7" s="63">
        <f t="shared" si="2"/>
        <v>0</v>
      </c>
      <c r="AJ7" s="63">
        <f t="shared" si="2"/>
        <v>0</v>
      </c>
      <c r="AK7" s="63">
        <f t="shared" si="2"/>
        <v>3.5221345996876964E-2</v>
      </c>
      <c r="AL7" s="63">
        <f t="shared" si="2"/>
        <v>0</v>
      </c>
      <c r="AM7" s="63">
        <f t="shared" si="2"/>
        <v>0</v>
      </c>
      <c r="AN7" s="63">
        <f t="shared" si="2"/>
        <v>0</v>
      </c>
      <c r="AO7" s="63">
        <f t="shared" si="2"/>
        <v>6.7630017272803211E-2</v>
      </c>
      <c r="AP7" s="63">
        <f t="shared" si="2"/>
        <v>0</v>
      </c>
      <c r="AQ7" s="63">
        <f t="shared" si="2"/>
        <v>0</v>
      </c>
      <c r="AR7" s="63">
        <f t="shared" si="2"/>
        <v>0</v>
      </c>
      <c r="AS7" s="63">
        <f t="shared" si="2"/>
        <v>0</v>
      </c>
      <c r="AT7" s="63">
        <f t="shared" si="2"/>
        <v>0</v>
      </c>
      <c r="AU7" s="63">
        <f t="shared" si="2"/>
        <v>0</v>
      </c>
      <c r="AV7" s="63">
        <f t="shared" si="2"/>
        <v>0</v>
      </c>
      <c r="AW7" s="63">
        <f t="shared" si="2"/>
        <v>0</v>
      </c>
      <c r="AX7" s="63">
        <f t="shared" si="2"/>
        <v>0</v>
      </c>
      <c r="AY7" s="63">
        <f t="shared" si="2"/>
        <v>0</v>
      </c>
      <c r="AZ7" s="63">
        <f t="shared" si="2"/>
        <v>0</v>
      </c>
      <c r="BA7" s="63">
        <f t="shared" si="2"/>
        <v>0</v>
      </c>
      <c r="BB7" s="63">
        <f t="shared" si="2"/>
        <v>0</v>
      </c>
      <c r="BC7" s="63">
        <f t="shared" si="2"/>
        <v>0</v>
      </c>
      <c r="BD7" s="63">
        <f t="shared" si="2"/>
        <v>0</v>
      </c>
      <c r="BE7" s="63">
        <f t="shared" si="2"/>
        <v>0</v>
      </c>
      <c r="BF7" s="63">
        <f t="shared" si="2"/>
        <v>0</v>
      </c>
      <c r="BG7" s="63">
        <f t="shared" si="2"/>
        <v>0</v>
      </c>
      <c r="BH7" s="63">
        <f t="shared" si="2"/>
        <v>0</v>
      </c>
      <c r="BI7" s="63">
        <f t="shared" si="2"/>
        <v>0</v>
      </c>
      <c r="BJ7" s="63">
        <f t="shared" si="2"/>
        <v>0</v>
      </c>
      <c r="BK7" s="63">
        <f t="shared" si="2"/>
        <v>0</v>
      </c>
      <c r="BL7" s="63">
        <f t="shared" si="2"/>
        <v>0</v>
      </c>
      <c r="BM7" s="63">
        <f t="shared" si="2"/>
        <v>0</v>
      </c>
      <c r="BN7" s="63">
        <f t="shared" si="2"/>
        <v>0</v>
      </c>
      <c r="BO7" s="63">
        <f t="shared" si="2"/>
        <v>0</v>
      </c>
      <c r="BP7" s="63">
        <f t="shared" si="2"/>
        <v>0</v>
      </c>
      <c r="BQ7" s="63">
        <f t="shared" si="2"/>
        <v>0</v>
      </c>
      <c r="BR7" s="63">
        <f>BR5*(1-BR6)</f>
        <v>0</v>
      </c>
      <c r="BS7" s="63">
        <f>BS5*(1-BS6)</f>
        <v>0</v>
      </c>
      <c r="BT7" s="63">
        <f>BT5*(1-BT6)</f>
        <v>0</v>
      </c>
      <c r="BU7" s="63">
        <f>BU5*(1-BU6)</f>
        <v>0</v>
      </c>
      <c r="BV7" s="63">
        <f>BV5*(1-BV6)</f>
        <v>0</v>
      </c>
    </row>
    <row r="8" spans="1:74" s="26" customFormat="1" x14ac:dyDescent="0.25">
      <c r="A8" s="17" t="s">
        <v>331</v>
      </c>
      <c r="E8" s="26">
        <f>资产资本表!E107</f>
        <v>854070000000</v>
      </c>
      <c r="F8" s="26">
        <f>资产资本表!F107</f>
        <v>845425000000</v>
      </c>
      <c r="G8" s="26">
        <f>资产资本表!G107</f>
        <v>845826000000</v>
      </c>
      <c r="H8" s="26">
        <f>资产资本表!H107</f>
        <v>853607000000</v>
      </c>
      <c r="I8" s="26">
        <f>资产资本表!I107</f>
        <v>832525000000</v>
      </c>
      <c r="J8" s="26">
        <f>资产资本表!J107</f>
        <v>813502000000</v>
      </c>
      <c r="K8" s="26">
        <f>资产资本表!K107</f>
        <v>809983000000</v>
      </c>
      <c r="L8" s="26">
        <f>资产资本表!L107</f>
        <v>796505000000</v>
      </c>
      <c r="M8" s="26">
        <f>资产资本表!M107</f>
        <v>785623000000</v>
      </c>
      <c r="N8" s="26">
        <f>资产资本表!N107</f>
        <v>785521000000</v>
      </c>
      <c r="O8" s="26">
        <f>资产资本表!O107</f>
        <v>788418000000</v>
      </c>
      <c r="P8" s="26">
        <f>资产资本表!P107</f>
        <v>774054000000</v>
      </c>
      <c r="Q8" s="26">
        <f>资产资本表!Q107</f>
        <v>647095000000</v>
      </c>
      <c r="R8" s="26">
        <f>资产资本表!R107</f>
        <v>650980000000</v>
      </c>
      <c r="S8" s="26">
        <f>资产资本表!S107</f>
        <v>643121000000</v>
      </c>
      <c r="T8" s="26">
        <f>资产资本表!T107</f>
        <v>641059000000</v>
      </c>
      <c r="U8" s="26">
        <f>资产资本表!U107</f>
        <v>623260000000</v>
      </c>
      <c r="V8" s="26">
        <f>资产资本表!V107</f>
        <v>599936000000</v>
      </c>
      <c r="W8" s="26">
        <f>资产资本表!W107</f>
        <v>587377000000</v>
      </c>
      <c r="X8" s="26">
        <f>资产资本表!X107</f>
        <v>588013000000</v>
      </c>
      <c r="Y8" s="26">
        <f>资产资本表!Y107</f>
        <v>550601000000</v>
      </c>
      <c r="Z8" s="26">
        <f>资产资本表!Z107</f>
        <v>530222000000</v>
      </c>
      <c r="AA8" s="26">
        <f>资产资本表!AA107</f>
        <v>519221000000</v>
      </c>
      <c r="AB8" s="26">
        <f>资产资本表!AB107</f>
        <v>525457000000</v>
      </c>
      <c r="AC8" s="26">
        <f>资产资本表!AC107</f>
        <v>509525000000</v>
      </c>
      <c r="AD8" s="26">
        <f>资产资本表!AD107</f>
        <v>500873000000</v>
      </c>
      <c r="AE8" s="26">
        <f>资产资本表!AE107</f>
        <v>488615000000</v>
      </c>
      <c r="AF8" s="26">
        <f>资产资本表!AF107</f>
        <v>478854000000</v>
      </c>
      <c r="AG8" s="26">
        <f>资产资本表!AG107</f>
        <v>452682000000</v>
      </c>
      <c r="AH8" s="26">
        <f>资产资本表!AH107</f>
        <v>436002000000</v>
      </c>
      <c r="AI8" s="26">
        <f>资产资本表!AI107</f>
        <v>427883000000</v>
      </c>
      <c r="AJ8" s="26">
        <f>资产资本表!AJ107</f>
        <v>416953000000</v>
      </c>
      <c r="AK8" s="26">
        <f>资产资本表!AK107</f>
        <v>400585000000</v>
      </c>
      <c r="AL8" s="26">
        <f>资产资本表!AL107</f>
        <v>387750000000</v>
      </c>
      <c r="AM8" s="26">
        <f>资产资本表!AM107</f>
        <v>376760000000</v>
      </c>
      <c r="AN8" s="26">
        <f>资产资本表!AN107</f>
        <v>362880000000</v>
      </c>
      <c r="AO8" s="26">
        <f>资产资本表!AO107</f>
        <v>350946000000</v>
      </c>
      <c r="AP8" s="26">
        <f>资产资本表!AP107</f>
        <v>334316000000</v>
      </c>
      <c r="AQ8" s="26">
        <f>资产资本表!AQ107</f>
        <v>331299000000</v>
      </c>
      <c r="AR8" s="26">
        <f>资产资本表!AR107</f>
        <v>340332000000</v>
      </c>
      <c r="AS8" s="26">
        <f>资产资本表!AS107</f>
        <v>326347000000</v>
      </c>
      <c r="AT8" s="26">
        <f>资产资本表!AT107</f>
        <v>317110000000</v>
      </c>
      <c r="AU8" s="26">
        <f>资产资本表!AU107</f>
        <v>307023000000</v>
      </c>
      <c r="AV8" s="26">
        <f>资产资本表!AV107</f>
        <v>300191000000</v>
      </c>
      <c r="AW8" s="26">
        <f>资产资本表!AW107</f>
        <v>276860000000</v>
      </c>
      <c r="AX8" s="26">
        <f>资产资本表!AX107</f>
        <v>257109000000</v>
      </c>
      <c r="AY8" s="26">
        <f>资产资本表!AY107</f>
        <v>248628000000</v>
      </c>
      <c r="AZ8" s="26">
        <f>资产资本表!AZ107</f>
        <v>254206000000</v>
      </c>
      <c r="BA8" s="26">
        <f>资产资本表!BA107</f>
        <v>245006000000</v>
      </c>
      <c r="BB8" s="26">
        <f>资产资本表!BB107</f>
        <v>231729000000</v>
      </c>
      <c r="BC8" s="26">
        <f>资产资本表!BC107</f>
        <v>226745000000</v>
      </c>
      <c r="BD8" s="26">
        <f>资产资本表!BD107</f>
        <v>228202000000</v>
      </c>
      <c r="BE8" s="26">
        <f>资产资本表!BE107</f>
        <v>217566000000</v>
      </c>
      <c r="BF8" s="26">
        <f>资产资本表!BF107</f>
        <v>207527000000</v>
      </c>
      <c r="BG8" s="26">
        <f>资产资本表!BG107</f>
        <v>200186000000</v>
      </c>
      <c r="BH8" s="26">
        <f>资产资本表!BH107</f>
        <v>197563000000</v>
      </c>
      <c r="BI8" s="26">
        <f>资产资本表!BI107</f>
        <v>189023000000</v>
      </c>
      <c r="BJ8" s="26">
        <f>资产资本表!BJ107</f>
        <v>183975000000</v>
      </c>
      <c r="BK8" s="26">
        <f>资产资本表!BK107</f>
        <v>180805000000</v>
      </c>
      <c r="BL8" s="26">
        <f>资产资本表!BL107</f>
        <v>177065000000</v>
      </c>
      <c r="BM8" s="26">
        <f>资产资本表!BM107</f>
        <v>175826000000</v>
      </c>
      <c r="BN8" s="26">
        <f>资产资本表!BN107</f>
        <v>170169000000</v>
      </c>
      <c r="BO8" s="26">
        <f>资产资本表!BO107</f>
        <v>165727000000</v>
      </c>
      <c r="BP8" s="26">
        <f>资产资本表!BP107</f>
        <v>162666000000</v>
      </c>
      <c r="BQ8" s="26">
        <f>资产资本表!BQ107</f>
        <v>162447000000</v>
      </c>
      <c r="BR8" s="26">
        <f>资产资本表!BR107</f>
        <v>151390000000</v>
      </c>
      <c r="BS8" s="26">
        <f>资产资本表!BS107</f>
        <v>144092000000</v>
      </c>
      <c r="BT8" s="26">
        <f>资产资本表!BT107</f>
        <v>0</v>
      </c>
      <c r="BU8" s="26">
        <f>资产资本表!BU107</f>
        <v>3191216198.9499998</v>
      </c>
    </row>
    <row r="9" spans="1:74" s="63" customFormat="1" x14ac:dyDescent="0.25">
      <c r="A9" s="63" t="s">
        <v>741</v>
      </c>
      <c r="E9" s="63">
        <f>根据DCF测算价值表!$D$1</f>
        <v>0.08</v>
      </c>
      <c r="F9" s="63">
        <f>根据DCF测算价值表!$D$1</f>
        <v>0.08</v>
      </c>
      <c r="G9" s="63">
        <f>根据DCF测算价值表!$D$1</f>
        <v>0.08</v>
      </c>
      <c r="H9" s="63">
        <f>根据DCF测算价值表!$D$1</f>
        <v>0.08</v>
      </c>
      <c r="I9" s="63">
        <f>根据DCF测算价值表!$D$1</f>
        <v>0.08</v>
      </c>
      <c r="J9" s="63">
        <f>根据DCF测算价值表!$D$1</f>
        <v>0.08</v>
      </c>
      <c r="K9" s="63">
        <f>根据DCF测算价值表!$D$1</f>
        <v>0.08</v>
      </c>
      <c r="L9" s="63">
        <f>根据DCF测算价值表!$D$1</f>
        <v>0.08</v>
      </c>
      <c r="M9" s="63">
        <f>根据DCF测算价值表!$D$1</f>
        <v>0.08</v>
      </c>
      <c r="N9" s="63">
        <f>根据DCF测算价值表!$D$1</f>
        <v>0.08</v>
      </c>
      <c r="O9" s="63">
        <f>根据DCF测算价值表!$D$1</f>
        <v>0.08</v>
      </c>
      <c r="P9" s="63">
        <f>根据DCF测算价值表!$D$1</f>
        <v>0.08</v>
      </c>
      <c r="Q9" s="63">
        <f>根据DCF测算价值表!$D$1</f>
        <v>0.08</v>
      </c>
      <c r="R9" s="63">
        <f>根据DCF测算价值表!$D$1</f>
        <v>0.08</v>
      </c>
      <c r="S9" s="63">
        <f>根据DCF测算价值表!$D$1</f>
        <v>0.08</v>
      </c>
      <c r="T9" s="63">
        <f>根据DCF测算价值表!$D$1</f>
        <v>0.08</v>
      </c>
      <c r="U9" s="63">
        <f>根据DCF测算价值表!$D$1</f>
        <v>0.08</v>
      </c>
      <c r="V9" s="63">
        <f>根据DCF测算价值表!$D$1</f>
        <v>0.08</v>
      </c>
      <c r="W9" s="63">
        <f>根据DCF测算价值表!$D$1</f>
        <v>0.08</v>
      </c>
      <c r="X9" s="63">
        <f>根据DCF测算价值表!$D$1</f>
        <v>0.08</v>
      </c>
      <c r="Y9" s="63">
        <f>根据DCF测算价值表!$D$1</f>
        <v>0.08</v>
      </c>
      <c r="Z9" s="63">
        <f>根据DCF测算价值表!$D$1</f>
        <v>0.08</v>
      </c>
      <c r="AA9" s="63">
        <f>根据DCF测算价值表!$D$1</f>
        <v>0.08</v>
      </c>
      <c r="AB9" s="63">
        <f>根据DCF测算价值表!$D$1</f>
        <v>0.08</v>
      </c>
      <c r="AC9" s="63">
        <f>根据DCF测算价值表!$D$1</f>
        <v>0.08</v>
      </c>
      <c r="AD9" s="63">
        <f>根据DCF测算价值表!$D$1</f>
        <v>0.08</v>
      </c>
      <c r="AE9" s="63">
        <f>根据DCF测算价值表!$D$1</f>
        <v>0.08</v>
      </c>
      <c r="AF9" s="63">
        <f>根据DCF测算价值表!$D$1</f>
        <v>0.08</v>
      </c>
      <c r="AG9" s="63">
        <f>根据DCF测算价值表!$D$1</f>
        <v>0.08</v>
      </c>
      <c r="AH9" s="63">
        <f>根据DCF测算价值表!$D$1</f>
        <v>0.08</v>
      </c>
      <c r="AI9" s="63">
        <f>根据DCF测算价值表!$D$1</f>
        <v>0.08</v>
      </c>
      <c r="AJ9" s="63">
        <f>根据DCF测算价值表!$D$1</f>
        <v>0.08</v>
      </c>
      <c r="AK9" s="63">
        <f>根据DCF测算价值表!$D$1</f>
        <v>0.08</v>
      </c>
      <c r="AL9" s="63">
        <f>根据DCF测算价值表!$D$1</f>
        <v>0.08</v>
      </c>
      <c r="AM9" s="63">
        <f>根据DCF测算价值表!$D$1</f>
        <v>0.08</v>
      </c>
      <c r="AN9" s="63">
        <f>根据DCF测算价值表!$D$1</f>
        <v>0.08</v>
      </c>
      <c r="AO9" s="63">
        <f>根据DCF测算价值表!$D$1</f>
        <v>0.08</v>
      </c>
      <c r="AP9" s="63">
        <f>根据DCF测算价值表!$D$1</f>
        <v>0.08</v>
      </c>
      <c r="AQ9" s="63">
        <f>根据DCF测算价值表!$D$1</f>
        <v>0.08</v>
      </c>
      <c r="AR9" s="63">
        <f>根据DCF测算价值表!$D$1</f>
        <v>0.08</v>
      </c>
      <c r="AS9" s="63">
        <f>根据DCF测算价值表!$D$1</f>
        <v>0.08</v>
      </c>
      <c r="AT9" s="63">
        <f>根据DCF测算价值表!$D$1</f>
        <v>0.08</v>
      </c>
      <c r="AU9" s="63">
        <f>根据DCF测算价值表!$D$1</f>
        <v>0.08</v>
      </c>
      <c r="AV9" s="63">
        <f>根据DCF测算价值表!$D$1</f>
        <v>0.08</v>
      </c>
      <c r="AW9" s="63">
        <f>根据DCF测算价值表!$D$1</f>
        <v>0.08</v>
      </c>
      <c r="AX9" s="63">
        <f>根据DCF测算价值表!$D$1</f>
        <v>0.08</v>
      </c>
      <c r="AY9" s="63">
        <f>根据DCF测算价值表!$D$1</f>
        <v>0.08</v>
      </c>
      <c r="AZ9" s="63">
        <f>根据DCF测算价值表!$D$1</f>
        <v>0.08</v>
      </c>
      <c r="BA9" s="63">
        <f>根据DCF测算价值表!$D$1</f>
        <v>0.08</v>
      </c>
      <c r="BB9" s="63">
        <f>根据DCF测算价值表!$D$1</f>
        <v>0.08</v>
      </c>
      <c r="BC9" s="63">
        <f>根据DCF测算价值表!$D$1</f>
        <v>0.08</v>
      </c>
      <c r="BD9" s="63">
        <f>根据DCF测算价值表!$D$1</f>
        <v>0.08</v>
      </c>
      <c r="BE9" s="63">
        <f>根据DCF测算价值表!$D$1</f>
        <v>0.08</v>
      </c>
      <c r="BF9" s="63">
        <f>根据DCF测算价值表!$D$1</f>
        <v>0.08</v>
      </c>
      <c r="BG9" s="63">
        <f>根据DCF测算价值表!$D$1</f>
        <v>0.08</v>
      </c>
      <c r="BH9" s="63">
        <f>根据DCF测算价值表!$D$1</f>
        <v>0.08</v>
      </c>
      <c r="BI9" s="63">
        <f>根据DCF测算价值表!$D$1</f>
        <v>0.08</v>
      </c>
      <c r="BJ9" s="63">
        <f>根据DCF测算价值表!$D$1</f>
        <v>0.08</v>
      </c>
      <c r="BK9" s="63">
        <f>根据DCF测算价值表!$D$1</f>
        <v>0.08</v>
      </c>
      <c r="BL9" s="63">
        <f>根据DCF测算价值表!$D$1</f>
        <v>0.08</v>
      </c>
      <c r="BM9" s="63">
        <f>根据DCF测算价值表!$D$1</f>
        <v>0.08</v>
      </c>
      <c r="BN9" s="63">
        <f>根据DCF测算价值表!$D$1</f>
        <v>0.08</v>
      </c>
      <c r="BO9" s="63">
        <f>根据DCF测算价值表!$D$1</f>
        <v>0.08</v>
      </c>
      <c r="BP9" s="63">
        <f>根据DCF测算价值表!$D$1</f>
        <v>0.08</v>
      </c>
      <c r="BQ9" s="63">
        <f>根据DCF测算价值表!$D$1</f>
        <v>0.08</v>
      </c>
      <c r="BR9" s="63">
        <f>根据DCF测算价值表!$D$1</f>
        <v>0.08</v>
      </c>
      <c r="BS9" s="63">
        <f>根据DCF测算价值表!$D$1</f>
        <v>0.08</v>
      </c>
      <c r="BT9" s="63">
        <f>根据DCF测算价值表!$D$1</f>
        <v>0.08</v>
      </c>
      <c r="BU9" s="63">
        <f>根据DCF测算价值表!$D$1</f>
        <v>0.08</v>
      </c>
      <c r="BV9" s="63">
        <f>根据DCF测算价值表!$D$1</f>
        <v>0.08</v>
      </c>
    </row>
    <row r="10" spans="1:74" s="26" customFormat="1" x14ac:dyDescent="0.25">
      <c r="A10" s="17" t="s">
        <v>332</v>
      </c>
      <c r="E10" s="26">
        <f>资产资本表!E70</f>
        <v>1097817000000</v>
      </c>
      <c r="F10" s="26">
        <f>资产资本表!F70</f>
        <v>1090297000000</v>
      </c>
      <c r="G10" s="26">
        <f>资产资本表!G70</f>
        <v>1108857000000</v>
      </c>
      <c r="H10" s="26">
        <f>资产资本表!H70</f>
        <v>1098473000000</v>
      </c>
      <c r="I10" s="26">
        <f>资产资本表!I70</f>
        <v>1080751000000</v>
      </c>
      <c r="J10" s="26">
        <f>资产资本表!J70</f>
        <v>1069330000000</v>
      </c>
      <c r="K10" s="26">
        <f>资产资本表!K70</f>
        <v>1084475000000</v>
      </c>
      <c r="L10" s="26">
        <f>资产资本表!L70</f>
        <v>1088832000000</v>
      </c>
      <c r="M10" s="26">
        <f>资产资本表!M70</f>
        <v>1088234000000</v>
      </c>
      <c r="N10" s="26">
        <f>资产资本表!N70</f>
        <v>1082184000000</v>
      </c>
      <c r="O10" s="26">
        <f>资产资本表!O70</f>
        <v>1108601000000</v>
      </c>
      <c r="P10" s="26">
        <f>资产资本表!P70</f>
        <v>1118574000000</v>
      </c>
      <c r="Q10" s="26">
        <f>资产资本表!Q70</f>
        <v>1017869000000</v>
      </c>
      <c r="R10" s="26">
        <f>资产资本表!R70</f>
        <v>1029039000000</v>
      </c>
      <c r="S10" s="26">
        <f>资产资本表!S70</f>
        <v>1015197000000</v>
      </c>
      <c r="T10" s="26">
        <f>资产资本表!T70</f>
        <v>1017304000000</v>
      </c>
      <c r="U10" s="26">
        <f>资产资本表!U70</f>
        <v>966987000000</v>
      </c>
      <c r="V10" s="26">
        <f>资产资本表!V70</f>
        <v>953370000000</v>
      </c>
      <c r="W10" s="26">
        <f>资产资本表!W70</f>
        <v>924357000000</v>
      </c>
      <c r="X10" s="26">
        <f>资产资本表!X70</f>
        <v>923777000000</v>
      </c>
      <c r="Y10" s="26">
        <f>资产资本表!Y70</f>
        <v>854101000000</v>
      </c>
      <c r="Z10" s="26">
        <f>资产资本表!Z70</f>
        <v>831404000000</v>
      </c>
      <c r="AA10" s="26">
        <f>资产资本表!AA70</f>
        <v>846210000000</v>
      </c>
      <c r="AB10" s="26">
        <f>资产资本表!AB70</f>
        <v>849278000000</v>
      </c>
      <c r="AC10" s="26">
        <f>资产资本表!AC70</f>
        <v>766172000000</v>
      </c>
      <c r="AD10" s="26">
        <f>资产资本表!AD70</f>
        <v>750198000000</v>
      </c>
      <c r="AE10" s="26">
        <f>资产资本表!AE70</f>
        <v>745440000000</v>
      </c>
      <c r="AF10" s="26">
        <f>资产资本表!AF70</f>
        <v>729500000000</v>
      </c>
      <c r="AG10" s="26">
        <f>资产资本表!AG70</f>
        <v>680573000000</v>
      </c>
      <c r="AH10" s="26">
        <f>资产资本表!AH70</f>
        <v>675439000000</v>
      </c>
      <c r="AI10" s="26">
        <f>资产资本表!AI70</f>
        <v>670330000000</v>
      </c>
      <c r="AJ10" s="26">
        <f>资产资本表!AJ70</f>
        <v>655371000000</v>
      </c>
      <c r="AK10" s="26">
        <f>资产资本表!AK70</f>
        <v>632675000000</v>
      </c>
      <c r="AL10" s="26">
        <f>资产资本表!AL70</f>
        <v>618547000000</v>
      </c>
      <c r="AM10" s="26">
        <f>资产资本表!AM70</f>
        <v>594712000000</v>
      </c>
      <c r="AN10" s="26">
        <f>资产资本表!AN70</f>
        <v>568007000000</v>
      </c>
      <c r="AO10" s="26">
        <f>资产资本表!AO70</f>
        <v>587250000000</v>
      </c>
      <c r="AP10" s="26">
        <f>资产资本表!AP70</f>
        <v>608235000000</v>
      </c>
      <c r="AQ10" s="26">
        <f>资产资本表!AQ70</f>
        <v>565373000000</v>
      </c>
      <c r="AR10" s="26">
        <f>资产资本表!AR70</f>
        <v>551663000000</v>
      </c>
      <c r="AS10" s="26">
        <f>资产资本表!AS70</f>
        <v>515817000000</v>
      </c>
      <c r="AT10" s="26">
        <f>资产资本表!AT70</f>
        <v>475255000000</v>
      </c>
      <c r="AU10" s="26">
        <f>资产资本表!AU70</f>
        <v>475963000000</v>
      </c>
      <c r="AV10" s="26">
        <f>资产资本表!AV70</f>
        <v>464847000000</v>
      </c>
      <c r="AW10" s="26">
        <f>资产资本表!AW70</f>
        <v>449475000000</v>
      </c>
      <c r="AX10" s="26">
        <f>资产资本表!AX70</f>
        <v>446000000000</v>
      </c>
      <c r="AY10" s="26">
        <f>资产资本表!AY70</f>
        <v>437226000000</v>
      </c>
      <c r="AZ10" s="26">
        <f>资产资本表!AZ70</f>
        <v>419125000000</v>
      </c>
      <c r="BA10" s="26">
        <f>资产资本表!BA70</f>
        <v>396365000000</v>
      </c>
      <c r="BB10" s="26">
        <f>资产资本表!BB70</f>
        <v>391977000000</v>
      </c>
      <c r="BC10" s="26">
        <f>资产资本表!BC70</f>
        <v>387103000000</v>
      </c>
      <c r="BD10" s="26">
        <f>资产资本表!BD70</f>
        <v>379030000000</v>
      </c>
      <c r="BE10" s="26">
        <f>资产资本表!BE70</f>
        <v>359165000000</v>
      </c>
      <c r="BF10" s="26">
        <f>资产资本表!BF70</f>
        <v>337471000000</v>
      </c>
      <c r="BG10" s="26">
        <f>资产资本表!BG70</f>
        <v>327354000000</v>
      </c>
      <c r="BH10" s="26">
        <f>资产资本表!BH70</f>
        <v>316142000000</v>
      </c>
      <c r="BI10" s="26">
        <f>资产资本表!BI70</f>
        <v>299751000000</v>
      </c>
      <c r="BJ10" s="26">
        <f>资产资本表!BJ70</f>
        <v>293009000000</v>
      </c>
      <c r="BK10" s="26">
        <f>资产资本表!BK70</f>
        <v>296643000000</v>
      </c>
      <c r="BL10" s="26">
        <f>资产资本表!BL70</f>
        <v>296584000000</v>
      </c>
      <c r="BM10" s="26">
        <f>资产资本表!BM70</f>
        <v>289145000000</v>
      </c>
      <c r="BN10" s="26">
        <f>资产资本表!BN70</f>
        <v>284805000000</v>
      </c>
      <c r="BO10" s="26">
        <f>资产资本表!BO70</f>
        <v>290079000000</v>
      </c>
      <c r="BP10" s="26">
        <f>资产资本表!BP70</f>
        <v>288719000000</v>
      </c>
      <c r="BQ10" s="26">
        <f>资产资本表!BQ70</f>
        <v>288309000000</v>
      </c>
      <c r="BR10" s="26">
        <f>资产资本表!BR70</f>
        <v>303562000000</v>
      </c>
      <c r="BS10" s="26">
        <f>资产资本表!BS70</f>
        <v>278876000000</v>
      </c>
      <c r="BT10" s="26">
        <f>资产资本表!BT70</f>
        <v>0</v>
      </c>
      <c r="BU10" s="26">
        <f>资产资本表!BU70</f>
        <v>0</v>
      </c>
    </row>
    <row r="11" spans="1:74" s="63" customFormat="1" x14ac:dyDescent="0.25">
      <c r="A11" s="17" t="s">
        <v>347</v>
      </c>
      <c r="E11" s="63">
        <f>E4/E10</f>
        <v>0.17939784135242942</v>
      </c>
      <c r="F11" s="63">
        <f t="shared" ref="F11:BQ11" si="3">F4/F10</f>
        <v>0.18541278202177938</v>
      </c>
      <c r="G11" s="63">
        <f t="shared" si="3"/>
        <v>0.18080600113450157</v>
      </c>
      <c r="H11" s="63">
        <f t="shared" si="3"/>
        <v>0.18676835934975189</v>
      </c>
      <c r="I11" s="63">
        <f t="shared" si="3"/>
        <v>0.19331742464267904</v>
      </c>
      <c r="J11" s="63">
        <f t="shared" si="3"/>
        <v>0.20574471865560678</v>
      </c>
      <c r="K11" s="63">
        <f t="shared" si="3"/>
        <v>0.22062195993453054</v>
      </c>
      <c r="L11" s="63">
        <f t="shared" si="3"/>
        <v>0.23757659583847646</v>
      </c>
      <c r="M11" s="63">
        <f t="shared" si="3"/>
        <v>0.2475800241492179</v>
      </c>
      <c r="N11" s="63">
        <f t="shared" si="3"/>
        <v>0.24495926755524014</v>
      </c>
      <c r="O11" s="63">
        <f t="shared" si="3"/>
        <v>0.26070515902475283</v>
      </c>
      <c r="P11" s="63">
        <f t="shared" si="3"/>
        <v>0.28091033762629919</v>
      </c>
      <c r="Q11" s="63">
        <f t="shared" si="3"/>
        <v>0.33507160548164844</v>
      </c>
      <c r="R11" s="63">
        <f t="shared" si="3"/>
        <v>0.3403894313043529</v>
      </c>
      <c r="S11" s="63">
        <f t="shared" si="3"/>
        <v>0.33977149262655426</v>
      </c>
      <c r="T11" s="63">
        <f t="shared" si="3"/>
        <v>0.34404170238198217</v>
      </c>
      <c r="U11" s="63">
        <f t="shared" si="3"/>
        <v>0.32849148954432689</v>
      </c>
      <c r="V11" s="63">
        <f t="shared" si="3"/>
        <v>0.34580488163042677</v>
      </c>
      <c r="W11" s="63">
        <f t="shared" si="3"/>
        <v>0.33926394239455104</v>
      </c>
      <c r="X11" s="63">
        <f t="shared" si="3"/>
        <v>0.33985691351917185</v>
      </c>
      <c r="Y11" s="63">
        <f t="shared" si="3"/>
        <v>0.33006517964503029</v>
      </c>
      <c r="Z11" s="63">
        <f t="shared" si="3"/>
        <v>0.33865605650201347</v>
      </c>
      <c r="AA11" s="63">
        <f t="shared" si="3"/>
        <v>0.36360359721582114</v>
      </c>
      <c r="AB11" s="63">
        <f t="shared" si="3"/>
        <v>0.35951243291360424</v>
      </c>
      <c r="AC11" s="63">
        <f t="shared" si="3"/>
        <v>0.31098239037709546</v>
      </c>
      <c r="AD11" s="63">
        <f t="shared" si="3"/>
        <v>0.31012346073969804</v>
      </c>
      <c r="AE11" s="63">
        <f t="shared" si="3"/>
        <v>0.32260946555054731</v>
      </c>
      <c r="AF11" s="63">
        <f t="shared" si="3"/>
        <v>0.32207128169979438</v>
      </c>
      <c r="AG11" s="63">
        <f t="shared" si="3"/>
        <v>0.3119694727824936</v>
      </c>
      <c r="AH11" s="63">
        <f t="shared" si="3"/>
        <v>0.33506208554732553</v>
      </c>
      <c r="AI11" s="63">
        <f t="shared" si="3"/>
        <v>0.34293109364044577</v>
      </c>
      <c r="AJ11" s="63">
        <f t="shared" si="3"/>
        <v>0.34520599782413319</v>
      </c>
      <c r="AK11" s="63">
        <f t="shared" si="3"/>
        <v>0.34861658829572845</v>
      </c>
      <c r="AL11" s="63">
        <f t="shared" si="3"/>
        <v>0.35709978384827668</v>
      </c>
      <c r="AM11" s="63">
        <f t="shared" si="3"/>
        <v>0.34999293775810814</v>
      </c>
      <c r="AN11" s="63">
        <f t="shared" si="3"/>
        <v>0.3447105405391131</v>
      </c>
      <c r="AO11" s="63">
        <f t="shared" si="3"/>
        <v>0.38658833546189869</v>
      </c>
      <c r="AP11" s="63">
        <f t="shared" si="3"/>
        <v>0.43726684587371656</v>
      </c>
      <c r="AQ11" s="63">
        <f t="shared" si="3"/>
        <v>0.39956984150286623</v>
      </c>
      <c r="AR11" s="63">
        <f t="shared" si="3"/>
        <v>0.36925623070606511</v>
      </c>
      <c r="AS11" s="63">
        <f t="shared" si="3"/>
        <v>0.3525610827095656</v>
      </c>
      <c r="AT11" s="63">
        <f t="shared" si="3"/>
        <v>0.32062576932383668</v>
      </c>
      <c r="AU11" s="63">
        <f t="shared" si="3"/>
        <v>0.34307708792490171</v>
      </c>
      <c r="AV11" s="63">
        <f t="shared" si="3"/>
        <v>0.34279451088207519</v>
      </c>
      <c r="AW11" s="63">
        <f t="shared" si="3"/>
        <v>0.37514878469325325</v>
      </c>
      <c r="AX11" s="63">
        <f t="shared" si="3"/>
        <v>0.40486547085201796</v>
      </c>
      <c r="AY11" s="63">
        <f t="shared" si="3"/>
        <v>0.4139964229025721</v>
      </c>
      <c r="AZ11" s="63">
        <f t="shared" si="3"/>
        <v>0.38358484938860721</v>
      </c>
      <c r="BA11" s="63">
        <f t="shared" si="3"/>
        <v>0.37595902766389566</v>
      </c>
      <c r="BB11" s="63">
        <f t="shared" si="3"/>
        <v>0.39911015187115573</v>
      </c>
      <c r="BC11" s="63">
        <f t="shared" si="3"/>
        <v>0.40339392874764596</v>
      </c>
      <c r="BD11" s="63">
        <f t="shared" si="3"/>
        <v>0.38991108883201858</v>
      </c>
      <c r="BE11" s="63">
        <f t="shared" si="3"/>
        <v>0.38820040928264166</v>
      </c>
      <c r="BF11" s="63">
        <f t="shared" si="3"/>
        <v>0.37465441474971184</v>
      </c>
      <c r="BG11" s="63">
        <f t="shared" si="3"/>
        <v>0.37734990255197737</v>
      </c>
      <c r="BH11" s="63">
        <f t="shared" si="3"/>
        <v>0.36756267753098293</v>
      </c>
      <c r="BI11" s="63">
        <f t="shared" si="3"/>
        <v>0.36426233774032446</v>
      </c>
      <c r="BJ11" s="63">
        <f t="shared" si="3"/>
        <v>0.36395469081154502</v>
      </c>
      <c r="BK11" s="63">
        <f t="shared" si="3"/>
        <v>0.38081464925853636</v>
      </c>
      <c r="BL11" s="63">
        <f t="shared" si="3"/>
        <v>0.37767377876082325</v>
      </c>
      <c r="BM11" s="63">
        <f t="shared" si="3"/>
        <v>0.38632520015908972</v>
      </c>
      <c r="BN11" s="63">
        <f t="shared" si="3"/>
        <v>0.39441723284352453</v>
      </c>
      <c r="BO11" s="63">
        <f t="shared" si="3"/>
        <v>0.38953181719462632</v>
      </c>
      <c r="BP11" s="63">
        <f t="shared" si="3"/>
        <v>0.40574399329451821</v>
      </c>
      <c r="BQ11" s="63">
        <f t="shared" si="3"/>
        <v>0.40587702777228596</v>
      </c>
      <c r="BR11" s="63">
        <f>BR4/BR10</f>
        <v>0.47037507988483407</v>
      </c>
      <c r="BS11" s="63">
        <f>BS4/BS10</f>
        <v>0.4581677878340194</v>
      </c>
      <c r="BT11" s="63" t="e">
        <f>BT4/BT10</f>
        <v>#DIV/0!</v>
      </c>
      <c r="BU11" s="63" t="e">
        <f>BU4/BU10</f>
        <v>#DIV/0!</v>
      </c>
      <c r="BV11" s="63" t="e">
        <f>BV4/BV10*100</f>
        <v>#DIV/0!</v>
      </c>
    </row>
    <row r="12" spans="1:74" s="63" customFormat="1" x14ac:dyDescent="0.25">
      <c r="A12" s="17" t="s">
        <v>348</v>
      </c>
      <c r="E12" s="63">
        <f>E8/E10</f>
        <v>0.77797119191996478</v>
      </c>
      <c r="F12" s="63">
        <f t="shared" ref="F12:BQ12" si="4">F8/F10</f>
        <v>0.77540798516367559</v>
      </c>
      <c r="G12" s="63">
        <f t="shared" si="4"/>
        <v>0.76279087384577093</v>
      </c>
      <c r="H12" s="63">
        <f t="shared" si="4"/>
        <v>0.77708509904203382</v>
      </c>
      <c r="I12" s="63">
        <f t="shared" si="4"/>
        <v>0.77032082320534512</v>
      </c>
      <c r="J12" s="63">
        <f t="shared" si="4"/>
        <v>0.7607586058560033</v>
      </c>
      <c r="K12" s="63">
        <f t="shared" si="4"/>
        <v>0.74688950874847271</v>
      </c>
      <c r="L12" s="63">
        <f t="shared" si="4"/>
        <v>0.73152240198671603</v>
      </c>
      <c r="M12" s="63">
        <f t="shared" si="4"/>
        <v>0.72192469634288214</v>
      </c>
      <c r="N12" s="63">
        <f t="shared" si="4"/>
        <v>0.72586639610269599</v>
      </c>
      <c r="O12" s="63">
        <f t="shared" si="4"/>
        <v>0.71118283313834285</v>
      </c>
      <c r="P12" s="63">
        <f t="shared" si="4"/>
        <v>0.69200070804434932</v>
      </c>
      <c r="Q12" s="63">
        <f t="shared" si="4"/>
        <v>0.63573505038467626</v>
      </c>
      <c r="R12" s="63">
        <f t="shared" si="4"/>
        <v>0.63260964841954481</v>
      </c>
      <c r="S12" s="63">
        <f t="shared" si="4"/>
        <v>0.63349379480041801</v>
      </c>
      <c r="T12" s="63">
        <f t="shared" si="4"/>
        <v>0.6301548013179934</v>
      </c>
      <c r="U12" s="63">
        <f t="shared" si="4"/>
        <v>0.6445381375344239</v>
      </c>
      <c r="V12" s="63">
        <f t="shared" si="4"/>
        <v>0.62927929345374833</v>
      </c>
      <c r="W12" s="63">
        <f t="shared" si="4"/>
        <v>0.6354438815306207</v>
      </c>
      <c r="X12" s="63">
        <f t="shared" si="4"/>
        <v>0.63653132736580365</v>
      </c>
      <c r="Y12" s="63">
        <f t="shared" si="4"/>
        <v>0.64465560864581595</v>
      </c>
      <c r="Z12" s="63">
        <f t="shared" si="4"/>
        <v>0.63774290236756137</v>
      </c>
      <c r="AA12" s="63">
        <f t="shared" si="4"/>
        <v>0.6135840985098262</v>
      </c>
      <c r="AB12" s="63">
        <f t="shared" si="4"/>
        <v>0.61871024564394694</v>
      </c>
      <c r="AC12" s="63">
        <f t="shared" si="4"/>
        <v>0.66502691301692052</v>
      </c>
      <c r="AD12" s="63">
        <f t="shared" si="4"/>
        <v>0.66765440590350811</v>
      </c>
      <c r="AE12" s="63">
        <f t="shared" si="4"/>
        <v>0.65547193603777631</v>
      </c>
      <c r="AF12" s="63">
        <f t="shared" si="4"/>
        <v>0.65641398217957503</v>
      </c>
      <c r="AG12" s="63">
        <f t="shared" si="4"/>
        <v>0.66514833823851371</v>
      </c>
      <c r="AH12" s="63">
        <f t="shared" si="4"/>
        <v>0.64550906891666016</v>
      </c>
      <c r="AI12" s="63">
        <f t="shared" si="4"/>
        <v>0.63831694836871389</v>
      </c>
      <c r="AJ12" s="63">
        <f t="shared" si="4"/>
        <v>0.6362091090390023</v>
      </c>
      <c r="AK12" s="63">
        <f t="shared" si="4"/>
        <v>0.63316078555340416</v>
      </c>
      <c r="AL12" s="63">
        <f t="shared" si="4"/>
        <v>0.62687233144773158</v>
      </c>
      <c r="AM12" s="63">
        <f t="shared" si="4"/>
        <v>0.63351672742436671</v>
      </c>
      <c r="AN12" s="63">
        <f t="shared" si="4"/>
        <v>0.63886536609584033</v>
      </c>
      <c r="AO12" s="63">
        <f t="shared" si="4"/>
        <v>0.59760919540229884</v>
      </c>
      <c r="AP12" s="63">
        <f t="shared" si="4"/>
        <v>0.5496493953817192</v>
      </c>
      <c r="AQ12" s="63">
        <f t="shared" si="4"/>
        <v>0.58598305897168768</v>
      </c>
      <c r="AR12" s="63">
        <f t="shared" si="4"/>
        <v>0.61692011245996192</v>
      </c>
      <c r="AS12" s="63">
        <f t="shared" si="4"/>
        <v>0.63267980698581083</v>
      </c>
      <c r="AT12" s="63">
        <f t="shared" si="4"/>
        <v>0.66724179650924242</v>
      </c>
      <c r="AU12" s="63">
        <f t="shared" si="4"/>
        <v>0.64505644346304225</v>
      </c>
      <c r="AV12" s="63">
        <f t="shared" si="4"/>
        <v>0.64578452695187882</v>
      </c>
      <c r="AW12" s="63">
        <f t="shared" si="4"/>
        <v>0.61596306802380552</v>
      </c>
      <c r="AX12" s="63">
        <f t="shared" si="4"/>
        <v>0.57647757847533632</v>
      </c>
      <c r="AY12" s="63">
        <f t="shared" si="4"/>
        <v>0.56864870799083311</v>
      </c>
      <c r="AZ12" s="63">
        <f t="shared" si="4"/>
        <v>0.60651595586042351</v>
      </c>
      <c r="BA12" s="63">
        <f t="shared" si="4"/>
        <v>0.61813227706785412</v>
      </c>
      <c r="BB12" s="63">
        <f t="shared" si="4"/>
        <v>0.5911800947504573</v>
      </c>
      <c r="BC12" s="63">
        <f t="shared" si="4"/>
        <v>0.58574849587835798</v>
      </c>
      <c r="BD12" s="63">
        <f t="shared" si="4"/>
        <v>0.60206843785452335</v>
      </c>
      <c r="BE12" s="63">
        <f t="shared" si="4"/>
        <v>0.60575501510447849</v>
      </c>
      <c r="BF12" s="63">
        <f t="shared" si="4"/>
        <v>0.61494765476144619</v>
      </c>
      <c r="BG12" s="63">
        <f t="shared" si="4"/>
        <v>0.61152758176164035</v>
      </c>
      <c r="BH12" s="63">
        <f t="shared" si="4"/>
        <v>0.62491854925950996</v>
      </c>
      <c r="BI12" s="63">
        <f t="shared" si="4"/>
        <v>0.63060006472038455</v>
      </c>
      <c r="BJ12" s="63">
        <f t="shared" si="4"/>
        <v>0.62788173742103481</v>
      </c>
      <c r="BK12" s="63">
        <f t="shared" si="4"/>
        <v>0.60950367950701689</v>
      </c>
      <c r="BL12" s="63">
        <f t="shared" si="4"/>
        <v>0.59701467375178696</v>
      </c>
      <c r="BM12" s="63">
        <f t="shared" si="4"/>
        <v>0.60808936692662852</v>
      </c>
      <c r="BN12" s="63">
        <f t="shared" si="4"/>
        <v>0.59749302154105444</v>
      </c>
      <c r="BO12" s="63">
        <f t="shared" si="4"/>
        <v>0.57131677922221191</v>
      </c>
      <c r="BP12" s="63">
        <f t="shared" si="4"/>
        <v>0.56340594141708722</v>
      </c>
      <c r="BQ12" s="63">
        <f t="shared" si="4"/>
        <v>0.56344755106500322</v>
      </c>
      <c r="BR12" s="63">
        <f>BR8/BR10</f>
        <v>0.49871195999499279</v>
      </c>
      <c r="BS12" s="63">
        <f>BS8/BS10</f>
        <v>0.51668842066007836</v>
      </c>
      <c r="BT12" s="63" t="e">
        <f>BT8/BT10</f>
        <v>#DIV/0!</v>
      </c>
      <c r="BU12" s="63" t="e">
        <f>BU8/BU10</f>
        <v>#DIV/0!</v>
      </c>
      <c r="BV12" s="63" t="e">
        <f>BV8/BV10*100</f>
        <v>#DIV/0!</v>
      </c>
    </row>
    <row r="13" spans="1:74" s="63" customFormat="1" x14ac:dyDescent="0.25">
      <c r="A13" s="63" t="s">
        <v>349</v>
      </c>
      <c r="E13" s="63">
        <f>E5*E11*(1-E6)+E9*E12</f>
        <v>6.6848851947730811E-2</v>
      </c>
      <c r="F13" s="63">
        <f t="shared" ref="F13:J13" si="5">F5*F11*(1-F6)+F9*F12</f>
        <v>6.2032638813094051E-2</v>
      </c>
      <c r="G13" s="63">
        <f t="shared" si="5"/>
        <v>6.1023269907661673E-2</v>
      </c>
      <c r="H13" s="63">
        <f t="shared" si="5"/>
        <v>6.216680792336271E-2</v>
      </c>
      <c r="I13" s="63">
        <f t="shared" si="5"/>
        <v>6.735140347291059E-2</v>
      </c>
      <c r="J13" s="63">
        <f t="shared" si="5"/>
        <v>6.0860688468480265E-2</v>
      </c>
      <c r="K13" s="63">
        <f t="shared" ref="K13" si="6">K5*K11*(1-K6)+K9*K12</f>
        <v>5.975116069987782E-2</v>
      </c>
      <c r="L13" s="63">
        <f t="shared" ref="L13" si="7">L5*L11*(1-L6)+L9*L12</f>
        <v>5.8521792158937283E-2</v>
      </c>
      <c r="M13" s="63">
        <f t="shared" ref="M13" si="8">M5*M11*(1-M6)+M9*M12</f>
        <v>6.3117166503808497E-2</v>
      </c>
      <c r="N13" s="63">
        <f t="shared" ref="N13:O13" si="9">N5*N11*(1-N6)+N9*N12</f>
        <v>5.8069311688215677E-2</v>
      </c>
      <c r="O13" s="63">
        <f t="shared" si="9"/>
        <v>5.6894626651067426E-2</v>
      </c>
      <c r="P13" s="63">
        <f t="shared" ref="P13" si="10">P5*P11*(1-P6)+P9*P12</f>
        <v>5.5360056643547949E-2</v>
      </c>
      <c r="Q13" s="63">
        <f t="shared" ref="Q13" si="11">Q5*Q11*(1-Q6)+Q9*Q12</f>
        <v>5.9891665574657846E-2</v>
      </c>
      <c r="R13" s="63">
        <f t="shared" ref="R13" si="12">R5*R11*(1-R6)+R9*R12</f>
        <v>5.0608771873563586E-2</v>
      </c>
      <c r="S13" s="63">
        <f t="shared" ref="S13:T13" si="13">S5*S11*(1-S6)+S9*S12</f>
        <v>5.067950358403344E-2</v>
      </c>
      <c r="T13" s="63">
        <f t="shared" si="13"/>
        <v>5.0412384105439474E-2</v>
      </c>
      <c r="U13" s="63">
        <f t="shared" ref="U13" si="14">U5*U11*(1-U6)+U9*U12</f>
        <v>6.1280932355500806E-2</v>
      </c>
      <c r="V13" s="63">
        <f t="shared" ref="V13" si="15">V5*V11*(1-V6)+V9*V12</f>
        <v>5.0342343476299865E-2</v>
      </c>
      <c r="W13" s="63">
        <f t="shared" ref="W13" si="16">W5*W11*(1-W6)+W9*W12</f>
        <v>5.083551052244966E-2</v>
      </c>
      <c r="X13" s="63">
        <f t="shared" ref="X13:Y13" si="17">X5*X11*(1-X6)+X9*X12</f>
        <v>5.0922506189264291E-2</v>
      </c>
      <c r="Y13" s="63">
        <f t="shared" si="17"/>
        <v>6.3482346812696322E-2</v>
      </c>
      <c r="Z13" s="63">
        <f t="shared" ref="Z13" si="18">Z5*Z11*(1-Z6)+Z9*Z12</f>
        <v>5.1019432189404912E-2</v>
      </c>
      <c r="AA13" s="63">
        <f t="shared" ref="AA13" si="19">AA5*AA11*(1-AA6)+AA9*AA12</f>
        <v>4.90867278807861E-2</v>
      </c>
      <c r="AB13" s="63">
        <f t="shared" ref="AB13" si="20">AB5*AB11*(1-AB6)+AB9*AB12</f>
        <v>4.9496819651515755E-2</v>
      </c>
      <c r="AC13" s="63" t="e">
        <f t="shared" ref="AC13:AD13" si="21">AC5*AC11*(1-AC6)+AC9*AC12</f>
        <v>#REF!</v>
      </c>
      <c r="AD13" s="63">
        <f t="shared" si="21"/>
        <v>5.3412352472280648E-2</v>
      </c>
      <c r="AE13" s="63">
        <f t="shared" ref="AE13" si="22">AE5*AE11*(1-AE6)+AE9*AE12</f>
        <v>5.2437754883022103E-2</v>
      </c>
      <c r="AF13" s="63">
        <f t="shared" ref="AF13" si="23">AF5*AF11*(1-AF6)+AF9*AF12</f>
        <v>5.2513118574366004E-2</v>
      </c>
      <c r="AG13" s="63">
        <f t="shared" ref="AG13" si="24">AG5*AG11*(1-AG6)+AG9*AG12</f>
        <v>6.2861735821652762E-2</v>
      </c>
      <c r="AH13" s="63">
        <f t="shared" ref="AH13:AI13" si="25">AH5*AH11*(1-AH6)+AH9*AH12</f>
        <v>5.1640725513332812E-2</v>
      </c>
      <c r="AI13" s="63">
        <f t="shared" si="25"/>
        <v>5.1065355869497113E-2</v>
      </c>
      <c r="AJ13" s="63">
        <f t="shared" ref="AJ13" si="26">AJ5*AJ11*(1-AJ6)+AJ9*AJ12</f>
        <v>5.0896728723120184E-2</v>
      </c>
      <c r="AK13" s="63">
        <f t="shared" ref="AK13" si="27">AK5*AK11*(1-AK6)+AK9*AK12</f>
        <v>6.2931608320886998E-2</v>
      </c>
      <c r="AL13" s="63">
        <f t="shared" ref="AL13" si="28">AL5*AL11*(1-AL6)+AL9*AL12</f>
        <v>5.0149786515818529E-2</v>
      </c>
      <c r="AM13" s="63">
        <f t="shared" ref="AM13:AN13" si="29">AM5*AM11*(1-AM6)+AM9*AM12</f>
        <v>5.0681338193949335E-2</v>
      </c>
      <c r="AN13" s="63">
        <f t="shared" si="29"/>
        <v>5.1109229287667229E-2</v>
      </c>
      <c r="AO13" s="63">
        <f t="shared" ref="AO13" si="30">AO5*AO11*(1-AO6)+AO9*AO12</f>
        <v>7.3953711436936354E-2</v>
      </c>
      <c r="AP13" s="63">
        <f t="shared" ref="AP13" si="31">AP5*AP11*(1-AP6)+AP9*AP12</f>
        <v>4.3971951630537534E-2</v>
      </c>
      <c r="AQ13" s="63">
        <f t="shared" ref="AQ13" si="32">AQ5*AQ11*(1-AQ6)+AQ9*AQ12</f>
        <v>4.6878644717735014E-2</v>
      </c>
      <c r="AR13" s="63">
        <f t="shared" ref="AR13:AS13" si="33">AR5*AR11*(1-AR6)+AR9*AR12</f>
        <v>4.9353608996796958E-2</v>
      </c>
      <c r="AS13" s="63">
        <f t="shared" si="33"/>
        <v>5.0614384558864869E-2</v>
      </c>
      <c r="AT13" s="63">
        <f t="shared" ref="AT13" si="34">AT5*AT11*(1-AT6)+AT9*AT12</f>
        <v>5.3379343720739394E-2</v>
      </c>
      <c r="AU13" s="63">
        <f t="shared" ref="AU13" si="35">AU5*AU11*(1-AU6)+AU9*AU12</f>
        <v>5.1604515477043381E-2</v>
      </c>
      <c r="AV13" s="63">
        <f t="shared" ref="AV13" si="36">AV5*AV11*(1-AV6)+AV9*AV12</f>
        <v>5.1662762156150309E-2</v>
      </c>
      <c r="AW13" s="63">
        <f t="shared" ref="AW13:AX13" si="37">AW5*AW11*(1-AW6)+AW9*AW12</f>
        <v>4.9277045441904442E-2</v>
      </c>
      <c r="AX13" s="63">
        <f t="shared" si="37"/>
        <v>4.6118206278026909E-2</v>
      </c>
      <c r="AY13" s="63">
        <f t="shared" ref="AY13" si="38">AY5*AY11*(1-AY6)+AY9*AY12</f>
        <v>4.549189663926665E-2</v>
      </c>
      <c r="AZ13" s="63">
        <f t="shared" ref="AZ13" si="39">AZ5*AZ11*(1-AZ6)+AZ9*AZ12</f>
        <v>4.8521276468833884E-2</v>
      </c>
      <c r="BA13" s="63">
        <f t="shared" ref="BA13" si="40">BA5*BA11*(1-BA6)+BA9*BA12</f>
        <v>4.9450582165428331E-2</v>
      </c>
      <c r="BB13" s="63">
        <f t="shared" ref="BB13:BC13" si="41">BB5*BB11*(1-BB6)+BB9*BB12</f>
        <v>4.7294407580036585E-2</v>
      </c>
      <c r="BC13" s="63">
        <f t="shared" si="41"/>
        <v>4.6859879670268639E-2</v>
      </c>
      <c r="BD13" s="63">
        <f t="shared" ref="BD13" si="42">BD5*BD11*(1-BD6)+BD9*BD12</f>
        <v>4.8165475028361868E-2</v>
      </c>
      <c r="BE13" s="63">
        <f t="shared" ref="BE13" si="43">BE5*BE11*(1-BE6)+BE9*BE12</f>
        <v>4.8460401208358282E-2</v>
      </c>
      <c r="BF13" s="63">
        <f t="shared" ref="BF13" si="44">BF5*BF11*(1-BF6)+BF9*BF12</f>
        <v>4.9195812380915693E-2</v>
      </c>
      <c r="BG13" s="63">
        <f t="shared" ref="BG13:BH13" si="45">BG5*BG11*(1-BG6)+BG9*BG12</f>
        <v>4.8922206540931226E-2</v>
      </c>
      <c r="BH13" s="63">
        <f t="shared" si="45"/>
        <v>4.9993483940760801E-2</v>
      </c>
      <c r="BI13" s="63">
        <f t="shared" ref="BI13" si="46">BI5*BI11*(1-BI6)+BI9*BI12</f>
        <v>5.0448005177630761E-2</v>
      </c>
      <c r="BJ13" s="63">
        <f t="shared" ref="BJ13" si="47">BJ5*BJ11*(1-BJ6)+BJ9*BJ12</f>
        <v>5.0230538993682787E-2</v>
      </c>
      <c r="BK13" s="63">
        <f t="shared" ref="BK13" si="48">BK5*BK11*(1-BK6)+BK9*BK12</f>
        <v>4.8760294360561354E-2</v>
      </c>
      <c r="BL13" s="63">
        <f t="shared" ref="BL13:BM13" si="49">BL5*BL11*(1-BL6)+BL9*BL12</f>
        <v>4.7761173900142957E-2</v>
      </c>
      <c r="BM13" s="63">
        <f t="shared" si="49"/>
        <v>4.8647149354130281E-2</v>
      </c>
      <c r="BN13" s="63">
        <f t="shared" ref="BN13" si="50">BN5*BN11*(1-BN6)+BN9*BN12</f>
        <v>4.7799441723284354E-2</v>
      </c>
      <c r="BO13" s="63">
        <f t="shared" ref="BO13" si="51">BO5*BO11*(1-BO6)+BO9*BO12</f>
        <v>4.5705342337776955E-2</v>
      </c>
      <c r="BP13" s="63">
        <f t="shared" ref="BP13" si="52">BP5*BP11*(1-BP6)+BP9*BP12</f>
        <v>4.5072475313366979E-2</v>
      </c>
      <c r="BQ13" s="63">
        <f t="shared" ref="BQ13:BR13" si="53">BQ5*BQ11*(1-BQ6)+BQ9*BQ12</f>
        <v>4.5075804085200261E-2</v>
      </c>
      <c r="BR13" s="63">
        <f t="shared" si="53"/>
        <v>3.9896956799599426E-2</v>
      </c>
      <c r="BS13" s="63">
        <f t="shared" ref="BS13" si="54">BS5*BS11*(1-BS6)+BS9*BS12</f>
        <v>4.1335073652806267E-2</v>
      </c>
      <c r="BT13" s="63" t="e">
        <f t="shared" ref="BT13" si="55">BT5*BT11*(1-BT6)+BT9*BT12</f>
        <v>#DIV/0!</v>
      </c>
      <c r="BU13" s="63" t="e">
        <f t="shared" ref="BU13" si="56">BU5*BU11*(1-BU6)+BU9*BU12</f>
        <v>#DIV/0!</v>
      </c>
      <c r="BV13" s="63" t="e">
        <f t="shared" ref="BV13" si="57">BV5*BV11*(1-BV6)+BV9*BV12</f>
        <v>#DIV/0!</v>
      </c>
    </row>
    <row r="14" spans="1:74" s="16" customFormat="1" ht="56.4" customHeight="1" x14ac:dyDescent="0.25">
      <c r="A14" s="278" t="s">
        <v>668</v>
      </c>
      <c r="B14" s="277"/>
      <c r="C14" s="277"/>
      <c r="D14" s="277"/>
      <c r="E14" s="277"/>
      <c r="F14" s="277"/>
      <c r="G14" s="277"/>
      <c r="H14" s="277"/>
      <c r="I14" s="277"/>
      <c r="J14" s="277"/>
      <c r="K14" s="277"/>
      <c r="L14" s="277"/>
      <c r="M14" s="277"/>
      <c r="N14" s="277"/>
      <c r="O14" s="277"/>
      <c r="P14" s="277"/>
      <c r="Q14" s="277"/>
      <c r="R14" s="277"/>
      <c r="S14" s="277"/>
      <c r="T14" s="277"/>
      <c r="U14" s="277"/>
      <c r="V14" s="277"/>
      <c r="W14" s="277"/>
      <c r="X14" s="277"/>
      <c r="Y14" s="277"/>
      <c r="Z14" s="277"/>
      <c r="AA14" s="277"/>
      <c r="AB14" s="277"/>
      <c r="AC14" s="277"/>
      <c r="AD14" s="277"/>
      <c r="AE14" s="277"/>
      <c r="AF14" s="277"/>
      <c r="AG14" s="277"/>
    </row>
    <row r="16" spans="1:74" s="45" customFormat="1" x14ac:dyDescent="0.25">
      <c r="A16" s="46"/>
    </row>
  </sheetData>
  <mergeCells count="1">
    <mergeCell ref="A14:AG14"/>
  </mergeCells>
  <phoneticPr fontId="1" type="noConversion"/>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资产资本结构分析表"/>
  <dimension ref="A1:CL87"/>
  <sheetViews>
    <sheetView workbookViewId="0">
      <selection activeCell="E45" sqref="E45"/>
    </sheetView>
  </sheetViews>
  <sheetFormatPr defaultRowHeight="14.4" x14ac:dyDescent="0.25"/>
  <cols>
    <col min="1" max="1" width="37.33203125" style="17" bestFit="1" customWidth="1"/>
    <col min="2" max="4" width="9.5546875" hidden="1" customWidth="1"/>
    <col min="5" max="5" width="26.33203125" bestFit="1" customWidth="1"/>
    <col min="6" max="8" width="26.33203125" hidden="1" customWidth="1"/>
    <col min="9" max="9" width="26.33203125" bestFit="1" customWidth="1"/>
    <col min="10" max="12" width="26.33203125" hidden="1" customWidth="1"/>
    <col min="13" max="13" width="26.33203125" bestFit="1" customWidth="1"/>
    <col min="14" max="16" width="26.33203125" hidden="1" customWidth="1"/>
    <col min="17" max="17" width="26.33203125" bestFit="1" customWidth="1"/>
    <col min="18" max="20" width="26.33203125" hidden="1" customWidth="1"/>
    <col min="21" max="21" width="23.88671875" bestFit="1" customWidth="1"/>
    <col min="22" max="24" width="23.88671875" hidden="1" customWidth="1"/>
    <col min="25" max="25" width="23.88671875" bestFit="1" customWidth="1"/>
    <col min="26" max="28" width="23.88671875" hidden="1" customWidth="1"/>
    <col min="29" max="29" width="23.88671875" bestFit="1" customWidth="1"/>
    <col min="30" max="32" width="23.88671875" hidden="1" customWidth="1"/>
    <col min="33" max="33" width="23.88671875" bestFit="1" customWidth="1"/>
    <col min="34" max="36" width="23.88671875" hidden="1" customWidth="1"/>
    <col min="37" max="37" width="23.88671875" bestFit="1" customWidth="1"/>
    <col min="38" max="40" width="23.88671875" hidden="1" customWidth="1"/>
    <col min="41" max="41" width="23.88671875" bestFit="1" customWidth="1"/>
    <col min="42" max="44" width="23.88671875" hidden="1" customWidth="1"/>
    <col min="45" max="45" width="23.88671875" bestFit="1" customWidth="1"/>
    <col min="46" max="48" width="23.88671875" hidden="1" customWidth="1"/>
    <col min="49" max="49" width="23.88671875" bestFit="1" customWidth="1"/>
    <col min="50" max="52" width="23.88671875" hidden="1" customWidth="1"/>
    <col min="53" max="53" width="23.88671875" bestFit="1" customWidth="1"/>
    <col min="54" max="56" width="23.88671875" hidden="1" customWidth="1"/>
    <col min="57" max="57" width="23.88671875" bestFit="1" customWidth="1"/>
    <col min="58" max="60" width="23.88671875" hidden="1" customWidth="1"/>
    <col min="61" max="61" width="23.88671875" bestFit="1" customWidth="1"/>
    <col min="62" max="64" width="23.88671875" hidden="1" customWidth="1"/>
    <col min="65" max="65" width="23.88671875" bestFit="1" customWidth="1"/>
    <col min="66" max="68" width="23.88671875" hidden="1" customWidth="1"/>
    <col min="69" max="69" width="23.88671875" bestFit="1" customWidth="1"/>
    <col min="70" max="70" width="23.88671875" hidden="1" customWidth="1"/>
    <col min="71" max="71" width="23.88671875" bestFit="1" customWidth="1"/>
    <col min="72" max="72" width="9.5546875" hidden="1" customWidth="1"/>
    <col min="73" max="90" width="8.5546875" bestFit="1" customWidth="1"/>
  </cols>
  <sheetData>
    <row r="1" spans="1:90" s="26" customFormat="1" x14ac:dyDescent="0.25">
      <c r="A1" s="17">
        <v>600028</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37529</v>
      </c>
      <c r="BO1" s="1">
        <v>37437</v>
      </c>
      <c r="BP1" s="1">
        <v>37346</v>
      </c>
      <c r="BQ1" s="1">
        <v>37256</v>
      </c>
      <c r="BR1" s="1">
        <v>37072</v>
      </c>
      <c r="BS1" s="1">
        <v>36891</v>
      </c>
      <c r="BT1" s="1">
        <v>25569</v>
      </c>
      <c r="BU1" s="190"/>
      <c r="BV1" s="190"/>
      <c r="BW1" s="190"/>
      <c r="BX1" s="190"/>
      <c r="BY1" s="190"/>
      <c r="BZ1" s="190"/>
      <c r="CA1" s="190"/>
      <c r="CB1" s="190"/>
      <c r="CC1" s="190"/>
      <c r="CD1" s="190"/>
      <c r="CE1" s="190"/>
      <c r="CF1" s="190"/>
      <c r="CG1" s="190"/>
      <c r="CH1" s="190"/>
      <c r="CI1" s="190"/>
      <c r="CJ1" s="190"/>
      <c r="CK1" s="190"/>
      <c r="CL1" s="190"/>
    </row>
    <row r="2" spans="1:90" s="26" customFormat="1" x14ac:dyDescent="0.25">
      <c r="A2" s="41" t="s">
        <v>552</v>
      </c>
      <c r="E2" s="26">
        <f>资产资本表!E17</f>
        <v>217876000000</v>
      </c>
      <c r="F2" s="26">
        <f>资产资本表!F17</f>
        <v>173130000000</v>
      </c>
      <c r="G2" s="26">
        <f>资产资本表!G17</f>
        <v>172147000000</v>
      </c>
      <c r="H2" s="26">
        <f>资产资本表!H17</f>
        <v>146571000000</v>
      </c>
      <c r="I2" s="26">
        <f>资产资本表!I17</f>
        <v>153905000000</v>
      </c>
      <c r="J2" s="26">
        <f>资产资本表!J17</f>
        <v>97480000000</v>
      </c>
      <c r="K2" s="26">
        <f>资产资本表!K17</f>
        <v>88123000000</v>
      </c>
      <c r="L2" s="26">
        <f>资产资本表!L17</f>
        <v>74170000000</v>
      </c>
      <c r="M2" s="26">
        <f>资产资本表!M17</f>
        <v>78883000000</v>
      </c>
      <c r="N2" s="26">
        <f>资产资本表!N17</f>
        <v>58454000000</v>
      </c>
      <c r="O2" s="26">
        <f>资产资本表!O17</f>
        <v>75278000000</v>
      </c>
      <c r="P2" s="26">
        <f>资产资本表!P17</f>
        <v>74981000000</v>
      </c>
      <c r="Q2" s="26">
        <f>资产资本表!Q17</f>
        <v>10968000000</v>
      </c>
      <c r="R2" s="26">
        <f>资产资本表!R17</f>
        <v>22524000000</v>
      </c>
      <c r="S2" s="26">
        <f>资产资本表!S17</f>
        <v>14346000000</v>
      </c>
      <c r="T2" s="26">
        <f>资产资本表!T17</f>
        <v>20771000000</v>
      </c>
      <c r="U2" s="26">
        <f>资产资本表!U17</f>
        <v>15101000000</v>
      </c>
      <c r="V2" s="26">
        <f>资产资本表!V17</f>
        <v>12096000000</v>
      </c>
      <c r="W2" s="26">
        <f>资产资本表!W17</f>
        <v>11385000000</v>
      </c>
      <c r="X2" s="26">
        <f>资产资本表!X17</f>
        <v>14788000000</v>
      </c>
      <c r="Y2" s="26">
        <f>资产资本表!Y17</f>
        <v>10864000000</v>
      </c>
      <c r="Z2" s="26">
        <f>资产资本表!Z17</f>
        <v>14855000000</v>
      </c>
      <c r="AA2" s="26">
        <f>资产资本表!AA17</f>
        <v>13960000000</v>
      </c>
      <c r="AB2" s="26">
        <f>资产资本表!AB17</f>
        <v>24609000000</v>
      </c>
      <c r="AC2" s="26">
        <f>资产资本表!AC17</f>
        <v>25197000000</v>
      </c>
      <c r="AD2" s="26">
        <f>资产资本表!AD17</f>
        <v>27189000000</v>
      </c>
      <c r="AE2" s="26">
        <f>资产资本表!AE17</f>
        <v>14186000000</v>
      </c>
      <c r="AF2" s="26">
        <f>资产资本表!AF17</f>
        <v>27007000000</v>
      </c>
      <c r="AG2" s="26">
        <f>资产资本表!AG17</f>
        <v>18140000000</v>
      </c>
      <c r="AH2" s="26">
        <f>资产资本表!AH17</f>
        <v>11562000000</v>
      </c>
      <c r="AI2" s="26">
        <f>资产资本表!AI17</f>
        <v>16695000000</v>
      </c>
      <c r="AJ2" s="26">
        <f>资产资本表!AJ17</f>
        <v>11361000000</v>
      </c>
      <c r="AK2" s="26">
        <f>资产资本表!AK17</f>
        <v>9986000000</v>
      </c>
      <c r="AL2" s="26">
        <f>资产资本表!AL17</f>
        <v>8601000000</v>
      </c>
      <c r="AM2" s="26">
        <f>资产资本表!AM17</f>
        <v>9082000000</v>
      </c>
      <c r="AN2" s="26">
        <f>资产资本表!AN17</f>
        <v>12227000000</v>
      </c>
      <c r="AO2" s="26">
        <f>资产资本表!AO17</f>
        <v>7700000000</v>
      </c>
      <c r="AP2" s="26">
        <f>资产资本表!AP17</f>
        <v>11605000000</v>
      </c>
      <c r="AQ2" s="26">
        <f>资产资本表!AQ17</f>
        <v>9774000000</v>
      </c>
      <c r="AR2" s="26">
        <f>资产资本表!AR17</f>
        <v>28397000000</v>
      </c>
      <c r="AS2" s="26">
        <f>资产资本表!AS17</f>
        <v>8364000000</v>
      </c>
      <c r="AT2" s="26">
        <f>资产资本表!AT17</f>
        <v>8908000000</v>
      </c>
      <c r="AU2" s="26">
        <f>资产资本表!AU17</f>
        <v>12989000000</v>
      </c>
      <c r="AV2" s="26">
        <f>资产资本表!AV17</f>
        <v>15943000000</v>
      </c>
      <c r="AW2" s="26">
        <f>资产资本表!AW17</f>
        <v>8723000000</v>
      </c>
      <c r="AX2" s="26">
        <f>资产资本表!AX17</f>
        <v>10590000000</v>
      </c>
      <c r="AY2" s="26">
        <f>资产资本表!AY17</f>
        <v>10777000000</v>
      </c>
      <c r="AZ2" s="26">
        <f>资产资本表!AZ17</f>
        <v>13089000000</v>
      </c>
      <c r="BA2" s="26">
        <f>资产资本表!BA17</f>
        <v>14747000000</v>
      </c>
      <c r="BB2" s="26">
        <f>资产资本表!BB17</f>
        <v>16567000000</v>
      </c>
      <c r="BC2" s="26">
        <f>资产资本表!BC17</f>
        <v>15322000000</v>
      </c>
      <c r="BD2" s="26">
        <f>资产资本表!BD17</f>
        <v>19884000000</v>
      </c>
      <c r="BE2" s="26">
        <f>资产资本表!BE17</f>
        <v>18280000000</v>
      </c>
      <c r="BF2" s="26">
        <f>资产资本表!BF17</f>
        <v>17324000000</v>
      </c>
      <c r="BG2" s="26">
        <f>资产资本表!BG17</f>
        <v>17028000000</v>
      </c>
      <c r="BH2" s="26">
        <f>资产资本表!BH17</f>
        <v>20367000000</v>
      </c>
      <c r="BI2" s="26">
        <f>资产资本表!BI17</f>
        <v>17405000000</v>
      </c>
      <c r="BJ2" s="26">
        <f>资产资本表!BJ17</f>
        <v>18630000000</v>
      </c>
      <c r="BK2" s="26">
        <f>资产资本表!BK17</f>
        <v>21844000000</v>
      </c>
      <c r="BL2" s="26">
        <f>资产资本表!BL17</f>
        <v>22282000000</v>
      </c>
      <c r="BM2" s="26">
        <f>资产资本表!BM17</f>
        <v>18712000000</v>
      </c>
      <c r="BN2" s="26">
        <f>资产资本表!BN17</f>
        <v>19233000000</v>
      </c>
      <c r="BO2" s="26">
        <f>资产资本表!BO17</f>
        <v>21212000000</v>
      </c>
      <c r="BP2" s="26">
        <f>资产资本表!BP17</f>
        <v>20986000000</v>
      </c>
      <c r="BQ2" s="26">
        <f>资产资本表!BQ17</f>
        <v>22870000000</v>
      </c>
      <c r="BR2" s="26">
        <f>资产资本表!BR17</f>
        <v>39991000000</v>
      </c>
      <c r="BS2" s="26">
        <f>资产资本表!BS17</f>
        <v>41204000000</v>
      </c>
      <c r="BT2" s="26">
        <f>资产资本表!BT17</f>
        <v>0</v>
      </c>
      <c r="BU2" s="26">
        <f>资产资本表!BU17</f>
        <v>0</v>
      </c>
      <c r="BV2" s="26">
        <f>资产资本表!BV17</f>
        <v>0</v>
      </c>
      <c r="BW2" s="26">
        <f>资产资本表!BW17</f>
        <v>0</v>
      </c>
      <c r="BX2" s="26">
        <f>资产资本表!BX17</f>
        <v>0</v>
      </c>
      <c r="BY2" s="26">
        <f>资产资本表!BY17</f>
        <v>0</v>
      </c>
      <c r="BZ2" s="26">
        <f>资产资本表!BZ17</f>
        <v>0</v>
      </c>
      <c r="CA2" s="26">
        <f>资产资本表!CA17</f>
        <v>0</v>
      </c>
      <c r="CB2" s="26">
        <f>资产资本表!CB17</f>
        <v>0</v>
      </c>
      <c r="CC2" s="26">
        <f>资产资本表!CC17</f>
        <v>0</v>
      </c>
      <c r="CD2" s="26">
        <f>资产资本表!CD17</f>
        <v>0</v>
      </c>
      <c r="CE2" s="26">
        <f>资产资本表!CE17</f>
        <v>0</v>
      </c>
      <c r="CF2" s="26">
        <f>资产资本表!CF17</f>
        <v>0</v>
      </c>
      <c r="CG2" s="26">
        <f>资产资本表!CG17</f>
        <v>0</v>
      </c>
      <c r="CH2" s="26">
        <f>资产资本表!CH17</f>
        <v>0</v>
      </c>
      <c r="CI2" s="26">
        <f>资产资本表!CI17</f>
        <v>0</v>
      </c>
      <c r="CJ2" s="26">
        <f>资产资本表!CJ17</f>
        <v>0</v>
      </c>
      <c r="CK2" s="26">
        <f>资产资本表!CK17</f>
        <v>0</v>
      </c>
      <c r="CL2" s="26">
        <f>资产资本表!CL17</f>
        <v>0</v>
      </c>
    </row>
    <row r="3" spans="1:90" s="26" customFormat="1" x14ac:dyDescent="0.25">
      <c r="A3" s="41" t="s">
        <v>553</v>
      </c>
      <c r="E3" s="26">
        <f>资产资本表!E19</f>
        <v>131087000000</v>
      </c>
      <c r="F3" s="26">
        <f>资产资本表!F19</f>
        <v>125971000000</v>
      </c>
      <c r="G3" s="26">
        <f>资产资本表!G19</f>
        <v>122296000000</v>
      </c>
      <c r="H3" s="26">
        <f>资产资本表!H19</f>
        <v>120161000000</v>
      </c>
      <c r="I3" s="26">
        <f>资产资本表!I19</f>
        <v>116812000000</v>
      </c>
      <c r="J3" s="26">
        <f>资产资本表!J19</f>
        <v>90168000000</v>
      </c>
      <c r="K3" s="26">
        <f>资产资本表!K19</f>
        <v>88711000000</v>
      </c>
      <c r="L3" s="26">
        <f>资产资本表!L19</f>
        <v>85256000000</v>
      </c>
      <c r="M3" s="26">
        <f>资产资本表!M19</f>
        <v>82970000000</v>
      </c>
      <c r="N3" s="26">
        <f>资产资本表!N19</f>
        <v>85670000000</v>
      </c>
      <c r="O3" s="26">
        <f>资产资本表!O19</f>
        <v>84844000000</v>
      </c>
      <c r="P3" s="26">
        <f>资产资本表!P19</f>
        <v>82656000000</v>
      </c>
      <c r="Q3" s="26">
        <f>资产资本表!Q19</f>
        <v>80593000000</v>
      </c>
      <c r="R3" s="26">
        <f>资产资本表!R19</f>
        <v>77270000000</v>
      </c>
      <c r="S3" s="26">
        <f>资产资本表!S19</f>
        <v>79477000000</v>
      </c>
      <c r="T3" s="26">
        <f>资产资本表!T19</f>
        <v>79408000000</v>
      </c>
      <c r="U3" s="26">
        <f>资产资本表!U19</f>
        <v>77078000000</v>
      </c>
      <c r="V3" s="26">
        <f>资产资本表!V19</f>
        <v>58560000000</v>
      </c>
      <c r="W3" s="26">
        <f>资产资本表!W19</f>
        <v>56138000000</v>
      </c>
      <c r="X3" s="26">
        <f>资产资本表!X19</f>
        <v>54512000000</v>
      </c>
      <c r="Y3" s="26">
        <f>资产资本表!Y19</f>
        <v>52061000000</v>
      </c>
      <c r="Z3" s="26">
        <f>资产资本表!Z19</f>
        <v>47731000000</v>
      </c>
      <c r="AA3" s="26">
        <f>资产资本表!AA19</f>
        <v>47498000000</v>
      </c>
      <c r="AB3" s="26">
        <f>资产资本表!AB19</f>
        <v>48482000000</v>
      </c>
      <c r="AC3" s="26">
        <f>资产资本表!AC19</f>
        <v>47458000000</v>
      </c>
      <c r="AD3" s="26">
        <f>资产资本表!AD19</f>
        <v>46822000000</v>
      </c>
      <c r="AE3" s="26">
        <f>资产资本表!AE19</f>
        <v>45706000000</v>
      </c>
      <c r="AF3" s="26">
        <f>资产资本表!AF19</f>
        <v>46799000000</v>
      </c>
      <c r="AG3" s="26">
        <f>资产资本表!AG19</f>
        <v>45037000000</v>
      </c>
      <c r="AH3" s="26">
        <f>资产资本表!AH19</f>
        <v>40305000000</v>
      </c>
      <c r="AI3" s="26">
        <f>资产资本表!AI19</f>
        <v>39107000000</v>
      </c>
      <c r="AJ3" s="26">
        <f>资产资本表!AJ19</f>
        <v>37745000000</v>
      </c>
      <c r="AK3" s="26">
        <f>资产资本表!AK19</f>
        <v>33503000000</v>
      </c>
      <c r="AL3" s="26">
        <f>资产资本表!AL19</f>
        <v>31775000000</v>
      </c>
      <c r="AM3" s="26">
        <f>资产资本表!AM19</f>
        <v>30582000000</v>
      </c>
      <c r="AN3" s="26">
        <f>资产资本表!AN19</f>
        <v>29770000000</v>
      </c>
      <c r="AO3" s="26">
        <f>资产资本表!AO19</f>
        <v>28705000000</v>
      </c>
      <c r="AP3" s="26">
        <f>资产资本表!AP19</f>
        <v>31369000000</v>
      </c>
      <c r="AQ3" s="26">
        <f>资产资本表!AQ19</f>
        <v>31189000000</v>
      </c>
      <c r="AR3" s="26">
        <f>资产资本表!AR19</f>
        <v>33317000000</v>
      </c>
      <c r="AS3" s="26">
        <f>资产资本表!AS19</f>
        <v>31335000000</v>
      </c>
      <c r="AT3" s="26">
        <f>资产资本表!AT19</f>
        <v>24663000000</v>
      </c>
      <c r="AU3" s="26">
        <f>资产资本表!AU19</f>
        <v>24408000000</v>
      </c>
      <c r="AV3" s="26">
        <f>资产资本表!AV19</f>
        <v>24520000000</v>
      </c>
      <c r="AW3" s="26">
        <f>资产资本表!AW19</f>
        <v>27483000000</v>
      </c>
      <c r="AX3" s="26">
        <f>资产资本表!AX19</f>
        <v>27298000000</v>
      </c>
      <c r="AY3" s="26">
        <f>资产资本表!AY19</f>
        <v>27392000000</v>
      </c>
      <c r="AZ3" s="26">
        <f>资产资本表!AZ19</f>
        <v>14553000000</v>
      </c>
      <c r="BA3" s="26">
        <f>资产资本表!BA19</f>
        <v>14146000000</v>
      </c>
      <c r="BB3" s="26">
        <f>资产资本表!BB19</f>
        <v>11917000000</v>
      </c>
      <c r="BC3" s="26">
        <f>资产资本表!BC19</f>
        <v>10549000000</v>
      </c>
      <c r="BD3" s="26">
        <f>资产资本表!BD19</f>
        <v>10814000000</v>
      </c>
      <c r="BE3" s="26">
        <f>资产资本表!BE19</f>
        <v>13409000000</v>
      </c>
      <c r="BF3" s="26">
        <f>资产资本表!BF19</f>
        <v>12534000000</v>
      </c>
      <c r="BG3" s="26">
        <f>资产资本表!BG19</f>
        <v>12106000000</v>
      </c>
      <c r="BH3" s="26">
        <f>资产资本表!BH19</f>
        <v>11429000000</v>
      </c>
      <c r="BI3" s="26">
        <f>资产资本表!BI19</f>
        <v>11150000000</v>
      </c>
      <c r="BJ3" s="26">
        <f>资产资本表!BJ19</f>
        <v>11383000000</v>
      </c>
      <c r="BK3" s="26">
        <f>资产资本表!BK19</f>
        <v>10836000000</v>
      </c>
      <c r="BL3" s="26">
        <f>资产资本表!BL19</f>
        <v>10934000000</v>
      </c>
      <c r="BM3" s="26">
        <f>资产资本表!BM19</f>
        <v>11025000000</v>
      </c>
      <c r="BN3" s="26">
        <f>资产资本表!BN19</f>
        <v>10567000000</v>
      </c>
      <c r="BO3" s="26">
        <f>资产资本表!BO19</f>
        <v>10128000000</v>
      </c>
      <c r="BP3" s="26">
        <f>资产资本表!BP19</f>
        <v>9614000000</v>
      </c>
      <c r="BQ3" s="26">
        <f>资产资本表!BQ19</f>
        <v>8910000000</v>
      </c>
      <c r="BR3" s="26">
        <f>资产资本表!BR19</f>
        <v>7214000000</v>
      </c>
      <c r="BS3" s="26">
        <f>资产资本表!BS19</f>
        <v>5235000000</v>
      </c>
      <c r="BT3" s="26">
        <f>资产资本表!BT19</f>
        <v>0</v>
      </c>
      <c r="BU3" s="26">
        <f>资产资本表!BU19</f>
        <v>0</v>
      </c>
      <c r="BV3" s="26">
        <f>资产资本表!BV19</f>
        <v>0</v>
      </c>
      <c r="BW3" s="26">
        <f>资产资本表!BW19</f>
        <v>0</v>
      </c>
      <c r="BX3" s="26">
        <f>资产资本表!BX19</f>
        <v>0</v>
      </c>
      <c r="BY3" s="26">
        <f>资产资本表!BY19</f>
        <v>0</v>
      </c>
      <c r="BZ3" s="26">
        <f>资产资本表!BZ19</f>
        <v>0</v>
      </c>
      <c r="CA3" s="26">
        <f>资产资本表!CA19</f>
        <v>0</v>
      </c>
      <c r="CB3" s="26">
        <f>资产资本表!CB19</f>
        <v>0</v>
      </c>
      <c r="CC3" s="26">
        <f>资产资本表!CC19</f>
        <v>0</v>
      </c>
      <c r="CD3" s="26">
        <f>资产资本表!CD19</f>
        <v>0</v>
      </c>
      <c r="CE3" s="26">
        <f>资产资本表!CE19</f>
        <v>0</v>
      </c>
      <c r="CF3" s="26">
        <f>资产资本表!CF19</f>
        <v>0</v>
      </c>
      <c r="CG3" s="26">
        <f>资产资本表!CG19</f>
        <v>0</v>
      </c>
      <c r="CH3" s="26">
        <f>资产资本表!CH19</f>
        <v>0</v>
      </c>
      <c r="CI3" s="26">
        <f>资产资本表!CI19</f>
        <v>0</v>
      </c>
      <c r="CJ3" s="26">
        <f>资产资本表!CJ19</f>
        <v>0</v>
      </c>
      <c r="CK3" s="26">
        <f>资产资本表!CK19</f>
        <v>0</v>
      </c>
    </row>
    <row r="4" spans="1:90" s="26" customFormat="1" x14ac:dyDescent="0.25">
      <c r="A4" s="17" t="s">
        <v>558</v>
      </c>
      <c r="E4" s="26">
        <f>资产资本表!E50</f>
        <v>-178372000000</v>
      </c>
      <c r="F4" s="26">
        <f>资产资本表!F50</f>
        <v>-105759000000</v>
      </c>
      <c r="G4" s="26">
        <f>资产资本表!G50</f>
        <v>-99198000000</v>
      </c>
      <c r="H4" s="26">
        <f>资产资本表!H50</f>
        <v>-95828000000</v>
      </c>
      <c r="I4" s="26">
        <f>资产资本表!I50</f>
        <v>-140433000000</v>
      </c>
      <c r="J4" s="26">
        <f>资产资本表!J50</f>
        <v>-83252000000</v>
      </c>
      <c r="K4" s="26">
        <f>资产资本表!K50</f>
        <v>-69030000000</v>
      </c>
      <c r="L4" s="26">
        <f>资产资本表!L50</f>
        <v>-57234000000</v>
      </c>
      <c r="M4" s="26">
        <f>资产资本表!M50</f>
        <v>-82788000000</v>
      </c>
      <c r="N4" s="26">
        <f>资产资本表!N50</f>
        <v>-32068000000</v>
      </c>
      <c r="O4" s="26">
        <f>资产资本表!O50</f>
        <v>-30331000000</v>
      </c>
      <c r="P4" s="26">
        <f>资产资本表!P50</f>
        <v>-26865000000</v>
      </c>
      <c r="Q4" s="26">
        <f>资产资本表!Q50</f>
        <v>-75635000000</v>
      </c>
      <c r="R4" s="26">
        <f>资产资本表!R50</f>
        <v>-14578000000</v>
      </c>
      <c r="S4" s="26">
        <f>资产资本表!S50</f>
        <v>1260000000</v>
      </c>
      <c r="T4" s="26">
        <f>资产资本表!T50</f>
        <v>1955000000</v>
      </c>
      <c r="U4" s="26">
        <f>资产资本表!U50</f>
        <v>-50043000000</v>
      </c>
      <c r="V4" s="26">
        <f>资产资本表!V50</f>
        <v>5468000000</v>
      </c>
      <c r="W4" s="26">
        <f>资产资本表!W50</f>
        <v>10938000000</v>
      </c>
      <c r="X4" s="26">
        <f>资产资本表!X50</f>
        <v>20256000000</v>
      </c>
      <c r="Y4" s="26">
        <f>资产资本表!Y50</f>
        <v>-43240000000</v>
      </c>
      <c r="Z4" s="26">
        <f>资产资本表!Z50</f>
        <v>-6886000000</v>
      </c>
      <c r="AA4" s="26">
        <f>资产资本表!AA50</f>
        <v>23404000000</v>
      </c>
      <c r="AB4" s="26">
        <f>资产资本表!AB50</f>
        <v>33355000000</v>
      </c>
      <c r="AC4" s="26">
        <f>资产资本表!AC50</f>
        <v>-46309000000</v>
      </c>
      <c r="AD4" s="26">
        <f>资产资本表!AD50</f>
        <v>-9884000000</v>
      </c>
      <c r="AE4" s="26">
        <f>资产资本表!AE50</f>
        <v>6139000000</v>
      </c>
      <c r="AF4" s="26">
        <f>资产资本表!AF50</f>
        <v>-17615000000</v>
      </c>
      <c r="AG4" s="26">
        <f>资产资本表!AG50</f>
        <v>-58489000000</v>
      </c>
      <c r="AH4" s="26">
        <f>资产资本表!AH50</f>
        <v>-17611000000</v>
      </c>
      <c r="AI4" s="26">
        <f>资产资本表!AI50</f>
        <v>-10716000000</v>
      </c>
      <c r="AJ4" s="26">
        <f>资产资本表!AJ50</f>
        <v>-17153000000</v>
      </c>
      <c r="AK4" s="26">
        <f>资产资本表!AK50</f>
        <v>-49584000000</v>
      </c>
      <c r="AL4" s="26">
        <f>资产资本表!AL50</f>
        <v>-26496000000</v>
      </c>
      <c r="AM4" s="26">
        <f>资产资本表!AM50</f>
        <v>-39223000000</v>
      </c>
      <c r="AN4" s="26">
        <f>资产资本表!AN50</f>
        <v>-47565000000</v>
      </c>
      <c r="AO4" s="26">
        <f>资产资本表!AO50</f>
        <v>-19443000000</v>
      </c>
      <c r="AP4" s="26">
        <f>资产资本表!AP50</f>
        <v>29568000000</v>
      </c>
      <c r="AQ4" s="26">
        <f>资产资本表!AQ50</f>
        <v>-3445000000</v>
      </c>
      <c r="AR4" s="26">
        <f>资产资本表!AR50</f>
        <v>-19124000000</v>
      </c>
      <c r="AS4" s="26">
        <f>资产资本表!AS50</f>
        <v>-28092000000</v>
      </c>
      <c r="AT4" s="26">
        <f>资产资本表!AT50</f>
        <v>-21598000000</v>
      </c>
      <c r="AU4" s="26">
        <f>资产资本表!AU50</f>
        <v>-9573000000</v>
      </c>
      <c r="AV4" s="26">
        <f>资产资本表!AV50</f>
        <v>-13764000000</v>
      </c>
      <c r="AW4" s="26">
        <f>资产资本表!AW50</f>
        <v>-11698000000</v>
      </c>
      <c r="AX4" s="26">
        <f>资产资本表!AX50</f>
        <v>22660000000</v>
      </c>
      <c r="AY4" s="26">
        <f>资产资本表!AY50</f>
        <v>18912000000</v>
      </c>
      <c r="AZ4" s="26">
        <f>资产资本表!AZ50</f>
        <v>20151000000</v>
      </c>
      <c r="BA4" s="26">
        <f>资产资本表!BA50</f>
        <v>2942000000</v>
      </c>
      <c r="BB4" s="26">
        <f>资产资本表!BB50</f>
        <v>10164000000</v>
      </c>
      <c r="BC4" s="26">
        <f>资产资本表!BC50</f>
        <v>14113000000</v>
      </c>
      <c r="BD4" s="26">
        <f>资产资本表!BD50</f>
        <v>6578000000</v>
      </c>
      <c r="BE4" s="26">
        <f>资产资本表!BE50</f>
        <v>-1942000000</v>
      </c>
      <c r="BF4" s="26">
        <f>资产资本表!BF50</f>
        <v>5892000000</v>
      </c>
      <c r="BG4" s="26">
        <f>资产资本表!BG50</f>
        <v>4701000000</v>
      </c>
      <c r="BH4" s="26">
        <f>资产资本表!BH50</f>
        <v>-2777000000</v>
      </c>
      <c r="BI4" s="26">
        <f>资产资本表!BI50</f>
        <v>-10660000000</v>
      </c>
      <c r="BJ4" s="26">
        <f>资产资本表!BJ50</f>
        <v>-2026000000</v>
      </c>
      <c r="BK4" s="26">
        <f>资产资本表!BK50</f>
        <v>-251000000</v>
      </c>
      <c r="BL4" s="26">
        <f>资产资本表!BL50</f>
        <v>2661000000</v>
      </c>
      <c r="BM4" s="26">
        <f>资产资本表!BM50</f>
        <v>1540000000</v>
      </c>
      <c r="BN4" s="26">
        <f>资产资本表!BN50</f>
        <v>2517000000</v>
      </c>
      <c r="BO4" s="26">
        <f>资产资本表!BO50</f>
        <v>8227000000</v>
      </c>
      <c r="BP4" s="26">
        <f>资产资本表!BP50</f>
        <v>9638000000</v>
      </c>
      <c r="BQ4" s="26">
        <f>资产资本表!BQ50</f>
        <v>12589000000</v>
      </c>
      <c r="BR4" s="26">
        <f>资产资本表!BR50</f>
        <v>45687000000</v>
      </c>
      <c r="BS4" s="26">
        <f>资产资本表!BS50</f>
        <v>28806000000</v>
      </c>
      <c r="BT4" s="26">
        <f>资产资本表!BT50</f>
        <v>0</v>
      </c>
      <c r="BU4" s="26">
        <f>资产资本表!BU50</f>
        <v>0</v>
      </c>
      <c r="BV4" s="26">
        <f>资产资本表!BV50</f>
        <v>0</v>
      </c>
      <c r="BW4" s="26">
        <f>资产资本表!BW50</f>
        <v>0</v>
      </c>
      <c r="BX4" s="26">
        <f>资产资本表!BX50</f>
        <v>0</v>
      </c>
      <c r="BY4" s="26">
        <f>资产资本表!BY50</f>
        <v>0</v>
      </c>
      <c r="BZ4" s="26">
        <f>资产资本表!BZ50</f>
        <v>0</v>
      </c>
      <c r="CA4" s="26">
        <f>资产资本表!CA50</f>
        <v>0</v>
      </c>
      <c r="CB4" s="26">
        <f>资产资本表!CB50</f>
        <v>0</v>
      </c>
      <c r="CC4" s="26">
        <f>资产资本表!CC50</f>
        <v>0</v>
      </c>
      <c r="CD4" s="26">
        <f>资产资本表!CD50</f>
        <v>0</v>
      </c>
      <c r="CE4" s="26">
        <f>资产资本表!CE50</f>
        <v>0</v>
      </c>
      <c r="CF4" s="26">
        <f>资产资本表!CF50</f>
        <v>0</v>
      </c>
      <c r="CG4" s="26">
        <f>资产资本表!CG50</f>
        <v>0</v>
      </c>
      <c r="CH4" s="26">
        <f>资产资本表!CH50</f>
        <v>0</v>
      </c>
      <c r="CI4" s="26">
        <f>资产资本表!CI50</f>
        <v>0</v>
      </c>
      <c r="CJ4" s="26">
        <f>资产资本表!CJ50</f>
        <v>0</v>
      </c>
      <c r="CK4" s="26">
        <f>资产资本表!CK50</f>
        <v>0</v>
      </c>
    </row>
    <row r="5" spans="1:90" s="26" customFormat="1" x14ac:dyDescent="0.25">
      <c r="A5" s="17" t="s">
        <v>334</v>
      </c>
      <c r="E5" s="26">
        <f>资产资本表!E33</f>
        <v>312849000000</v>
      </c>
      <c r="F5" s="26">
        <f>资产资本表!F33</f>
        <v>275224000000</v>
      </c>
      <c r="G5" s="26">
        <f>资产资本表!G33</f>
        <v>273337000000</v>
      </c>
      <c r="H5" s="26">
        <f>资产资本表!H33</f>
        <v>277649000000</v>
      </c>
      <c r="I5" s="26">
        <f>资产资本表!I33</f>
        <v>269764000000</v>
      </c>
      <c r="J5" s="26">
        <f>资产资本表!J33</f>
        <v>252612000000</v>
      </c>
      <c r="K5" s="26">
        <f>资产资本表!K33</f>
        <v>270688000000</v>
      </c>
      <c r="L5" s="26">
        <f>资产资本表!L33</f>
        <v>243660000000</v>
      </c>
      <c r="M5" s="26">
        <f>资产资本表!M33</f>
        <v>263848000000</v>
      </c>
      <c r="N5" s="26">
        <f>资产资本表!N33</f>
        <v>280033000000</v>
      </c>
      <c r="O5" s="26">
        <f>资产资本表!O33</f>
        <v>321352000000</v>
      </c>
      <c r="P5" s="26">
        <f>资产资本表!P33</f>
        <v>283438000000</v>
      </c>
      <c r="Q5" s="26">
        <f>资产资本表!Q33</f>
        <v>350044000000</v>
      </c>
      <c r="R5" s="26">
        <f>资产资本表!R33</f>
        <v>385197000000</v>
      </c>
      <c r="S5" s="26">
        <f>资产资本表!S33</f>
        <v>406382000000</v>
      </c>
      <c r="T5" s="26">
        <f>资产资本表!T33</f>
        <v>385136000000</v>
      </c>
      <c r="U5" s="26">
        <f>资产资本表!U33</f>
        <v>357909000000</v>
      </c>
      <c r="V5" s="26">
        <f>资产资本表!V33</f>
        <v>364639000000</v>
      </c>
      <c r="W5" s="26">
        <f>资产资本表!W33</f>
        <v>353745000000</v>
      </c>
      <c r="X5" s="26">
        <f>资产资本表!X33</f>
        <v>370658000000</v>
      </c>
      <c r="Y5" s="26">
        <f>资产资本表!Y33</f>
        <v>333887000000</v>
      </c>
      <c r="Z5" s="26">
        <f>资产资本表!Z33</f>
        <v>326024000000</v>
      </c>
      <c r="AA5" s="26">
        <f>资产资本表!AA33</f>
        <v>329949000000</v>
      </c>
      <c r="AB5" s="26">
        <f>资产资本表!AB33</f>
        <v>366183000000</v>
      </c>
      <c r="AC5" s="26">
        <f>资产资本表!AC33</f>
        <v>302391000000</v>
      </c>
      <c r="AD5" s="26">
        <f>资产资本表!AD33</f>
        <v>306898000000</v>
      </c>
      <c r="AE5" s="26">
        <f>资产资本表!AE33</f>
        <v>317345000000</v>
      </c>
      <c r="AF5" s="26">
        <f>资产资本表!AF33</f>
        <v>291651000000</v>
      </c>
      <c r="AG5" s="26">
        <f>资产资本表!AG33</f>
        <v>231310000000</v>
      </c>
      <c r="AH5" s="26">
        <f>资产资本表!AH33</f>
        <v>233482000000</v>
      </c>
      <c r="AI5" s="26">
        <f>资产资本表!AI33</f>
        <v>233142000000</v>
      </c>
      <c r="AJ5" s="26">
        <f>资产资本表!AJ33</f>
        <v>236762000000</v>
      </c>
      <c r="AK5" s="26">
        <f>资产资本表!AK33</f>
        <v>179237000000</v>
      </c>
      <c r="AL5" s="26">
        <f>资产资本表!AL33</f>
        <v>193733000000</v>
      </c>
      <c r="AM5" s="26">
        <f>资产资本表!AM33</f>
        <v>177277000000</v>
      </c>
      <c r="AN5" s="26">
        <f>资产资本表!AN33</f>
        <v>152905000000</v>
      </c>
      <c r="AO5" s="26">
        <f>资产资本表!AO33</f>
        <v>140307000000</v>
      </c>
      <c r="AP5" s="26">
        <f>资产资本表!AP33</f>
        <v>233439000000</v>
      </c>
      <c r="AQ5" s="26">
        <f>资产资本表!AQ33</f>
        <v>250267000000</v>
      </c>
      <c r="AR5" s="26">
        <f>资产资本表!AR33</f>
        <v>201541000000</v>
      </c>
      <c r="AS5" s="26">
        <f>资产资本表!AS33</f>
        <v>173171000000</v>
      </c>
      <c r="AT5" s="26">
        <f>资产资本表!AT33</f>
        <v>161078000000</v>
      </c>
      <c r="AU5" s="26">
        <f>资产资本表!AU33</f>
        <v>162726000000</v>
      </c>
      <c r="AV5" s="26">
        <f>资产资本表!AV33</f>
        <v>141887000000</v>
      </c>
      <c r="AW5" s="26">
        <f>资产资本表!AW33</f>
        <v>133377000000</v>
      </c>
      <c r="AX5" s="26">
        <f>资产资本表!AX33</f>
        <v>159257000000</v>
      </c>
      <c r="AY5" s="26">
        <f>资产资本表!AY33</f>
        <v>150574000000</v>
      </c>
      <c r="AZ5" s="26">
        <f>资产资本表!AZ33</f>
        <v>140953000000</v>
      </c>
      <c r="BA5" s="26">
        <f>资产资本表!BA33</f>
        <v>127149000000</v>
      </c>
      <c r="BB5" s="26">
        <f>资产资本表!BB33</f>
        <v>118880000000</v>
      </c>
      <c r="BC5" s="26">
        <f>资产资本表!BC33</f>
        <v>119993000000</v>
      </c>
      <c r="BD5" s="26">
        <f>资产资本表!BD33</f>
        <v>109145000000</v>
      </c>
      <c r="BE5" s="26">
        <f>资产资本表!BE33</f>
        <v>98776000000</v>
      </c>
      <c r="BF5" s="26">
        <f>资产资本表!BF33</f>
        <v>98502000000</v>
      </c>
      <c r="BG5" s="26">
        <f>资产资本表!BG33</f>
        <v>100034000000</v>
      </c>
      <c r="BH5" s="26">
        <f>资产资本表!BH33</f>
        <v>87706000000</v>
      </c>
      <c r="BI5" s="26">
        <f>资产资本表!BI33</f>
        <v>79513000000</v>
      </c>
      <c r="BJ5" s="26">
        <f>资产资本表!BJ33</f>
        <v>79294000000</v>
      </c>
      <c r="BK5" s="26">
        <f>资产资本表!BK33</f>
        <v>82841000000</v>
      </c>
      <c r="BL5" s="26">
        <f>资产资本表!BL33</f>
        <v>85920000000</v>
      </c>
      <c r="BM5" s="26">
        <f>资产资本表!BM33</f>
        <v>80296000000</v>
      </c>
      <c r="BN5" s="26">
        <f>资产资本表!BN33</f>
        <v>84440000000</v>
      </c>
      <c r="BO5" s="26">
        <f>资产资本表!BO33</f>
        <v>89125000000</v>
      </c>
      <c r="BP5" s="26">
        <f>资产资本表!BP33</f>
        <v>84645000000</v>
      </c>
      <c r="BQ5" s="26">
        <f>资产资本表!BQ33</f>
        <v>83895000000</v>
      </c>
      <c r="BR5" s="26">
        <f>资产资本表!BR33</f>
        <v>106720000000</v>
      </c>
      <c r="BS5" s="26">
        <f>资产资本表!BS33</f>
        <v>90421000000</v>
      </c>
      <c r="BT5" s="26">
        <f>资产资本表!BT33</f>
        <v>0</v>
      </c>
      <c r="BU5" s="26">
        <f>资产资本表!BU33</f>
        <v>0</v>
      </c>
      <c r="BV5" s="26">
        <f>资产资本表!BV33</f>
        <v>0</v>
      </c>
      <c r="BW5" s="26">
        <f>资产资本表!BW33</f>
        <v>0</v>
      </c>
      <c r="BX5" s="26">
        <f>资产资本表!BX33</f>
        <v>0</v>
      </c>
      <c r="BY5" s="26">
        <f>资产资本表!BY33</f>
        <v>0</v>
      </c>
      <c r="BZ5" s="26">
        <f>资产资本表!BZ33</f>
        <v>0</v>
      </c>
      <c r="CA5" s="26">
        <f>资产资本表!CA33</f>
        <v>0</v>
      </c>
      <c r="CB5" s="26">
        <f>资产资本表!CB33</f>
        <v>0</v>
      </c>
      <c r="CC5" s="26">
        <f>资产资本表!CC33</f>
        <v>0</v>
      </c>
      <c r="CD5" s="26">
        <f>资产资本表!CD33</f>
        <v>0</v>
      </c>
      <c r="CE5" s="26">
        <f>资产资本表!CE33</f>
        <v>0</v>
      </c>
      <c r="CF5" s="26">
        <f>资产资本表!CF33</f>
        <v>0</v>
      </c>
      <c r="CG5" s="26">
        <f>资产资本表!CG33</f>
        <v>0</v>
      </c>
      <c r="CH5" s="26">
        <f>资产资本表!CH33</f>
        <v>0</v>
      </c>
      <c r="CI5" s="26">
        <f>资产资本表!CI33</f>
        <v>0</v>
      </c>
      <c r="CJ5" s="26">
        <f>资产资本表!CJ33</f>
        <v>0</v>
      </c>
      <c r="CK5" s="26">
        <f>资产资本表!CK33</f>
        <v>0</v>
      </c>
      <c r="CL5" s="26">
        <f>资产资本表!CL33</f>
        <v>0</v>
      </c>
    </row>
    <row r="6" spans="1:90" s="26" customFormat="1" x14ac:dyDescent="0.25">
      <c r="A6" s="17" t="s">
        <v>335</v>
      </c>
      <c r="E6" s="26">
        <f>资产资本表!E49</f>
        <v>491221000000</v>
      </c>
      <c r="F6" s="26">
        <f>资产资本表!F49</f>
        <v>380983000000</v>
      </c>
      <c r="G6" s="26">
        <f>资产资本表!G49</f>
        <v>372535000000</v>
      </c>
      <c r="H6" s="26">
        <f>资产资本表!H49</f>
        <v>373477000000</v>
      </c>
      <c r="I6" s="26">
        <f>资产资本表!I49</f>
        <v>410197000000</v>
      </c>
      <c r="J6" s="26">
        <f>资产资本表!J49</f>
        <v>335864000000</v>
      </c>
      <c r="K6" s="26">
        <f>资产资本表!K49</f>
        <v>339718000000</v>
      </c>
      <c r="L6" s="26">
        <f>资产资本表!L49</f>
        <v>300894000000</v>
      </c>
      <c r="M6" s="26">
        <f>资产资本表!M49</f>
        <v>346636000000</v>
      </c>
      <c r="N6" s="26">
        <f>资产资本表!N49</f>
        <v>312101000000</v>
      </c>
      <c r="O6" s="26">
        <f>资产资本表!O49</f>
        <v>351683000000</v>
      </c>
      <c r="P6" s="26">
        <f>资产资本表!P49</f>
        <v>310303000000</v>
      </c>
      <c r="Q6" s="26">
        <f>资产资本表!Q49</f>
        <v>425679000000</v>
      </c>
      <c r="R6" s="26">
        <f>资产资本表!R49</f>
        <v>399775000000</v>
      </c>
      <c r="S6" s="26">
        <f>资产资本表!S49</f>
        <v>405122000000</v>
      </c>
      <c r="T6" s="26">
        <f>资产资本表!T49</f>
        <v>383181000000</v>
      </c>
      <c r="U6" s="26">
        <f>资产资本表!U49</f>
        <v>407952000000</v>
      </c>
      <c r="V6" s="26">
        <f>资产资本表!V49</f>
        <v>359171000000</v>
      </c>
      <c r="W6" s="26">
        <f>资产资本表!W49</f>
        <v>342807000000</v>
      </c>
      <c r="X6" s="26">
        <f>资产资本表!X49</f>
        <v>350402000000</v>
      </c>
      <c r="Y6" s="26">
        <f>资产资本表!Y49</f>
        <v>377127000000</v>
      </c>
      <c r="Z6" s="26">
        <f>资产资本表!Z49</f>
        <v>332910000000</v>
      </c>
      <c r="AA6" s="26">
        <f>资产资本表!AA49</f>
        <v>306545000000</v>
      </c>
      <c r="AB6" s="26">
        <f>资产资本表!AB49</f>
        <v>332828000000</v>
      </c>
      <c r="AC6" s="26">
        <f>资产资本表!AC49</f>
        <v>348700000000</v>
      </c>
      <c r="AD6" s="26">
        <f>资产资本表!AD49</f>
        <v>316782000000</v>
      </c>
      <c r="AE6" s="26">
        <f>资产资本表!AE49</f>
        <v>311206000000</v>
      </c>
      <c r="AF6" s="26">
        <f>资产资本表!AF49</f>
        <v>309266000000</v>
      </c>
      <c r="AG6" s="26">
        <f>资产资本表!AG49</f>
        <v>289799000000</v>
      </c>
      <c r="AH6" s="26">
        <f>资产资本表!AH49</f>
        <v>251093000000</v>
      </c>
      <c r="AI6" s="26">
        <f>资产资本表!AI49</f>
        <v>243858000000</v>
      </c>
      <c r="AJ6" s="26">
        <f>资产资本表!AJ49</f>
        <v>253915000000</v>
      </c>
      <c r="AK6" s="26">
        <f>资产资本表!AK49</f>
        <v>228821000000</v>
      </c>
      <c r="AL6" s="26">
        <f>资产资本表!AL49</f>
        <v>220229000000</v>
      </c>
      <c r="AM6" s="26">
        <f>资产资本表!AM49</f>
        <v>216500000000</v>
      </c>
      <c r="AN6" s="26">
        <f>资产资本表!AN49</f>
        <v>200470000000</v>
      </c>
      <c r="AO6" s="26">
        <f>资产资本表!AO49</f>
        <v>159750000000</v>
      </c>
      <c r="AP6" s="26">
        <f>资产资本表!AP49</f>
        <v>203871000000</v>
      </c>
      <c r="AQ6" s="26">
        <f>资产资本表!AQ49</f>
        <v>253712000000</v>
      </c>
      <c r="AR6" s="26">
        <f>资产资本表!AR49</f>
        <v>220665000000</v>
      </c>
      <c r="AS6" s="26">
        <f>资产资本表!AS49</f>
        <v>201263000000</v>
      </c>
      <c r="AT6" s="26">
        <f>资产资本表!AT49</f>
        <v>182676000000</v>
      </c>
      <c r="AU6" s="26">
        <f>资产资本表!AU49</f>
        <v>172299000000</v>
      </c>
      <c r="AV6" s="26">
        <f>资产资本表!AV49</f>
        <v>155651000000</v>
      </c>
      <c r="AW6" s="26">
        <f>资产资本表!AW49</f>
        <v>145075000000</v>
      </c>
      <c r="AX6" s="26">
        <f>资产资本表!AX49</f>
        <v>136597000000</v>
      </c>
      <c r="AY6" s="26">
        <f>资产资本表!AY49</f>
        <v>131662000000</v>
      </c>
      <c r="AZ6" s="26">
        <f>资产资本表!AZ49</f>
        <v>120802000000</v>
      </c>
      <c r="BA6" s="26">
        <f>资产资本表!BA49</f>
        <v>124207000000</v>
      </c>
      <c r="BB6" s="26">
        <f>资产资本表!BB49</f>
        <v>108716000000</v>
      </c>
      <c r="BC6" s="26">
        <f>资产资本表!BC49</f>
        <v>105880000000</v>
      </c>
      <c r="BD6" s="26">
        <f>资产资本表!BD49</f>
        <v>102567000000</v>
      </c>
      <c r="BE6" s="26">
        <f>资产资本表!BE49</f>
        <v>100718000000</v>
      </c>
      <c r="BF6" s="26">
        <f>资产资本表!BF49</f>
        <v>92610000000</v>
      </c>
      <c r="BG6" s="26">
        <f>资产资本表!BG49</f>
        <v>95333000000</v>
      </c>
      <c r="BH6" s="26">
        <f>资产资本表!BH49</f>
        <v>90483000000</v>
      </c>
      <c r="BI6" s="26">
        <f>资产资本表!BI49</f>
        <v>90173000000</v>
      </c>
      <c r="BJ6" s="26">
        <f>资产资本表!BJ49</f>
        <v>81320000000</v>
      </c>
      <c r="BK6" s="26">
        <f>资产资本表!BK49</f>
        <v>83092000000</v>
      </c>
      <c r="BL6" s="26">
        <f>资产资本表!BL49</f>
        <v>83259000000</v>
      </c>
      <c r="BM6" s="26">
        <f>资产资本表!BM49</f>
        <v>78756000000</v>
      </c>
      <c r="BN6" s="26">
        <f>资产资本表!BN49</f>
        <v>81923000000</v>
      </c>
      <c r="BO6" s="26">
        <f>资产资本表!BO49</f>
        <v>80898000000</v>
      </c>
      <c r="BP6" s="26">
        <f>资产资本表!BP49</f>
        <v>75007000000</v>
      </c>
      <c r="BQ6" s="26">
        <f>资产资本表!BQ49</f>
        <v>71306000000</v>
      </c>
      <c r="BR6" s="26">
        <f>资产资本表!BR49</f>
        <v>61033000000</v>
      </c>
      <c r="BS6" s="26">
        <f>资产资本表!BS49</f>
        <v>61615000000</v>
      </c>
      <c r="BT6" s="26">
        <f>资产资本表!BT49</f>
        <v>0</v>
      </c>
      <c r="BU6" s="26">
        <f>资产资本表!BU49</f>
        <v>0</v>
      </c>
      <c r="BV6" s="26">
        <f>资产资本表!BV49</f>
        <v>0</v>
      </c>
      <c r="BW6" s="26">
        <f>资产资本表!BW49</f>
        <v>0</v>
      </c>
      <c r="BX6" s="26">
        <f>资产资本表!BX49</f>
        <v>0</v>
      </c>
      <c r="BY6" s="26">
        <f>资产资本表!BY49</f>
        <v>0</v>
      </c>
      <c r="BZ6" s="26">
        <f>资产资本表!BZ49</f>
        <v>0</v>
      </c>
      <c r="CA6" s="26">
        <f>资产资本表!CA49</f>
        <v>0</v>
      </c>
      <c r="CB6" s="26">
        <f>资产资本表!CB49</f>
        <v>0</v>
      </c>
      <c r="CC6" s="26">
        <f>资产资本表!CC49</f>
        <v>0</v>
      </c>
      <c r="CD6" s="26">
        <f>资产资本表!CD49</f>
        <v>0</v>
      </c>
      <c r="CE6" s="26">
        <f>资产资本表!CE49</f>
        <v>0</v>
      </c>
      <c r="CF6" s="26">
        <f>资产资本表!CF49</f>
        <v>0</v>
      </c>
      <c r="CG6" s="26">
        <f>资产资本表!CG49</f>
        <v>0</v>
      </c>
      <c r="CH6" s="26">
        <f>资产资本表!CH49</f>
        <v>0</v>
      </c>
      <c r="CI6" s="26">
        <f>资产资本表!CI49</f>
        <v>0</v>
      </c>
      <c r="CJ6" s="26">
        <f>资产资本表!CJ49</f>
        <v>0</v>
      </c>
      <c r="CK6" s="26">
        <f>资产资本表!CK49</f>
        <v>0</v>
      </c>
      <c r="CL6" s="26">
        <f>资产资本表!CL49</f>
        <v>0</v>
      </c>
    </row>
    <row r="7" spans="1:90" s="26" customFormat="1" x14ac:dyDescent="0.25">
      <c r="A7" s="17" t="s">
        <v>336</v>
      </c>
      <c r="E7" s="26">
        <f>资产资本表!E68</f>
        <v>927226000000</v>
      </c>
      <c r="F7" s="26">
        <f>资产资本表!F68</f>
        <v>896955000000</v>
      </c>
      <c r="G7" s="26">
        <f>资产资本表!G68</f>
        <v>913612000000</v>
      </c>
      <c r="H7" s="26">
        <f>资产资本表!H68</f>
        <v>927569000000</v>
      </c>
      <c r="I7" s="26">
        <f>资产资本表!I68</f>
        <v>950467000000</v>
      </c>
      <c r="J7" s="26">
        <f>资产资本表!J68</f>
        <v>964934000000</v>
      </c>
      <c r="K7" s="26">
        <f>资产资本表!K68</f>
        <v>976671000000</v>
      </c>
      <c r="L7" s="26">
        <f>资产资本表!L68</f>
        <v>986640000000</v>
      </c>
      <c r="M7" s="26">
        <f>资产资本表!M68</f>
        <v>1009169000000</v>
      </c>
      <c r="N7" s="26">
        <f>资产资本表!N68</f>
        <v>970128000000</v>
      </c>
      <c r="O7" s="26">
        <f>资产资本表!O68</f>
        <v>978810000000</v>
      </c>
      <c r="P7" s="26">
        <f>资产资本表!P68</f>
        <v>987802000000</v>
      </c>
      <c r="Q7" s="26">
        <f>资产资本表!Q68</f>
        <v>1001943000000</v>
      </c>
      <c r="R7" s="26">
        <f>资产资本表!R68</f>
        <v>943823000000</v>
      </c>
      <c r="S7" s="26">
        <f>资产资本表!S68</f>
        <v>920114000000</v>
      </c>
      <c r="T7" s="26">
        <f>资产资本表!T68</f>
        <v>915170000000</v>
      </c>
      <c r="U7" s="26">
        <f>资产资本表!U68</f>
        <v>924851000000</v>
      </c>
      <c r="V7" s="26">
        <f>资产资本表!V68</f>
        <v>877246000000</v>
      </c>
      <c r="W7" s="26">
        <f>资产资本表!W68</f>
        <v>845896000000</v>
      </c>
      <c r="X7" s="26">
        <f>资产资本表!X68</f>
        <v>834221000000</v>
      </c>
      <c r="Y7" s="26">
        <f>资产资本表!Y68</f>
        <v>834416000000</v>
      </c>
      <c r="Z7" s="26">
        <f>资产资本表!Z68</f>
        <v>775704000000</v>
      </c>
      <c r="AA7" s="26">
        <f>资产资本表!AA68</f>
        <v>761348000000</v>
      </c>
      <c r="AB7" s="26">
        <f>资产资本表!AB68</f>
        <v>742832000000</v>
      </c>
      <c r="AC7" s="26">
        <f>资产资本表!AC68</f>
        <v>739826000000</v>
      </c>
      <c r="AD7" s="26">
        <f>资产资本表!AD68</f>
        <v>686071000000</v>
      </c>
      <c r="AE7" s="26">
        <f>资产资本表!AE68</f>
        <v>679409000000</v>
      </c>
      <c r="AF7" s="26">
        <f>资产资本表!AF68</f>
        <v>673309000000</v>
      </c>
      <c r="AG7" s="26">
        <f>资产资本表!AG68</f>
        <v>675885000000</v>
      </c>
      <c r="AH7" s="26">
        <f>资产资本表!AH68</f>
        <v>641183000000</v>
      </c>
      <c r="AI7" s="26">
        <f>资产资本表!AI68</f>
        <v>625244000000</v>
      </c>
      <c r="AJ7" s="26">
        <f>资产资本表!AJ68</f>
        <v>623418000000</v>
      </c>
      <c r="AK7" s="26">
        <f>资产资本表!AK68</f>
        <v>638770000000</v>
      </c>
      <c r="AL7" s="26">
        <f>资产资本表!AL68</f>
        <v>604667000000</v>
      </c>
      <c r="AM7" s="26">
        <f>资产资本表!AM68</f>
        <v>594271000000</v>
      </c>
      <c r="AN7" s="26">
        <f>资产资本表!AN68</f>
        <v>573575000000</v>
      </c>
      <c r="AO7" s="26">
        <f>资产资本表!AO68</f>
        <v>570288000000</v>
      </c>
      <c r="AP7" s="26">
        <f>资产资本表!AP68</f>
        <v>535693000000</v>
      </c>
      <c r="AQ7" s="26">
        <f>资产资本表!AQ68</f>
        <v>527855000000</v>
      </c>
      <c r="AR7" s="26">
        <f>资产资本表!AR68</f>
        <v>509073000000</v>
      </c>
      <c r="AS7" s="26">
        <f>资产资本表!AS68</f>
        <v>504210000000</v>
      </c>
      <c r="AT7" s="26">
        <f>资产资本表!AT68</f>
        <v>463282000000</v>
      </c>
      <c r="AU7" s="26">
        <f>资产资本表!AU68</f>
        <v>448139000000</v>
      </c>
      <c r="AV7" s="26">
        <f>资产资本表!AV68</f>
        <v>438148000000</v>
      </c>
      <c r="AW7" s="26">
        <f>资产资本表!AW68</f>
        <v>424967000000</v>
      </c>
      <c r="AX7" s="26">
        <f>资产资本表!AX68</f>
        <v>385452000000</v>
      </c>
      <c r="AY7" s="26">
        <f>资产资本表!AY68</f>
        <v>380145000000</v>
      </c>
      <c r="AZ7" s="26">
        <f>资产资本表!AZ68</f>
        <v>371332000000</v>
      </c>
      <c r="BA7" s="26">
        <f>资产资本表!BA68</f>
        <v>364530000000</v>
      </c>
      <c r="BB7" s="26">
        <f>资产资本表!BB68</f>
        <v>353329000000</v>
      </c>
      <c r="BC7" s="26">
        <f>资产资本表!BC68</f>
        <v>347119000000</v>
      </c>
      <c r="BD7" s="26">
        <f>资产资本表!BD68</f>
        <v>341754000000</v>
      </c>
      <c r="BE7" s="26">
        <f>资产资本表!BE68</f>
        <v>329418000000</v>
      </c>
      <c r="BF7" s="26">
        <f>资产资本表!BF68</f>
        <v>301721000000</v>
      </c>
      <c r="BG7" s="26">
        <f>资产资本表!BG68</f>
        <v>293519000000</v>
      </c>
      <c r="BH7" s="26">
        <f>资产资本表!BH68</f>
        <v>287123000000</v>
      </c>
      <c r="BI7" s="26">
        <f>资产资本表!BI68</f>
        <v>281856000000</v>
      </c>
      <c r="BJ7" s="26">
        <f>资产资本表!BJ68</f>
        <v>265022000000</v>
      </c>
      <c r="BK7" s="26">
        <f>资产资本表!BK68</f>
        <v>264214000000</v>
      </c>
      <c r="BL7" s="26">
        <f>资产资本表!BL68</f>
        <v>260707000000</v>
      </c>
      <c r="BM7" s="26">
        <f>资产资本表!BM68</f>
        <v>257868000000</v>
      </c>
      <c r="BN7" s="26">
        <f>资产资本表!BN68</f>
        <v>252488000000</v>
      </c>
      <c r="BO7" s="26">
        <f>资产资本表!BO68</f>
        <v>250512000000</v>
      </c>
      <c r="BP7" s="26">
        <f>资产资本表!BP68</f>
        <v>248481000000</v>
      </c>
      <c r="BQ7" s="26">
        <f>资产资本表!BQ68</f>
        <v>243940000000</v>
      </c>
      <c r="BR7" s="26">
        <f>资产资本表!BR68</f>
        <v>210670000000</v>
      </c>
      <c r="BS7" s="26">
        <f>资产资本表!BS68</f>
        <v>203631000000</v>
      </c>
      <c r="BT7" s="26">
        <f>资产资本表!BT68</f>
        <v>0</v>
      </c>
      <c r="BU7" s="26">
        <f>资产资本表!BU68</f>
        <v>0</v>
      </c>
      <c r="BV7" s="26">
        <f>资产资本表!BV68</f>
        <v>0</v>
      </c>
      <c r="BW7" s="26">
        <f>资产资本表!BW68</f>
        <v>0</v>
      </c>
      <c r="BX7" s="26">
        <f>资产资本表!BX68</f>
        <v>0</v>
      </c>
      <c r="BY7" s="26">
        <f>资产资本表!BY68</f>
        <v>0</v>
      </c>
      <c r="BZ7" s="26">
        <f>资产资本表!BZ68</f>
        <v>0</v>
      </c>
      <c r="CA7" s="26">
        <f>资产资本表!CA68</f>
        <v>0</v>
      </c>
      <c r="CB7" s="26">
        <f>资产资本表!CB68</f>
        <v>0</v>
      </c>
      <c r="CC7" s="26">
        <f>资产资本表!CC68</f>
        <v>0</v>
      </c>
      <c r="CD7" s="26">
        <f>资产资本表!CD68</f>
        <v>0</v>
      </c>
      <c r="CE7" s="26">
        <f>资产资本表!CE68</f>
        <v>0</v>
      </c>
      <c r="CF7" s="26">
        <f>资产资本表!CF68</f>
        <v>0</v>
      </c>
      <c r="CG7" s="26">
        <f>资产资本表!CG68</f>
        <v>0</v>
      </c>
      <c r="CH7" s="26">
        <f>资产资本表!CH68</f>
        <v>0</v>
      </c>
      <c r="CI7" s="26">
        <f>资产资本表!CI68</f>
        <v>0</v>
      </c>
      <c r="CJ7" s="26">
        <f>资产资本表!CJ68</f>
        <v>0</v>
      </c>
      <c r="CK7" s="26">
        <f>资产资本表!CK68</f>
        <v>0</v>
      </c>
    </row>
    <row r="8" spans="1:90" s="26" customFormat="1" x14ac:dyDescent="0.25">
      <c r="A8" s="41" t="s">
        <v>637</v>
      </c>
      <c r="E8" s="26">
        <f>资产资本表!E69</f>
        <v>748854000000</v>
      </c>
      <c r="F8" s="26">
        <f>资产资本表!F69</f>
        <v>791196000000</v>
      </c>
      <c r="G8" s="26">
        <f>资产资本表!G69</f>
        <v>814414000000</v>
      </c>
      <c r="H8" s="26">
        <f>资产资本表!H69</f>
        <v>831741000000</v>
      </c>
      <c r="I8" s="26">
        <f>资产资本表!I69</f>
        <v>810034000000</v>
      </c>
      <c r="J8" s="26">
        <f>资产资本表!J69</f>
        <v>881682000000</v>
      </c>
      <c r="K8" s="26">
        <f>资产资本表!K69</f>
        <v>907641000000</v>
      </c>
      <c r="L8" s="26">
        <f>资产资本表!L69</f>
        <v>929406000000</v>
      </c>
      <c r="M8" s="26">
        <f>资产资本表!M69</f>
        <v>926381000000</v>
      </c>
      <c r="N8" s="26">
        <f>资产资本表!N69</f>
        <v>938060000000</v>
      </c>
      <c r="O8" s="26">
        <f>资产资本表!O69</f>
        <v>948479000000</v>
      </c>
      <c r="P8" s="26">
        <f>资产资本表!P69</f>
        <v>960937000000</v>
      </c>
      <c r="Q8" s="26">
        <f>资产资本表!Q69</f>
        <v>926308000000</v>
      </c>
      <c r="R8" s="26">
        <f>资产资本表!R69</f>
        <v>929245000000</v>
      </c>
      <c r="S8" s="26">
        <f>资产资本表!S69</f>
        <v>921374000000</v>
      </c>
      <c r="T8" s="26">
        <f>资产资本表!T69</f>
        <v>917125000000</v>
      </c>
      <c r="U8" s="26">
        <f>资产资本表!U69</f>
        <v>874808000000</v>
      </c>
      <c r="V8" s="26">
        <f>资产资本表!V69</f>
        <v>882714000000</v>
      </c>
      <c r="W8" s="26">
        <f>资产资本表!W69</f>
        <v>856834000000</v>
      </c>
      <c r="X8" s="26">
        <f>资产资本表!X69</f>
        <v>854477000000</v>
      </c>
      <c r="Y8" s="26">
        <f>资产资本表!Y69</f>
        <v>791176000000</v>
      </c>
      <c r="Z8" s="26">
        <f>资产资本表!Z69</f>
        <v>768818000000</v>
      </c>
      <c r="AA8" s="26">
        <f>资产资本表!AA69</f>
        <v>784752000000</v>
      </c>
      <c r="AB8" s="26">
        <f>资产资本表!AB69</f>
        <v>776187000000</v>
      </c>
      <c r="AC8" s="26">
        <f>资产资本表!AC69</f>
        <v>693517000000</v>
      </c>
      <c r="AD8" s="26">
        <f>资产资本表!AD69</f>
        <v>676187000000</v>
      </c>
      <c r="AE8" s="26">
        <f>资产资本表!AE69</f>
        <v>685548000000</v>
      </c>
      <c r="AF8" s="26">
        <f>资产资本表!AF69</f>
        <v>655694000000</v>
      </c>
      <c r="AG8" s="26">
        <f>资产资本表!AG69</f>
        <v>617396000000</v>
      </c>
      <c r="AH8" s="26">
        <f>资产资本表!AH69</f>
        <v>623572000000</v>
      </c>
      <c r="AI8" s="26">
        <f>资产资本表!AI69</f>
        <v>614528000000</v>
      </c>
      <c r="AJ8" s="26">
        <f>资产资本表!AJ69</f>
        <v>606265000000</v>
      </c>
      <c r="AK8" s="26">
        <f>资产资本表!AK69</f>
        <v>589186000000</v>
      </c>
      <c r="AL8" s="26">
        <f>资产资本表!AL69</f>
        <v>578171000000</v>
      </c>
      <c r="AM8" s="26">
        <f>资产资本表!AM69</f>
        <v>555048000000</v>
      </c>
      <c r="AN8" s="26">
        <f>资产资本表!AN69</f>
        <v>526010000000</v>
      </c>
      <c r="AO8" s="26">
        <f>资产资本表!AO69</f>
        <v>550845000000</v>
      </c>
      <c r="AP8" s="26">
        <f>资产资本表!AP69</f>
        <v>565261000000</v>
      </c>
      <c r="AQ8" s="26">
        <f>资产资本表!AQ69</f>
        <v>524410000000</v>
      </c>
      <c r="AR8" s="26">
        <f>资产资本表!AR69</f>
        <v>489949000000</v>
      </c>
      <c r="AS8" s="26">
        <f>资产资本表!AS69</f>
        <v>476118000000</v>
      </c>
      <c r="AT8" s="26">
        <f>资产资本表!AT69</f>
        <v>441684000000</v>
      </c>
      <c r="AU8" s="26">
        <f>资产资本表!AU69</f>
        <v>438566000000</v>
      </c>
      <c r="AV8" s="26">
        <f>资产资本表!AV69</f>
        <v>424384000000</v>
      </c>
      <c r="AW8" s="26">
        <f>资产资本表!AW69</f>
        <v>413269000000</v>
      </c>
      <c r="AX8" s="26">
        <f>资产资本表!AX69</f>
        <v>408112000000</v>
      </c>
      <c r="AY8" s="26">
        <f>资产资本表!AY69</f>
        <v>399057000000</v>
      </c>
      <c r="AZ8" s="26">
        <f>资产资本表!AZ69</f>
        <v>391483000000</v>
      </c>
      <c r="BA8" s="26">
        <f>资产资本表!BA69</f>
        <v>367472000000</v>
      </c>
      <c r="BB8" s="26">
        <f>资产资本表!BB69</f>
        <v>363493000000</v>
      </c>
      <c r="BC8" s="26">
        <f>资产资本表!BC69</f>
        <v>361232000000</v>
      </c>
      <c r="BD8" s="26">
        <f>资产资本表!BD69</f>
        <v>348332000000</v>
      </c>
      <c r="BE8" s="26">
        <f>资产资本表!BE69</f>
        <v>327476000000</v>
      </c>
      <c r="BF8" s="26">
        <f>资产资本表!BF69</f>
        <v>307613000000</v>
      </c>
      <c r="BG8" s="26">
        <f>资产资本表!BG69</f>
        <v>298220000000</v>
      </c>
      <c r="BH8" s="26">
        <f>资产资本表!BH69</f>
        <v>284346000000</v>
      </c>
      <c r="BI8" s="26">
        <f>资产资本表!BI69</f>
        <v>271196000000</v>
      </c>
      <c r="BJ8" s="26">
        <f>资产资本表!BJ69</f>
        <v>262996000000</v>
      </c>
      <c r="BK8" s="26">
        <f>资产资本表!BK69</f>
        <v>263963000000</v>
      </c>
      <c r="BL8" s="26">
        <f>资产资本表!BL69</f>
        <v>263368000000</v>
      </c>
      <c r="BM8" s="26">
        <f>资产资本表!BM69</f>
        <v>259408000000</v>
      </c>
      <c r="BN8" s="26">
        <f>资产资本表!BN69</f>
        <v>255005000000</v>
      </c>
      <c r="BO8" s="26">
        <f>资产资本表!BO69</f>
        <v>258739000000</v>
      </c>
      <c r="BP8" s="26">
        <f>资产资本表!BP69</f>
        <v>258119000000</v>
      </c>
      <c r="BQ8" s="26">
        <f>资产资本表!BQ69</f>
        <v>256529000000</v>
      </c>
      <c r="BR8" s="26">
        <f>资产资本表!BR69</f>
        <v>256357000000</v>
      </c>
      <c r="BS8" s="26">
        <f>资产资本表!BS69</f>
        <v>232437000000</v>
      </c>
      <c r="BT8" s="26">
        <f>资产资本表!BT69</f>
        <v>0</v>
      </c>
      <c r="BU8" s="26">
        <f>资产资本表!BU69</f>
        <v>0</v>
      </c>
      <c r="BV8" s="26">
        <f>资产资本表!BV69</f>
        <v>0</v>
      </c>
      <c r="BW8" s="26">
        <f>资产资本表!BW69</f>
        <v>0</v>
      </c>
      <c r="BX8" s="26">
        <f>资产资本表!BX69</f>
        <v>0</v>
      </c>
      <c r="BY8" s="26">
        <f>资产资本表!BY69</f>
        <v>0</v>
      </c>
      <c r="BZ8" s="26">
        <f>资产资本表!BZ69</f>
        <v>0</v>
      </c>
      <c r="CA8" s="26">
        <f>资产资本表!CA69</f>
        <v>0</v>
      </c>
      <c r="CB8" s="26">
        <f>资产资本表!CB69</f>
        <v>0</v>
      </c>
      <c r="CC8" s="26">
        <f>资产资本表!CC69</f>
        <v>0</v>
      </c>
      <c r="CD8" s="26">
        <f>资产资本表!CD69</f>
        <v>0</v>
      </c>
      <c r="CE8" s="26">
        <f>资产资本表!CE69</f>
        <v>0</v>
      </c>
      <c r="CF8" s="26">
        <f>资产资本表!CF69</f>
        <v>0</v>
      </c>
      <c r="CG8" s="26">
        <f>资产资本表!CG69</f>
        <v>0</v>
      </c>
      <c r="CH8" s="26">
        <f>资产资本表!CH69</f>
        <v>0</v>
      </c>
      <c r="CI8" s="26">
        <f>资产资本表!CI69</f>
        <v>0</v>
      </c>
      <c r="CJ8" s="26">
        <f>资产资本表!CJ69</f>
        <v>0</v>
      </c>
      <c r="CK8" s="26">
        <f>资产资本表!CK69</f>
        <v>0</v>
      </c>
      <c r="CL8" s="26">
        <f>资产资本表!CL69</f>
        <v>0</v>
      </c>
    </row>
    <row r="9" spans="1:90" s="48" customFormat="1" x14ac:dyDescent="0.25">
      <c r="A9" s="46" t="s">
        <v>639</v>
      </c>
      <c r="E9" s="48">
        <f>资产资本表!E70</f>
        <v>1097817000000</v>
      </c>
      <c r="F9" s="48">
        <f>资产资本表!F70</f>
        <v>1090297000000</v>
      </c>
      <c r="G9" s="48">
        <f>资产资本表!G70</f>
        <v>1108857000000</v>
      </c>
      <c r="H9" s="48">
        <f>资产资本表!H70</f>
        <v>1098473000000</v>
      </c>
      <c r="I9" s="48">
        <f>资产资本表!I70</f>
        <v>1080751000000</v>
      </c>
      <c r="J9" s="48">
        <f>资产资本表!J70</f>
        <v>1069330000000</v>
      </c>
      <c r="K9" s="48">
        <f>资产资本表!K70</f>
        <v>1084475000000</v>
      </c>
      <c r="L9" s="48">
        <f>资产资本表!L70</f>
        <v>1088832000000</v>
      </c>
      <c r="M9" s="48">
        <f>资产资本表!M70</f>
        <v>1088234000000</v>
      </c>
      <c r="N9" s="48">
        <f>资产资本表!N70</f>
        <v>1082184000000</v>
      </c>
      <c r="O9" s="48">
        <f>资产资本表!O70</f>
        <v>1108601000000</v>
      </c>
      <c r="P9" s="48">
        <f>资产资本表!P70</f>
        <v>1118574000000</v>
      </c>
      <c r="Q9" s="48">
        <f>资产资本表!Q70</f>
        <v>1017869000000</v>
      </c>
      <c r="R9" s="48">
        <f>资产资本表!R70</f>
        <v>1029039000000</v>
      </c>
      <c r="S9" s="48">
        <f>资产资本表!S70</f>
        <v>1015197000000</v>
      </c>
      <c r="T9" s="48">
        <f>资产资本表!T70</f>
        <v>1017304000000</v>
      </c>
      <c r="U9" s="48">
        <f>资产资本表!U70</f>
        <v>966987000000</v>
      </c>
      <c r="V9" s="48">
        <f>资产资本表!V70</f>
        <v>953370000000</v>
      </c>
      <c r="W9" s="48">
        <f>资产资本表!W70</f>
        <v>924357000000</v>
      </c>
      <c r="X9" s="48">
        <f>资产资本表!X70</f>
        <v>923777000000</v>
      </c>
      <c r="Y9" s="48">
        <f>资产资本表!Y70</f>
        <v>854101000000</v>
      </c>
      <c r="Z9" s="48">
        <f>资产资本表!Z70</f>
        <v>831404000000</v>
      </c>
      <c r="AA9" s="48">
        <f>资产资本表!AA70</f>
        <v>846210000000</v>
      </c>
      <c r="AB9" s="48">
        <f>资产资本表!AB70</f>
        <v>849278000000</v>
      </c>
      <c r="AC9" s="48">
        <f>资产资本表!AC70</f>
        <v>766172000000</v>
      </c>
      <c r="AD9" s="48">
        <f>资产资本表!AD70</f>
        <v>750198000000</v>
      </c>
      <c r="AE9" s="48">
        <f>资产资本表!AE70</f>
        <v>745440000000</v>
      </c>
      <c r="AF9" s="48">
        <f>资产资本表!AF70</f>
        <v>729500000000</v>
      </c>
      <c r="AG9" s="48">
        <f>资产资本表!AG70</f>
        <v>680573000000</v>
      </c>
      <c r="AH9" s="48">
        <f>资产资本表!AH70</f>
        <v>675439000000</v>
      </c>
      <c r="AI9" s="48">
        <f>资产资本表!AI70</f>
        <v>670330000000</v>
      </c>
      <c r="AJ9" s="48">
        <f>资产资本表!AJ70</f>
        <v>655371000000</v>
      </c>
      <c r="AK9" s="48">
        <f>资产资本表!AK70</f>
        <v>632675000000</v>
      </c>
      <c r="AL9" s="48">
        <f>资产资本表!AL70</f>
        <v>618547000000</v>
      </c>
      <c r="AM9" s="48">
        <f>资产资本表!AM70</f>
        <v>594712000000</v>
      </c>
      <c r="AN9" s="48">
        <f>资产资本表!AN70</f>
        <v>568007000000</v>
      </c>
      <c r="AO9" s="48">
        <f>资产资本表!AO70</f>
        <v>587250000000</v>
      </c>
      <c r="AP9" s="48">
        <f>资产资本表!AP70</f>
        <v>608235000000</v>
      </c>
      <c r="AQ9" s="48">
        <f>资产资本表!AQ70</f>
        <v>565373000000</v>
      </c>
      <c r="AR9" s="48">
        <f>资产资本表!AR70</f>
        <v>551663000000</v>
      </c>
      <c r="AS9" s="48">
        <f>资产资本表!AS70</f>
        <v>515817000000</v>
      </c>
      <c r="AT9" s="48">
        <f>资产资本表!AT70</f>
        <v>475255000000</v>
      </c>
      <c r="AU9" s="48">
        <f>资产资本表!AU70</f>
        <v>475963000000</v>
      </c>
      <c r="AV9" s="48">
        <f>资产资本表!AV70</f>
        <v>464847000000</v>
      </c>
      <c r="AW9" s="48">
        <f>资产资本表!AW70</f>
        <v>449475000000</v>
      </c>
      <c r="AX9" s="48">
        <f>资产资本表!AX70</f>
        <v>446000000000</v>
      </c>
      <c r="AY9" s="48">
        <f>资产资本表!AY70</f>
        <v>437226000000</v>
      </c>
      <c r="AZ9" s="48">
        <f>资产资本表!AZ70</f>
        <v>419125000000</v>
      </c>
      <c r="BA9" s="48">
        <f>资产资本表!BA70</f>
        <v>396365000000</v>
      </c>
      <c r="BB9" s="48">
        <f>资产资本表!BB70</f>
        <v>391977000000</v>
      </c>
      <c r="BC9" s="48">
        <f>资产资本表!BC70</f>
        <v>387103000000</v>
      </c>
      <c r="BD9" s="48">
        <f>资产资本表!BD70</f>
        <v>379030000000</v>
      </c>
      <c r="BE9" s="48">
        <f>资产资本表!BE70</f>
        <v>359165000000</v>
      </c>
      <c r="BF9" s="48">
        <f>资产资本表!BF70</f>
        <v>337471000000</v>
      </c>
      <c r="BG9" s="48">
        <f>资产资本表!BG70</f>
        <v>327354000000</v>
      </c>
      <c r="BH9" s="48">
        <f>资产资本表!BH70</f>
        <v>316142000000</v>
      </c>
      <c r="BI9" s="48">
        <f>资产资本表!BI70</f>
        <v>299751000000</v>
      </c>
      <c r="BJ9" s="48">
        <f>资产资本表!BJ70</f>
        <v>293009000000</v>
      </c>
      <c r="BK9" s="48">
        <f>资产资本表!BK70</f>
        <v>296643000000</v>
      </c>
      <c r="BL9" s="48">
        <f>资产资本表!BL70</f>
        <v>296584000000</v>
      </c>
      <c r="BM9" s="48">
        <f>资产资本表!BM70</f>
        <v>289145000000</v>
      </c>
      <c r="BN9" s="48">
        <f>资产资本表!BN70</f>
        <v>284805000000</v>
      </c>
      <c r="BO9" s="48">
        <f>资产资本表!BO70</f>
        <v>290079000000</v>
      </c>
      <c r="BP9" s="48">
        <f>资产资本表!BP70</f>
        <v>288719000000</v>
      </c>
      <c r="BQ9" s="48">
        <f>资产资本表!BQ70</f>
        <v>288309000000</v>
      </c>
      <c r="BR9" s="48">
        <f>资产资本表!BR70</f>
        <v>303562000000</v>
      </c>
      <c r="BS9" s="48">
        <f>资产资本表!BS70</f>
        <v>278876000000</v>
      </c>
      <c r="BT9" s="48">
        <f>资产资本表!BT70</f>
        <v>0</v>
      </c>
      <c r="BU9" s="48">
        <f>资产资本表!BU70</f>
        <v>0</v>
      </c>
      <c r="BV9" s="48">
        <f>资产资本表!BV70</f>
        <v>0</v>
      </c>
      <c r="BW9" s="48">
        <f>资产资本表!BW70</f>
        <v>0</v>
      </c>
      <c r="BX9" s="48">
        <f>资产资本表!BX70</f>
        <v>0</v>
      </c>
      <c r="BY9" s="48">
        <f>资产资本表!BY70</f>
        <v>0</v>
      </c>
      <c r="BZ9" s="48">
        <f>资产资本表!BZ70</f>
        <v>0</v>
      </c>
      <c r="CA9" s="48">
        <f>资产资本表!CA70</f>
        <v>0</v>
      </c>
      <c r="CB9" s="48">
        <f>资产资本表!CB70</f>
        <v>0</v>
      </c>
      <c r="CC9" s="48">
        <f>资产资本表!CC70</f>
        <v>0</v>
      </c>
      <c r="CD9" s="48">
        <f>资产资本表!CD70</f>
        <v>0</v>
      </c>
      <c r="CE9" s="48">
        <f>资产资本表!CE70</f>
        <v>0</v>
      </c>
      <c r="CF9" s="48">
        <f>资产资本表!CF70</f>
        <v>0</v>
      </c>
      <c r="CG9" s="48">
        <f>资产资本表!CG70</f>
        <v>0</v>
      </c>
      <c r="CH9" s="48">
        <f>资产资本表!CH70</f>
        <v>0</v>
      </c>
      <c r="CI9" s="48">
        <f>资产资本表!CI70</f>
        <v>0</v>
      </c>
      <c r="CJ9" s="48">
        <f>资产资本表!CJ70</f>
        <v>0</v>
      </c>
      <c r="CK9" s="48">
        <f>资产资本表!CK70</f>
        <v>0</v>
      </c>
      <c r="CL9" s="48">
        <f>资产资本表!CL70</f>
        <v>0</v>
      </c>
    </row>
    <row r="10" spans="1:90" s="26" customFormat="1" x14ac:dyDescent="0.25">
      <c r="A10" s="17" t="s">
        <v>339</v>
      </c>
      <c r="E10" s="26">
        <f>资产资本表!E72</f>
        <v>81382000000</v>
      </c>
      <c r="F10" s="26">
        <f>资产资本表!F72</f>
        <v>68409000000</v>
      </c>
      <c r="G10" s="26">
        <f>资产资本表!G72</f>
        <v>67538000000</v>
      </c>
      <c r="H10" s="26">
        <f>资产资本表!H72</f>
        <v>66498000000</v>
      </c>
      <c r="I10" s="26">
        <f>资产资本表!I72</f>
        <v>75346000000</v>
      </c>
      <c r="J10" s="26">
        <f>资产资本表!J72</f>
        <v>72133000000</v>
      </c>
      <c r="K10" s="26">
        <f>资产资本表!K72</f>
        <v>105678000000</v>
      </c>
      <c r="L10" s="26">
        <f>资产资本表!L72</f>
        <v>107748000000</v>
      </c>
      <c r="M10" s="26">
        <f>资产资本表!M72</f>
        <v>116006000000</v>
      </c>
      <c r="N10" s="26">
        <f>资产资本表!N72</f>
        <v>130578000000</v>
      </c>
      <c r="O10" s="26">
        <f>资产资本表!O72</f>
        <v>155230000000</v>
      </c>
      <c r="P10" s="26">
        <f>资产资本表!P72</f>
        <v>172341000000</v>
      </c>
      <c r="Q10" s="26">
        <f>资产资本表!Q72</f>
        <v>178578000000</v>
      </c>
      <c r="R10" s="26">
        <f>资产资本表!R72</f>
        <v>192946000000</v>
      </c>
      <c r="S10" s="26">
        <f>资产资本表!S72</f>
        <v>199829000000</v>
      </c>
      <c r="T10" s="26">
        <f>资产资本表!T72</f>
        <v>195378000000</v>
      </c>
      <c r="U10" s="26">
        <f>资产资本表!U72</f>
        <v>163870000000</v>
      </c>
      <c r="V10" s="26">
        <f>资产资本表!V72</f>
        <v>182899000000</v>
      </c>
      <c r="W10" s="26">
        <f>资产资本表!W72</f>
        <v>167547000000</v>
      </c>
      <c r="X10" s="26">
        <f>资产资本表!X72</f>
        <v>177396000000</v>
      </c>
      <c r="Y10" s="26">
        <f>资产资本表!Y72</f>
        <v>115982000000</v>
      </c>
      <c r="Z10" s="26">
        <f>资产资本表!Z72</f>
        <v>110542000000</v>
      </c>
      <c r="AA10" s="26">
        <f>资产资本表!AA72</f>
        <v>131675000000</v>
      </c>
      <c r="AB10" s="26">
        <f>资产资本表!AB72</f>
        <v>149417000000</v>
      </c>
      <c r="AC10" s="26">
        <f>资产资本表!AC72</f>
        <v>80373000000</v>
      </c>
      <c r="AD10" s="26">
        <f>资产资本表!AD72</f>
        <v>67482000000</v>
      </c>
      <c r="AE10" s="26">
        <f>资产资本表!AE72</f>
        <v>74420000000</v>
      </c>
      <c r="AF10" s="26">
        <f>资产资本表!AF72</f>
        <v>38225000000</v>
      </c>
      <c r="AG10" s="26">
        <f>资产资本表!AG72</f>
        <v>35828000000</v>
      </c>
      <c r="AH10" s="26">
        <f>资产资本表!AH72</f>
        <v>49058000000</v>
      </c>
      <c r="AI10" s="26">
        <f>资产资本表!AI72</f>
        <v>57829000000</v>
      </c>
      <c r="AJ10" s="26">
        <f>资产资本表!AJ72</f>
        <v>74982000000</v>
      </c>
      <c r="AK10" s="26">
        <f>资产资本表!AK72</f>
        <v>72541000000</v>
      </c>
      <c r="AL10" s="26">
        <f>资产资本表!AL72</f>
        <v>72007000000</v>
      </c>
      <c r="AM10" s="26">
        <f>资产资本表!AM72</f>
        <v>54506000000</v>
      </c>
      <c r="AN10" s="26">
        <f>资产资本表!AN72</f>
        <v>60530000000</v>
      </c>
      <c r="AO10" s="26">
        <f>资产资本表!AO72</f>
        <v>98483000000</v>
      </c>
      <c r="AP10" s="26">
        <f>资产资本表!AP72</f>
        <v>133357000000</v>
      </c>
      <c r="AQ10" s="26">
        <f>资产资本表!AQ72</f>
        <v>86014000000</v>
      </c>
      <c r="AR10" s="26">
        <f>资产资本表!AR72</f>
        <v>65551000000</v>
      </c>
      <c r="AS10" s="26">
        <f>资产资本表!AS72</f>
        <v>60494000000</v>
      </c>
      <c r="AT10" s="26">
        <f>资产资本表!AT72</f>
        <v>44261000000</v>
      </c>
      <c r="AU10" s="26">
        <f>资产资本表!AU72</f>
        <v>53854000000</v>
      </c>
      <c r="AV10" s="26">
        <f>资产资本表!AV72</f>
        <v>63824000000</v>
      </c>
      <c r="AW10" s="26">
        <f>资产资本表!AW72</f>
        <v>58760000000</v>
      </c>
      <c r="AX10" s="26">
        <f>资产资本表!AX72</f>
        <v>73686000000</v>
      </c>
      <c r="AY10" s="26">
        <f>资产资本表!AY72</f>
        <v>72494000000</v>
      </c>
      <c r="AZ10" s="26">
        <f>资产资本表!AZ72</f>
        <v>52057000000</v>
      </c>
      <c r="BA10" s="26">
        <f>资产资本表!BA72</f>
        <v>41243000000</v>
      </c>
      <c r="BB10" s="26">
        <f>资产资本表!BB72</f>
        <v>39341000000</v>
      </c>
      <c r="BC10" s="26">
        <f>资产资本表!BC72</f>
        <v>41664000000</v>
      </c>
      <c r="BD10" s="26">
        <f>资产资本表!BD72</f>
        <v>40901000000</v>
      </c>
      <c r="BE10" s="26">
        <f>资产资本表!BE72</f>
        <v>41021000000</v>
      </c>
      <c r="BF10" s="26">
        <f>资产资本表!BF72</f>
        <v>34118000000</v>
      </c>
      <c r="BG10" s="26">
        <f>资产资本表!BG72</f>
        <v>37340000000</v>
      </c>
      <c r="BH10" s="26">
        <f>资产资本表!BH72</f>
        <v>28888000000</v>
      </c>
      <c r="BI10" s="26">
        <f>资产资本表!BI72</f>
        <v>29079000000</v>
      </c>
      <c r="BJ10" s="26">
        <f>资产资本表!BJ72</f>
        <v>28684000000</v>
      </c>
      <c r="BK10" s="26">
        <f>资产资本表!BK72</f>
        <v>31327000000</v>
      </c>
      <c r="BL10" s="26">
        <f>资产资本表!BL72</f>
        <v>30019000000</v>
      </c>
      <c r="BM10" s="26">
        <f>资产资本表!BM72</f>
        <v>35552000000</v>
      </c>
      <c r="BN10" s="26">
        <f>资产资本表!BN72</f>
        <v>43848000000</v>
      </c>
      <c r="BO10" s="26">
        <f>资产资本表!BO72</f>
        <v>41826000000</v>
      </c>
      <c r="BP10" s="26">
        <f>资产资本表!BP72</f>
        <v>48835000000</v>
      </c>
      <c r="BQ10" s="26">
        <f>资产资本表!BQ72</f>
        <v>49211000000</v>
      </c>
      <c r="BR10" s="26">
        <f>资产资本表!BR72</f>
        <v>70532000000</v>
      </c>
      <c r="BS10" s="26">
        <f>资产资本表!BS72</f>
        <v>58664000000</v>
      </c>
      <c r="BT10" s="26">
        <f>资产资本表!BT72</f>
        <v>0</v>
      </c>
      <c r="BU10" s="26">
        <f>资产资本表!BU72</f>
        <v>0</v>
      </c>
      <c r="BV10" s="26">
        <f>资产资本表!BV72</f>
        <v>0</v>
      </c>
      <c r="BW10" s="26">
        <f>资产资本表!BW72</f>
        <v>0</v>
      </c>
      <c r="BX10" s="26">
        <f>资产资本表!BX72</f>
        <v>0</v>
      </c>
      <c r="BY10" s="26">
        <f>资产资本表!BY72</f>
        <v>0</v>
      </c>
      <c r="BZ10" s="26">
        <f>资产资本表!BZ72</f>
        <v>0</v>
      </c>
      <c r="CA10" s="26">
        <f>资产资本表!CA72</f>
        <v>0</v>
      </c>
      <c r="CB10" s="26">
        <f>资产资本表!CB72</f>
        <v>0</v>
      </c>
      <c r="CC10" s="26">
        <f>资产资本表!CC72</f>
        <v>0</v>
      </c>
      <c r="CD10" s="26">
        <f>资产资本表!CD72</f>
        <v>0</v>
      </c>
      <c r="CE10" s="26">
        <f>资产资本表!CE72</f>
        <v>0</v>
      </c>
      <c r="CF10" s="26">
        <f>资产资本表!CF72</f>
        <v>0</v>
      </c>
      <c r="CG10" s="26">
        <f>资产资本表!CG72</f>
        <v>0</v>
      </c>
      <c r="CH10" s="26">
        <f>资产资本表!CH72</f>
        <v>0</v>
      </c>
      <c r="CI10" s="26">
        <f>资产资本表!CI72</f>
        <v>0</v>
      </c>
      <c r="CJ10" s="26">
        <f>资产资本表!CJ72</f>
        <v>0</v>
      </c>
      <c r="CK10" s="26">
        <f>资产资本表!CK72</f>
        <v>0</v>
      </c>
    </row>
    <row r="11" spans="1:90" s="26" customFormat="1" x14ac:dyDescent="0.25">
      <c r="A11" s="17" t="s">
        <v>340</v>
      </c>
      <c r="E11" s="26">
        <f>资产资本表!E81</f>
        <v>115564000000</v>
      </c>
      <c r="F11" s="26">
        <f>资产资本表!F81</f>
        <v>133746000000</v>
      </c>
      <c r="G11" s="26">
        <f>资产资本表!G81</f>
        <v>132950000000</v>
      </c>
      <c r="H11" s="26">
        <f>资产资本表!H81</f>
        <v>138662000000</v>
      </c>
      <c r="I11" s="26">
        <f>资产资本表!I81</f>
        <v>133582000000</v>
      </c>
      <c r="J11" s="26">
        <f>资产资本表!J81</f>
        <v>147876000000</v>
      </c>
      <c r="K11" s="26">
        <f>资产资本表!K81</f>
        <v>133581000000</v>
      </c>
      <c r="L11" s="26">
        <f>资产资本表!L81</f>
        <v>150933000000</v>
      </c>
      <c r="M11" s="26">
        <f>资产资本表!M81</f>
        <v>153419000000</v>
      </c>
      <c r="N11" s="26">
        <f>资产资本表!N81</f>
        <v>134513000000</v>
      </c>
      <c r="O11" s="26">
        <f>资产资本表!O81</f>
        <v>133788000000</v>
      </c>
      <c r="P11" s="26">
        <f>资产资本表!P81</f>
        <v>141878000000</v>
      </c>
      <c r="Q11" s="26">
        <f>资产资本表!Q81</f>
        <v>162481000000</v>
      </c>
      <c r="R11" s="26">
        <f>资产资本表!R81</f>
        <v>157328000000</v>
      </c>
      <c r="S11" s="26">
        <f>资产资本表!S81</f>
        <v>145106000000</v>
      </c>
      <c r="T11" s="26">
        <f>资产资本表!T81</f>
        <v>154617000000</v>
      </c>
      <c r="U11" s="26">
        <f>资产资本表!U81</f>
        <v>153777000000</v>
      </c>
      <c r="V11" s="26">
        <f>资产资本表!V81</f>
        <v>146781000000</v>
      </c>
      <c r="W11" s="26">
        <f>资产资本表!W81</f>
        <v>146054000000</v>
      </c>
      <c r="X11" s="26">
        <f>资产资本表!X81</f>
        <v>136556000000</v>
      </c>
      <c r="Y11" s="26">
        <f>资产资本表!Y81</f>
        <v>165927000000</v>
      </c>
      <c r="Z11" s="26">
        <f>资产资本表!Z81</f>
        <v>171018000000</v>
      </c>
      <c r="AA11" s="26">
        <f>资产资本表!AA81</f>
        <v>176010000000</v>
      </c>
      <c r="AB11" s="26">
        <f>资产资本表!AB81</f>
        <v>155909000000</v>
      </c>
      <c r="AC11" s="26">
        <f>资产资本表!AC81</f>
        <v>157893000000</v>
      </c>
      <c r="AD11" s="26">
        <f>资产资本表!AD81</f>
        <v>165172000000</v>
      </c>
      <c r="AE11" s="26">
        <f>资产资本表!AE81</f>
        <v>166066000000</v>
      </c>
      <c r="AF11" s="26">
        <f>资产资本表!AF81</f>
        <v>196726000000</v>
      </c>
      <c r="AG11" s="26">
        <f>资产资本表!AG81</f>
        <v>176490000000</v>
      </c>
      <c r="AH11" s="26">
        <f>资产资本表!AH81</f>
        <v>177256000000</v>
      </c>
      <c r="AI11" s="26">
        <f>资产资本表!AI81</f>
        <v>172048000000</v>
      </c>
      <c r="AJ11" s="26">
        <f>资产资本表!AJ81</f>
        <v>151256000000</v>
      </c>
      <c r="AK11" s="26">
        <f>资产资本表!AK81</f>
        <v>148020000000</v>
      </c>
      <c r="AL11" s="26">
        <f>资产资本表!AL81</f>
        <v>148876000000</v>
      </c>
      <c r="AM11" s="26">
        <f>资产资本表!AM81</f>
        <v>153639000000</v>
      </c>
      <c r="AN11" s="26">
        <f>资产资本表!AN81</f>
        <v>135268000000</v>
      </c>
      <c r="AO11" s="26">
        <f>资产资本表!AO81</f>
        <v>128541000000</v>
      </c>
      <c r="AP11" s="26">
        <f>资产资本表!AP81</f>
        <v>132604000000</v>
      </c>
      <c r="AQ11" s="26">
        <f>资产资本表!AQ81</f>
        <v>139892000000</v>
      </c>
      <c r="AR11" s="26">
        <f>资产资本表!AR81</f>
        <v>138154000000</v>
      </c>
      <c r="AS11" s="26">
        <f>资产资本表!AS81</f>
        <v>121363000000</v>
      </c>
      <c r="AT11" s="26">
        <f>资产资本表!AT81</f>
        <v>108118000000</v>
      </c>
      <c r="AU11" s="26">
        <f>资产资本表!AU81</f>
        <v>109438000000</v>
      </c>
      <c r="AV11" s="26">
        <f>资产资本表!AV81</f>
        <v>95523000000</v>
      </c>
      <c r="AW11" s="26">
        <f>资产资本表!AW81</f>
        <v>109860000000</v>
      </c>
      <c r="AX11" s="26">
        <f>资产资本表!AX81</f>
        <v>106884000000</v>
      </c>
      <c r="AY11" s="26">
        <f>资产资本表!AY81</f>
        <v>108516000000</v>
      </c>
      <c r="AZ11" s="26">
        <f>资产资本表!AZ81</f>
        <v>108713000000</v>
      </c>
      <c r="BA11" s="26">
        <f>资产资本表!BA81</f>
        <v>107774000000</v>
      </c>
      <c r="BB11" s="26">
        <f>资产资本表!BB81</f>
        <v>117101000000</v>
      </c>
      <c r="BC11" s="26">
        <f>资产资本表!BC81</f>
        <v>114491000000</v>
      </c>
      <c r="BD11" s="26">
        <f>资产资本表!BD81</f>
        <v>106887000000</v>
      </c>
      <c r="BE11" s="26">
        <f>资产资本表!BE81</f>
        <v>98407000000</v>
      </c>
      <c r="BF11" s="26">
        <f>资产资本表!BF81</f>
        <v>92317000000</v>
      </c>
      <c r="BG11" s="26">
        <f>资产资本表!BG81</f>
        <v>86187000000</v>
      </c>
      <c r="BH11" s="26">
        <f>资产资本表!BH81</f>
        <v>87314000000</v>
      </c>
      <c r="BI11" s="26">
        <f>资产资本表!BI81</f>
        <v>80109000000</v>
      </c>
      <c r="BJ11" s="26">
        <f>资产资本表!BJ81</f>
        <v>77958000000</v>
      </c>
      <c r="BK11" s="26">
        <f>资产资本表!BK81</f>
        <v>81639000000</v>
      </c>
      <c r="BL11" s="26">
        <f>资产资本表!BL81</f>
        <v>81993000000</v>
      </c>
      <c r="BM11" s="26">
        <f>资产资本表!BM81</f>
        <v>76152000000</v>
      </c>
      <c r="BN11" s="26">
        <f>资产资本表!BN81</f>
        <v>68484000000</v>
      </c>
      <c r="BO11" s="26">
        <f>资产资本表!BO81</f>
        <v>71169000000</v>
      </c>
      <c r="BP11" s="26">
        <f>资产资本表!BP81</f>
        <v>68311000000</v>
      </c>
      <c r="BQ11" s="26">
        <f>资产资本表!BQ81</f>
        <v>67807000000</v>
      </c>
      <c r="BR11" s="26">
        <f>资产资本表!BR81</f>
        <v>72256000000</v>
      </c>
      <c r="BS11" s="26">
        <f>资产资本表!BS81</f>
        <v>69108000000</v>
      </c>
      <c r="BT11" s="26">
        <f>资产资本表!BT81</f>
        <v>0</v>
      </c>
      <c r="BU11" s="26">
        <f>资产资本表!BU81</f>
        <v>0</v>
      </c>
      <c r="BV11" s="26">
        <f>资产资本表!BV81</f>
        <v>0</v>
      </c>
      <c r="BW11" s="26">
        <f>资产资本表!BW81</f>
        <v>0</v>
      </c>
      <c r="BX11" s="26">
        <f>资产资本表!BX81</f>
        <v>0</v>
      </c>
      <c r="BY11" s="26">
        <f>资产资本表!BY81</f>
        <v>0</v>
      </c>
      <c r="BZ11" s="26">
        <f>资产资本表!BZ81</f>
        <v>0</v>
      </c>
      <c r="CA11" s="26">
        <f>资产资本表!CA81</f>
        <v>0</v>
      </c>
      <c r="CB11" s="26">
        <f>资产资本表!CB81</f>
        <v>0</v>
      </c>
      <c r="CC11" s="26">
        <f>资产资本表!CC81</f>
        <v>0</v>
      </c>
      <c r="CD11" s="26">
        <f>资产资本表!CD81</f>
        <v>0</v>
      </c>
      <c r="CE11" s="26">
        <f>资产资本表!CE81</f>
        <v>0</v>
      </c>
      <c r="CF11" s="26">
        <f>资产资本表!CF81</f>
        <v>0</v>
      </c>
      <c r="CG11" s="26">
        <f>资产资本表!CG81</f>
        <v>0</v>
      </c>
      <c r="CH11" s="26">
        <f>资产资本表!CH81</f>
        <v>0</v>
      </c>
      <c r="CI11" s="26">
        <f>资产资本表!CI81</f>
        <v>0</v>
      </c>
      <c r="CJ11" s="26">
        <f>资产资本表!CJ81</f>
        <v>0</v>
      </c>
      <c r="CK11" s="26">
        <f>资产资本表!CK81</f>
        <v>0</v>
      </c>
    </row>
    <row r="12" spans="1:90" s="26" customFormat="1" x14ac:dyDescent="0.25">
      <c r="A12" s="41" t="s">
        <v>638</v>
      </c>
      <c r="E12" s="26">
        <f>资产资本表!E89</f>
        <v>196946000000</v>
      </c>
      <c r="F12" s="26">
        <f>资产资本表!F89</f>
        <v>202155000000</v>
      </c>
      <c r="G12" s="26">
        <f>资产资本表!G89</f>
        <v>200488000000</v>
      </c>
      <c r="H12" s="26">
        <f>资产资本表!H89</f>
        <v>205160000000</v>
      </c>
      <c r="I12" s="26">
        <f>资产资本表!I89</f>
        <v>208928000000</v>
      </c>
      <c r="J12" s="26">
        <f>资产资本表!J89</f>
        <v>220009000000</v>
      </c>
      <c r="K12" s="26">
        <f>资产资本表!K89</f>
        <v>239259000000</v>
      </c>
      <c r="L12" s="26">
        <f>资产资本表!L89</f>
        <v>258681000000</v>
      </c>
      <c r="M12" s="26">
        <f>资产资本表!M89</f>
        <v>269425000000</v>
      </c>
      <c r="N12" s="26">
        <f>资产资本表!N89</f>
        <v>265091000000</v>
      </c>
      <c r="O12" s="26">
        <f>资产资本表!O89</f>
        <v>289018000000</v>
      </c>
      <c r="P12" s="26">
        <f>资产资本表!P89</f>
        <v>314219000000</v>
      </c>
      <c r="Q12" s="26">
        <f>资产资本表!Q89</f>
        <v>341059000000</v>
      </c>
      <c r="R12" s="26">
        <f>资产资本表!R89</f>
        <v>350274000000</v>
      </c>
      <c r="S12" s="26">
        <f>资产资本表!S89</f>
        <v>344935000000</v>
      </c>
      <c r="T12" s="26">
        <f>资产资本表!T89</f>
        <v>349995000000</v>
      </c>
      <c r="U12" s="26">
        <f>资产资本表!U89</f>
        <v>317647000000</v>
      </c>
      <c r="V12" s="26">
        <f>资产资本表!V89</f>
        <v>329680000000</v>
      </c>
      <c r="W12" s="26">
        <f>资产资本表!W89</f>
        <v>313601000000</v>
      </c>
      <c r="X12" s="26">
        <f>资产资本表!X89</f>
        <v>313952000000</v>
      </c>
      <c r="Y12" s="26">
        <f>资产资本表!Y89</f>
        <v>281909000000</v>
      </c>
      <c r="Z12" s="26">
        <f>资产资本表!Z89</f>
        <v>281560000000</v>
      </c>
      <c r="AA12" s="26">
        <f>资产资本表!AA89</f>
        <v>307685000000</v>
      </c>
      <c r="AB12" s="26">
        <f>资产资本表!AB89</f>
        <v>305326000000</v>
      </c>
      <c r="AC12" s="26">
        <f>资产资本表!AC89</f>
        <v>238266000000</v>
      </c>
      <c r="AD12" s="26">
        <f>资产资本表!AD89</f>
        <v>232654000000</v>
      </c>
      <c r="AE12" s="26">
        <f>资产资本表!AE89</f>
        <v>240486000000</v>
      </c>
      <c r="AF12" s="26">
        <f>资产资本表!AF89</f>
        <v>234951000000</v>
      </c>
      <c r="AG12" s="26">
        <f>资产资本表!AG89</f>
        <v>212318000000</v>
      </c>
      <c r="AH12" s="26">
        <f>资产资本表!AH89</f>
        <v>226314000000</v>
      </c>
      <c r="AI12" s="26">
        <f>资产资本表!AI89</f>
        <v>229877000000</v>
      </c>
      <c r="AJ12" s="26">
        <f>资产资本表!AJ89</f>
        <v>226238000000</v>
      </c>
      <c r="AK12" s="26">
        <f>资产资本表!AK89</f>
        <v>220561000000</v>
      </c>
      <c r="AL12" s="26">
        <f>资产资本表!AL89</f>
        <v>220883000000</v>
      </c>
      <c r="AM12" s="26">
        <f>资产资本表!AM89</f>
        <v>208145000000</v>
      </c>
      <c r="AN12" s="26">
        <f>资产资本表!AN89</f>
        <v>195798000000</v>
      </c>
      <c r="AO12" s="26">
        <f>资产资本表!AO89</f>
        <v>227024000000</v>
      </c>
      <c r="AP12" s="26">
        <f>资产资本表!AP89</f>
        <v>265961000000</v>
      </c>
      <c r="AQ12" s="26">
        <f>资产资本表!AQ89</f>
        <v>225906000000</v>
      </c>
      <c r="AR12" s="26">
        <f>资产资本表!AR89</f>
        <v>203705000000</v>
      </c>
      <c r="AS12" s="26">
        <f>资产资本表!AS89</f>
        <v>181857000000</v>
      </c>
      <c r="AT12" s="26">
        <f>资产资本表!AT89</f>
        <v>152379000000</v>
      </c>
      <c r="AU12" s="26">
        <f>资产资本表!AU89</f>
        <v>163292000000</v>
      </c>
      <c r="AV12" s="26">
        <f>资产资本表!AV89</f>
        <v>159347000000</v>
      </c>
      <c r="AW12" s="26">
        <f>资产资本表!AW89</f>
        <v>168620000000</v>
      </c>
      <c r="AX12" s="26">
        <f>资产资本表!AX89</f>
        <v>180570000000</v>
      </c>
      <c r="AY12" s="26">
        <f>资产资本表!AY89</f>
        <v>181010000000</v>
      </c>
      <c r="AZ12" s="26">
        <f>资产资本表!AZ89</f>
        <v>160770000000</v>
      </c>
      <c r="BA12" s="26">
        <f>资产资本表!BA89</f>
        <v>149017000000</v>
      </c>
      <c r="BB12" s="26">
        <f>资产资本表!BB89</f>
        <v>156442000000</v>
      </c>
      <c r="BC12" s="26">
        <f>资产资本表!BC89</f>
        <v>156155000000</v>
      </c>
      <c r="BD12" s="26">
        <f>资产资本表!BD89</f>
        <v>147788000000</v>
      </c>
      <c r="BE12" s="26">
        <f>资产资本表!BE89</f>
        <v>139428000000</v>
      </c>
      <c r="BF12" s="26">
        <f>资产资本表!BF89</f>
        <v>126435000000</v>
      </c>
      <c r="BG12" s="26">
        <f>资产资本表!BG89</f>
        <v>123527000000</v>
      </c>
      <c r="BH12" s="26">
        <f>资产资本表!BH89</f>
        <v>116202000000</v>
      </c>
      <c r="BI12" s="26">
        <f>资产资本表!BI89</f>
        <v>109188000000</v>
      </c>
      <c r="BJ12" s="26">
        <f>资产资本表!BJ89</f>
        <v>106642000000</v>
      </c>
      <c r="BK12" s="26">
        <f>资产资本表!BK89</f>
        <v>112966000000</v>
      </c>
      <c r="BL12" s="26">
        <f>资产资本表!BL89</f>
        <v>112012000000</v>
      </c>
      <c r="BM12" s="26">
        <f>资产资本表!BM89</f>
        <v>111704000000</v>
      </c>
      <c r="BN12" s="26">
        <f>资产资本表!BN89</f>
        <v>112332000000</v>
      </c>
      <c r="BO12" s="26">
        <f>资产资本表!BO89</f>
        <v>112995000000</v>
      </c>
      <c r="BP12" s="26">
        <f>资产资本表!BP89</f>
        <v>117146000000</v>
      </c>
      <c r="BQ12" s="26">
        <f>资产资本表!BQ89</f>
        <v>117018000000</v>
      </c>
      <c r="BR12" s="26">
        <f>资产资本表!BR89</f>
        <v>142788000000</v>
      </c>
      <c r="BS12" s="26">
        <f>资产资本表!BS89</f>
        <v>127772000000</v>
      </c>
      <c r="BT12" s="26">
        <f>资产资本表!BT89</f>
        <v>0</v>
      </c>
      <c r="BU12" s="26">
        <f>资产资本表!BU89</f>
        <v>0</v>
      </c>
      <c r="BV12" s="26">
        <f>资产资本表!BV89</f>
        <v>0</v>
      </c>
      <c r="BW12" s="26">
        <f>资产资本表!BW89</f>
        <v>0</v>
      </c>
      <c r="BX12" s="26">
        <f>资产资本表!BX89</f>
        <v>0</v>
      </c>
      <c r="BY12" s="26">
        <f>资产资本表!BY89</f>
        <v>0</v>
      </c>
      <c r="BZ12" s="26">
        <f>资产资本表!BZ89</f>
        <v>0</v>
      </c>
      <c r="CA12" s="26">
        <f>资产资本表!CA89</f>
        <v>0</v>
      </c>
      <c r="CB12" s="26">
        <f>资产资本表!CB89</f>
        <v>0</v>
      </c>
      <c r="CC12" s="26">
        <f>资产资本表!CC89</f>
        <v>0</v>
      </c>
      <c r="CD12" s="26">
        <f>资产资本表!CD89</f>
        <v>0</v>
      </c>
      <c r="CE12" s="26">
        <f>资产资本表!CE89</f>
        <v>0</v>
      </c>
      <c r="CF12" s="26">
        <f>资产资本表!CF89</f>
        <v>0</v>
      </c>
      <c r="CG12" s="26">
        <f>资产资本表!CG89</f>
        <v>0</v>
      </c>
      <c r="CH12" s="26">
        <f>资产资本表!CH89</f>
        <v>0</v>
      </c>
      <c r="CI12" s="26">
        <f>资产资本表!CI89</f>
        <v>0</v>
      </c>
      <c r="CJ12" s="26">
        <f>资产资本表!CJ89</f>
        <v>0</v>
      </c>
      <c r="CK12" s="26">
        <f>资产资本表!CK89</f>
        <v>0</v>
      </c>
      <c r="CL12" s="26">
        <f>资产资本表!CL89</f>
        <v>0</v>
      </c>
    </row>
    <row r="13" spans="1:90" s="26" customFormat="1" x14ac:dyDescent="0.25">
      <c r="A13" s="41" t="s">
        <v>345</v>
      </c>
      <c r="E13" s="26">
        <f>E9-E12</f>
        <v>900871000000</v>
      </c>
      <c r="F13" s="26">
        <f t="shared" ref="F13:BQ13" si="0">F9-F12</f>
        <v>888142000000</v>
      </c>
      <c r="G13" s="26">
        <f t="shared" si="0"/>
        <v>908369000000</v>
      </c>
      <c r="H13" s="26">
        <f t="shared" si="0"/>
        <v>893313000000</v>
      </c>
      <c r="I13" s="26">
        <f t="shared" si="0"/>
        <v>871823000000</v>
      </c>
      <c r="J13" s="26">
        <f t="shared" si="0"/>
        <v>849321000000</v>
      </c>
      <c r="K13" s="26">
        <f t="shared" si="0"/>
        <v>845216000000</v>
      </c>
      <c r="L13" s="26">
        <f t="shared" si="0"/>
        <v>830151000000</v>
      </c>
      <c r="M13" s="26">
        <f t="shared" si="0"/>
        <v>818809000000</v>
      </c>
      <c r="N13" s="26">
        <f t="shared" si="0"/>
        <v>817093000000</v>
      </c>
      <c r="O13" s="26">
        <f t="shared" si="0"/>
        <v>819583000000</v>
      </c>
      <c r="P13" s="26">
        <f t="shared" si="0"/>
        <v>804355000000</v>
      </c>
      <c r="Q13" s="26">
        <f t="shared" si="0"/>
        <v>676810000000</v>
      </c>
      <c r="R13" s="26">
        <f t="shared" si="0"/>
        <v>678765000000</v>
      </c>
      <c r="S13" s="26">
        <f t="shared" si="0"/>
        <v>670262000000</v>
      </c>
      <c r="T13" s="26">
        <f t="shared" si="0"/>
        <v>667309000000</v>
      </c>
      <c r="U13" s="26">
        <f t="shared" si="0"/>
        <v>649340000000</v>
      </c>
      <c r="V13" s="26">
        <f t="shared" si="0"/>
        <v>623690000000</v>
      </c>
      <c r="W13" s="26">
        <f t="shared" si="0"/>
        <v>610756000000</v>
      </c>
      <c r="X13" s="26">
        <f t="shared" si="0"/>
        <v>609825000000</v>
      </c>
      <c r="Y13" s="26">
        <f t="shared" si="0"/>
        <v>572192000000</v>
      </c>
      <c r="Z13" s="26">
        <f t="shared" si="0"/>
        <v>549844000000</v>
      </c>
      <c r="AA13" s="26">
        <f t="shared" si="0"/>
        <v>538525000000</v>
      </c>
      <c r="AB13" s="26">
        <f t="shared" si="0"/>
        <v>543952000000</v>
      </c>
      <c r="AC13" s="26">
        <f t="shared" si="0"/>
        <v>527906000000</v>
      </c>
      <c r="AD13" s="26">
        <f t="shared" si="0"/>
        <v>517544000000</v>
      </c>
      <c r="AE13" s="26">
        <f t="shared" si="0"/>
        <v>504954000000</v>
      </c>
      <c r="AF13" s="26">
        <f t="shared" si="0"/>
        <v>494549000000</v>
      </c>
      <c r="AG13" s="26">
        <f t="shared" si="0"/>
        <v>468255000000</v>
      </c>
      <c r="AH13" s="26">
        <f t="shared" si="0"/>
        <v>449125000000</v>
      </c>
      <c r="AI13" s="26">
        <f t="shared" si="0"/>
        <v>440453000000</v>
      </c>
      <c r="AJ13" s="26">
        <f t="shared" si="0"/>
        <v>429133000000</v>
      </c>
      <c r="AK13" s="26">
        <f t="shared" si="0"/>
        <v>412114000000</v>
      </c>
      <c r="AL13" s="26">
        <f t="shared" si="0"/>
        <v>397664000000</v>
      </c>
      <c r="AM13" s="26">
        <f t="shared" si="0"/>
        <v>386567000000</v>
      </c>
      <c r="AN13" s="26">
        <f t="shared" si="0"/>
        <v>372209000000</v>
      </c>
      <c r="AO13" s="26">
        <f t="shared" si="0"/>
        <v>360226000000</v>
      </c>
      <c r="AP13" s="26">
        <f t="shared" si="0"/>
        <v>342274000000</v>
      </c>
      <c r="AQ13" s="26">
        <f t="shared" si="0"/>
        <v>339467000000</v>
      </c>
      <c r="AR13" s="26">
        <f t="shared" si="0"/>
        <v>347958000000</v>
      </c>
      <c r="AS13" s="26">
        <f t="shared" si="0"/>
        <v>333960000000</v>
      </c>
      <c r="AT13" s="26">
        <f t="shared" si="0"/>
        <v>322876000000</v>
      </c>
      <c r="AU13" s="26">
        <f t="shared" si="0"/>
        <v>312671000000</v>
      </c>
      <c r="AV13" s="26">
        <f t="shared" si="0"/>
        <v>305500000000</v>
      </c>
      <c r="AW13" s="26">
        <f t="shared" si="0"/>
        <v>280855000000</v>
      </c>
      <c r="AX13" s="26">
        <f t="shared" si="0"/>
        <v>265430000000</v>
      </c>
      <c r="AY13" s="26">
        <f t="shared" si="0"/>
        <v>256216000000</v>
      </c>
      <c r="AZ13" s="26">
        <f t="shared" si="0"/>
        <v>258355000000</v>
      </c>
      <c r="BA13" s="26">
        <f t="shared" si="0"/>
        <v>247348000000</v>
      </c>
      <c r="BB13" s="26">
        <f t="shared" si="0"/>
        <v>235535000000</v>
      </c>
      <c r="BC13" s="26">
        <f t="shared" si="0"/>
        <v>230948000000</v>
      </c>
      <c r="BD13" s="26">
        <f t="shared" si="0"/>
        <v>231242000000</v>
      </c>
      <c r="BE13" s="26">
        <f t="shared" si="0"/>
        <v>219737000000</v>
      </c>
      <c r="BF13" s="26">
        <f t="shared" si="0"/>
        <v>211036000000</v>
      </c>
      <c r="BG13" s="26">
        <f t="shared" si="0"/>
        <v>203827000000</v>
      </c>
      <c r="BH13" s="26">
        <f t="shared" si="0"/>
        <v>199940000000</v>
      </c>
      <c r="BI13" s="26">
        <f t="shared" si="0"/>
        <v>190563000000</v>
      </c>
      <c r="BJ13" s="26">
        <f t="shared" si="0"/>
        <v>186367000000</v>
      </c>
      <c r="BK13" s="26">
        <f t="shared" si="0"/>
        <v>183677000000</v>
      </c>
      <c r="BL13" s="26">
        <f t="shared" si="0"/>
        <v>184572000000</v>
      </c>
      <c r="BM13" s="26">
        <f t="shared" si="0"/>
        <v>177441000000</v>
      </c>
      <c r="BN13" s="26">
        <f t="shared" si="0"/>
        <v>172473000000</v>
      </c>
      <c r="BO13" s="26">
        <f t="shared" si="0"/>
        <v>177084000000</v>
      </c>
      <c r="BP13" s="26">
        <f t="shared" si="0"/>
        <v>171573000000</v>
      </c>
      <c r="BQ13" s="26">
        <f t="shared" si="0"/>
        <v>171291000000</v>
      </c>
      <c r="BR13" s="26">
        <f t="shared" ref="BR13:CL13" si="1">BR9-BR12</f>
        <v>160774000000</v>
      </c>
      <c r="BS13" s="26">
        <f t="shared" si="1"/>
        <v>151104000000</v>
      </c>
      <c r="BT13" s="26">
        <f t="shared" si="1"/>
        <v>0</v>
      </c>
      <c r="BU13" s="26">
        <f t="shared" si="1"/>
        <v>0</v>
      </c>
      <c r="BV13" s="26">
        <f t="shared" si="1"/>
        <v>0</v>
      </c>
      <c r="BW13" s="26">
        <f t="shared" si="1"/>
        <v>0</v>
      </c>
      <c r="BX13" s="26">
        <f t="shared" si="1"/>
        <v>0</v>
      </c>
      <c r="BY13" s="26">
        <f t="shared" si="1"/>
        <v>0</v>
      </c>
      <c r="BZ13" s="26">
        <f t="shared" si="1"/>
        <v>0</v>
      </c>
      <c r="CA13" s="26">
        <f t="shared" si="1"/>
        <v>0</v>
      </c>
      <c r="CB13" s="26">
        <f t="shared" si="1"/>
        <v>0</v>
      </c>
      <c r="CC13" s="26">
        <f t="shared" si="1"/>
        <v>0</v>
      </c>
      <c r="CD13" s="26">
        <f t="shared" si="1"/>
        <v>0</v>
      </c>
      <c r="CE13" s="26">
        <f t="shared" si="1"/>
        <v>0</v>
      </c>
      <c r="CF13" s="26">
        <f t="shared" si="1"/>
        <v>0</v>
      </c>
      <c r="CG13" s="26">
        <f t="shared" si="1"/>
        <v>0</v>
      </c>
      <c r="CH13" s="26">
        <f t="shared" si="1"/>
        <v>0</v>
      </c>
      <c r="CI13" s="26">
        <f t="shared" si="1"/>
        <v>0</v>
      </c>
      <c r="CJ13" s="26">
        <f t="shared" si="1"/>
        <v>0</v>
      </c>
      <c r="CK13" s="26">
        <f t="shared" si="1"/>
        <v>0</v>
      </c>
      <c r="CL13" s="26">
        <f t="shared" si="1"/>
        <v>0</v>
      </c>
    </row>
    <row r="14" spans="1:90" s="48" customFormat="1" x14ac:dyDescent="0.25">
      <c r="A14" s="46" t="s">
        <v>640</v>
      </c>
      <c r="E14" s="48">
        <f>E9</f>
        <v>1097817000000</v>
      </c>
      <c r="F14" s="48">
        <f t="shared" ref="F14:BQ14" si="2">F9</f>
        <v>1090297000000</v>
      </c>
      <c r="G14" s="48">
        <f t="shared" si="2"/>
        <v>1108857000000</v>
      </c>
      <c r="H14" s="48">
        <f t="shared" si="2"/>
        <v>1098473000000</v>
      </c>
      <c r="I14" s="48">
        <f t="shared" si="2"/>
        <v>1080751000000</v>
      </c>
      <c r="J14" s="48">
        <f t="shared" si="2"/>
        <v>1069330000000</v>
      </c>
      <c r="K14" s="48">
        <f t="shared" si="2"/>
        <v>1084475000000</v>
      </c>
      <c r="L14" s="48">
        <f t="shared" si="2"/>
        <v>1088832000000</v>
      </c>
      <c r="M14" s="48">
        <f t="shared" si="2"/>
        <v>1088234000000</v>
      </c>
      <c r="N14" s="48">
        <f t="shared" si="2"/>
        <v>1082184000000</v>
      </c>
      <c r="O14" s="48">
        <f t="shared" si="2"/>
        <v>1108601000000</v>
      </c>
      <c r="P14" s="48">
        <f t="shared" si="2"/>
        <v>1118574000000</v>
      </c>
      <c r="Q14" s="48">
        <f t="shared" si="2"/>
        <v>1017869000000</v>
      </c>
      <c r="R14" s="48">
        <f t="shared" si="2"/>
        <v>1029039000000</v>
      </c>
      <c r="S14" s="48">
        <f t="shared" si="2"/>
        <v>1015197000000</v>
      </c>
      <c r="T14" s="48">
        <f t="shared" si="2"/>
        <v>1017304000000</v>
      </c>
      <c r="U14" s="48">
        <f t="shared" si="2"/>
        <v>966987000000</v>
      </c>
      <c r="V14" s="48">
        <f t="shared" si="2"/>
        <v>953370000000</v>
      </c>
      <c r="W14" s="48">
        <f t="shared" si="2"/>
        <v>924357000000</v>
      </c>
      <c r="X14" s="48">
        <f t="shared" si="2"/>
        <v>923777000000</v>
      </c>
      <c r="Y14" s="48">
        <f t="shared" si="2"/>
        <v>854101000000</v>
      </c>
      <c r="Z14" s="48">
        <f t="shared" si="2"/>
        <v>831404000000</v>
      </c>
      <c r="AA14" s="48">
        <f t="shared" si="2"/>
        <v>846210000000</v>
      </c>
      <c r="AB14" s="48">
        <f t="shared" si="2"/>
        <v>849278000000</v>
      </c>
      <c r="AC14" s="48">
        <f t="shared" si="2"/>
        <v>766172000000</v>
      </c>
      <c r="AD14" s="48">
        <f t="shared" si="2"/>
        <v>750198000000</v>
      </c>
      <c r="AE14" s="48">
        <f t="shared" si="2"/>
        <v>745440000000</v>
      </c>
      <c r="AF14" s="48">
        <f t="shared" si="2"/>
        <v>729500000000</v>
      </c>
      <c r="AG14" s="48">
        <f t="shared" si="2"/>
        <v>680573000000</v>
      </c>
      <c r="AH14" s="48">
        <f t="shared" si="2"/>
        <v>675439000000</v>
      </c>
      <c r="AI14" s="48">
        <f t="shared" si="2"/>
        <v>670330000000</v>
      </c>
      <c r="AJ14" s="48">
        <f t="shared" si="2"/>
        <v>655371000000</v>
      </c>
      <c r="AK14" s="48">
        <f t="shared" si="2"/>
        <v>632675000000</v>
      </c>
      <c r="AL14" s="48">
        <f t="shared" si="2"/>
        <v>618547000000</v>
      </c>
      <c r="AM14" s="48">
        <f t="shared" si="2"/>
        <v>594712000000</v>
      </c>
      <c r="AN14" s="48">
        <f t="shared" si="2"/>
        <v>568007000000</v>
      </c>
      <c r="AO14" s="48">
        <f t="shared" si="2"/>
        <v>587250000000</v>
      </c>
      <c r="AP14" s="48">
        <f t="shared" si="2"/>
        <v>608235000000</v>
      </c>
      <c r="AQ14" s="48">
        <f t="shared" si="2"/>
        <v>565373000000</v>
      </c>
      <c r="AR14" s="48">
        <f t="shared" si="2"/>
        <v>551663000000</v>
      </c>
      <c r="AS14" s="48">
        <f t="shared" si="2"/>
        <v>515817000000</v>
      </c>
      <c r="AT14" s="48">
        <f t="shared" si="2"/>
        <v>475255000000</v>
      </c>
      <c r="AU14" s="48">
        <f t="shared" si="2"/>
        <v>475963000000</v>
      </c>
      <c r="AV14" s="48">
        <f t="shared" si="2"/>
        <v>464847000000</v>
      </c>
      <c r="AW14" s="48">
        <f t="shared" si="2"/>
        <v>449475000000</v>
      </c>
      <c r="AX14" s="48">
        <f t="shared" si="2"/>
        <v>446000000000</v>
      </c>
      <c r="AY14" s="48">
        <f t="shared" si="2"/>
        <v>437226000000</v>
      </c>
      <c r="AZ14" s="48">
        <f t="shared" si="2"/>
        <v>419125000000</v>
      </c>
      <c r="BA14" s="48">
        <f t="shared" si="2"/>
        <v>396365000000</v>
      </c>
      <c r="BB14" s="48">
        <f t="shared" si="2"/>
        <v>391977000000</v>
      </c>
      <c r="BC14" s="48">
        <f t="shared" si="2"/>
        <v>387103000000</v>
      </c>
      <c r="BD14" s="48">
        <f t="shared" si="2"/>
        <v>379030000000</v>
      </c>
      <c r="BE14" s="48">
        <f t="shared" si="2"/>
        <v>359165000000</v>
      </c>
      <c r="BF14" s="48">
        <f t="shared" si="2"/>
        <v>337471000000</v>
      </c>
      <c r="BG14" s="48">
        <f t="shared" si="2"/>
        <v>327354000000</v>
      </c>
      <c r="BH14" s="48">
        <f t="shared" si="2"/>
        <v>316142000000</v>
      </c>
      <c r="BI14" s="48">
        <f t="shared" si="2"/>
        <v>299751000000</v>
      </c>
      <c r="BJ14" s="48">
        <f t="shared" si="2"/>
        <v>293009000000</v>
      </c>
      <c r="BK14" s="48">
        <f t="shared" si="2"/>
        <v>296643000000</v>
      </c>
      <c r="BL14" s="48">
        <f t="shared" si="2"/>
        <v>296584000000</v>
      </c>
      <c r="BM14" s="48">
        <f t="shared" si="2"/>
        <v>289145000000</v>
      </c>
      <c r="BN14" s="48">
        <f t="shared" si="2"/>
        <v>284805000000</v>
      </c>
      <c r="BO14" s="48">
        <f t="shared" si="2"/>
        <v>290079000000</v>
      </c>
      <c r="BP14" s="48">
        <f t="shared" si="2"/>
        <v>288719000000</v>
      </c>
      <c r="BQ14" s="48">
        <f t="shared" si="2"/>
        <v>288309000000</v>
      </c>
      <c r="BR14" s="48">
        <f t="shared" ref="BR14:CL14" si="3">BR9</f>
        <v>303562000000</v>
      </c>
      <c r="BS14" s="48">
        <f t="shared" si="3"/>
        <v>278876000000</v>
      </c>
      <c r="BT14" s="48">
        <f t="shared" si="3"/>
        <v>0</v>
      </c>
      <c r="BU14" s="48">
        <f t="shared" si="3"/>
        <v>0</v>
      </c>
      <c r="BV14" s="48">
        <f t="shared" si="3"/>
        <v>0</v>
      </c>
      <c r="BW14" s="48">
        <f t="shared" si="3"/>
        <v>0</v>
      </c>
      <c r="BX14" s="48">
        <f t="shared" si="3"/>
        <v>0</v>
      </c>
      <c r="BY14" s="48">
        <f t="shared" si="3"/>
        <v>0</v>
      </c>
      <c r="BZ14" s="48">
        <f t="shared" si="3"/>
        <v>0</v>
      </c>
      <c r="CA14" s="48">
        <f t="shared" si="3"/>
        <v>0</v>
      </c>
      <c r="CB14" s="48">
        <f t="shared" si="3"/>
        <v>0</v>
      </c>
      <c r="CC14" s="48">
        <f t="shared" si="3"/>
        <v>0</v>
      </c>
      <c r="CD14" s="48">
        <f t="shared" si="3"/>
        <v>0</v>
      </c>
      <c r="CE14" s="48">
        <f t="shared" si="3"/>
        <v>0</v>
      </c>
      <c r="CF14" s="48">
        <f t="shared" si="3"/>
        <v>0</v>
      </c>
      <c r="CG14" s="48">
        <f t="shared" si="3"/>
        <v>0</v>
      </c>
      <c r="CH14" s="48">
        <f t="shared" si="3"/>
        <v>0</v>
      </c>
      <c r="CI14" s="48">
        <f t="shared" si="3"/>
        <v>0</v>
      </c>
      <c r="CJ14" s="48">
        <f t="shared" si="3"/>
        <v>0</v>
      </c>
      <c r="CK14" s="48">
        <f t="shared" si="3"/>
        <v>0</v>
      </c>
      <c r="CL14" s="48">
        <f t="shared" si="3"/>
        <v>0</v>
      </c>
    </row>
    <row r="15" spans="1:90" s="58" customFormat="1" x14ac:dyDescent="0.25">
      <c r="A15" s="46" t="s">
        <v>343</v>
      </c>
      <c r="E15" s="58">
        <f>E11+E13-E3-E4-E7</f>
        <v>136494000000</v>
      </c>
      <c r="F15" s="58">
        <f t="shared" ref="F15:BQ15" si="4">F11+F13-F3-F4-F7</f>
        <v>104721000000</v>
      </c>
      <c r="G15" s="58">
        <f t="shared" si="4"/>
        <v>104609000000</v>
      </c>
      <c r="H15" s="58">
        <f t="shared" si="4"/>
        <v>80073000000</v>
      </c>
      <c r="I15" s="58">
        <f t="shared" si="4"/>
        <v>78559000000</v>
      </c>
      <c r="J15" s="58">
        <f t="shared" si="4"/>
        <v>25347000000</v>
      </c>
      <c r="K15" s="58">
        <f t="shared" si="4"/>
        <v>-17555000000</v>
      </c>
      <c r="L15" s="58">
        <f t="shared" si="4"/>
        <v>-33578000000</v>
      </c>
      <c r="M15" s="58">
        <f t="shared" si="4"/>
        <v>-37123000000</v>
      </c>
      <c r="N15" s="58">
        <f t="shared" si="4"/>
        <v>-72124000000</v>
      </c>
      <c r="O15" s="58">
        <f t="shared" si="4"/>
        <v>-79952000000</v>
      </c>
      <c r="P15" s="58">
        <f t="shared" si="4"/>
        <v>-97360000000</v>
      </c>
      <c r="Q15" s="58">
        <f t="shared" si="4"/>
        <v>-167610000000</v>
      </c>
      <c r="R15" s="58">
        <f t="shared" si="4"/>
        <v>-170422000000</v>
      </c>
      <c r="S15" s="58">
        <f t="shared" si="4"/>
        <v>-185483000000</v>
      </c>
      <c r="T15" s="58">
        <f t="shared" si="4"/>
        <v>-174607000000</v>
      </c>
      <c r="U15" s="58">
        <f t="shared" si="4"/>
        <v>-148769000000</v>
      </c>
      <c r="V15" s="58">
        <f t="shared" si="4"/>
        <v>-170803000000</v>
      </c>
      <c r="W15" s="58">
        <f t="shared" si="4"/>
        <v>-156162000000</v>
      </c>
      <c r="X15" s="58">
        <f t="shared" si="4"/>
        <v>-162608000000</v>
      </c>
      <c r="Y15" s="58">
        <f t="shared" si="4"/>
        <v>-105118000000</v>
      </c>
      <c r="Z15" s="58">
        <f t="shared" si="4"/>
        <v>-95687000000</v>
      </c>
      <c r="AA15" s="58">
        <f t="shared" si="4"/>
        <v>-117715000000</v>
      </c>
      <c r="AB15" s="58">
        <f t="shared" si="4"/>
        <v>-124808000000</v>
      </c>
      <c r="AC15" s="58">
        <f t="shared" si="4"/>
        <v>-55176000000</v>
      </c>
      <c r="AD15" s="58">
        <f t="shared" si="4"/>
        <v>-40293000000</v>
      </c>
      <c r="AE15" s="58">
        <f t="shared" si="4"/>
        <v>-60234000000</v>
      </c>
      <c r="AF15" s="58">
        <f t="shared" si="4"/>
        <v>-11218000000</v>
      </c>
      <c r="AG15" s="58">
        <f t="shared" si="4"/>
        <v>-17688000000</v>
      </c>
      <c r="AH15" s="58">
        <f t="shared" si="4"/>
        <v>-37496000000</v>
      </c>
      <c r="AI15" s="58">
        <f t="shared" si="4"/>
        <v>-41134000000</v>
      </c>
      <c r="AJ15" s="58">
        <f t="shared" si="4"/>
        <v>-63621000000</v>
      </c>
      <c r="AK15" s="58">
        <f t="shared" si="4"/>
        <v>-62555000000</v>
      </c>
      <c r="AL15" s="58">
        <f t="shared" si="4"/>
        <v>-63406000000</v>
      </c>
      <c r="AM15" s="58">
        <f t="shared" si="4"/>
        <v>-45424000000</v>
      </c>
      <c r="AN15" s="58">
        <f t="shared" si="4"/>
        <v>-48303000000</v>
      </c>
      <c r="AO15" s="58">
        <f t="shared" si="4"/>
        <v>-90783000000</v>
      </c>
      <c r="AP15" s="58">
        <f t="shared" si="4"/>
        <v>-121752000000</v>
      </c>
      <c r="AQ15" s="58">
        <f t="shared" si="4"/>
        <v>-76240000000</v>
      </c>
      <c r="AR15" s="58">
        <f t="shared" si="4"/>
        <v>-37154000000</v>
      </c>
      <c r="AS15" s="58">
        <f t="shared" si="4"/>
        <v>-52130000000</v>
      </c>
      <c r="AT15" s="58">
        <f t="shared" si="4"/>
        <v>-35353000000</v>
      </c>
      <c r="AU15" s="58">
        <f t="shared" si="4"/>
        <v>-40865000000</v>
      </c>
      <c r="AV15" s="58">
        <f t="shared" si="4"/>
        <v>-47881000000</v>
      </c>
      <c r="AW15" s="58">
        <f t="shared" si="4"/>
        <v>-50037000000</v>
      </c>
      <c r="AX15" s="58">
        <f t="shared" si="4"/>
        <v>-63096000000</v>
      </c>
      <c r="AY15" s="58">
        <f t="shared" si="4"/>
        <v>-61717000000</v>
      </c>
      <c r="AZ15" s="58">
        <f t="shared" si="4"/>
        <v>-38968000000</v>
      </c>
      <c r="BA15" s="58">
        <f t="shared" si="4"/>
        <v>-26496000000</v>
      </c>
      <c r="BB15" s="58">
        <f t="shared" si="4"/>
        <v>-22774000000</v>
      </c>
      <c r="BC15" s="58">
        <f t="shared" si="4"/>
        <v>-26342000000</v>
      </c>
      <c r="BD15" s="58">
        <f t="shared" si="4"/>
        <v>-21017000000</v>
      </c>
      <c r="BE15" s="58">
        <f t="shared" si="4"/>
        <v>-22741000000</v>
      </c>
      <c r="BF15" s="58">
        <f t="shared" si="4"/>
        <v>-16794000000</v>
      </c>
      <c r="BG15" s="58">
        <f t="shared" si="4"/>
        <v>-20312000000</v>
      </c>
      <c r="BH15" s="58">
        <f t="shared" si="4"/>
        <v>-8521000000</v>
      </c>
      <c r="BI15" s="58">
        <f t="shared" si="4"/>
        <v>-11674000000</v>
      </c>
      <c r="BJ15" s="58">
        <f t="shared" si="4"/>
        <v>-10054000000</v>
      </c>
      <c r="BK15" s="58">
        <f t="shared" si="4"/>
        <v>-9483000000</v>
      </c>
      <c r="BL15" s="58">
        <f t="shared" si="4"/>
        <v>-7737000000</v>
      </c>
      <c r="BM15" s="58">
        <f t="shared" si="4"/>
        <v>-16840000000</v>
      </c>
      <c r="BN15" s="58">
        <f t="shared" si="4"/>
        <v>-24615000000</v>
      </c>
      <c r="BO15" s="58">
        <f t="shared" si="4"/>
        <v>-20614000000</v>
      </c>
      <c r="BP15" s="58">
        <f t="shared" si="4"/>
        <v>-27849000000</v>
      </c>
      <c r="BQ15" s="58">
        <f t="shared" si="4"/>
        <v>-26341000000</v>
      </c>
      <c r="BR15" s="58">
        <f t="shared" ref="BR15:CL15" si="5">BR11+BR13-BR3-BR4-BR7</f>
        <v>-30541000000</v>
      </c>
      <c r="BS15" s="58">
        <f t="shared" si="5"/>
        <v>-17460000000</v>
      </c>
      <c r="BT15" s="58">
        <f t="shared" si="5"/>
        <v>0</v>
      </c>
      <c r="BU15" s="58">
        <f t="shared" si="5"/>
        <v>0</v>
      </c>
      <c r="BV15" s="58">
        <f t="shared" si="5"/>
        <v>0</v>
      </c>
      <c r="BW15" s="58">
        <f t="shared" si="5"/>
        <v>0</v>
      </c>
      <c r="BX15" s="58">
        <f t="shared" si="5"/>
        <v>0</v>
      </c>
      <c r="BY15" s="58">
        <f t="shared" si="5"/>
        <v>0</v>
      </c>
      <c r="BZ15" s="58">
        <f t="shared" si="5"/>
        <v>0</v>
      </c>
      <c r="CA15" s="58">
        <f t="shared" si="5"/>
        <v>0</v>
      </c>
      <c r="CB15" s="58">
        <f t="shared" si="5"/>
        <v>0</v>
      </c>
      <c r="CC15" s="58">
        <f t="shared" si="5"/>
        <v>0</v>
      </c>
      <c r="CD15" s="58">
        <f t="shared" si="5"/>
        <v>0</v>
      </c>
      <c r="CE15" s="58">
        <f t="shared" si="5"/>
        <v>0</v>
      </c>
      <c r="CF15" s="58">
        <f t="shared" si="5"/>
        <v>0</v>
      </c>
      <c r="CG15" s="58">
        <f t="shared" si="5"/>
        <v>0</v>
      </c>
      <c r="CH15" s="58">
        <f t="shared" si="5"/>
        <v>0</v>
      </c>
      <c r="CI15" s="58">
        <f t="shared" si="5"/>
        <v>0</v>
      </c>
      <c r="CJ15" s="58">
        <f t="shared" si="5"/>
        <v>0</v>
      </c>
      <c r="CK15" s="58">
        <f t="shared" si="5"/>
        <v>0</v>
      </c>
      <c r="CL15" s="58">
        <f t="shared" si="5"/>
        <v>0</v>
      </c>
    </row>
    <row r="16" spans="1:90" s="58" customFormat="1" x14ac:dyDescent="0.25">
      <c r="A16" s="46" t="s">
        <v>344</v>
      </c>
      <c r="E16" s="58">
        <f>E10-E2</f>
        <v>-136494000000</v>
      </c>
      <c r="F16" s="58">
        <f t="shared" ref="F16:BQ16" si="6">F10-F2</f>
        <v>-104721000000</v>
      </c>
      <c r="G16" s="58">
        <f t="shared" si="6"/>
        <v>-104609000000</v>
      </c>
      <c r="H16" s="58">
        <f t="shared" si="6"/>
        <v>-80073000000</v>
      </c>
      <c r="I16" s="58">
        <f t="shared" si="6"/>
        <v>-78559000000</v>
      </c>
      <c r="J16" s="58">
        <f t="shared" si="6"/>
        <v>-25347000000</v>
      </c>
      <c r="K16" s="58">
        <f t="shared" si="6"/>
        <v>17555000000</v>
      </c>
      <c r="L16" s="58">
        <f t="shared" si="6"/>
        <v>33578000000</v>
      </c>
      <c r="M16" s="58">
        <f t="shared" si="6"/>
        <v>37123000000</v>
      </c>
      <c r="N16" s="58">
        <f t="shared" si="6"/>
        <v>72124000000</v>
      </c>
      <c r="O16" s="58">
        <f t="shared" si="6"/>
        <v>79952000000</v>
      </c>
      <c r="P16" s="58">
        <f t="shared" si="6"/>
        <v>97360000000</v>
      </c>
      <c r="Q16" s="58">
        <f t="shared" si="6"/>
        <v>167610000000</v>
      </c>
      <c r="R16" s="58">
        <f t="shared" si="6"/>
        <v>170422000000</v>
      </c>
      <c r="S16" s="58">
        <f t="shared" si="6"/>
        <v>185483000000</v>
      </c>
      <c r="T16" s="58">
        <f t="shared" si="6"/>
        <v>174607000000</v>
      </c>
      <c r="U16" s="58">
        <f t="shared" si="6"/>
        <v>148769000000</v>
      </c>
      <c r="V16" s="58">
        <f t="shared" si="6"/>
        <v>170803000000</v>
      </c>
      <c r="W16" s="58">
        <f t="shared" si="6"/>
        <v>156162000000</v>
      </c>
      <c r="X16" s="58">
        <f t="shared" si="6"/>
        <v>162608000000</v>
      </c>
      <c r="Y16" s="58">
        <f t="shared" si="6"/>
        <v>105118000000</v>
      </c>
      <c r="Z16" s="58">
        <f t="shared" si="6"/>
        <v>95687000000</v>
      </c>
      <c r="AA16" s="58">
        <f t="shared" si="6"/>
        <v>117715000000</v>
      </c>
      <c r="AB16" s="58">
        <f t="shared" si="6"/>
        <v>124808000000</v>
      </c>
      <c r="AC16" s="58">
        <f t="shared" si="6"/>
        <v>55176000000</v>
      </c>
      <c r="AD16" s="58">
        <f t="shared" si="6"/>
        <v>40293000000</v>
      </c>
      <c r="AE16" s="58">
        <f t="shared" si="6"/>
        <v>60234000000</v>
      </c>
      <c r="AF16" s="58">
        <f t="shared" si="6"/>
        <v>11218000000</v>
      </c>
      <c r="AG16" s="58">
        <f t="shared" si="6"/>
        <v>17688000000</v>
      </c>
      <c r="AH16" s="58">
        <f t="shared" si="6"/>
        <v>37496000000</v>
      </c>
      <c r="AI16" s="58">
        <f t="shared" si="6"/>
        <v>41134000000</v>
      </c>
      <c r="AJ16" s="58">
        <f t="shared" si="6"/>
        <v>63621000000</v>
      </c>
      <c r="AK16" s="58">
        <f t="shared" si="6"/>
        <v>62555000000</v>
      </c>
      <c r="AL16" s="58">
        <f t="shared" si="6"/>
        <v>63406000000</v>
      </c>
      <c r="AM16" s="58">
        <f t="shared" si="6"/>
        <v>45424000000</v>
      </c>
      <c r="AN16" s="58">
        <f t="shared" si="6"/>
        <v>48303000000</v>
      </c>
      <c r="AO16" s="58">
        <f t="shared" si="6"/>
        <v>90783000000</v>
      </c>
      <c r="AP16" s="58">
        <f t="shared" si="6"/>
        <v>121752000000</v>
      </c>
      <c r="AQ16" s="58">
        <f t="shared" si="6"/>
        <v>76240000000</v>
      </c>
      <c r="AR16" s="58">
        <f t="shared" si="6"/>
        <v>37154000000</v>
      </c>
      <c r="AS16" s="58">
        <f t="shared" si="6"/>
        <v>52130000000</v>
      </c>
      <c r="AT16" s="58">
        <f t="shared" si="6"/>
        <v>35353000000</v>
      </c>
      <c r="AU16" s="58">
        <f t="shared" si="6"/>
        <v>40865000000</v>
      </c>
      <c r="AV16" s="58">
        <f t="shared" si="6"/>
        <v>47881000000</v>
      </c>
      <c r="AW16" s="58">
        <f t="shared" si="6"/>
        <v>50037000000</v>
      </c>
      <c r="AX16" s="58">
        <f t="shared" si="6"/>
        <v>63096000000</v>
      </c>
      <c r="AY16" s="58">
        <f t="shared" si="6"/>
        <v>61717000000</v>
      </c>
      <c r="AZ16" s="58">
        <f t="shared" si="6"/>
        <v>38968000000</v>
      </c>
      <c r="BA16" s="58">
        <f t="shared" si="6"/>
        <v>26496000000</v>
      </c>
      <c r="BB16" s="58">
        <f t="shared" si="6"/>
        <v>22774000000</v>
      </c>
      <c r="BC16" s="58">
        <f t="shared" si="6"/>
        <v>26342000000</v>
      </c>
      <c r="BD16" s="58">
        <f t="shared" si="6"/>
        <v>21017000000</v>
      </c>
      <c r="BE16" s="58">
        <f t="shared" si="6"/>
        <v>22741000000</v>
      </c>
      <c r="BF16" s="58">
        <f t="shared" si="6"/>
        <v>16794000000</v>
      </c>
      <c r="BG16" s="58">
        <f t="shared" si="6"/>
        <v>20312000000</v>
      </c>
      <c r="BH16" s="58">
        <f t="shared" si="6"/>
        <v>8521000000</v>
      </c>
      <c r="BI16" s="58">
        <f t="shared" si="6"/>
        <v>11674000000</v>
      </c>
      <c r="BJ16" s="58">
        <f t="shared" si="6"/>
        <v>10054000000</v>
      </c>
      <c r="BK16" s="58">
        <f t="shared" si="6"/>
        <v>9483000000</v>
      </c>
      <c r="BL16" s="58">
        <f t="shared" si="6"/>
        <v>7737000000</v>
      </c>
      <c r="BM16" s="58">
        <f t="shared" si="6"/>
        <v>16840000000</v>
      </c>
      <c r="BN16" s="58">
        <f t="shared" si="6"/>
        <v>24615000000</v>
      </c>
      <c r="BO16" s="58">
        <f t="shared" si="6"/>
        <v>20614000000</v>
      </c>
      <c r="BP16" s="58">
        <f t="shared" si="6"/>
        <v>27849000000</v>
      </c>
      <c r="BQ16" s="58">
        <f t="shared" si="6"/>
        <v>26341000000</v>
      </c>
      <c r="BR16" s="58">
        <f t="shared" ref="BR16:CL16" si="7">BR10-BR2</f>
        <v>30541000000</v>
      </c>
      <c r="BS16" s="58">
        <f t="shared" si="7"/>
        <v>17460000000</v>
      </c>
      <c r="BT16" s="58">
        <f t="shared" si="7"/>
        <v>0</v>
      </c>
      <c r="BU16" s="58">
        <f t="shared" si="7"/>
        <v>0</v>
      </c>
      <c r="BV16" s="58">
        <f t="shared" si="7"/>
        <v>0</v>
      </c>
      <c r="BW16" s="58">
        <f t="shared" si="7"/>
        <v>0</v>
      </c>
      <c r="BX16" s="58">
        <f t="shared" si="7"/>
        <v>0</v>
      </c>
      <c r="BY16" s="58">
        <f t="shared" si="7"/>
        <v>0</v>
      </c>
      <c r="BZ16" s="58">
        <f t="shared" si="7"/>
        <v>0</v>
      </c>
      <c r="CA16" s="58">
        <f t="shared" si="7"/>
        <v>0</v>
      </c>
      <c r="CB16" s="58">
        <f t="shared" si="7"/>
        <v>0</v>
      </c>
      <c r="CC16" s="58">
        <f t="shared" si="7"/>
        <v>0</v>
      </c>
      <c r="CD16" s="58">
        <f t="shared" si="7"/>
        <v>0</v>
      </c>
      <c r="CE16" s="58">
        <f t="shared" si="7"/>
        <v>0</v>
      </c>
      <c r="CF16" s="58">
        <f t="shared" si="7"/>
        <v>0</v>
      </c>
      <c r="CG16" s="58">
        <f t="shared" si="7"/>
        <v>0</v>
      </c>
      <c r="CH16" s="58">
        <f t="shared" si="7"/>
        <v>0</v>
      </c>
      <c r="CI16" s="58">
        <f t="shared" si="7"/>
        <v>0</v>
      </c>
      <c r="CJ16" s="58">
        <f t="shared" si="7"/>
        <v>0</v>
      </c>
      <c r="CK16" s="58">
        <f t="shared" si="7"/>
        <v>0</v>
      </c>
      <c r="CL16" s="58">
        <f t="shared" si="7"/>
        <v>0</v>
      </c>
    </row>
    <row r="17" spans="1:90" s="59" customFormat="1" x14ac:dyDescent="0.25">
      <c r="A17" s="66" t="s">
        <v>665</v>
      </c>
      <c r="E17" s="59">
        <f>(E11+E13-E7-E3)/E4</f>
        <v>0.23477900118852735</v>
      </c>
      <c r="F17" s="59">
        <f t="shared" ref="F17:BQ17" si="8">(F11+F13-F7-F3)/F4</f>
        <v>9.8147675375145384E-3</v>
      </c>
      <c r="G17" s="59">
        <f t="shared" si="8"/>
        <v>-5.4547470715135389E-2</v>
      </c>
      <c r="H17" s="59">
        <f t="shared" si="8"/>
        <v>0.16440914972659348</v>
      </c>
      <c r="I17" s="59">
        <f t="shared" si="8"/>
        <v>0.44059444717409724</v>
      </c>
      <c r="J17" s="59">
        <f t="shared" si="8"/>
        <v>0.6955388459136117</v>
      </c>
      <c r="K17" s="59">
        <f t="shared" si="8"/>
        <v>1.2543097204114153</v>
      </c>
      <c r="L17" s="59">
        <f t="shared" si="8"/>
        <v>1.5866792466016704</v>
      </c>
      <c r="M17" s="59">
        <f t="shared" si="8"/>
        <v>1.4484103976421703</v>
      </c>
      <c r="N17" s="59">
        <f t="shared" si="8"/>
        <v>3.2490956716976425</v>
      </c>
      <c r="O17" s="59">
        <f t="shared" si="8"/>
        <v>3.6359829877023508</v>
      </c>
      <c r="P17" s="59">
        <f t="shared" si="8"/>
        <v>4.6240461567094737</v>
      </c>
      <c r="Q17" s="59">
        <f t="shared" si="8"/>
        <v>3.2160375487538837</v>
      </c>
      <c r="R17" s="59">
        <f t="shared" si="8"/>
        <v>12.690355329949238</v>
      </c>
      <c r="S17" s="59">
        <f t="shared" si="8"/>
        <v>-146.20873015873016</v>
      </c>
      <c r="T17" s="59">
        <f t="shared" si="8"/>
        <v>-88.313043478260866</v>
      </c>
      <c r="U17" s="59">
        <f t="shared" si="8"/>
        <v>3.9728233719001658</v>
      </c>
      <c r="V17" s="59">
        <f t="shared" si="8"/>
        <v>-30.236832479882956</v>
      </c>
      <c r="W17" s="59">
        <f t="shared" si="8"/>
        <v>-13.277015907844213</v>
      </c>
      <c r="X17" s="59">
        <f t="shared" si="8"/>
        <v>-7.0276461295418642</v>
      </c>
      <c r="Y17" s="59">
        <f t="shared" si="8"/>
        <v>3.4310360777058277</v>
      </c>
      <c r="Z17" s="59">
        <f t="shared" si="8"/>
        <v>14.895875689805402</v>
      </c>
      <c r="AA17" s="59">
        <f t="shared" si="8"/>
        <v>-4.0296957784994021</v>
      </c>
      <c r="AB17" s="59">
        <f t="shared" si="8"/>
        <v>-2.7418078249138058</v>
      </c>
      <c r="AC17" s="59">
        <f t="shared" si="8"/>
        <v>2.1914746593534735</v>
      </c>
      <c r="AD17" s="59">
        <f t="shared" si="8"/>
        <v>5.0765884257385672</v>
      </c>
      <c r="AE17" s="59">
        <f t="shared" si="8"/>
        <v>-8.8116957159146434</v>
      </c>
      <c r="AF17" s="59">
        <f t="shared" si="8"/>
        <v>1.6368435992052228</v>
      </c>
      <c r="AG17" s="59">
        <f t="shared" si="8"/>
        <v>1.3024158388756861</v>
      </c>
      <c r="AH17" s="59">
        <f t="shared" si="8"/>
        <v>3.1291238430526374</v>
      </c>
      <c r="AI17" s="59">
        <f t="shared" si="8"/>
        <v>4.8385591638671146</v>
      </c>
      <c r="AJ17" s="59">
        <f t="shared" si="8"/>
        <v>4.7090304902932427</v>
      </c>
      <c r="AK17" s="59">
        <f t="shared" si="8"/>
        <v>2.2615964827363664</v>
      </c>
      <c r="AL17" s="59">
        <f t="shared" si="8"/>
        <v>3.3930404589371981</v>
      </c>
      <c r="AM17" s="59">
        <f t="shared" si="8"/>
        <v>2.1580960150931849</v>
      </c>
      <c r="AN17" s="59">
        <f t="shared" si="8"/>
        <v>2.0155156102175971</v>
      </c>
      <c r="AO17" s="59">
        <f t="shared" si="8"/>
        <v>5.6691868538805741</v>
      </c>
      <c r="AP17" s="59">
        <f t="shared" si="8"/>
        <v>-3.1176948051948052</v>
      </c>
      <c r="AQ17" s="59">
        <f t="shared" si="8"/>
        <v>23.130624092888244</v>
      </c>
      <c r="AR17" s="59">
        <f t="shared" si="8"/>
        <v>2.9427943944781427</v>
      </c>
      <c r="AS17" s="59">
        <f t="shared" si="8"/>
        <v>2.8556884522283923</v>
      </c>
      <c r="AT17" s="59">
        <f t="shared" si="8"/>
        <v>2.6368645244930087</v>
      </c>
      <c r="AU17" s="59">
        <f t="shared" si="8"/>
        <v>5.2687767679933142</v>
      </c>
      <c r="AV17" s="59">
        <f t="shared" si="8"/>
        <v>4.4787125835512933</v>
      </c>
      <c r="AW17" s="59">
        <f t="shared" si="8"/>
        <v>5.2773978457856048</v>
      </c>
      <c r="AX17" s="59">
        <f t="shared" si="8"/>
        <v>-1.7844660194174757</v>
      </c>
      <c r="AY17" s="59">
        <f t="shared" si="8"/>
        <v>-2.2633777495769882</v>
      </c>
      <c r="AZ17" s="59">
        <f t="shared" si="8"/>
        <v>-0.93379981142375068</v>
      </c>
      <c r="BA17" s="59">
        <f t="shared" si="8"/>
        <v>-8.0061182868796745</v>
      </c>
      <c r="BB17" s="59">
        <f t="shared" si="8"/>
        <v>-1.2406532861078317</v>
      </c>
      <c r="BC17" s="59">
        <f t="shared" si="8"/>
        <v>-0.86650605824417204</v>
      </c>
      <c r="BD17" s="59">
        <f t="shared" si="8"/>
        <v>-2.195044086348434</v>
      </c>
      <c r="BE17" s="59">
        <f t="shared" si="8"/>
        <v>12.710092687950567</v>
      </c>
      <c r="BF17" s="59">
        <f t="shared" si="8"/>
        <v>-1.8503054989816701</v>
      </c>
      <c r="BG17" s="59">
        <f t="shared" si="8"/>
        <v>-3.3207828121676237</v>
      </c>
      <c r="BH17" s="59">
        <f t="shared" si="8"/>
        <v>4.0684191573640618</v>
      </c>
      <c r="BI17" s="59">
        <f t="shared" si="8"/>
        <v>2.0951219512195123</v>
      </c>
      <c r="BJ17" s="59">
        <f t="shared" si="8"/>
        <v>5.9624876604146104</v>
      </c>
      <c r="BK17" s="59">
        <f t="shared" si="8"/>
        <v>38.780876494023907</v>
      </c>
      <c r="BL17" s="59">
        <f t="shared" si="8"/>
        <v>-1.9075535512965052</v>
      </c>
      <c r="BM17" s="59">
        <f t="shared" si="8"/>
        <v>-9.9350649350649345</v>
      </c>
      <c r="BN17" s="59">
        <f t="shared" si="8"/>
        <v>-8.7794994040524426</v>
      </c>
      <c r="BO17" s="59">
        <f t="shared" si="8"/>
        <v>-1.5056521210647866</v>
      </c>
      <c r="BP17" s="59">
        <f t="shared" si="8"/>
        <v>-1.8894998962440341</v>
      </c>
      <c r="BQ17" s="59">
        <f t="shared" si="8"/>
        <v>-1.0923822384621495</v>
      </c>
      <c r="BR17" s="59">
        <f t="shared" ref="BR17:CL17" si="9">(BR11+BR13-BR7-BR3)/BR4</f>
        <v>0.33151662398494103</v>
      </c>
      <c r="BS17" s="59">
        <f t="shared" si="9"/>
        <v>0.39387627577588002</v>
      </c>
      <c r="BT17" s="59" t="e">
        <f t="shared" si="9"/>
        <v>#DIV/0!</v>
      </c>
      <c r="BU17" s="59" t="e">
        <f t="shared" si="9"/>
        <v>#DIV/0!</v>
      </c>
      <c r="BV17" s="59" t="e">
        <f t="shared" si="9"/>
        <v>#DIV/0!</v>
      </c>
      <c r="BW17" s="59" t="e">
        <f t="shared" si="9"/>
        <v>#DIV/0!</v>
      </c>
      <c r="BX17" s="59" t="e">
        <f t="shared" si="9"/>
        <v>#DIV/0!</v>
      </c>
      <c r="BY17" s="59" t="e">
        <f t="shared" si="9"/>
        <v>#DIV/0!</v>
      </c>
      <c r="BZ17" s="59" t="e">
        <f t="shared" si="9"/>
        <v>#DIV/0!</v>
      </c>
      <c r="CA17" s="59" t="e">
        <f t="shared" si="9"/>
        <v>#DIV/0!</v>
      </c>
      <c r="CB17" s="59" t="e">
        <f t="shared" si="9"/>
        <v>#DIV/0!</v>
      </c>
      <c r="CC17" s="59" t="e">
        <f t="shared" si="9"/>
        <v>#DIV/0!</v>
      </c>
      <c r="CD17" s="59" t="e">
        <f t="shared" si="9"/>
        <v>#DIV/0!</v>
      </c>
      <c r="CE17" s="59" t="e">
        <f t="shared" si="9"/>
        <v>#DIV/0!</v>
      </c>
      <c r="CF17" s="59" t="e">
        <f t="shared" si="9"/>
        <v>#DIV/0!</v>
      </c>
      <c r="CG17" s="59" t="e">
        <f t="shared" si="9"/>
        <v>#DIV/0!</v>
      </c>
      <c r="CH17" s="59" t="e">
        <f t="shared" si="9"/>
        <v>#DIV/0!</v>
      </c>
      <c r="CI17" s="59" t="e">
        <f t="shared" si="9"/>
        <v>#DIV/0!</v>
      </c>
      <c r="CJ17" s="59" t="e">
        <f t="shared" si="9"/>
        <v>#DIV/0!</v>
      </c>
      <c r="CK17" s="59" t="e">
        <f t="shared" si="9"/>
        <v>#DIV/0!</v>
      </c>
      <c r="CL17" s="59" t="e">
        <f t="shared" si="9"/>
        <v>#DIV/0!</v>
      </c>
    </row>
    <row r="18" spans="1:90" s="16" customFormat="1" ht="258" customHeight="1" x14ac:dyDescent="0.25">
      <c r="A18" s="276" t="s">
        <v>744</v>
      </c>
      <c r="B18" s="278"/>
      <c r="C18" s="278"/>
      <c r="D18" s="278"/>
      <c r="E18" s="278"/>
      <c r="F18" s="278"/>
      <c r="G18" s="278"/>
      <c r="H18" s="278"/>
      <c r="I18" s="278"/>
      <c r="J18" s="278"/>
      <c r="K18" s="278"/>
      <c r="L18" s="278"/>
      <c r="M18" s="278"/>
      <c r="N18" s="278"/>
      <c r="O18" s="278"/>
      <c r="P18" s="278"/>
      <c r="Q18" s="278"/>
      <c r="R18" s="278"/>
      <c r="S18" s="278"/>
      <c r="T18" s="278"/>
      <c r="U18" s="278"/>
      <c r="V18" s="278"/>
      <c r="W18" s="278"/>
      <c r="X18" s="278"/>
      <c r="Y18" s="278"/>
      <c r="Z18" s="278"/>
      <c r="AA18" s="278"/>
      <c r="AB18" s="278"/>
      <c r="AC18" s="278"/>
      <c r="AD18" s="278"/>
      <c r="AE18" s="278"/>
      <c r="AF18" s="278"/>
      <c r="AG18" s="278"/>
    </row>
    <row r="19" spans="1:90" x14ac:dyDescent="0.25">
      <c r="A19" s="113" t="s">
        <v>574</v>
      </c>
      <c r="B19" s="114"/>
      <c r="C19" s="114"/>
      <c r="D19" s="114"/>
      <c r="E19" s="114" t="s">
        <v>567</v>
      </c>
      <c r="F19" s="114"/>
      <c r="G19" s="114"/>
      <c r="H19" s="114"/>
      <c r="I19" s="114" t="s">
        <v>602</v>
      </c>
      <c r="M19" s="114" t="s">
        <v>569</v>
      </c>
      <c r="N19" s="63"/>
      <c r="O19" s="63"/>
      <c r="P19" s="63"/>
      <c r="Q19" s="63"/>
      <c r="R19" s="63"/>
      <c r="S19" s="63"/>
      <c r="T19" s="63"/>
      <c r="U19" s="63"/>
    </row>
    <row r="20" spans="1:90" s="63" customFormat="1" ht="14.25" customHeight="1" x14ac:dyDescent="0.25">
      <c r="A20" s="113" t="s">
        <v>575</v>
      </c>
      <c r="B20" s="115"/>
      <c r="C20" s="115"/>
      <c r="D20" s="115"/>
      <c r="E20" s="115">
        <f>POWER(E9/U9,1/5)-1</f>
        <v>2.5703560853673313E-2</v>
      </c>
      <c r="F20" s="115"/>
      <c r="G20" s="115"/>
      <c r="H20" s="115"/>
      <c r="I20" s="115">
        <f>POWER(E9/Y9,1/6)-1</f>
        <v>4.2725802079740305E-2</v>
      </c>
      <c r="M20" s="115">
        <f>POWER(E9/AC9,1/7)-1</f>
        <v>5.2724694822639417E-2</v>
      </c>
    </row>
    <row r="21" spans="1:90" s="63" customFormat="1" ht="14.25" customHeight="1" x14ac:dyDescent="0.25">
      <c r="A21" s="113" t="s">
        <v>573</v>
      </c>
      <c r="B21" s="115"/>
      <c r="C21" s="115"/>
      <c r="D21" s="115"/>
      <c r="E21" s="115">
        <f>POWER(E4/U4,1/5)-1</f>
        <v>0.28942673001440467</v>
      </c>
      <c r="F21" s="115"/>
      <c r="G21" s="115"/>
      <c r="H21" s="115"/>
      <c r="I21" s="115">
        <f>POWER(E4/Y4,1/6)-1</f>
        <v>0.26640757454599262</v>
      </c>
      <c r="M21" s="115">
        <f>POWER(E4/AC4,1/7)-1</f>
        <v>0.21245574866226002</v>
      </c>
    </row>
    <row r="22" spans="1:90" s="63" customFormat="1" ht="14.25" customHeight="1" x14ac:dyDescent="0.25">
      <c r="A22" s="113" t="s">
        <v>576</v>
      </c>
      <c r="B22" s="115"/>
      <c r="C22" s="115"/>
      <c r="D22" s="115"/>
      <c r="E22" s="115">
        <f>POWER(E5/U5,1/5)-1</f>
        <v>-2.6552732536408885E-2</v>
      </c>
      <c r="F22" s="115"/>
      <c r="G22" s="115"/>
      <c r="H22" s="115"/>
      <c r="I22" s="115">
        <f>POWER(E5/Y5,1/6)-1</f>
        <v>-1.07883778787351E-2</v>
      </c>
      <c r="M22" s="115">
        <f>POWER(E5/AC5,1/7)-1</f>
        <v>4.8689240272714596E-3</v>
      </c>
    </row>
    <row r="23" spans="1:90" s="63" customFormat="1" ht="14.25" customHeight="1" x14ac:dyDescent="0.25">
      <c r="A23" s="113" t="s">
        <v>577</v>
      </c>
      <c r="B23" s="115"/>
      <c r="C23" s="115"/>
      <c r="D23" s="115"/>
      <c r="E23" s="115">
        <f>POWER(E6/U6,1/5)-1</f>
        <v>3.7847567237559332E-2</v>
      </c>
      <c r="F23" s="115"/>
      <c r="G23" s="115"/>
      <c r="H23" s="115"/>
      <c r="I23" s="115">
        <f>POWER(E6/Y6,1/6)-1</f>
        <v>4.5036717610885901E-2</v>
      </c>
      <c r="M23" s="115">
        <f>POWER(E6/AC6,1/7)-1</f>
        <v>5.0172668019869304E-2</v>
      </c>
    </row>
    <row r="24" spans="1:90" s="63" customFormat="1" ht="14.25" customHeight="1" x14ac:dyDescent="0.25">
      <c r="A24" s="113" t="s">
        <v>578</v>
      </c>
      <c r="B24" s="115"/>
      <c r="C24" s="115"/>
      <c r="D24" s="115"/>
      <c r="E24" s="115">
        <f>POWER(E7/U7,1/5)-1</f>
        <v>5.1306949335128138E-4</v>
      </c>
      <c r="F24" s="115"/>
      <c r="G24" s="115"/>
      <c r="H24" s="115"/>
      <c r="I24" s="115">
        <f>POWER(E7/Y7,1/6)-1</f>
        <v>1.7732936492868445E-2</v>
      </c>
      <c r="M24" s="115">
        <f>POWER(E7/AC7,1/7)-1</f>
        <v>3.2780433904548323E-2</v>
      </c>
    </row>
    <row r="25" spans="1:90" s="107" customFormat="1" x14ac:dyDescent="0.25">
      <c r="A25" s="143" t="s">
        <v>554</v>
      </c>
      <c r="B25" s="108"/>
      <c r="C25" s="108"/>
      <c r="D25" s="108"/>
      <c r="E25" s="108">
        <f>(E2-I2)/I2</f>
        <v>0.41565251291381045</v>
      </c>
      <c r="F25" s="108">
        <f t="shared" ref="F25:BQ25" si="10">(F2-J2)/J2</f>
        <v>0.77605662700041034</v>
      </c>
      <c r="G25" s="108">
        <f t="shared" si="10"/>
        <v>0.95348546917376853</v>
      </c>
      <c r="H25" s="108">
        <f t="shared" si="10"/>
        <v>0.97614938654442496</v>
      </c>
      <c r="I25" s="108">
        <f t="shared" si="10"/>
        <v>0.95105409277030539</v>
      </c>
      <c r="J25" s="107">
        <f t="shared" si="10"/>
        <v>0.66763608991685774</v>
      </c>
      <c r="K25" s="107">
        <f t="shared" si="10"/>
        <v>0.17063418262971916</v>
      </c>
      <c r="L25" s="107">
        <f t="shared" si="10"/>
        <v>-1.0816073405262666E-2</v>
      </c>
      <c r="M25" s="108">
        <f t="shared" si="10"/>
        <v>6.1921043034281542</v>
      </c>
      <c r="N25" s="108">
        <f t="shared" si="10"/>
        <v>1.5951873557094653</v>
      </c>
      <c r="O25" s="108">
        <f t="shared" si="10"/>
        <v>4.2473163251080441</v>
      </c>
      <c r="P25" s="108">
        <f t="shared" si="10"/>
        <v>2.6098887872514562</v>
      </c>
      <c r="Q25" s="108">
        <f t="shared" si="10"/>
        <v>-0.2736904840739024</v>
      </c>
      <c r="R25" s="108">
        <f t="shared" si="10"/>
        <v>0.86210317460317465</v>
      </c>
      <c r="S25" s="108">
        <f t="shared" si="10"/>
        <v>0.26007905138339921</v>
      </c>
      <c r="T25" s="108">
        <f t="shared" si="10"/>
        <v>0.4045847984852583</v>
      </c>
      <c r="U25" s="108">
        <f t="shared" si="10"/>
        <v>0.39000368188512519</v>
      </c>
      <c r="V25" s="107">
        <f t="shared" si="10"/>
        <v>-0.18572871087176035</v>
      </c>
      <c r="W25" s="107">
        <f t="shared" si="10"/>
        <v>-0.18445558739255014</v>
      </c>
      <c r="X25" s="107">
        <f t="shared" si="10"/>
        <v>-0.39908163679954489</v>
      </c>
      <c r="Y25" s="107">
        <f t="shared" si="10"/>
        <v>-0.56883756002698738</v>
      </c>
      <c r="Z25" s="107">
        <f t="shared" si="10"/>
        <v>-0.45363933943874363</v>
      </c>
      <c r="AA25" s="107">
        <f t="shared" si="10"/>
        <v>-1.5931199774425489E-2</v>
      </c>
      <c r="AB25" s="107">
        <f t="shared" si="10"/>
        <v>-8.8791794719887435E-2</v>
      </c>
      <c r="AC25" s="107">
        <f t="shared" si="10"/>
        <v>0.38902976846747517</v>
      </c>
      <c r="AD25" s="107">
        <f t="shared" si="10"/>
        <v>1.3515827711468604</v>
      </c>
      <c r="AE25" s="107">
        <f t="shared" si="10"/>
        <v>-0.15028451632225218</v>
      </c>
      <c r="AF25" s="107">
        <f t="shared" si="10"/>
        <v>1.3771675028606636</v>
      </c>
      <c r="AG25" s="107">
        <f t="shared" si="10"/>
        <v>0.81654316042459441</v>
      </c>
      <c r="AH25" s="107">
        <f t="shared" si="10"/>
        <v>0.34426229508196721</v>
      </c>
      <c r="AI25" s="107">
        <f t="shared" si="10"/>
        <v>0.83825148645672765</v>
      </c>
      <c r="AJ25" s="107">
        <f t="shared" si="10"/>
        <v>-7.0826858591641451E-2</v>
      </c>
      <c r="AK25" s="107">
        <f t="shared" si="10"/>
        <v>0.29688311688311686</v>
      </c>
      <c r="AL25" s="107">
        <f t="shared" si="10"/>
        <v>-0.25885394226626451</v>
      </c>
      <c r="AM25" s="107">
        <f t="shared" si="10"/>
        <v>-7.0800081849805602E-2</v>
      </c>
      <c r="AN25" s="107">
        <f t="shared" si="10"/>
        <v>-0.56942634785364654</v>
      </c>
      <c r="AO25" s="107">
        <f t="shared" si="10"/>
        <v>-7.9387852702056436E-2</v>
      </c>
      <c r="AP25" s="107">
        <f t="shared" si="10"/>
        <v>0.30276156264032328</v>
      </c>
      <c r="AQ25" s="107">
        <f t="shared" si="10"/>
        <v>-0.24751712987912849</v>
      </c>
      <c r="AR25" s="107">
        <f t="shared" si="10"/>
        <v>0.78115787492943611</v>
      </c>
      <c r="AS25" s="107">
        <f t="shared" si="10"/>
        <v>-4.1155565745729678E-2</v>
      </c>
      <c r="AT25" s="107">
        <f t="shared" si="10"/>
        <v>-0.15882908404154863</v>
      </c>
      <c r="AU25" s="107">
        <f t="shared" si="10"/>
        <v>0.20525192539667811</v>
      </c>
      <c r="AV25" s="107">
        <f t="shared" si="10"/>
        <v>0.21804568721827489</v>
      </c>
      <c r="AW25" s="107">
        <f t="shared" si="10"/>
        <v>-0.40848986234488371</v>
      </c>
      <c r="AX25" s="107">
        <f t="shared" si="10"/>
        <v>-0.36077744914589244</v>
      </c>
      <c r="AY25" s="107">
        <f t="shared" si="10"/>
        <v>-0.29663229343427749</v>
      </c>
      <c r="AZ25" s="107">
        <f t="shared" si="10"/>
        <v>-0.34173204586602296</v>
      </c>
      <c r="BA25" s="107">
        <f t="shared" si="10"/>
        <v>-0.19327133479212255</v>
      </c>
      <c r="BB25" s="107">
        <f t="shared" si="10"/>
        <v>-4.3696605864696376E-2</v>
      </c>
      <c r="BC25" s="107">
        <f t="shared" si="10"/>
        <v>-0.10018792576932112</v>
      </c>
      <c r="BD25" s="107">
        <f t="shared" si="10"/>
        <v>-2.3714832817793491E-2</v>
      </c>
      <c r="BE25" s="107">
        <f t="shared" si="10"/>
        <v>5.0272910083309391E-2</v>
      </c>
      <c r="BF25" s="107">
        <f t="shared" si="10"/>
        <v>-7.0101986044015033E-2</v>
      </c>
      <c r="BG25" s="107">
        <f t="shared" si="10"/>
        <v>-0.22047244094488189</v>
      </c>
      <c r="BH25" s="107">
        <f t="shared" si="10"/>
        <v>-8.5943811148011848E-2</v>
      </c>
      <c r="BI25" s="107">
        <f t="shared" si="10"/>
        <v>-6.9848225737494662E-2</v>
      </c>
      <c r="BJ25" s="107">
        <f t="shared" si="10"/>
        <v>-3.13523631258774E-2</v>
      </c>
      <c r="BK25" s="107">
        <f t="shared" si="10"/>
        <v>2.9794455968319818E-2</v>
      </c>
      <c r="BL25" s="107">
        <f t="shared" si="10"/>
        <v>6.1755456018297912E-2</v>
      </c>
      <c r="BM25" s="107">
        <f t="shared" si="10"/>
        <v>-0.18181023174464364</v>
      </c>
      <c r="BN25" s="107">
        <f t="shared" si="10"/>
        <v>-0.51906679002775624</v>
      </c>
      <c r="BO25" s="107">
        <f t="shared" si="10"/>
        <v>-0.48519561207649742</v>
      </c>
      <c r="BP25" s="107" t="e">
        <f t="shared" si="10"/>
        <v>#DIV/0!</v>
      </c>
      <c r="BQ25" s="107" t="e">
        <f t="shared" si="10"/>
        <v>#DIV/0!</v>
      </c>
      <c r="BR25" s="107" t="e">
        <f t="shared" ref="BR25:CK25" si="11">(BR2-BV2)/BV2</f>
        <v>#DIV/0!</v>
      </c>
      <c r="BS25" s="107" t="e">
        <f t="shared" si="11"/>
        <v>#DIV/0!</v>
      </c>
      <c r="BT25" s="107" t="e">
        <f t="shared" si="11"/>
        <v>#DIV/0!</v>
      </c>
      <c r="BU25" s="107" t="e">
        <f t="shared" si="11"/>
        <v>#DIV/0!</v>
      </c>
      <c r="BV25" s="107" t="e">
        <f t="shared" si="11"/>
        <v>#DIV/0!</v>
      </c>
      <c r="BW25" s="107" t="e">
        <f t="shared" si="11"/>
        <v>#DIV/0!</v>
      </c>
      <c r="BX25" s="107" t="e">
        <f t="shared" si="11"/>
        <v>#DIV/0!</v>
      </c>
      <c r="BY25" s="107" t="e">
        <f t="shared" si="11"/>
        <v>#DIV/0!</v>
      </c>
      <c r="BZ25" s="107" t="e">
        <f t="shared" si="11"/>
        <v>#DIV/0!</v>
      </c>
      <c r="CA25" s="107" t="e">
        <f t="shared" si="11"/>
        <v>#DIV/0!</v>
      </c>
      <c r="CB25" s="107" t="e">
        <f t="shared" si="11"/>
        <v>#DIV/0!</v>
      </c>
      <c r="CC25" s="107" t="e">
        <f t="shared" si="11"/>
        <v>#DIV/0!</v>
      </c>
      <c r="CD25" s="107" t="e">
        <f t="shared" si="11"/>
        <v>#DIV/0!</v>
      </c>
      <c r="CE25" s="107" t="e">
        <f t="shared" si="11"/>
        <v>#DIV/0!</v>
      </c>
      <c r="CF25" s="107" t="e">
        <f t="shared" si="11"/>
        <v>#DIV/0!</v>
      </c>
      <c r="CG25" s="107" t="e">
        <f t="shared" si="11"/>
        <v>#DIV/0!</v>
      </c>
      <c r="CH25" s="107" t="e">
        <f t="shared" si="11"/>
        <v>#DIV/0!</v>
      </c>
      <c r="CI25" s="107" t="e">
        <f t="shared" si="11"/>
        <v>#DIV/0!</v>
      </c>
      <c r="CJ25" s="107" t="e">
        <f t="shared" si="11"/>
        <v>#DIV/0!</v>
      </c>
      <c r="CK25" s="107" t="e">
        <f t="shared" si="11"/>
        <v>#DIV/0!</v>
      </c>
    </row>
    <row r="26" spans="1:90" s="108" customFormat="1" x14ac:dyDescent="0.25">
      <c r="A26" s="143" t="s">
        <v>562</v>
      </c>
      <c r="E26" s="108">
        <f>E2/E9</f>
        <v>0.19846294965372188</v>
      </c>
      <c r="F26" s="108">
        <f t="shared" ref="F26:BQ26" si="12">F2/F9</f>
        <v>0.15879159531760612</v>
      </c>
      <c r="G26" s="108">
        <f t="shared" si="12"/>
        <v>0.1552472500962703</v>
      </c>
      <c r="H26" s="108">
        <f t="shared" si="12"/>
        <v>0.13343159094488441</v>
      </c>
      <c r="I26" s="108">
        <f t="shared" si="12"/>
        <v>0.14240560499134397</v>
      </c>
      <c r="J26" s="108">
        <f t="shared" si="12"/>
        <v>9.1159885161736787E-2</v>
      </c>
      <c r="K26" s="108">
        <f t="shared" si="12"/>
        <v>8.1258673551718577E-2</v>
      </c>
      <c r="L26" s="108">
        <f t="shared" si="12"/>
        <v>6.8118864985599242E-2</v>
      </c>
      <c r="M26" s="108">
        <f t="shared" si="12"/>
        <v>7.2487167282036774E-2</v>
      </c>
      <c r="N26" s="108">
        <f t="shared" si="12"/>
        <v>5.4014844056093976E-2</v>
      </c>
      <c r="O26" s="108">
        <f t="shared" si="12"/>
        <v>6.7903601025075755E-2</v>
      </c>
      <c r="P26" s="108">
        <f t="shared" si="12"/>
        <v>6.703266837956183E-2</v>
      </c>
      <c r="Q26" s="108">
        <f t="shared" si="12"/>
        <v>1.0775453422788198E-2</v>
      </c>
      <c r="R26" s="108">
        <f t="shared" si="12"/>
        <v>2.1888383239119218E-2</v>
      </c>
      <c r="S26" s="108">
        <f t="shared" si="12"/>
        <v>1.4131247432764281E-2</v>
      </c>
      <c r="T26" s="108">
        <f t="shared" si="12"/>
        <v>2.0417692253249766E-2</v>
      </c>
      <c r="U26" s="108">
        <f t="shared" si="12"/>
        <v>1.5616549136648165E-2</v>
      </c>
      <c r="V26" s="108">
        <f t="shared" si="12"/>
        <v>1.2687623902577173E-2</v>
      </c>
      <c r="W26" s="108">
        <f t="shared" si="12"/>
        <v>1.2316669858074315E-2</v>
      </c>
      <c r="X26" s="108">
        <f t="shared" si="12"/>
        <v>1.6008192453373489E-2</v>
      </c>
      <c r="Y26" s="108">
        <f t="shared" si="12"/>
        <v>1.2719807142246643E-2</v>
      </c>
      <c r="Z26" s="108">
        <f t="shared" si="12"/>
        <v>1.7867366526983272E-2</v>
      </c>
      <c r="AA26" s="108">
        <f t="shared" si="12"/>
        <v>1.6497087011498327E-2</v>
      </c>
      <c r="AB26" s="108">
        <f t="shared" si="12"/>
        <v>2.8976377581898978E-2</v>
      </c>
      <c r="AC26" s="108">
        <f t="shared" si="12"/>
        <v>3.2886871355257044E-2</v>
      </c>
      <c r="AD26" s="108">
        <f t="shared" si="12"/>
        <v>3.6242431997952539E-2</v>
      </c>
      <c r="AE26" s="108">
        <f t="shared" si="12"/>
        <v>1.9030371324318524E-2</v>
      </c>
      <c r="AF26" s="108">
        <f t="shared" si="12"/>
        <v>3.7021247429746398E-2</v>
      </c>
      <c r="AG26" s="108">
        <f t="shared" si="12"/>
        <v>2.6654010664542965E-2</v>
      </c>
      <c r="AH26" s="108">
        <f t="shared" si="12"/>
        <v>1.7117756007574335E-2</v>
      </c>
      <c r="AI26" s="108">
        <f t="shared" si="12"/>
        <v>2.4905643489027792E-2</v>
      </c>
      <c r="AJ26" s="108">
        <f t="shared" si="12"/>
        <v>1.7335219288006336E-2</v>
      </c>
      <c r="AK26" s="108">
        <f t="shared" si="12"/>
        <v>1.5783775240052159E-2</v>
      </c>
      <c r="AL26" s="108">
        <f t="shared" si="12"/>
        <v>1.3905168079386045E-2</v>
      </c>
      <c r="AM26" s="108">
        <f t="shared" si="12"/>
        <v>1.5271257348094539E-2</v>
      </c>
      <c r="AN26" s="108">
        <f t="shared" si="12"/>
        <v>2.1526143163728615E-2</v>
      </c>
      <c r="AO26" s="108">
        <f t="shared" si="12"/>
        <v>1.3111962537249893E-2</v>
      </c>
      <c r="AP26" s="108">
        <f t="shared" si="12"/>
        <v>1.9079796460249741E-2</v>
      </c>
      <c r="AQ26" s="108">
        <f t="shared" si="12"/>
        <v>1.7287702101090784E-2</v>
      </c>
      <c r="AR26" s="108">
        <f t="shared" si="12"/>
        <v>5.1475266602980442E-2</v>
      </c>
      <c r="AS26" s="108">
        <f t="shared" si="12"/>
        <v>1.6215053012987164E-2</v>
      </c>
      <c r="AT26" s="108">
        <f t="shared" si="12"/>
        <v>1.8743621845114727E-2</v>
      </c>
      <c r="AU26" s="108">
        <f t="shared" si="12"/>
        <v>2.7289936402619532E-2</v>
      </c>
      <c r="AV26" s="108">
        <f t="shared" si="12"/>
        <v>3.4297306425555077E-2</v>
      </c>
      <c r="AW26" s="108">
        <f t="shared" si="12"/>
        <v>1.9407086044830081E-2</v>
      </c>
      <c r="AX26" s="108">
        <f t="shared" si="12"/>
        <v>2.374439461883408E-2</v>
      </c>
      <c r="AY26" s="108">
        <f t="shared" si="12"/>
        <v>2.4648579910618307E-2</v>
      </c>
      <c r="AZ26" s="108">
        <f t="shared" si="12"/>
        <v>3.1229346853563971E-2</v>
      </c>
      <c r="BA26" s="108">
        <f t="shared" si="12"/>
        <v>3.720560594401625E-2</v>
      </c>
      <c r="BB26" s="108">
        <f t="shared" si="12"/>
        <v>4.226523495000982E-2</v>
      </c>
      <c r="BC26" s="108">
        <f t="shared" si="12"/>
        <v>3.95811967357525E-2</v>
      </c>
      <c r="BD26" s="108">
        <f t="shared" si="12"/>
        <v>5.2460227422631456E-2</v>
      </c>
      <c r="BE26" s="108">
        <f t="shared" si="12"/>
        <v>5.0895827822866925E-2</v>
      </c>
      <c r="BF26" s="108">
        <f t="shared" si="12"/>
        <v>5.1334781358990847E-2</v>
      </c>
      <c r="BG26" s="108">
        <f t="shared" si="12"/>
        <v>5.2017082424531243E-2</v>
      </c>
      <c r="BH26" s="108">
        <f t="shared" si="12"/>
        <v>6.4423581808174812E-2</v>
      </c>
      <c r="BI26" s="108">
        <f t="shared" si="12"/>
        <v>5.8064860500882401E-2</v>
      </c>
      <c r="BJ26" s="108">
        <f t="shared" si="12"/>
        <v>6.3581664727022036E-2</v>
      </c>
      <c r="BK26" s="108">
        <f t="shared" si="12"/>
        <v>7.3637335113250602E-2</v>
      </c>
      <c r="BL26" s="108">
        <f t="shared" si="12"/>
        <v>7.5128799935262863E-2</v>
      </c>
      <c r="BM26" s="108">
        <f t="shared" si="12"/>
        <v>6.4714935413028071E-2</v>
      </c>
      <c r="BN26" s="108">
        <f t="shared" si="12"/>
        <v>6.753041554747985E-2</v>
      </c>
      <c r="BO26" s="108">
        <f t="shared" si="12"/>
        <v>7.3124907352824578E-2</v>
      </c>
      <c r="BP26" s="108">
        <f t="shared" si="12"/>
        <v>7.2686591460901437E-2</v>
      </c>
      <c r="BQ26" s="108">
        <f t="shared" si="12"/>
        <v>7.9324613522297263E-2</v>
      </c>
      <c r="BR26" s="108">
        <f t="shared" ref="BR26:CK26" si="13">BR2/BR9</f>
        <v>0.13173915048655629</v>
      </c>
      <c r="BS26" s="108">
        <f t="shared" si="13"/>
        <v>0.14775025459343938</v>
      </c>
      <c r="BT26" s="108" t="e">
        <f t="shared" si="13"/>
        <v>#DIV/0!</v>
      </c>
      <c r="BU26" s="108" t="e">
        <f t="shared" si="13"/>
        <v>#DIV/0!</v>
      </c>
      <c r="BV26" s="108" t="e">
        <f t="shared" si="13"/>
        <v>#DIV/0!</v>
      </c>
      <c r="BW26" s="108" t="e">
        <f t="shared" si="13"/>
        <v>#DIV/0!</v>
      </c>
      <c r="BX26" s="108" t="e">
        <f t="shared" si="13"/>
        <v>#DIV/0!</v>
      </c>
      <c r="BY26" s="108" t="e">
        <f t="shared" si="13"/>
        <v>#DIV/0!</v>
      </c>
      <c r="BZ26" s="108" t="e">
        <f t="shared" si="13"/>
        <v>#DIV/0!</v>
      </c>
      <c r="CA26" s="108" t="e">
        <f t="shared" si="13"/>
        <v>#DIV/0!</v>
      </c>
      <c r="CB26" s="108" t="e">
        <f t="shared" si="13"/>
        <v>#DIV/0!</v>
      </c>
      <c r="CC26" s="108" t="e">
        <f t="shared" si="13"/>
        <v>#DIV/0!</v>
      </c>
      <c r="CD26" s="108" t="e">
        <f t="shared" si="13"/>
        <v>#DIV/0!</v>
      </c>
      <c r="CE26" s="108" t="e">
        <f t="shared" si="13"/>
        <v>#DIV/0!</v>
      </c>
      <c r="CF26" s="108" t="e">
        <f t="shared" si="13"/>
        <v>#DIV/0!</v>
      </c>
      <c r="CG26" s="108" t="e">
        <f t="shared" si="13"/>
        <v>#DIV/0!</v>
      </c>
      <c r="CH26" s="108" t="e">
        <f t="shared" si="13"/>
        <v>#DIV/0!</v>
      </c>
      <c r="CI26" s="108" t="e">
        <f t="shared" si="13"/>
        <v>#DIV/0!</v>
      </c>
      <c r="CJ26" s="108" t="e">
        <f t="shared" si="13"/>
        <v>#DIV/0!</v>
      </c>
      <c r="CK26" s="108" t="e">
        <f t="shared" si="13"/>
        <v>#DIV/0!</v>
      </c>
    </row>
    <row r="27" spans="1:90" s="109" customFormat="1" x14ac:dyDescent="0.25">
      <c r="A27" s="144" t="s">
        <v>555</v>
      </c>
      <c r="E27" s="109">
        <f>(E3-I3)/I3</f>
        <v>0.12220491045440537</v>
      </c>
      <c r="F27" s="109">
        <f t="shared" ref="F27:BQ27" si="14">(F3-J3)/J3</f>
        <v>0.39706991393842606</v>
      </c>
      <c r="G27" s="109">
        <f t="shared" si="14"/>
        <v>0.3785889010382027</v>
      </c>
      <c r="H27" s="109">
        <f t="shared" si="14"/>
        <v>0.4094140001876701</v>
      </c>
      <c r="I27" s="109">
        <f t="shared" si="14"/>
        <v>0.40788236712064602</v>
      </c>
      <c r="J27" s="109">
        <f t="shared" si="14"/>
        <v>5.2503793626707131E-2</v>
      </c>
      <c r="K27" s="109">
        <f t="shared" si="14"/>
        <v>4.5577766253359103E-2</v>
      </c>
      <c r="L27" s="109">
        <f t="shared" si="14"/>
        <v>3.1455671699574139E-2</v>
      </c>
      <c r="M27" s="109">
        <f t="shared" si="14"/>
        <v>2.9493876639410371E-2</v>
      </c>
      <c r="N27" s="109">
        <f t="shared" si="14"/>
        <v>0.10870971916655882</v>
      </c>
      <c r="O27" s="109">
        <f t="shared" si="14"/>
        <v>6.7528970645595585E-2</v>
      </c>
      <c r="P27" s="109">
        <f t="shared" si="14"/>
        <v>4.0902679830747531E-2</v>
      </c>
      <c r="Q27" s="109">
        <f t="shared" si="14"/>
        <v>4.5603155245335897E-2</v>
      </c>
      <c r="R27" s="109">
        <f t="shared" si="14"/>
        <v>0.31950136612021857</v>
      </c>
      <c r="S27" s="109">
        <f t="shared" si="14"/>
        <v>0.41574334675264529</v>
      </c>
      <c r="T27" s="109">
        <f t="shared" si="14"/>
        <v>0.45670678015849719</v>
      </c>
      <c r="U27" s="109">
        <f t="shared" si="14"/>
        <v>0.48053245231555292</v>
      </c>
      <c r="V27" s="109">
        <f t="shared" si="14"/>
        <v>0.22687561542812848</v>
      </c>
      <c r="W27" s="109">
        <f t="shared" si="14"/>
        <v>0.18190239589035329</v>
      </c>
      <c r="X27" s="109">
        <f t="shared" si="14"/>
        <v>0.12437605709335424</v>
      </c>
      <c r="Y27" s="109">
        <f t="shared" si="14"/>
        <v>9.6991023641957094E-2</v>
      </c>
      <c r="Z27" s="109">
        <f t="shared" si="14"/>
        <v>1.941395070693264E-2</v>
      </c>
      <c r="AA27" s="109">
        <f t="shared" si="14"/>
        <v>3.9207106288014701E-2</v>
      </c>
      <c r="AB27" s="109">
        <f t="shared" si="14"/>
        <v>3.596230688689929E-2</v>
      </c>
      <c r="AC27" s="109">
        <f t="shared" si="14"/>
        <v>5.375580078602038E-2</v>
      </c>
      <c r="AD27" s="109">
        <f t="shared" si="14"/>
        <v>0.16169209775462101</v>
      </c>
      <c r="AE27" s="109">
        <f t="shared" si="14"/>
        <v>0.168742168921165</v>
      </c>
      <c r="AF27" s="109">
        <f t="shared" si="14"/>
        <v>0.23987283083852165</v>
      </c>
      <c r="AG27" s="109">
        <f t="shared" si="14"/>
        <v>0.34426767752141602</v>
      </c>
      <c r="AH27" s="109">
        <f t="shared" si="14"/>
        <v>0.26845003933910305</v>
      </c>
      <c r="AI27" s="109">
        <f t="shared" si="14"/>
        <v>0.27875874697534497</v>
      </c>
      <c r="AJ27" s="109">
        <f t="shared" si="14"/>
        <v>0.26788713469936176</v>
      </c>
      <c r="AK27" s="109">
        <f t="shared" si="14"/>
        <v>0.16714858038669222</v>
      </c>
      <c r="AL27" s="109">
        <f t="shared" si="14"/>
        <v>1.2942714144537602E-2</v>
      </c>
      <c r="AM27" s="109">
        <f t="shared" si="14"/>
        <v>-1.94619898040976E-2</v>
      </c>
      <c r="AN27" s="109">
        <f t="shared" si="14"/>
        <v>-0.10646216646156617</v>
      </c>
      <c r="AO27" s="109">
        <f t="shared" si="14"/>
        <v>-8.3931705760331904E-2</v>
      </c>
      <c r="AP27" s="109">
        <f t="shared" si="14"/>
        <v>0.27190528321777563</v>
      </c>
      <c r="AQ27" s="109">
        <f t="shared" si="14"/>
        <v>0.27781874795149131</v>
      </c>
      <c r="AR27" s="109">
        <f t="shared" si="14"/>
        <v>0.35876835236541599</v>
      </c>
      <c r="AS27" s="109">
        <f t="shared" si="14"/>
        <v>0.14015937124768038</v>
      </c>
      <c r="AT27" s="109">
        <f t="shared" si="14"/>
        <v>-9.6527218111216936E-2</v>
      </c>
      <c r="AU27" s="109">
        <f t="shared" si="14"/>
        <v>-0.10893691588785047</v>
      </c>
      <c r="AV27" s="109">
        <f t="shared" si="14"/>
        <v>0.68487597059025629</v>
      </c>
      <c r="AW27" s="109">
        <f t="shared" si="14"/>
        <v>0.94281068853386119</v>
      </c>
      <c r="AX27" s="109">
        <f t="shared" si="14"/>
        <v>1.2906771838549971</v>
      </c>
      <c r="AY27" s="109">
        <f t="shared" si="14"/>
        <v>1.5966442316807281</v>
      </c>
      <c r="AZ27" s="109">
        <f t="shared" si="14"/>
        <v>0.34575550212687256</v>
      </c>
      <c r="BA27" s="109">
        <f t="shared" si="14"/>
        <v>5.4963084495488104E-2</v>
      </c>
      <c r="BB27" s="109">
        <f t="shared" si="14"/>
        <v>-4.9226104994415189E-2</v>
      </c>
      <c r="BC27" s="109">
        <f t="shared" si="14"/>
        <v>-0.12861391045762433</v>
      </c>
      <c r="BD27" s="109">
        <f t="shared" si="14"/>
        <v>-5.3810482106920993E-2</v>
      </c>
      <c r="BE27" s="109">
        <f t="shared" si="14"/>
        <v>0.20260089686098653</v>
      </c>
      <c r="BF27" s="109">
        <f t="shared" si="14"/>
        <v>0.10111569884916102</v>
      </c>
      <c r="BG27" s="109">
        <f t="shared" si="14"/>
        <v>0.11720191952750092</v>
      </c>
      <c r="BH27" s="109">
        <f t="shared" si="14"/>
        <v>4.527162977867203E-2</v>
      </c>
      <c r="BI27" s="109">
        <f t="shared" si="14"/>
        <v>1.1337868480725623E-2</v>
      </c>
      <c r="BJ27" s="109">
        <f t="shared" si="14"/>
        <v>7.7221538752720739E-2</v>
      </c>
      <c r="BK27" s="109">
        <f t="shared" si="14"/>
        <v>6.990521327014218E-2</v>
      </c>
      <c r="BL27" s="109">
        <f t="shared" si="14"/>
        <v>0.13729977116704806</v>
      </c>
      <c r="BM27" s="109">
        <f t="shared" si="14"/>
        <v>0.23737373737373738</v>
      </c>
      <c r="BN27" s="109">
        <f t="shared" si="14"/>
        <v>0.46479068477959523</v>
      </c>
      <c r="BO27" s="109">
        <f t="shared" si="14"/>
        <v>0.93467048710601719</v>
      </c>
      <c r="BP27" s="109" t="e">
        <f t="shared" si="14"/>
        <v>#DIV/0!</v>
      </c>
      <c r="BQ27" s="109" t="e">
        <f t="shared" si="14"/>
        <v>#DIV/0!</v>
      </c>
      <c r="BR27" s="109" t="e">
        <f t="shared" ref="BR27:CL27" si="15">(BR3-BV3)/BV3</f>
        <v>#DIV/0!</v>
      </c>
      <c r="BS27" s="109" t="e">
        <f t="shared" si="15"/>
        <v>#DIV/0!</v>
      </c>
      <c r="BT27" s="109" t="e">
        <f t="shared" si="15"/>
        <v>#DIV/0!</v>
      </c>
      <c r="BU27" s="109" t="e">
        <f t="shared" si="15"/>
        <v>#DIV/0!</v>
      </c>
      <c r="BV27" s="109" t="e">
        <f t="shared" si="15"/>
        <v>#DIV/0!</v>
      </c>
      <c r="BW27" s="109" t="e">
        <f t="shared" si="15"/>
        <v>#DIV/0!</v>
      </c>
      <c r="BX27" s="109" t="e">
        <f t="shared" si="15"/>
        <v>#DIV/0!</v>
      </c>
      <c r="BY27" s="109" t="e">
        <f t="shared" si="15"/>
        <v>#DIV/0!</v>
      </c>
      <c r="BZ27" s="109" t="e">
        <f t="shared" si="15"/>
        <v>#DIV/0!</v>
      </c>
      <c r="CA27" s="109" t="e">
        <f t="shared" si="15"/>
        <v>#DIV/0!</v>
      </c>
      <c r="CB27" s="109" t="e">
        <f t="shared" si="15"/>
        <v>#DIV/0!</v>
      </c>
      <c r="CC27" s="109" t="e">
        <f t="shared" si="15"/>
        <v>#DIV/0!</v>
      </c>
      <c r="CD27" s="109" t="e">
        <f t="shared" si="15"/>
        <v>#DIV/0!</v>
      </c>
      <c r="CE27" s="109" t="e">
        <f t="shared" si="15"/>
        <v>#DIV/0!</v>
      </c>
      <c r="CF27" s="109" t="e">
        <f t="shared" si="15"/>
        <v>#DIV/0!</v>
      </c>
      <c r="CG27" s="109" t="e">
        <f t="shared" si="15"/>
        <v>#DIV/0!</v>
      </c>
      <c r="CH27" s="109" t="e">
        <f t="shared" si="15"/>
        <v>#DIV/0!</v>
      </c>
      <c r="CI27" s="109" t="e">
        <f t="shared" si="15"/>
        <v>#DIV/0!</v>
      </c>
      <c r="CJ27" s="109" t="e">
        <f t="shared" si="15"/>
        <v>#DIV/0!</v>
      </c>
      <c r="CK27" s="109" t="e">
        <f t="shared" si="15"/>
        <v>#DIV/0!</v>
      </c>
      <c r="CL27" s="109" t="e">
        <f t="shared" si="15"/>
        <v>#DIV/0!</v>
      </c>
    </row>
    <row r="28" spans="1:90" s="109" customFormat="1" x14ac:dyDescent="0.25">
      <c r="A28" s="144" t="s">
        <v>563</v>
      </c>
      <c r="E28" s="109">
        <f>E3/E9</f>
        <v>0.11940696855669024</v>
      </c>
      <c r="F28" s="109">
        <f t="shared" ref="F28:BQ28" si="16">F3/F9</f>
        <v>0.11553824324931647</v>
      </c>
      <c r="G28" s="109">
        <f t="shared" si="16"/>
        <v>0.11029014561841607</v>
      </c>
      <c r="H28" s="109">
        <f t="shared" si="16"/>
        <v>0.10938912472131769</v>
      </c>
      <c r="I28" s="109">
        <f t="shared" si="16"/>
        <v>0.10808410077807007</v>
      </c>
      <c r="J28" s="109">
        <f t="shared" si="16"/>
        <v>8.4321958609596667E-2</v>
      </c>
      <c r="K28" s="109">
        <f t="shared" si="16"/>
        <v>8.1800871389381954E-2</v>
      </c>
      <c r="L28" s="109">
        <f t="shared" si="16"/>
        <v>7.8300417327925698E-2</v>
      </c>
      <c r="M28" s="109">
        <f t="shared" si="16"/>
        <v>7.6242793369808326E-2</v>
      </c>
      <c r="N28" s="109">
        <f t="shared" si="16"/>
        <v>7.9163986900564046E-2</v>
      </c>
      <c r="O28" s="109">
        <f t="shared" si="16"/>
        <v>7.6532494558457009E-2</v>
      </c>
      <c r="P28" s="109">
        <f t="shared" si="16"/>
        <v>7.3894083002108035E-2</v>
      </c>
      <c r="Q28" s="109">
        <f t="shared" si="16"/>
        <v>7.9178165363126302E-2</v>
      </c>
      <c r="R28" s="109">
        <f t="shared" si="16"/>
        <v>7.5089476686500706E-2</v>
      </c>
      <c r="S28" s="109">
        <f t="shared" si="16"/>
        <v>7.8287268382392777E-2</v>
      </c>
      <c r="T28" s="109">
        <f t="shared" si="16"/>
        <v>7.8057296540660417E-2</v>
      </c>
      <c r="U28" s="109">
        <f t="shared" si="16"/>
        <v>7.9709448007056968E-2</v>
      </c>
      <c r="V28" s="109">
        <f t="shared" si="16"/>
        <v>6.1424210956921237E-2</v>
      </c>
      <c r="W28" s="109">
        <f t="shared" si="16"/>
        <v>6.0731946639664115E-2</v>
      </c>
      <c r="X28" s="109">
        <f t="shared" si="16"/>
        <v>5.9009912565478467E-2</v>
      </c>
      <c r="Y28" s="109">
        <f t="shared" si="16"/>
        <v>6.095414945070899E-2</v>
      </c>
      <c r="Z28" s="109">
        <f t="shared" si="16"/>
        <v>5.7410115900332452E-2</v>
      </c>
      <c r="AA28" s="109">
        <f t="shared" si="16"/>
        <v>5.6130274990841514E-2</v>
      </c>
      <c r="AB28" s="109">
        <f t="shared" si="16"/>
        <v>5.7086136694933814E-2</v>
      </c>
      <c r="AC28" s="109">
        <f t="shared" si="16"/>
        <v>6.1941704995745084E-2</v>
      </c>
      <c r="AD28" s="109">
        <f t="shared" si="16"/>
        <v>6.2412856339259769E-2</v>
      </c>
      <c r="AE28" s="109">
        <f t="shared" si="16"/>
        <v>6.1314123202403946E-2</v>
      </c>
      <c r="AF28" s="109">
        <f t="shared" si="16"/>
        <v>6.4152159013022625E-2</v>
      </c>
      <c r="AG28" s="109">
        <f t="shared" si="16"/>
        <v>6.6175120082636249E-2</v>
      </c>
      <c r="AH28" s="109">
        <f t="shared" si="16"/>
        <v>5.9672302013949449E-2</v>
      </c>
      <c r="AI28" s="109">
        <f t="shared" si="16"/>
        <v>5.8339922127907153E-2</v>
      </c>
      <c r="AJ28" s="109">
        <f t="shared" si="16"/>
        <v>5.759333263144082E-2</v>
      </c>
      <c r="AK28" s="109">
        <f t="shared" si="16"/>
        <v>5.2954518512664479E-2</v>
      </c>
      <c r="AL28" s="109">
        <f t="shared" si="16"/>
        <v>5.1370388992267361E-2</v>
      </c>
      <c r="AM28" s="109">
        <f t="shared" si="16"/>
        <v>5.1423209889829027E-2</v>
      </c>
      <c r="AN28" s="109">
        <f t="shared" si="16"/>
        <v>5.2411325916758067E-2</v>
      </c>
      <c r="AO28" s="109">
        <f t="shared" si="16"/>
        <v>4.8880374627501062E-2</v>
      </c>
      <c r="AP28" s="109">
        <f t="shared" si="16"/>
        <v>5.157381604149712E-2</v>
      </c>
      <c r="AQ28" s="109">
        <f t="shared" si="16"/>
        <v>5.5165351016054888E-2</v>
      </c>
      <c r="AR28" s="109">
        <f t="shared" si="16"/>
        <v>6.0393754882962968E-2</v>
      </c>
      <c r="AS28" s="109">
        <f t="shared" si="16"/>
        <v>6.0748288637249258E-2</v>
      </c>
      <c r="AT28" s="109">
        <f t="shared" si="16"/>
        <v>5.1894246246751742E-2</v>
      </c>
      <c r="AU28" s="109">
        <f t="shared" si="16"/>
        <v>5.1281297075613019E-2</v>
      </c>
      <c r="AV28" s="109">
        <f t="shared" si="16"/>
        <v>5.2748538766518874E-2</v>
      </c>
      <c r="AW28" s="109">
        <f t="shared" si="16"/>
        <v>6.1144668780243619E-2</v>
      </c>
      <c r="AX28" s="109">
        <f t="shared" si="16"/>
        <v>6.1206278026905828E-2</v>
      </c>
      <c r="AY28" s="109">
        <f t="shared" si="16"/>
        <v>6.2649522215055833E-2</v>
      </c>
      <c r="AZ28" s="109">
        <f t="shared" si="16"/>
        <v>3.4722338204592904E-2</v>
      </c>
      <c r="BA28" s="109">
        <f t="shared" si="16"/>
        <v>3.568932675690336E-2</v>
      </c>
      <c r="BB28" s="109">
        <f t="shared" si="16"/>
        <v>3.0402294012148671E-2</v>
      </c>
      <c r="BC28" s="109">
        <f t="shared" si="16"/>
        <v>2.7251145044083873E-2</v>
      </c>
      <c r="BD28" s="109">
        <f t="shared" si="16"/>
        <v>2.8530723161755006E-2</v>
      </c>
      <c r="BE28" s="109">
        <f t="shared" si="16"/>
        <v>3.733381593418067E-2</v>
      </c>
      <c r="BF28" s="109">
        <f t="shared" si="16"/>
        <v>3.714096914994177E-2</v>
      </c>
      <c r="BG28" s="109">
        <f t="shared" si="16"/>
        <v>3.6981371848213249E-2</v>
      </c>
      <c r="BH28" s="109">
        <f t="shared" si="16"/>
        <v>3.6151476235362592E-2</v>
      </c>
      <c r="BI28" s="109">
        <f t="shared" si="16"/>
        <v>3.7197540625385737E-2</v>
      </c>
      <c r="BJ28" s="109">
        <f t="shared" si="16"/>
        <v>3.8848636048722053E-2</v>
      </c>
      <c r="BK28" s="109">
        <f t="shared" si="16"/>
        <v>3.6528756788462902E-2</v>
      </c>
      <c r="BL28" s="109">
        <f t="shared" si="16"/>
        <v>3.6866452674453105E-2</v>
      </c>
      <c r="BM28" s="109">
        <f t="shared" si="16"/>
        <v>3.8129658130003977E-2</v>
      </c>
      <c r="BN28" s="109">
        <f t="shared" si="16"/>
        <v>3.7102578957532349E-2</v>
      </c>
      <c r="BO28" s="109">
        <f t="shared" si="16"/>
        <v>3.4914626705138944E-2</v>
      </c>
      <c r="BP28" s="109">
        <f t="shared" si="16"/>
        <v>3.3298813032741174E-2</v>
      </c>
      <c r="BQ28" s="109">
        <f t="shared" si="16"/>
        <v>3.0904342216163908E-2</v>
      </c>
      <c r="BR28" s="109">
        <f t="shared" ref="BR28:CK28" si="17">BR3/BR9</f>
        <v>2.3764502803381188E-2</v>
      </c>
      <c r="BS28" s="109">
        <f t="shared" si="17"/>
        <v>1.8771783875270731E-2</v>
      </c>
      <c r="BT28" s="109" t="e">
        <f t="shared" si="17"/>
        <v>#DIV/0!</v>
      </c>
      <c r="BU28" s="109" t="e">
        <f t="shared" si="17"/>
        <v>#DIV/0!</v>
      </c>
      <c r="BV28" s="109" t="e">
        <f t="shared" si="17"/>
        <v>#DIV/0!</v>
      </c>
      <c r="BW28" s="109" t="e">
        <f t="shared" si="17"/>
        <v>#DIV/0!</v>
      </c>
      <c r="BX28" s="109" t="e">
        <f t="shared" si="17"/>
        <v>#DIV/0!</v>
      </c>
      <c r="BY28" s="109" t="e">
        <f t="shared" si="17"/>
        <v>#DIV/0!</v>
      </c>
      <c r="BZ28" s="109" t="e">
        <f t="shared" si="17"/>
        <v>#DIV/0!</v>
      </c>
      <c r="CA28" s="109" t="e">
        <f t="shared" si="17"/>
        <v>#DIV/0!</v>
      </c>
      <c r="CB28" s="109" t="e">
        <f t="shared" si="17"/>
        <v>#DIV/0!</v>
      </c>
      <c r="CC28" s="109" t="e">
        <f t="shared" si="17"/>
        <v>#DIV/0!</v>
      </c>
      <c r="CD28" s="109" t="e">
        <f t="shared" si="17"/>
        <v>#DIV/0!</v>
      </c>
      <c r="CE28" s="109" t="e">
        <f t="shared" si="17"/>
        <v>#DIV/0!</v>
      </c>
      <c r="CF28" s="109" t="e">
        <f t="shared" si="17"/>
        <v>#DIV/0!</v>
      </c>
      <c r="CG28" s="109" t="e">
        <f t="shared" si="17"/>
        <v>#DIV/0!</v>
      </c>
      <c r="CH28" s="109" t="e">
        <f t="shared" si="17"/>
        <v>#DIV/0!</v>
      </c>
      <c r="CI28" s="109" t="e">
        <f t="shared" si="17"/>
        <v>#DIV/0!</v>
      </c>
      <c r="CJ28" s="109" t="e">
        <f t="shared" si="17"/>
        <v>#DIV/0!</v>
      </c>
      <c r="CK28" s="109" t="e">
        <f t="shared" si="17"/>
        <v>#DIV/0!</v>
      </c>
    </row>
    <row r="29" spans="1:90" s="108" customFormat="1" x14ac:dyDescent="0.25">
      <c r="A29" s="143" t="s">
        <v>572</v>
      </c>
      <c r="E29" s="108">
        <f>(E4-I4)/I4</f>
        <v>0.27015729921029957</v>
      </c>
      <c r="F29" s="108">
        <f t="shared" ref="F29:BQ29" si="18">(F4-J4)/J4</f>
        <v>0.27034785951088264</v>
      </c>
      <c r="G29" s="108">
        <f t="shared" si="18"/>
        <v>0.43702737940026076</v>
      </c>
      <c r="H29" s="108">
        <f t="shared" si="18"/>
        <v>0.67431946046056535</v>
      </c>
      <c r="I29" s="108">
        <f t="shared" si="18"/>
        <v>0.69629656471952461</v>
      </c>
      <c r="J29" s="108">
        <f t="shared" si="18"/>
        <v>1.5961082699264064</v>
      </c>
      <c r="K29" s="108">
        <f t="shared" si="18"/>
        <v>1.2758893541261416</v>
      </c>
      <c r="L29" s="108">
        <f t="shared" si="18"/>
        <v>1.1304299274148519</v>
      </c>
      <c r="M29" s="108">
        <f t="shared" si="18"/>
        <v>9.4572618496727712E-2</v>
      </c>
      <c r="N29" s="108">
        <f t="shared" si="18"/>
        <v>1.1997530525449307</v>
      </c>
      <c r="O29" s="108">
        <f t="shared" si="18"/>
        <v>-25.072222222222223</v>
      </c>
      <c r="P29" s="108">
        <f t="shared" si="18"/>
        <v>-14.741687979539641</v>
      </c>
      <c r="Q29" s="108">
        <f t="shared" si="18"/>
        <v>0.5114001958315848</v>
      </c>
      <c r="R29" s="108">
        <f t="shared" si="18"/>
        <v>-3.6660570592538404</v>
      </c>
      <c r="S29" s="108">
        <f t="shared" si="18"/>
        <v>-0.88480526604498078</v>
      </c>
      <c r="T29" s="108">
        <f t="shared" si="18"/>
        <v>-0.9034853870458136</v>
      </c>
      <c r="U29" s="108">
        <f t="shared" si="18"/>
        <v>0.15733117483811285</v>
      </c>
      <c r="V29" s="108">
        <f t="shared" si="18"/>
        <v>-1.7940749346500144</v>
      </c>
      <c r="W29" s="108">
        <f t="shared" si="18"/>
        <v>-0.532643992479918</v>
      </c>
      <c r="X29" s="108">
        <f t="shared" si="18"/>
        <v>-0.39271473542197571</v>
      </c>
      <c r="Y29" s="108">
        <f t="shared" si="18"/>
        <v>-6.6272214904230284E-2</v>
      </c>
      <c r="Z29" s="108">
        <f t="shared" si="18"/>
        <v>-0.30331849453662485</v>
      </c>
      <c r="AA29" s="108">
        <f t="shared" si="18"/>
        <v>2.8123472878318942</v>
      </c>
      <c r="AB29" s="108">
        <f t="shared" si="18"/>
        <v>-2.8935566278739708</v>
      </c>
      <c r="AC29" s="108">
        <f t="shared" si="18"/>
        <v>-0.20824428525021799</v>
      </c>
      <c r="AD29" s="108">
        <f t="shared" si="18"/>
        <v>-0.43875986599284539</v>
      </c>
      <c r="AE29" s="108">
        <f t="shared" si="18"/>
        <v>-1.5728816722657708</v>
      </c>
      <c r="AF29" s="108">
        <f t="shared" si="18"/>
        <v>2.6934064012126158E-2</v>
      </c>
      <c r="AG29" s="108">
        <f t="shared" si="18"/>
        <v>0.17959422394320748</v>
      </c>
      <c r="AH29" s="108">
        <f t="shared" si="18"/>
        <v>-0.33533363526570048</v>
      </c>
      <c r="AI29" s="108">
        <f t="shared" si="18"/>
        <v>-0.72679295311424419</v>
      </c>
      <c r="AJ29" s="108">
        <f t="shared" si="18"/>
        <v>-0.63937769368232944</v>
      </c>
      <c r="AK29" s="108">
        <f t="shared" si="18"/>
        <v>1.5502237309057245</v>
      </c>
      <c r="AL29" s="108">
        <f t="shared" si="18"/>
        <v>-1.8961038961038961</v>
      </c>
      <c r="AM29" s="108">
        <f t="shared" si="18"/>
        <v>10.385486211901306</v>
      </c>
      <c r="AN29" s="108">
        <f t="shared" si="18"/>
        <v>1.4871888726207907</v>
      </c>
      <c r="AO29" s="108">
        <f t="shared" si="18"/>
        <v>-0.30788124733020078</v>
      </c>
      <c r="AP29" s="108">
        <f t="shared" si="18"/>
        <v>-2.369015649597185</v>
      </c>
      <c r="AQ29" s="108">
        <f t="shared" si="18"/>
        <v>-0.64013370939099545</v>
      </c>
      <c r="AR29" s="108">
        <f t="shared" si="18"/>
        <v>0.3894216797442604</v>
      </c>
      <c r="AS29" s="108">
        <f t="shared" si="18"/>
        <v>1.4014361429304154</v>
      </c>
      <c r="AT29" s="108">
        <f t="shared" si="18"/>
        <v>-1.9531332744924979</v>
      </c>
      <c r="AU29" s="108">
        <f t="shared" si="18"/>
        <v>-1.5061865482233503</v>
      </c>
      <c r="AV29" s="108">
        <f t="shared" si="18"/>
        <v>-1.6830430251600417</v>
      </c>
      <c r="AW29" s="108">
        <f t="shared" si="18"/>
        <v>-4.9762066621346026</v>
      </c>
      <c r="AX29" s="108">
        <f t="shared" si="18"/>
        <v>1.2294372294372293</v>
      </c>
      <c r="AY29" s="108">
        <f t="shared" si="18"/>
        <v>0.34004109686105011</v>
      </c>
      <c r="AZ29" s="108">
        <f t="shared" si="18"/>
        <v>2.06339312861052</v>
      </c>
      <c r="BA29" s="108">
        <f t="shared" si="18"/>
        <v>-2.5149330587023688</v>
      </c>
      <c r="BB29" s="108">
        <f t="shared" si="18"/>
        <v>0.72505091649694497</v>
      </c>
      <c r="BC29" s="108">
        <f t="shared" si="18"/>
        <v>2.0021272069772387</v>
      </c>
      <c r="BD29" s="108">
        <f t="shared" si="18"/>
        <v>-3.3687432481094706</v>
      </c>
      <c r="BE29" s="108">
        <f t="shared" si="18"/>
        <v>-0.81782363977485928</v>
      </c>
      <c r="BF29" s="108">
        <f t="shared" si="18"/>
        <v>-3.9081934846989141</v>
      </c>
      <c r="BG29" s="108">
        <f t="shared" si="18"/>
        <v>-19.729083665338646</v>
      </c>
      <c r="BH29" s="108">
        <f t="shared" si="18"/>
        <v>-2.0435926343479895</v>
      </c>
      <c r="BI29" s="108">
        <f t="shared" si="18"/>
        <v>-7.9220779220779223</v>
      </c>
      <c r="BJ29" s="108">
        <f t="shared" si="18"/>
        <v>-1.8049264998013508</v>
      </c>
      <c r="BK29" s="108">
        <f t="shared" si="18"/>
        <v>-1.030509298650784</v>
      </c>
      <c r="BL29" s="108">
        <f t="shared" si="18"/>
        <v>-0.72390537455903714</v>
      </c>
      <c r="BM29" s="108">
        <f t="shared" si="18"/>
        <v>-0.87767098260386056</v>
      </c>
      <c r="BN29" s="108">
        <f t="shared" si="18"/>
        <v>-0.94490774180839188</v>
      </c>
      <c r="BO29" s="108">
        <f t="shared" si="18"/>
        <v>-0.71439977782406439</v>
      </c>
      <c r="BP29" s="108" t="e">
        <f t="shared" si="18"/>
        <v>#DIV/0!</v>
      </c>
      <c r="BQ29" s="108" t="e">
        <f t="shared" si="18"/>
        <v>#DIV/0!</v>
      </c>
      <c r="BR29" s="108" t="e">
        <f t="shared" ref="BR29:CK29" si="19">(BR4-BV4)/BV4</f>
        <v>#DIV/0!</v>
      </c>
      <c r="BS29" s="108" t="e">
        <f t="shared" si="19"/>
        <v>#DIV/0!</v>
      </c>
      <c r="BT29" s="108" t="e">
        <f t="shared" si="19"/>
        <v>#DIV/0!</v>
      </c>
      <c r="BU29" s="108" t="e">
        <f t="shared" si="19"/>
        <v>#DIV/0!</v>
      </c>
      <c r="BV29" s="108" t="e">
        <f t="shared" si="19"/>
        <v>#DIV/0!</v>
      </c>
      <c r="BW29" s="108" t="e">
        <f t="shared" si="19"/>
        <v>#DIV/0!</v>
      </c>
      <c r="BX29" s="108" t="e">
        <f t="shared" si="19"/>
        <v>#DIV/0!</v>
      </c>
      <c r="BY29" s="108" t="e">
        <f t="shared" si="19"/>
        <v>#DIV/0!</v>
      </c>
      <c r="BZ29" s="108" t="e">
        <f t="shared" si="19"/>
        <v>#DIV/0!</v>
      </c>
      <c r="CA29" s="108" t="e">
        <f t="shared" si="19"/>
        <v>#DIV/0!</v>
      </c>
      <c r="CB29" s="108" t="e">
        <f t="shared" si="19"/>
        <v>#DIV/0!</v>
      </c>
      <c r="CC29" s="108" t="e">
        <f t="shared" si="19"/>
        <v>#DIV/0!</v>
      </c>
      <c r="CD29" s="108" t="e">
        <f t="shared" si="19"/>
        <v>#DIV/0!</v>
      </c>
      <c r="CE29" s="108" t="e">
        <f t="shared" si="19"/>
        <v>#DIV/0!</v>
      </c>
      <c r="CF29" s="108" t="e">
        <f t="shared" si="19"/>
        <v>#DIV/0!</v>
      </c>
      <c r="CG29" s="108" t="e">
        <f t="shared" si="19"/>
        <v>#DIV/0!</v>
      </c>
      <c r="CH29" s="108" t="e">
        <f t="shared" si="19"/>
        <v>#DIV/0!</v>
      </c>
      <c r="CI29" s="108" t="e">
        <f t="shared" si="19"/>
        <v>#DIV/0!</v>
      </c>
      <c r="CJ29" s="108" t="e">
        <f t="shared" si="19"/>
        <v>#DIV/0!</v>
      </c>
      <c r="CK29" s="108" t="e">
        <f t="shared" si="19"/>
        <v>#DIV/0!</v>
      </c>
    </row>
    <row r="30" spans="1:90" s="108" customFormat="1" x14ac:dyDescent="0.25">
      <c r="A30" s="143" t="s">
        <v>556</v>
      </c>
      <c r="E30" s="108">
        <f>(E5-I5)/I5</f>
        <v>0.15971367565724115</v>
      </c>
      <c r="F30" s="108">
        <f t="shared" ref="F30:BQ30" si="20">(F5-J5)/J5</f>
        <v>8.951277057305275E-2</v>
      </c>
      <c r="G30" s="108">
        <f t="shared" si="20"/>
        <v>9.7861744887102493E-3</v>
      </c>
      <c r="H30" s="108">
        <f t="shared" si="20"/>
        <v>0.1394935565952557</v>
      </c>
      <c r="I30" s="108">
        <f t="shared" si="20"/>
        <v>2.2422000545768775E-2</v>
      </c>
      <c r="J30" s="108">
        <f t="shared" si="20"/>
        <v>-9.7920602214738972E-2</v>
      </c>
      <c r="K30" s="108">
        <f t="shared" si="20"/>
        <v>-0.15765889118474447</v>
      </c>
      <c r="L30" s="108">
        <f t="shared" si="20"/>
        <v>-0.1403410975239735</v>
      </c>
      <c r="M30" s="108">
        <f t="shared" si="20"/>
        <v>-0.24624332941001703</v>
      </c>
      <c r="N30" s="108">
        <f t="shared" si="20"/>
        <v>-0.27301354891133628</v>
      </c>
      <c r="O30" s="108">
        <f t="shared" si="20"/>
        <v>-0.20923662957512881</v>
      </c>
      <c r="P30" s="108">
        <f t="shared" si="20"/>
        <v>-0.26405737194134021</v>
      </c>
      <c r="Q30" s="108">
        <f t="shared" si="20"/>
        <v>-2.1974859531333383E-2</v>
      </c>
      <c r="R30" s="108">
        <f t="shared" si="20"/>
        <v>5.6379048867510058E-2</v>
      </c>
      <c r="S30" s="108">
        <f t="shared" si="20"/>
        <v>0.14879927631485956</v>
      </c>
      <c r="T30" s="108">
        <f t="shared" si="20"/>
        <v>3.9060265797581595E-2</v>
      </c>
      <c r="U30" s="108">
        <f t="shared" si="20"/>
        <v>7.1946496868701082E-2</v>
      </c>
      <c r="V30" s="108">
        <f t="shared" si="20"/>
        <v>0.11844220057419086</v>
      </c>
      <c r="W30" s="108">
        <f t="shared" si="20"/>
        <v>7.2120236763863504E-2</v>
      </c>
      <c r="X30" s="108">
        <f t="shared" si="20"/>
        <v>1.2220665623472416E-2</v>
      </c>
      <c r="Y30" s="108">
        <f t="shared" si="20"/>
        <v>0.1041565390504347</v>
      </c>
      <c r="Z30" s="108">
        <f t="shared" si="20"/>
        <v>6.2320380061127799E-2</v>
      </c>
      <c r="AA30" s="108">
        <f t="shared" si="20"/>
        <v>3.9717027210134079E-2</v>
      </c>
      <c r="AB30" s="108">
        <f t="shared" si="20"/>
        <v>0.25555201250810045</v>
      </c>
      <c r="AC30" s="108">
        <f t="shared" si="20"/>
        <v>0.30729756603692016</v>
      </c>
      <c r="AD30" s="108">
        <f t="shared" si="20"/>
        <v>0.31443965701852822</v>
      </c>
      <c r="AE30" s="108">
        <f t="shared" si="20"/>
        <v>0.36116615624812348</v>
      </c>
      <c r="AF30" s="108">
        <f t="shared" si="20"/>
        <v>0.23183196627837238</v>
      </c>
      <c r="AG30" s="108">
        <f t="shared" si="20"/>
        <v>0.29052595167292466</v>
      </c>
      <c r="AH30" s="108">
        <f t="shared" si="20"/>
        <v>0.205174131407659</v>
      </c>
      <c r="AI30" s="108">
        <f t="shared" si="20"/>
        <v>0.31512830203579706</v>
      </c>
      <c r="AJ30" s="108">
        <f t="shared" si="20"/>
        <v>0.5484254929531408</v>
      </c>
      <c r="AK30" s="108">
        <f t="shared" si="20"/>
        <v>0.27746299186783269</v>
      </c>
      <c r="AL30" s="108">
        <f t="shared" si="20"/>
        <v>-0.17009154425781467</v>
      </c>
      <c r="AM30" s="108">
        <f t="shared" si="20"/>
        <v>-0.29164851938130076</v>
      </c>
      <c r="AN30" s="108">
        <f t="shared" si="20"/>
        <v>-0.24132062458755291</v>
      </c>
      <c r="AO30" s="108">
        <f t="shared" si="20"/>
        <v>-0.18977773414717244</v>
      </c>
      <c r="AP30" s="108">
        <f t="shared" si="20"/>
        <v>0.44922956580041967</v>
      </c>
      <c r="AQ30" s="108">
        <f t="shared" si="20"/>
        <v>0.53796566006661506</v>
      </c>
      <c r="AR30" s="108">
        <f t="shared" si="20"/>
        <v>0.42043316160042848</v>
      </c>
      <c r="AS30" s="108">
        <f t="shared" si="20"/>
        <v>0.29835728798818389</v>
      </c>
      <c r="AT30" s="108">
        <f t="shared" si="20"/>
        <v>1.1434348254707799E-2</v>
      </c>
      <c r="AU30" s="108">
        <f t="shared" si="20"/>
        <v>8.0704504097652979E-2</v>
      </c>
      <c r="AV30" s="108">
        <f t="shared" si="20"/>
        <v>6.6263222492603914E-3</v>
      </c>
      <c r="AW30" s="108">
        <f t="shared" si="20"/>
        <v>4.8981903121534574E-2</v>
      </c>
      <c r="AX30" s="108">
        <f t="shared" si="20"/>
        <v>0.3396450201884253</v>
      </c>
      <c r="AY30" s="108">
        <f t="shared" si="20"/>
        <v>0.25485653329777569</v>
      </c>
      <c r="AZ30" s="108">
        <f t="shared" si="20"/>
        <v>0.29142883320353657</v>
      </c>
      <c r="BA30" s="108">
        <f t="shared" si="20"/>
        <v>0.28724588968980319</v>
      </c>
      <c r="BB30" s="108">
        <f t="shared" si="20"/>
        <v>0.20687904814115449</v>
      </c>
      <c r="BC30" s="108">
        <f t="shared" si="20"/>
        <v>0.19952216246476198</v>
      </c>
      <c r="BD30" s="108">
        <f t="shared" si="20"/>
        <v>0.24444165735525505</v>
      </c>
      <c r="BE30" s="108">
        <f t="shared" si="20"/>
        <v>0.24226227157823249</v>
      </c>
      <c r="BF30" s="108">
        <f t="shared" si="20"/>
        <v>0.24223774812722274</v>
      </c>
      <c r="BG30" s="108">
        <f t="shared" si="20"/>
        <v>0.20754215907581994</v>
      </c>
      <c r="BH30" s="108">
        <f t="shared" si="20"/>
        <v>2.0786778398510241E-2</v>
      </c>
      <c r="BI30" s="108">
        <f t="shared" si="20"/>
        <v>-9.7514197469363347E-3</v>
      </c>
      <c r="BJ30" s="108">
        <f t="shared" si="20"/>
        <v>-6.0942681193747038E-2</v>
      </c>
      <c r="BK30" s="108">
        <f t="shared" si="20"/>
        <v>-7.0507713884992981E-2</v>
      </c>
      <c r="BL30" s="108">
        <f t="shared" si="20"/>
        <v>1.5062909799751905E-2</v>
      </c>
      <c r="BM30" s="108">
        <f t="shared" si="20"/>
        <v>-4.2898861672328509E-2</v>
      </c>
      <c r="BN30" s="108">
        <f t="shared" si="20"/>
        <v>-0.20877061469265368</v>
      </c>
      <c r="BO30" s="108">
        <f t="shared" si="20"/>
        <v>-1.4332953628028887E-2</v>
      </c>
      <c r="BP30" s="108" t="e">
        <f t="shared" si="20"/>
        <v>#DIV/0!</v>
      </c>
      <c r="BQ30" s="108" t="e">
        <f t="shared" si="20"/>
        <v>#DIV/0!</v>
      </c>
      <c r="BR30" s="108" t="e">
        <f t="shared" ref="BR30:CK30" si="21">(BR5-BV5)/BV5</f>
        <v>#DIV/0!</v>
      </c>
      <c r="BS30" s="108" t="e">
        <f t="shared" si="21"/>
        <v>#DIV/0!</v>
      </c>
      <c r="BT30" s="108" t="e">
        <f t="shared" si="21"/>
        <v>#DIV/0!</v>
      </c>
      <c r="BU30" s="108" t="e">
        <f t="shared" si="21"/>
        <v>#DIV/0!</v>
      </c>
      <c r="BV30" s="108" t="e">
        <f t="shared" si="21"/>
        <v>#DIV/0!</v>
      </c>
      <c r="BW30" s="108" t="e">
        <f t="shared" si="21"/>
        <v>#DIV/0!</v>
      </c>
      <c r="BX30" s="108" t="e">
        <f t="shared" si="21"/>
        <v>#DIV/0!</v>
      </c>
      <c r="BY30" s="108" t="e">
        <f t="shared" si="21"/>
        <v>#DIV/0!</v>
      </c>
      <c r="BZ30" s="108" t="e">
        <f t="shared" si="21"/>
        <v>#DIV/0!</v>
      </c>
      <c r="CA30" s="108" t="e">
        <f t="shared" si="21"/>
        <v>#DIV/0!</v>
      </c>
      <c r="CB30" s="108" t="e">
        <f t="shared" si="21"/>
        <v>#DIV/0!</v>
      </c>
      <c r="CC30" s="108" t="e">
        <f t="shared" si="21"/>
        <v>#DIV/0!</v>
      </c>
      <c r="CD30" s="108" t="e">
        <f t="shared" si="21"/>
        <v>#DIV/0!</v>
      </c>
      <c r="CE30" s="108" t="e">
        <f t="shared" si="21"/>
        <v>#DIV/0!</v>
      </c>
      <c r="CF30" s="108" t="e">
        <f t="shared" si="21"/>
        <v>#DIV/0!</v>
      </c>
      <c r="CG30" s="108" t="e">
        <f t="shared" si="21"/>
        <v>#DIV/0!</v>
      </c>
      <c r="CH30" s="108" t="e">
        <f t="shared" si="21"/>
        <v>#DIV/0!</v>
      </c>
      <c r="CI30" s="108" t="e">
        <f t="shared" si="21"/>
        <v>#DIV/0!</v>
      </c>
      <c r="CJ30" s="108" t="e">
        <f t="shared" si="21"/>
        <v>#DIV/0!</v>
      </c>
      <c r="CK30" s="108" t="e">
        <f t="shared" si="21"/>
        <v>#DIV/0!</v>
      </c>
    </row>
    <row r="31" spans="1:90" s="108" customFormat="1" x14ac:dyDescent="0.25">
      <c r="A31" s="143" t="s">
        <v>557</v>
      </c>
      <c r="E31" s="108">
        <f>(E6-I6)/I6</f>
        <v>0.19752460403172134</v>
      </c>
      <c r="F31" s="108">
        <f t="shared" ref="F31:BQ31" si="22">(F6-J6)/J6</f>
        <v>0.13433711264083081</v>
      </c>
      <c r="G31" s="108">
        <f t="shared" si="22"/>
        <v>9.6600710000647599E-2</v>
      </c>
      <c r="H31" s="108">
        <f t="shared" si="22"/>
        <v>0.24122448436991101</v>
      </c>
      <c r="I31" s="108">
        <f t="shared" si="22"/>
        <v>0.18336525923447075</v>
      </c>
      <c r="J31" s="108">
        <f t="shared" si="22"/>
        <v>7.6138814037763416E-2</v>
      </c>
      <c r="K31" s="108">
        <f t="shared" si="22"/>
        <v>-3.4022116508332791E-2</v>
      </c>
      <c r="L31" s="108">
        <f t="shared" si="22"/>
        <v>-3.0321975617380433E-2</v>
      </c>
      <c r="M31" s="108">
        <f t="shared" si="22"/>
        <v>-0.18568686733430589</v>
      </c>
      <c r="N31" s="108">
        <f t="shared" si="22"/>
        <v>-0.21930836095303607</v>
      </c>
      <c r="O31" s="108">
        <f t="shared" si="22"/>
        <v>-0.1319084127744235</v>
      </c>
      <c r="P31" s="108">
        <f t="shared" si="22"/>
        <v>-0.19019210242679047</v>
      </c>
      <c r="Q31" s="108">
        <f t="shared" si="22"/>
        <v>4.3453641604894691E-2</v>
      </c>
      <c r="R31" s="108">
        <f t="shared" si="22"/>
        <v>0.11304921611154575</v>
      </c>
      <c r="S31" s="108">
        <f t="shared" si="22"/>
        <v>0.18177866846359614</v>
      </c>
      <c r="T31" s="108">
        <f t="shared" si="22"/>
        <v>9.3546840486070287E-2</v>
      </c>
      <c r="U31" s="108">
        <f t="shared" si="22"/>
        <v>8.1736391189175001E-2</v>
      </c>
      <c r="V31" s="108">
        <f t="shared" si="22"/>
        <v>7.8883181640683669E-2</v>
      </c>
      <c r="W31" s="108">
        <f t="shared" si="22"/>
        <v>0.11829258347061605</v>
      </c>
      <c r="X31" s="108">
        <f t="shared" si="22"/>
        <v>5.2802047904623409E-2</v>
      </c>
      <c r="Y31" s="108">
        <f t="shared" si="22"/>
        <v>8.1522798967593915E-2</v>
      </c>
      <c r="Z31" s="108">
        <f t="shared" si="22"/>
        <v>5.0911983635433831E-2</v>
      </c>
      <c r="AA31" s="108">
        <f t="shared" si="22"/>
        <v>-1.497721766289853E-2</v>
      </c>
      <c r="AB31" s="108">
        <f t="shared" si="22"/>
        <v>7.6186842394572962E-2</v>
      </c>
      <c r="AC31" s="108">
        <f t="shared" si="22"/>
        <v>0.20324776828077393</v>
      </c>
      <c r="AD31" s="108">
        <f t="shared" si="22"/>
        <v>0.26161223132464861</v>
      </c>
      <c r="AE31" s="108">
        <f t="shared" si="22"/>
        <v>0.27617711947116763</v>
      </c>
      <c r="AF31" s="108">
        <f t="shared" si="22"/>
        <v>0.2179902723352303</v>
      </c>
      <c r="AG31" s="108">
        <f t="shared" si="22"/>
        <v>0.26648777865667922</v>
      </c>
      <c r="AH31" s="108">
        <f t="shared" si="22"/>
        <v>0.14014503085424718</v>
      </c>
      <c r="AI31" s="108">
        <f t="shared" si="22"/>
        <v>0.126364896073903</v>
      </c>
      <c r="AJ31" s="108">
        <f t="shared" si="22"/>
        <v>0.26659849354018056</v>
      </c>
      <c r="AK31" s="108">
        <f t="shared" si="22"/>
        <v>0.43236932707355241</v>
      </c>
      <c r="AL31" s="108">
        <f t="shared" si="22"/>
        <v>8.0237012620725856E-2</v>
      </c>
      <c r="AM31" s="108">
        <f t="shared" si="22"/>
        <v>-0.14667024027243489</v>
      </c>
      <c r="AN31" s="108">
        <f t="shared" si="22"/>
        <v>-9.1518818117961614E-2</v>
      </c>
      <c r="AO31" s="108">
        <f t="shared" si="22"/>
        <v>-0.20626245261175677</v>
      </c>
      <c r="AP31" s="108">
        <f t="shared" si="22"/>
        <v>0.11602509360835578</v>
      </c>
      <c r="AQ31" s="108">
        <f t="shared" si="22"/>
        <v>0.47250999715610653</v>
      </c>
      <c r="AR31" s="108">
        <f t="shared" si="22"/>
        <v>0.41769085967966796</v>
      </c>
      <c r="AS31" s="108">
        <f t="shared" si="22"/>
        <v>0.3873031190763398</v>
      </c>
      <c r="AT31" s="108">
        <f t="shared" si="22"/>
        <v>0.33733537339765879</v>
      </c>
      <c r="AU31" s="108">
        <f t="shared" si="22"/>
        <v>0.30864638240342696</v>
      </c>
      <c r="AV31" s="108">
        <f t="shared" si="22"/>
        <v>0.2884803231734574</v>
      </c>
      <c r="AW31" s="108">
        <f t="shared" si="22"/>
        <v>0.16800985451705622</v>
      </c>
      <c r="AX31" s="108">
        <f t="shared" si="22"/>
        <v>0.25645719121380478</v>
      </c>
      <c r="AY31" s="108">
        <f t="shared" si="22"/>
        <v>0.24350207782395164</v>
      </c>
      <c r="AZ31" s="108">
        <f t="shared" si="22"/>
        <v>0.17778622753907203</v>
      </c>
      <c r="BA31" s="108">
        <f t="shared" si="22"/>
        <v>0.23321551261939277</v>
      </c>
      <c r="BB31" s="108">
        <f t="shared" si="22"/>
        <v>0.17391210452434941</v>
      </c>
      <c r="BC31" s="108">
        <f t="shared" si="22"/>
        <v>0.11063325396242644</v>
      </c>
      <c r="BD31" s="108">
        <f t="shared" si="22"/>
        <v>0.133549948609131</v>
      </c>
      <c r="BE31" s="108">
        <f t="shared" si="22"/>
        <v>0.11694187838931831</v>
      </c>
      <c r="BF31" s="108">
        <f t="shared" si="22"/>
        <v>0.13883423512051155</v>
      </c>
      <c r="BG31" s="108">
        <f t="shared" si="22"/>
        <v>0.14731863476628315</v>
      </c>
      <c r="BH31" s="108">
        <f t="shared" si="22"/>
        <v>8.6765394732101028E-2</v>
      </c>
      <c r="BI31" s="108">
        <f t="shared" si="22"/>
        <v>0.14496673269338209</v>
      </c>
      <c r="BJ31" s="108">
        <f t="shared" si="22"/>
        <v>-7.3605702916152973E-3</v>
      </c>
      <c r="BK31" s="108">
        <f t="shared" si="22"/>
        <v>2.7120571583969938E-2</v>
      </c>
      <c r="BL31" s="108">
        <f t="shared" si="22"/>
        <v>0.11001639846947618</v>
      </c>
      <c r="BM31" s="108">
        <f t="shared" si="22"/>
        <v>0.10447928645555773</v>
      </c>
      <c r="BN31" s="108">
        <f t="shared" si="22"/>
        <v>0.34227385185063819</v>
      </c>
      <c r="BO31" s="108">
        <f t="shared" si="22"/>
        <v>0.3129595066136493</v>
      </c>
      <c r="BP31" s="108" t="e">
        <f t="shared" si="22"/>
        <v>#DIV/0!</v>
      </c>
      <c r="BQ31" s="108" t="e">
        <f t="shared" si="22"/>
        <v>#DIV/0!</v>
      </c>
      <c r="BR31" s="108" t="e">
        <f t="shared" ref="BR31:CK31" si="23">(BR6-BV6)/BV6</f>
        <v>#DIV/0!</v>
      </c>
      <c r="BS31" s="108" t="e">
        <f t="shared" si="23"/>
        <v>#DIV/0!</v>
      </c>
      <c r="BT31" s="108" t="e">
        <f t="shared" si="23"/>
        <v>#DIV/0!</v>
      </c>
      <c r="BU31" s="108" t="e">
        <f t="shared" si="23"/>
        <v>#DIV/0!</v>
      </c>
      <c r="BV31" s="108" t="e">
        <f t="shared" si="23"/>
        <v>#DIV/0!</v>
      </c>
      <c r="BW31" s="108" t="e">
        <f t="shared" si="23"/>
        <v>#DIV/0!</v>
      </c>
      <c r="BX31" s="108" t="e">
        <f t="shared" si="23"/>
        <v>#DIV/0!</v>
      </c>
      <c r="BY31" s="108" t="e">
        <f t="shared" si="23"/>
        <v>#DIV/0!</v>
      </c>
      <c r="BZ31" s="108" t="e">
        <f t="shared" si="23"/>
        <v>#DIV/0!</v>
      </c>
      <c r="CA31" s="108" t="e">
        <f t="shared" si="23"/>
        <v>#DIV/0!</v>
      </c>
      <c r="CB31" s="108" t="e">
        <f t="shared" si="23"/>
        <v>#DIV/0!</v>
      </c>
      <c r="CC31" s="108" t="e">
        <f t="shared" si="23"/>
        <v>#DIV/0!</v>
      </c>
      <c r="CD31" s="108" t="e">
        <f t="shared" si="23"/>
        <v>#DIV/0!</v>
      </c>
      <c r="CE31" s="108" t="e">
        <f t="shared" si="23"/>
        <v>#DIV/0!</v>
      </c>
      <c r="CF31" s="108" t="e">
        <f t="shared" si="23"/>
        <v>#DIV/0!</v>
      </c>
      <c r="CG31" s="108" t="e">
        <f t="shared" si="23"/>
        <v>#DIV/0!</v>
      </c>
      <c r="CH31" s="108" t="e">
        <f t="shared" si="23"/>
        <v>#DIV/0!</v>
      </c>
      <c r="CI31" s="108" t="e">
        <f t="shared" si="23"/>
        <v>#DIV/0!</v>
      </c>
      <c r="CJ31" s="108" t="e">
        <f t="shared" si="23"/>
        <v>#DIV/0!</v>
      </c>
      <c r="CK31" s="108" t="e">
        <f t="shared" si="23"/>
        <v>#DIV/0!</v>
      </c>
    </row>
    <row r="32" spans="1:90" s="109" customFormat="1" x14ac:dyDescent="0.25">
      <c r="A32" s="144" t="s">
        <v>559</v>
      </c>
      <c r="E32" s="109">
        <f>(E7-I7)/I7</f>
        <v>-2.4452190344325473E-2</v>
      </c>
      <c r="F32" s="109">
        <f t="shared" ref="F32:BQ32" si="24">(F7-J7)/J7</f>
        <v>-7.0449377884912331E-2</v>
      </c>
      <c r="G32" s="109">
        <f t="shared" si="24"/>
        <v>-6.4565242543292475E-2</v>
      </c>
      <c r="H32" s="109">
        <f t="shared" si="24"/>
        <v>-5.9870874888510499E-2</v>
      </c>
      <c r="I32" s="109">
        <f t="shared" si="24"/>
        <v>-5.8168651633175417E-2</v>
      </c>
      <c r="J32" s="109">
        <f t="shared" si="24"/>
        <v>-5.3539326769251067E-3</v>
      </c>
      <c r="K32" s="109">
        <f t="shared" si="24"/>
        <v>-2.1853066478683299E-3</v>
      </c>
      <c r="L32" s="109">
        <f t="shared" si="24"/>
        <v>-1.1763491063998656E-3</v>
      </c>
      <c r="M32" s="109">
        <f t="shared" si="24"/>
        <v>7.2119871090471216E-3</v>
      </c>
      <c r="N32" s="109">
        <f t="shared" si="24"/>
        <v>2.7870691856417995E-2</v>
      </c>
      <c r="O32" s="109">
        <f t="shared" si="24"/>
        <v>6.3792095327318138E-2</v>
      </c>
      <c r="P32" s="109">
        <f t="shared" si="24"/>
        <v>7.9364489657659229E-2</v>
      </c>
      <c r="Q32" s="109">
        <f t="shared" si="24"/>
        <v>8.3356129798205336E-2</v>
      </c>
      <c r="R32" s="109">
        <f t="shared" si="24"/>
        <v>7.5893193015414154E-2</v>
      </c>
      <c r="S32" s="109">
        <f t="shared" si="24"/>
        <v>8.7738918259455068E-2</v>
      </c>
      <c r="T32" s="109">
        <f t="shared" si="24"/>
        <v>9.7035437851600473E-2</v>
      </c>
      <c r="U32" s="109">
        <f t="shared" si="24"/>
        <v>0.10838119115644954</v>
      </c>
      <c r="V32" s="109">
        <f t="shared" si="24"/>
        <v>0.13090302486515476</v>
      </c>
      <c r="W32" s="109">
        <f t="shared" si="24"/>
        <v>0.11105040007985835</v>
      </c>
      <c r="X32" s="109">
        <f t="shared" si="24"/>
        <v>0.12302781786460465</v>
      </c>
      <c r="Y32" s="109">
        <f t="shared" si="24"/>
        <v>0.12785438738297925</v>
      </c>
      <c r="Z32" s="109">
        <f t="shared" si="24"/>
        <v>0.13064682809796654</v>
      </c>
      <c r="AA32" s="109">
        <f t="shared" si="24"/>
        <v>0.12060334790972742</v>
      </c>
      <c r="AB32" s="109">
        <f t="shared" si="24"/>
        <v>0.10325571171631449</v>
      </c>
      <c r="AC32" s="109">
        <f t="shared" si="24"/>
        <v>9.4603371875393E-2</v>
      </c>
      <c r="AD32" s="109">
        <f t="shared" si="24"/>
        <v>7.0008094412983501E-2</v>
      </c>
      <c r="AE32" s="109">
        <f t="shared" si="24"/>
        <v>8.6630179577892791E-2</v>
      </c>
      <c r="AF32" s="109">
        <f t="shared" si="24"/>
        <v>8.002816729706233E-2</v>
      </c>
      <c r="AG32" s="109">
        <f t="shared" si="24"/>
        <v>5.8103855847957797E-2</v>
      </c>
      <c r="AH32" s="109">
        <f t="shared" si="24"/>
        <v>6.0390264393459542E-2</v>
      </c>
      <c r="AI32" s="109">
        <f t="shared" si="24"/>
        <v>5.2119319300453833E-2</v>
      </c>
      <c r="AJ32" s="109">
        <f t="shared" si="24"/>
        <v>8.6898836246349642E-2</v>
      </c>
      <c r="AK32" s="109">
        <f t="shared" si="24"/>
        <v>0.12008318603933452</v>
      </c>
      <c r="AL32" s="109">
        <f t="shared" si="24"/>
        <v>0.12875658259488176</v>
      </c>
      <c r="AM32" s="109">
        <f t="shared" si="24"/>
        <v>0.12582243229674817</v>
      </c>
      <c r="AN32" s="109">
        <f t="shared" si="24"/>
        <v>0.12670481443722217</v>
      </c>
      <c r="AO32" s="109">
        <f t="shared" si="24"/>
        <v>0.13105253763312905</v>
      </c>
      <c r="AP32" s="109">
        <f t="shared" si="24"/>
        <v>0.1563000505091931</v>
      </c>
      <c r="AQ32" s="109">
        <f t="shared" si="24"/>
        <v>0.17788230883721345</v>
      </c>
      <c r="AR32" s="109">
        <f t="shared" si="24"/>
        <v>0.16187452641573166</v>
      </c>
      <c r="AS32" s="109">
        <f t="shared" si="24"/>
        <v>0.18646859638513108</v>
      </c>
      <c r="AT32" s="109">
        <f t="shared" si="24"/>
        <v>0.20191878625613566</v>
      </c>
      <c r="AU32" s="109">
        <f t="shared" si="24"/>
        <v>0.17886332846676925</v>
      </c>
      <c r="AV32" s="109">
        <f t="shared" si="24"/>
        <v>0.17993601413290533</v>
      </c>
      <c r="AW32" s="109">
        <f t="shared" si="24"/>
        <v>0.1657943104819905</v>
      </c>
      <c r="AX32" s="109">
        <f t="shared" si="24"/>
        <v>9.0915265941940798E-2</v>
      </c>
      <c r="AY32" s="109">
        <f t="shared" si="24"/>
        <v>9.5143164159841434E-2</v>
      </c>
      <c r="AZ32" s="109">
        <f t="shared" si="24"/>
        <v>8.6547633678025718E-2</v>
      </c>
      <c r="BA32" s="109">
        <f t="shared" si="24"/>
        <v>0.10658798244176092</v>
      </c>
      <c r="BB32" s="109">
        <f t="shared" si="24"/>
        <v>0.17104543601539171</v>
      </c>
      <c r="BC32" s="109">
        <f t="shared" si="24"/>
        <v>0.18261168782940798</v>
      </c>
      <c r="BD32" s="109">
        <f t="shared" si="24"/>
        <v>0.19027037193119326</v>
      </c>
      <c r="BE32" s="109">
        <f t="shared" si="24"/>
        <v>0.16874574250681199</v>
      </c>
      <c r="BF32" s="109">
        <f t="shared" si="24"/>
        <v>0.13847529639048833</v>
      </c>
      <c r="BG32" s="109">
        <f t="shared" si="24"/>
        <v>0.11091388041511804</v>
      </c>
      <c r="BH32" s="109">
        <f t="shared" si="24"/>
        <v>0.10132447536890073</v>
      </c>
      <c r="BI32" s="109">
        <f t="shared" si="24"/>
        <v>9.3024338033412438E-2</v>
      </c>
      <c r="BJ32" s="109">
        <f t="shared" si="24"/>
        <v>4.9641963182408669E-2</v>
      </c>
      <c r="BK32" s="109">
        <f t="shared" si="24"/>
        <v>5.4695982627578715E-2</v>
      </c>
      <c r="BL32" s="109">
        <f t="shared" si="24"/>
        <v>4.9202957167751256E-2</v>
      </c>
      <c r="BM32" s="109">
        <f t="shared" si="24"/>
        <v>5.7096007214888909E-2</v>
      </c>
      <c r="BN32" s="109">
        <f t="shared" si="24"/>
        <v>0.19850002373380168</v>
      </c>
      <c r="BO32" s="109">
        <f t="shared" si="24"/>
        <v>0.23022526039748367</v>
      </c>
      <c r="BP32" s="109" t="e">
        <f t="shared" si="24"/>
        <v>#DIV/0!</v>
      </c>
      <c r="BQ32" s="109" t="e">
        <f t="shared" si="24"/>
        <v>#DIV/0!</v>
      </c>
      <c r="BR32" s="109" t="e">
        <f t="shared" ref="BR32:CK32" si="25">(BR7-BV7)/BV7</f>
        <v>#DIV/0!</v>
      </c>
      <c r="BS32" s="109" t="e">
        <f t="shared" si="25"/>
        <v>#DIV/0!</v>
      </c>
      <c r="BT32" s="109" t="e">
        <f t="shared" si="25"/>
        <v>#DIV/0!</v>
      </c>
      <c r="BU32" s="109" t="e">
        <f t="shared" si="25"/>
        <v>#DIV/0!</v>
      </c>
      <c r="BV32" s="109" t="e">
        <f t="shared" si="25"/>
        <v>#DIV/0!</v>
      </c>
      <c r="BW32" s="109" t="e">
        <f t="shared" si="25"/>
        <v>#DIV/0!</v>
      </c>
      <c r="BX32" s="109" t="e">
        <f t="shared" si="25"/>
        <v>#DIV/0!</v>
      </c>
      <c r="BY32" s="109" t="e">
        <f t="shared" si="25"/>
        <v>#DIV/0!</v>
      </c>
      <c r="BZ32" s="109" t="e">
        <f t="shared" si="25"/>
        <v>#DIV/0!</v>
      </c>
      <c r="CA32" s="109" t="e">
        <f t="shared" si="25"/>
        <v>#DIV/0!</v>
      </c>
      <c r="CB32" s="109" t="e">
        <f t="shared" si="25"/>
        <v>#DIV/0!</v>
      </c>
      <c r="CC32" s="109" t="e">
        <f t="shared" si="25"/>
        <v>#DIV/0!</v>
      </c>
      <c r="CD32" s="109" t="e">
        <f t="shared" si="25"/>
        <v>#DIV/0!</v>
      </c>
      <c r="CE32" s="109" t="e">
        <f t="shared" si="25"/>
        <v>#DIV/0!</v>
      </c>
      <c r="CF32" s="109" t="e">
        <f t="shared" si="25"/>
        <v>#DIV/0!</v>
      </c>
      <c r="CG32" s="109" t="e">
        <f t="shared" si="25"/>
        <v>#DIV/0!</v>
      </c>
      <c r="CH32" s="109" t="e">
        <f t="shared" si="25"/>
        <v>#DIV/0!</v>
      </c>
      <c r="CI32" s="109" t="e">
        <f t="shared" si="25"/>
        <v>#DIV/0!</v>
      </c>
      <c r="CJ32" s="109" t="e">
        <f t="shared" si="25"/>
        <v>#DIV/0!</v>
      </c>
      <c r="CK32" s="109" t="e">
        <f t="shared" si="25"/>
        <v>#DIV/0!</v>
      </c>
    </row>
    <row r="33" spans="1:89" s="109" customFormat="1" x14ac:dyDescent="0.25">
      <c r="A33" s="144" t="s">
        <v>566</v>
      </c>
      <c r="E33" s="109">
        <f>E7/E9</f>
        <v>0.84460889201023481</v>
      </c>
      <c r="F33" s="109">
        <f t="shared" ref="F33:BQ33" si="26">F7/F9</f>
        <v>0.82267033661470224</v>
      </c>
      <c r="G33" s="109">
        <f t="shared" si="26"/>
        <v>0.82392229115206017</v>
      </c>
      <c r="H33" s="109">
        <f t="shared" si="26"/>
        <v>0.84441674943307665</v>
      </c>
      <c r="I33" s="109">
        <f t="shared" si="26"/>
        <v>0.87945049322184299</v>
      </c>
      <c r="J33" s="109">
        <f t="shared" si="26"/>
        <v>0.90237251363003002</v>
      </c>
      <c r="K33" s="109">
        <f t="shared" si="26"/>
        <v>0.90059337467438161</v>
      </c>
      <c r="L33" s="109">
        <f t="shared" si="26"/>
        <v>0.90614530065244225</v>
      </c>
      <c r="M33" s="109">
        <f t="shared" si="26"/>
        <v>0.92734558927583588</v>
      </c>
      <c r="N33" s="109">
        <f t="shared" si="26"/>
        <v>0.89645383779468191</v>
      </c>
      <c r="O33" s="109">
        <f t="shared" si="26"/>
        <v>0.88292361273352626</v>
      </c>
      <c r="P33" s="109">
        <f t="shared" si="26"/>
        <v>0.88309043478571825</v>
      </c>
      <c r="Q33" s="109">
        <f t="shared" si="26"/>
        <v>0.9843535857757727</v>
      </c>
      <c r="R33" s="109">
        <f t="shared" si="26"/>
        <v>0.91718875572257219</v>
      </c>
      <c r="S33" s="109">
        <f t="shared" si="26"/>
        <v>0.90634034576540312</v>
      </c>
      <c r="T33" s="109">
        <f t="shared" si="26"/>
        <v>0.89960326510069755</v>
      </c>
      <c r="U33" s="109">
        <f t="shared" si="26"/>
        <v>0.95642547417907375</v>
      </c>
      <c r="V33" s="109">
        <f t="shared" si="26"/>
        <v>0.92015272139882731</v>
      </c>
      <c r="W33" s="109">
        <f t="shared" si="26"/>
        <v>0.91511829304045944</v>
      </c>
      <c r="X33" s="109">
        <f t="shared" si="26"/>
        <v>0.90305452506394945</v>
      </c>
      <c r="Y33" s="109">
        <f t="shared" si="26"/>
        <v>0.97695237448498484</v>
      </c>
      <c r="Z33" s="109">
        <f t="shared" si="26"/>
        <v>0.93300489292810718</v>
      </c>
      <c r="AA33" s="109">
        <f t="shared" si="26"/>
        <v>0.89971520071849775</v>
      </c>
      <c r="AB33" s="109">
        <f t="shared" si="26"/>
        <v>0.87466294899903207</v>
      </c>
      <c r="AC33" s="109">
        <f t="shared" si="26"/>
        <v>0.96561346538375192</v>
      </c>
      <c r="AD33" s="109">
        <f t="shared" si="26"/>
        <v>0.91451990007971229</v>
      </c>
      <c r="AE33" s="109">
        <f t="shared" si="26"/>
        <v>0.91142010088001713</v>
      </c>
      <c r="AF33" s="109">
        <f t="shared" si="26"/>
        <v>0.92297326936257706</v>
      </c>
      <c r="AG33" s="109">
        <f t="shared" si="26"/>
        <v>0.99311168676982486</v>
      </c>
      <c r="AH33" s="109">
        <f t="shared" si="26"/>
        <v>0.94928335497358018</v>
      </c>
      <c r="AI33" s="109">
        <f t="shared" si="26"/>
        <v>0.93274059045544733</v>
      </c>
      <c r="AJ33" s="109">
        <f t="shared" si="26"/>
        <v>0.95124440965498935</v>
      </c>
      <c r="AK33" s="109">
        <f t="shared" si="26"/>
        <v>1.0096336981862726</v>
      </c>
      <c r="AL33" s="109">
        <f t="shared" si="26"/>
        <v>0.97756031473760285</v>
      </c>
      <c r="AM33" s="109">
        <f t="shared" si="26"/>
        <v>0.99925846460135326</v>
      </c>
      <c r="AN33" s="109">
        <f t="shared" si="26"/>
        <v>1.009802696093534</v>
      </c>
      <c r="AO33" s="109">
        <f t="shared" si="26"/>
        <v>0.97111621966794381</v>
      </c>
      <c r="AP33" s="109">
        <f t="shared" si="26"/>
        <v>0.88073359803365481</v>
      </c>
      <c r="AQ33" s="109">
        <f t="shared" si="26"/>
        <v>0.93364026934430899</v>
      </c>
      <c r="AR33" s="109">
        <f t="shared" si="26"/>
        <v>0.92279706995031385</v>
      </c>
      <c r="AS33" s="109">
        <f t="shared" si="26"/>
        <v>0.97749783353398589</v>
      </c>
      <c r="AT33" s="109">
        <f t="shared" si="26"/>
        <v>0.9748072087616122</v>
      </c>
      <c r="AU33" s="109">
        <f t="shared" si="26"/>
        <v>0.9415416744578885</v>
      </c>
      <c r="AV33" s="109">
        <f t="shared" si="26"/>
        <v>0.94256389736838142</v>
      </c>
      <c r="AW33" s="109">
        <f t="shared" si="26"/>
        <v>0.94547416430279774</v>
      </c>
      <c r="AX33" s="109">
        <f t="shared" si="26"/>
        <v>0.86424215246636771</v>
      </c>
      <c r="AY33" s="109">
        <f t="shared" si="26"/>
        <v>0.8694473796160338</v>
      </c>
      <c r="AZ33" s="109">
        <f t="shared" si="26"/>
        <v>0.8859695794810617</v>
      </c>
      <c r="BA33" s="109">
        <f t="shared" si="26"/>
        <v>0.91968261577081734</v>
      </c>
      <c r="BB33" s="109">
        <f t="shared" si="26"/>
        <v>0.90140237820076174</v>
      </c>
      <c r="BC33" s="109">
        <f t="shared" si="26"/>
        <v>0.89670966125294815</v>
      </c>
      <c r="BD33" s="109">
        <f t="shared" si="26"/>
        <v>0.90165422262090067</v>
      </c>
      <c r="BE33" s="109">
        <f t="shared" si="26"/>
        <v>0.9171773418902176</v>
      </c>
      <c r="BF33" s="109">
        <f t="shared" si="26"/>
        <v>0.89406497150866293</v>
      </c>
      <c r="BG33" s="109">
        <f t="shared" si="26"/>
        <v>0.89664094527636751</v>
      </c>
      <c r="BH33" s="109">
        <f t="shared" si="26"/>
        <v>0.9082089693871741</v>
      </c>
      <c r="BI33" s="109">
        <f t="shared" si="26"/>
        <v>0.94030044937297952</v>
      </c>
      <c r="BJ33" s="109">
        <f t="shared" si="26"/>
        <v>0.90448416260251396</v>
      </c>
      <c r="BK33" s="109">
        <f t="shared" si="26"/>
        <v>0.89068004301466741</v>
      </c>
      <c r="BL33" s="109">
        <f t="shared" si="26"/>
        <v>0.87903258436058584</v>
      </c>
      <c r="BM33" s="109">
        <f t="shared" si="26"/>
        <v>0.89182935897214199</v>
      </c>
      <c r="BN33" s="109">
        <f t="shared" si="26"/>
        <v>0.88652937975105772</v>
      </c>
      <c r="BO33" s="109">
        <f t="shared" si="26"/>
        <v>0.86359922641763109</v>
      </c>
      <c r="BP33" s="109">
        <f t="shared" si="26"/>
        <v>0.86063265666617017</v>
      </c>
      <c r="BQ33" s="109">
        <f t="shared" si="26"/>
        <v>0.84610608756577144</v>
      </c>
      <c r="BR33" s="109">
        <f t="shared" ref="BR33:CK33" si="27">BR7/BR9</f>
        <v>0.69399331932191777</v>
      </c>
      <c r="BS33" s="109">
        <f t="shared" si="27"/>
        <v>0.73018474160558811</v>
      </c>
      <c r="BT33" s="109" t="e">
        <f t="shared" si="27"/>
        <v>#DIV/0!</v>
      </c>
      <c r="BU33" s="109" t="e">
        <f t="shared" si="27"/>
        <v>#DIV/0!</v>
      </c>
      <c r="BV33" s="109" t="e">
        <f t="shared" si="27"/>
        <v>#DIV/0!</v>
      </c>
      <c r="BW33" s="109" t="e">
        <f t="shared" si="27"/>
        <v>#DIV/0!</v>
      </c>
      <c r="BX33" s="109" t="e">
        <f t="shared" si="27"/>
        <v>#DIV/0!</v>
      </c>
      <c r="BY33" s="109" t="e">
        <f t="shared" si="27"/>
        <v>#DIV/0!</v>
      </c>
      <c r="BZ33" s="109" t="e">
        <f t="shared" si="27"/>
        <v>#DIV/0!</v>
      </c>
      <c r="CA33" s="109" t="e">
        <f t="shared" si="27"/>
        <v>#DIV/0!</v>
      </c>
      <c r="CB33" s="109" t="e">
        <f t="shared" si="27"/>
        <v>#DIV/0!</v>
      </c>
      <c r="CC33" s="109" t="e">
        <f t="shared" si="27"/>
        <v>#DIV/0!</v>
      </c>
      <c r="CD33" s="109" t="e">
        <f t="shared" si="27"/>
        <v>#DIV/0!</v>
      </c>
      <c r="CE33" s="109" t="e">
        <f t="shared" si="27"/>
        <v>#DIV/0!</v>
      </c>
      <c r="CF33" s="109" t="e">
        <f t="shared" si="27"/>
        <v>#DIV/0!</v>
      </c>
      <c r="CG33" s="109" t="e">
        <f t="shared" si="27"/>
        <v>#DIV/0!</v>
      </c>
      <c r="CH33" s="109" t="e">
        <f t="shared" si="27"/>
        <v>#DIV/0!</v>
      </c>
      <c r="CI33" s="109" t="e">
        <f t="shared" si="27"/>
        <v>#DIV/0!</v>
      </c>
      <c r="CJ33" s="109" t="e">
        <f t="shared" si="27"/>
        <v>#DIV/0!</v>
      </c>
      <c r="CK33" s="109" t="e">
        <f t="shared" si="27"/>
        <v>#DIV/0!</v>
      </c>
    </row>
    <row r="34" spans="1:89" s="108" customFormat="1" x14ac:dyDescent="0.25">
      <c r="A34" s="143" t="s">
        <v>560</v>
      </c>
      <c r="E34" s="108">
        <f>(E10-I10)/I10</f>
        <v>8.0110423911023812E-2</v>
      </c>
      <c r="F34" s="108">
        <f t="shared" ref="F34:BQ34" si="28">(F10-J10)/J10</f>
        <v>-5.1626855946654095E-2</v>
      </c>
      <c r="G34" s="108">
        <f t="shared" si="28"/>
        <v>-0.36090766290050907</v>
      </c>
      <c r="H34" s="108">
        <f t="shared" si="28"/>
        <v>-0.38283773248691388</v>
      </c>
      <c r="I34" s="108">
        <f t="shared" si="28"/>
        <v>-0.3504991121148906</v>
      </c>
      <c r="J34" s="108">
        <f t="shared" si="28"/>
        <v>-0.44758688293586973</v>
      </c>
      <c r="K34" s="108">
        <f t="shared" si="28"/>
        <v>-0.31921664626682988</v>
      </c>
      <c r="L34" s="108">
        <f t="shared" si="28"/>
        <v>-0.37479763956342366</v>
      </c>
      <c r="M34" s="108">
        <f t="shared" si="28"/>
        <v>-0.35039030563675255</v>
      </c>
      <c r="N34" s="108">
        <f t="shared" si="28"/>
        <v>-0.32324069947031814</v>
      </c>
      <c r="O34" s="108">
        <f t="shared" si="28"/>
        <v>-0.22318582387941691</v>
      </c>
      <c r="P34" s="108">
        <f t="shared" si="28"/>
        <v>-0.11790989773669502</v>
      </c>
      <c r="Q34" s="108">
        <f t="shared" si="28"/>
        <v>8.9754073350826871E-2</v>
      </c>
      <c r="R34" s="108">
        <f t="shared" si="28"/>
        <v>5.4931956981722152E-2</v>
      </c>
      <c r="S34" s="108">
        <f t="shared" si="28"/>
        <v>0.19267429437710015</v>
      </c>
      <c r="T34" s="108">
        <f t="shared" si="28"/>
        <v>0.10136643441791247</v>
      </c>
      <c r="U34" s="108">
        <f t="shared" si="28"/>
        <v>0.4128916556017313</v>
      </c>
      <c r="V34" s="108">
        <f t="shared" si="28"/>
        <v>0.65456568544082794</v>
      </c>
      <c r="W34" s="108">
        <f t="shared" si="28"/>
        <v>0.27242832732105565</v>
      </c>
      <c r="X34" s="108">
        <f t="shared" si="28"/>
        <v>0.18725446234364229</v>
      </c>
      <c r="Y34" s="108">
        <f t="shared" si="28"/>
        <v>0.44304679432147615</v>
      </c>
      <c r="Z34" s="108">
        <f t="shared" si="28"/>
        <v>0.6380960848818944</v>
      </c>
      <c r="AA34" s="108">
        <f t="shared" si="28"/>
        <v>0.7693496371943026</v>
      </c>
      <c r="AB34" s="108">
        <f t="shared" si="28"/>
        <v>2.908881621975147</v>
      </c>
      <c r="AC34" s="108">
        <f t="shared" si="28"/>
        <v>1.2433013285698336</v>
      </c>
      <c r="AD34" s="108">
        <f t="shared" si="28"/>
        <v>0.37555546495984343</v>
      </c>
      <c r="AE34" s="108">
        <f t="shared" si="28"/>
        <v>0.28689757734008886</v>
      </c>
      <c r="AF34" s="108">
        <f t="shared" si="28"/>
        <v>-0.49021098396948604</v>
      </c>
      <c r="AG34" s="108">
        <f t="shared" si="28"/>
        <v>-0.50609999862146926</v>
      </c>
      <c r="AH34" s="108">
        <f t="shared" si="28"/>
        <v>-0.3187051258905384</v>
      </c>
      <c r="AI34" s="108">
        <f t="shared" si="28"/>
        <v>6.0965765236854659E-2</v>
      </c>
      <c r="AJ34" s="108">
        <f t="shared" si="28"/>
        <v>0.23875764083925327</v>
      </c>
      <c r="AK34" s="108">
        <f t="shared" si="28"/>
        <v>-0.26341602103916412</v>
      </c>
      <c r="AL34" s="108">
        <f t="shared" si="28"/>
        <v>-0.46004334230674054</v>
      </c>
      <c r="AM34" s="108">
        <f t="shared" si="28"/>
        <v>-0.36631246076220148</v>
      </c>
      <c r="AN34" s="108">
        <f t="shared" si="28"/>
        <v>-7.6596848255556738E-2</v>
      </c>
      <c r="AO34" s="108">
        <f t="shared" si="28"/>
        <v>0.62797963434390192</v>
      </c>
      <c r="AP34" s="108">
        <f t="shared" si="28"/>
        <v>2.0129685275976592</v>
      </c>
      <c r="AQ34" s="108">
        <f t="shared" si="28"/>
        <v>0.59717012663868974</v>
      </c>
      <c r="AR34" s="108">
        <f t="shared" si="28"/>
        <v>2.705878666332414E-2</v>
      </c>
      <c r="AS34" s="108">
        <f t="shared" si="28"/>
        <v>2.9509870660313138E-2</v>
      </c>
      <c r="AT34" s="108">
        <f t="shared" si="28"/>
        <v>-0.39932958771001276</v>
      </c>
      <c r="AU34" s="108">
        <f t="shared" si="28"/>
        <v>-0.25712472756366045</v>
      </c>
      <c r="AV34" s="108">
        <f t="shared" si="28"/>
        <v>0.22604068617092801</v>
      </c>
      <c r="AW34" s="108">
        <f t="shared" si="28"/>
        <v>0.42472662027495572</v>
      </c>
      <c r="AX34" s="108">
        <f t="shared" si="28"/>
        <v>0.8730078035637121</v>
      </c>
      <c r="AY34" s="108">
        <f t="shared" si="28"/>
        <v>0.73996735791090629</v>
      </c>
      <c r="AZ34" s="108">
        <f t="shared" si="28"/>
        <v>0.2727561673308721</v>
      </c>
      <c r="BA34" s="108">
        <f t="shared" si="28"/>
        <v>5.4118622169132885E-3</v>
      </c>
      <c r="BB34" s="108">
        <f t="shared" si="28"/>
        <v>0.15308634738261329</v>
      </c>
      <c r="BC34" s="108">
        <f t="shared" si="28"/>
        <v>0.11580074986609534</v>
      </c>
      <c r="BD34" s="108">
        <f t="shared" si="28"/>
        <v>0.41584741068955966</v>
      </c>
      <c r="BE34" s="108">
        <f t="shared" si="28"/>
        <v>0.4106743698201451</v>
      </c>
      <c r="BF34" s="108">
        <f t="shared" si="28"/>
        <v>0.18944359224654861</v>
      </c>
      <c r="BG34" s="108">
        <f t="shared" si="28"/>
        <v>0.19194305231908576</v>
      </c>
      <c r="BH34" s="108">
        <f t="shared" si="28"/>
        <v>-3.767613844565109E-2</v>
      </c>
      <c r="BI34" s="108">
        <f t="shared" si="28"/>
        <v>-0.18207133213321333</v>
      </c>
      <c r="BJ34" s="108">
        <f t="shared" si="28"/>
        <v>-0.34583105272760445</v>
      </c>
      <c r="BK34" s="108">
        <f t="shared" si="28"/>
        <v>-0.25101611437861615</v>
      </c>
      <c r="BL34" s="108">
        <f t="shared" si="28"/>
        <v>-0.38529743012183887</v>
      </c>
      <c r="BM34" s="108">
        <f t="shared" si="28"/>
        <v>-0.27755989514539431</v>
      </c>
      <c r="BN34" s="108">
        <f t="shared" si="28"/>
        <v>-0.37832473203652245</v>
      </c>
      <c r="BO34" s="108">
        <f t="shared" si="28"/>
        <v>-0.28702441020046365</v>
      </c>
      <c r="BP34" s="108" t="e">
        <f t="shared" si="28"/>
        <v>#DIV/0!</v>
      </c>
      <c r="BQ34" s="108" t="e">
        <f t="shared" si="28"/>
        <v>#DIV/0!</v>
      </c>
      <c r="BR34" s="108" t="e">
        <f t="shared" ref="BR34:CK34" si="29">(BR10-BV10)/BV10</f>
        <v>#DIV/0!</v>
      </c>
      <c r="BS34" s="108" t="e">
        <f t="shared" si="29"/>
        <v>#DIV/0!</v>
      </c>
      <c r="BT34" s="108" t="e">
        <f t="shared" si="29"/>
        <v>#DIV/0!</v>
      </c>
      <c r="BU34" s="108" t="e">
        <f t="shared" si="29"/>
        <v>#DIV/0!</v>
      </c>
      <c r="BV34" s="108" t="e">
        <f t="shared" si="29"/>
        <v>#DIV/0!</v>
      </c>
      <c r="BW34" s="108" t="e">
        <f t="shared" si="29"/>
        <v>#DIV/0!</v>
      </c>
      <c r="BX34" s="108" t="e">
        <f t="shared" si="29"/>
        <v>#DIV/0!</v>
      </c>
      <c r="BY34" s="108" t="e">
        <f t="shared" si="29"/>
        <v>#DIV/0!</v>
      </c>
      <c r="BZ34" s="108" t="e">
        <f t="shared" si="29"/>
        <v>#DIV/0!</v>
      </c>
      <c r="CA34" s="108" t="e">
        <f t="shared" si="29"/>
        <v>#DIV/0!</v>
      </c>
      <c r="CB34" s="108" t="e">
        <f t="shared" si="29"/>
        <v>#DIV/0!</v>
      </c>
      <c r="CC34" s="108" t="e">
        <f t="shared" si="29"/>
        <v>#DIV/0!</v>
      </c>
      <c r="CD34" s="108" t="e">
        <f t="shared" si="29"/>
        <v>#DIV/0!</v>
      </c>
      <c r="CE34" s="108" t="e">
        <f t="shared" si="29"/>
        <v>#DIV/0!</v>
      </c>
      <c r="CF34" s="108" t="e">
        <f t="shared" si="29"/>
        <v>#DIV/0!</v>
      </c>
      <c r="CG34" s="108" t="e">
        <f t="shared" si="29"/>
        <v>#DIV/0!</v>
      </c>
      <c r="CH34" s="108" t="e">
        <f t="shared" si="29"/>
        <v>#DIV/0!</v>
      </c>
      <c r="CI34" s="108" t="e">
        <f t="shared" si="29"/>
        <v>#DIV/0!</v>
      </c>
      <c r="CJ34" s="108" t="e">
        <f t="shared" si="29"/>
        <v>#DIV/0!</v>
      </c>
      <c r="CK34" s="108" t="e">
        <f t="shared" si="29"/>
        <v>#DIV/0!</v>
      </c>
    </row>
    <row r="35" spans="1:89" s="108" customFormat="1" x14ac:dyDescent="0.25">
      <c r="A35" s="143" t="s">
        <v>564</v>
      </c>
      <c r="E35" s="108">
        <f>E10/E12</f>
        <v>0.41321986737481342</v>
      </c>
      <c r="F35" s="108">
        <f t="shared" ref="F35:BQ35" si="30">F10/F12</f>
        <v>0.33839875343177267</v>
      </c>
      <c r="G35" s="108">
        <f t="shared" si="30"/>
        <v>0.33686804197757469</v>
      </c>
      <c r="H35" s="108">
        <f t="shared" si="30"/>
        <v>0.32412751023591341</v>
      </c>
      <c r="I35" s="108">
        <f t="shared" si="30"/>
        <v>0.36063141369275542</v>
      </c>
      <c r="J35" s="108">
        <f t="shared" si="30"/>
        <v>0.3278638601148135</v>
      </c>
      <c r="K35" s="108">
        <f t="shared" si="30"/>
        <v>0.44168871390417913</v>
      </c>
      <c r="L35" s="108">
        <f t="shared" si="30"/>
        <v>0.41652846556183099</v>
      </c>
      <c r="M35" s="108">
        <f t="shared" si="30"/>
        <v>0.43056880393430452</v>
      </c>
      <c r="N35" s="108">
        <f t="shared" si="30"/>
        <v>0.49257802037790799</v>
      </c>
      <c r="O35" s="108">
        <f t="shared" si="30"/>
        <v>0.537094575424368</v>
      </c>
      <c r="P35" s="108">
        <f t="shared" si="30"/>
        <v>0.54847415337710326</v>
      </c>
      <c r="Q35" s="108">
        <f t="shared" si="30"/>
        <v>0.52359855626152663</v>
      </c>
      <c r="R35" s="108">
        <f t="shared" si="30"/>
        <v>0.55084305429463787</v>
      </c>
      <c r="S35" s="108">
        <f t="shared" si="30"/>
        <v>0.57932364068592634</v>
      </c>
      <c r="T35" s="108">
        <f t="shared" si="30"/>
        <v>0.55823083186902667</v>
      </c>
      <c r="U35" s="108">
        <f t="shared" si="30"/>
        <v>0.51588713257169116</v>
      </c>
      <c r="V35" s="108">
        <f t="shared" si="30"/>
        <v>0.5547773598641107</v>
      </c>
      <c r="W35" s="108">
        <f t="shared" si="30"/>
        <v>0.53426806674723615</v>
      </c>
      <c r="X35" s="108">
        <f t="shared" si="30"/>
        <v>0.56504178982774433</v>
      </c>
      <c r="Y35" s="108">
        <f t="shared" si="30"/>
        <v>0.41141644998918092</v>
      </c>
      <c r="Z35" s="108">
        <f t="shared" si="30"/>
        <v>0.39260548373348486</v>
      </c>
      <c r="AA35" s="108">
        <f t="shared" si="30"/>
        <v>0.42795391390545523</v>
      </c>
      <c r="AB35" s="108">
        <f t="shared" si="30"/>
        <v>0.48936874029725602</v>
      </c>
      <c r="AC35" s="108">
        <f t="shared" si="30"/>
        <v>0.33732467074614086</v>
      </c>
      <c r="AD35" s="108">
        <f t="shared" si="30"/>
        <v>0.29005304013685557</v>
      </c>
      <c r="AE35" s="108">
        <f t="shared" si="30"/>
        <v>0.30945668354914629</v>
      </c>
      <c r="AF35" s="108">
        <f t="shared" si="30"/>
        <v>0.16269349779315687</v>
      </c>
      <c r="AG35" s="108">
        <f t="shared" si="30"/>
        <v>0.16874687968047927</v>
      </c>
      <c r="AH35" s="108">
        <f t="shared" si="30"/>
        <v>0.21676962096909602</v>
      </c>
      <c r="AI35" s="108">
        <f t="shared" si="30"/>
        <v>0.25156496735210571</v>
      </c>
      <c r="AJ35" s="108">
        <f t="shared" si="30"/>
        <v>0.33142973328972142</v>
      </c>
      <c r="AK35" s="108">
        <f t="shared" si="30"/>
        <v>0.32889314067310177</v>
      </c>
      <c r="AL35" s="108">
        <f t="shared" si="30"/>
        <v>0.32599611559060682</v>
      </c>
      <c r="AM35" s="108">
        <f t="shared" si="30"/>
        <v>0.26186552643589806</v>
      </c>
      <c r="AN35" s="108">
        <f t="shared" si="30"/>
        <v>0.30914513937833887</v>
      </c>
      <c r="AO35" s="108">
        <f t="shared" si="30"/>
        <v>0.4337999506660089</v>
      </c>
      <c r="AP35" s="108">
        <f t="shared" si="30"/>
        <v>0.50141562108730231</v>
      </c>
      <c r="AQ35" s="108">
        <f t="shared" si="30"/>
        <v>0.38075128593308721</v>
      </c>
      <c r="AR35" s="108">
        <f t="shared" si="30"/>
        <v>0.32179377040327928</v>
      </c>
      <c r="AS35" s="108">
        <f t="shared" si="30"/>
        <v>0.33264598008325225</v>
      </c>
      <c r="AT35" s="108">
        <f t="shared" si="30"/>
        <v>0.2904665341024682</v>
      </c>
      <c r="AU35" s="108">
        <f t="shared" si="30"/>
        <v>0.32980182740121988</v>
      </c>
      <c r="AV35" s="108">
        <f t="shared" si="30"/>
        <v>0.40053468217161292</v>
      </c>
      <c r="AW35" s="108">
        <f t="shared" si="30"/>
        <v>0.34847586288696475</v>
      </c>
      <c r="AX35" s="108">
        <f t="shared" si="30"/>
        <v>0.40807443096859941</v>
      </c>
      <c r="AY35" s="108">
        <f t="shared" si="30"/>
        <v>0.40049721009888956</v>
      </c>
      <c r="AZ35" s="108">
        <f t="shared" si="30"/>
        <v>0.32379797225850593</v>
      </c>
      <c r="BA35" s="108">
        <f t="shared" si="30"/>
        <v>0.27676708026600993</v>
      </c>
      <c r="BB35" s="108">
        <f t="shared" si="30"/>
        <v>0.25147338949898362</v>
      </c>
      <c r="BC35" s="108">
        <f t="shared" si="30"/>
        <v>0.2668118215875252</v>
      </c>
      <c r="BD35" s="108">
        <f t="shared" si="30"/>
        <v>0.27675454028743879</v>
      </c>
      <c r="BE35" s="108">
        <f t="shared" si="30"/>
        <v>0.29420919757867858</v>
      </c>
      <c r="BF35" s="108">
        <f t="shared" si="30"/>
        <v>0.26984616601415745</v>
      </c>
      <c r="BG35" s="108">
        <f t="shared" si="30"/>
        <v>0.30228209217418056</v>
      </c>
      <c r="BH35" s="108">
        <f t="shared" si="30"/>
        <v>0.2486015731226657</v>
      </c>
      <c r="BI35" s="108">
        <f t="shared" si="30"/>
        <v>0.26632047477744808</v>
      </c>
      <c r="BJ35" s="108">
        <f t="shared" si="30"/>
        <v>0.26897470039946736</v>
      </c>
      <c r="BK35" s="108">
        <f t="shared" si="30"/>
        <v>0.2773135279641662</v>
      </c>
      <c r="BL35" s="108">
        <f t="shared" si="30"/>
        <v>0.26799807163518197</v>
      </c>
      <c r="BM35" s="108">
        <f t="shared" si="30"/>
        <v>0.31826971281243288</v>
      </c>
      <c r="BN35" s="108">
        <f t="shared" si="30"/>
        <v>0.39034291208204253</v>
      </c>
      <c r="BO35" s="108">
        <f t="shared" si="30"/>
        <v>0.37015797159166336</v>
      </c>
      <c r="BP35" s="108">
        <f t="shared" si="30"/>
        <v>0.4168729619449234</v>
      </c>
      <c r="BQ35" s="108">
        <f t="shared" si="30"/>
        <v>0.42054213881625047</v>
      </c>
      <c r="BR35" s="108">
        <f t="shared" ref="BR35:CK35" si="31">BR10/BR12</f>
        <v>0.49396307812981483</v>
      </c>
      <c r="BS35" s="108">
        <f t="shared" si="31"/>
        <v>0.4591303258929969</v>
      </c>
      <c r="BT35" s="108" t="e">
        <f t="shared" si="31"/>
        <v>#DIV/0!</v>
      </c>
      <c r="BU35" s="108" t="e">
        <f t="shared" si="31"/>
        <v>#DIV/0!</v>
      </c>
      <c r="BV35" s="108" t="e">
        <f t="shared" si="31"/>
        <v>#DIV/0!</v>
      </c>
      <c r="BW35" s="108" t="e">
        <f t="shared" si="31"/>
        <v>#DIV/0!</v>
      </c>
      <c r="BX35" s="108" t="e">
        <f t="shared" si="31"/>
        <v>#DIV/0!</v>
      </c>
      <c r="BY35" s="108" t="e">
        <f t="shared" si="31"/>
        <v>#DIV/0!</v>
      </c>
      <c r="BZ35" s="108" t="e">
        <f t="shared" si="31"/>
        <v>#DIV/0!</v>
      </c>
      <c r="CA35" s="108" t="e">
        <f t="shared" si="31"/>
        <v>#DIV/0!</v>
      </c>
      <c r="CB35" s="108" t="e">
        <f t="shared" si="31"/>
        <v>#DIV/0!</v>
      </c>
      <c r="CC35" s="108" t="e">
        <f t="shared" si="31"/>
        <v>#DIV/0!</v>
      </c>
      <c r="CD35" s="108" t="e">
        <f t="shared" si="31"/>
        <v>#DIV/0!</v>
      </c>
      <c r="CE35" s="108" t="e">
        <f t="shared" si="31"/>
        <v>#DIV/0!</v>
      </c>
      <c r="CF35" s="108" t="e">
        <f t="shared" si="31"/>
        <v>#DIV/0!</v>
      </c>
      <c r="CG35" s="108" t="e">
        <f t="shared" si="31"/>
        <v>#DIV/0!</v>
      </c>
      <c r="CH35" s="108" t="e">
        <f t="shared" si="31"/>
        <v>#DIV/0!</v>
      </c>
      <c r="CI35" s="108" t="e">
        <f t="shared" si="31"/>
        <v>#DIV/0!</v>
      </c>
      <c r="CJ35" s="108" t="e">
        <f t="shared" si="31"/>
        <v>#DIV/0!</v>
      </c>
      <c r="CK35" s="108" t="e">
        <f t="shared" si="31"/>
        <v>#DIV/0!</v>
      </c>
    </row>
    <row r="36" spans="1:89" s="108" customFormat="1" x14ac:dyDescent="0.25">
      <c r="A36" s="143" t="s">
        <v>561</v>
      </c>
      <c r="E36" s="108">
        <f>(E11-I11)/I11</f>
        <v>-0.13488344237996136</v>
      </c>
      <c r="F36" s="108">
        <f t="shared" ref="F36:BQ36" si="32">(F11-J11)/J11</f>
        <v>-9.5553030917795989E-2</v>
      </c>
      <c r="G36" s="108">
        <f t="shared" si="32"/>
        <v>-4.7237256795502353E-3</v>
      </c>
      <c r="H36" s="108">
        <f t="shared" si="32"/>
        <v>-8.1300974604625889E-2</v>
      </c>
      <c r="I36" s="108">
        <f t="shared" si="32"/>
        <v>-0.12929950006192192</v>
      </c>
      <c r="J36" s="108">
        <f t="shared" si="32"/>
        <v>9.9343557871729868E-2</v>
      </c>
      <c r="K36" s="108">
        <f t="shared" si="32"/>
        <v>-1.5472239662750022E-3</v>
      </c>
      <c r="L36" s="108">
        <f t="shared" si="32"/>
        <v>6.3822438996884653E-2</v>
      </c>
      <c r="M36" s="108">
        <f t="shared" si="32"/>
        <v>-5.5772674958918272E-2</v>
      </c>
      <c r="N36" s="108">
        <f t="shared" si="32"/>
        <v>-0.1450155090003051</v>
      </c>
      <c r="O36" s="108">
        <f t="shared" si="32"/>
        <v>-7.7998153074304299E-2</v>
      </c>
      <c r="P36" s="108">
        <f t="shared" si="32"/>
        <v>-8.2390681490392387E-2</v>
      </c>
      <c r="Q36" s="108">
        <f t="shared" si="32"/>
        <v>5.6601442348335577E-2</v>
      </c>
      <c r="R36" s="108">
        <f t="shared" si="32"/>
        <v>7.1855349125568027E-2</v>
      </c>
      <c r="S36" s="108">
        <f t="shared" si="32"/>
        <v>-6.4907499965766091E-3</v>
      </c>
      <c r="T36" s="108">
        <f t="shared" si="32"/>
        <v>0.1322607574914321</v>
      </c>
      <c r="U36" s="108">
        <f t="shared" si="32"/>
        <v>-7.3224972427633844E-2</v>
      </c>
      <c r="V36" s="108">
        <f t="shared" si="32"/>
        <v>-0.14172192400799916</v>
      </c>
      <c r="W36" s="108">
        <f t="shared" si="32"/>
        <v>-0.17019487529117663</v>
      </c>
      <c r="X36" s="108">
        <f t="shared" si="32"/>
        <v>-0.1241301015335869</v>
      </c>
      <c r="Y36" s="108">
        <f t="shared" si="32"/>
        <v>5.0882559708156791E-2</v>
      </c>
      <c r="Z36" s="108">
        <f t="shared" si="32"/>
        <v>3.5393408083694573E-2</v>
      </c>
      <c r="AA36" s="108">
        <f t="shared" si="32"/>
        <v>5.9879806823792951E-2</v>
      </c>
      <c r="AB36" s="108">
        <f t="shared" si="32"/>
        <v>-0.20748147169159134</v>
      </c>
      <c r="AC36" s="108">
        <f t="shared" si="32"/>
        <v>-0.10537140914499404</v>
      </c>
      <c r="AD36" s="108">
        <f t="shared" si="32"/>
        <v>-6.8172586541499297E-2</v>
      </c>
      <c r="AE36" s="108">
        <f t="shared" si="32"/>
        <v>-3.4769366688366041E-2</v>
      </c>
      <c r="AF36" s="108">
        <f t="shared" si="32"/>
        <v>0.30061617390384515</v>
      </c>
      <c r="AG36" s="108">
        <f t="shared" si="32"/>
        <v>0.19233887312525336</v>
      </c>
      <c r="AH36" s="108">
        <f t="shared" si="32"/>
        <v>0.1906284424621833</v>
      </c>
      <c r="AI36" s="108">
        <f t="shared" si="32"/>
        <v>0.11981983741107401</v>
      </c>
      <c r="AJ36" s="108">
        <f t="shared" si="32"/>
        <v>0.11819499068515835</v>
      </c>
      <c r="AK36" s="108">
        <f t="shared" si="32"/>
        <v>0.15153919761010107</v>
      </c>
      <c r="AL36" s="108">
        <f t="shared" si="32"/>
        <v>0.12271123043045459</v>
      </c>
      <c r="AM36" s="108">
        <f t="shared" si="32"/>
        <v>9.8268664398250077E-2</v>
      </c>
      <c r="AN36" s="108">
        <f t="shared" si="32"/>
        <v>-2.0889731748628342E-2</v>
      </c>
      <c r="AO36" s="108">
        <f t="shared" si="32"/>
        <v>5.914487941135272E-2</v>
      </c>
      <c r="AP36" s="108">
        <f t="shared" si="32"/>
        <v>0.22647477755785345</v>
      </c>
      <c r="AQ36" s="108">
        <f t="shared" si="32"/>
        <v>0.27827628428882106</v>
      </c>
      <c r="AR36" s="108">
        <f t="shared" si="32"/>
        <v>0.44629042220198278</v>
      </c>
      <c r="AS36" s="108">
        <f t="shared" si="32"/>
        <v>0.10470598944110686</v>
      </c>
      <c r="AT36" s="108">
        <f t="shared" si="32"/>
        <v>1.1545226600800868E-2</v>
      </c>
      <c r="AU36" s="108">
        <f t="shared" si="32"/>
        <v>8.4964429208595968E-3</v>
      </c>
      <c r="AV36" s="108">
        <f t="shared" si="32"/>
        <v>-0.12132863594970243</v>
      </c>
      <c r="AW36" s="108">
        <f t="shared" si="32"/>
        <v>1.9355317609070832E-2</v>
      </c>
      <c r="AX36" s="108">
        <f t="shared" si="32"/>
        <v>-8.7249468407613939E-2</v>
      </c>
      <c r="AY36" s="108">
        <f t="shared" si="32"/>
        <v>-5.2187508188416554E-2</v>
      </c>
      <c r="AZ36" s="108">
        <f t="shared" si="32"/>
        <v>1.7083461973860244E-2</v>
      </c>
      <c r="BA36" s="108">
        <f t="shared" si="32"/>
        <v>9.5186318046480436E-2</v>
      </c>
      <c r="BB36" s="108">
        <f t="shared" si="32"/>
        <v>0.26846626298514897</v>
      </c>
      <c r="BC36" s="108">
        <f t="shared" si="32"/>
        <v>0.32840219522665831</v>
      </c>
      <c r="BD36" s="108">
        <f t="shared" si="32"/>
        <v>0.22416794557573813</v>
      </c>
      <c r="BE36" s="108">
        <f t="shared" si="32"/>
        <v>0.22841378621628031</v>
      </c>
      <c r="BF36" s="108">
        <f t="shared" si="32"/>
        <v>0.1841889222401806</v>
      </c>
      <c r="BG36" s="108">
        <f t="shared" si="32"/>
        <v>5.5708668651012386E-2</v>
      </c>
      <c r="BH36" s="108">
        <f t="shared" si="32"/>
        <v>6.4895783786420788E-2</v>
      </c>
      <c r="BI36" s="108">
        <f t="shared" si="32"/>
        <v>5.1961865742199811E-2</v>
      </c>
      <c r="BJ36" s="108">
        <f t="shared" si="32"/>
        <v>0.13833888207464518</v>
      </c>
      <c r="BK36" s="108">
        <f t="shared" si="32"/>
        <v>0.14711461450912616</v>
      </c>
      <c r="BL36" s="108">
        <f t="shared" si="32"/>
        <v>0.20028985082929543</v>
      </c>
      <c r="BM36" s="108">
        <f t="shared" si="32"/>
        <v>0.12306988953942809</v>
      </c>
      <c r="BN36" s="108">
        <f t="shared" si="32"/>
        <v>-5.2203277236492471E-2</v>
      </c>
      <c r="BO36" s="108">
        <f t="shared" si="32"/>
        <v>2.9822885917694043E-2</v>
      </c>
      <c r="BP36" s="108" t="e">
        <f t="shared" si="32"/>
        <v>#DIV/0!</v>
      </c>
      <c r="BQ36" s="108" t="e">
        <f t="shared" si="32"/>
        <v>#DIV/0!</v>
      </c>
      <c r="BR36" s="108" t="e">
        <f t="shared" ref="BR36:CK36" si="33">(BR11-BV11)/BV11</f>
        <v>#DIV/0!</v>
      </c>
      <c r="BS36" s="108" t="e">
        <f t="shared" si="33"/>
        <v>#DIV/0!</v>
      </c>
      <c r="BT36" s="108" t="e">
        <f t="shared" si="33"/>
        <v>#DIV/0!</v>
      </c>
      <c r="BU36" s="108" t="e">
        <f t="shared" si="33"/>
        <v>#DIV/0!</v>
      </c>
      <c r="BV36" s="108" t="e">
        <f t="shared" si="33"/>
        <v>#DIV/0!</v>
      </c>
      <c r="BW36" s="108" t="e">
        <f t="shared" si="33"/>
        <v>#DIV/0!</v>
      </c>
      <c r="BX36" s="108" t="e">
        <f t="shared" si="33"/>
        <v>#DIV/0!</v>
      </c>
      <c r="BY36" s="108" t="e">
        <f t="shared" si="33"/>
        <v>#DIV/0!</v>
      </c>
      <c r="BZ36" s="108" t="e">
        <f t="shared" si="33"/>
        <v>#DIV/0!</v>
      </c>
      <c r="CA36" s="108" t="e">
        <f t="shared" si="33"/>
        <v>#DIV/0!</v>
      </c>
      <c r="CB36" s="108" t="e">
        <f t="shared" si="33"/>
        <v>#DIV/0!</v>
      </c>
      <c r="CC36" s="108" t="e">
        <f t="shared" si="33"/>
        <v>#DIV/0!</v>
      </c>
      <c r="CD36" s="108" t="e">
        <f t="shared" si="33"/>
        <v>#DIV/0!</v>
      </c>
      <c r="CE36" s="108" t="e">
        <f t="shared" si="33"/>
        <v>#DIV/0!</v>
      </c>
      <c r="CF36" s="108" t="e">
        <f t="shared" si="33"/>
        <v>#DIV/0!</v>
      </c>
      <c r="CG36" s="108" t="e">
        <f t="shared" si="33"/>
        <v>#DIV/0!</v>
      </c>
      <c r="CH36" s="108" t="e">
        <f t="shared" si="33"/>
        <v>#DIV/0!</v>
      </c>
      <c r="CI36" s="108" t="e">
        <f t="shared" si="33"/>
        <v>#DIV/0!</v>
      </c>
      <c r="CJ36" s="108" t="e">
        <f t="shared" si="33"/>
        <v>#DIV/0!</v>
      </c>
      <c r="CK36" s="108" t="e">
        <f t="shared" si="33"/>
        <v>#DIV/0!</v>
      </c>
    </row>
    <row r="37" spans="1:89" s="110" customFormat="1" x14ac:dyDescent="0.25">
      <c r="A37" s="143" t="s">
        <v>565</v>
      </c>
      <c r="B37" s="108"/>
      <c r="C37" s="108"/>
      <c r="D37" s="108"/>
      <c r="E37" s="108">
        <f>E11/E12</f>
        <v>0.58678013262518658</v>
      </c>
      <c r="F37" s="108">
        <f t="shared" ref="F37:BQ37" si="34">F11/F12</f>
        <v>0.66160124656822739</v>
      </c>
      <c r="G37" s="108">
        <f t="shared" si="34"/>
        <v>0.66313195802242531</v>
      </c>
      <c r="H37" s="108">
        <f t="shared" si="34"/>
        <v>0.67587248976408654</v>
      </c>
      <c r="I37" s="108">
        <f t="shared" si="34"/>
        <v>0.63936858630724458</v>
      </c>
      <c r="J37" s="108">
        <f t="shared" si="34"/>
        <v>0.6721361398851865</v>
      </c>
      <c r="K37" s="108">
        <f t="shared" si="34"/>
        <v>0.55831128609582081</v>
      </c>
      <c r="L37" s="108">
        <f t="shared" si="34"/>
        <v>0.58347153443816901</v>
      </c>
      <c r="M37" s="108">
        <f t="shared" si="34"/>
        <v>0.56943119606569548</v>
      </c>
      <c r="N37" s="108">
        <f t="shared" si="34"/>
        <v>0.50742197962209201</v>
      </c>
      <c r="O37" s="110">
        <f t="shared" si="34"/>
        <v>0.46290542457563194</v>
      </c>
      <c r="P37" s="110">
        <f t="shared" si="34"/>
        <v>0.45152584662289674</v>
      </c>
      <c r="Q37" s="110">
        <f t="shared" si="34"/>
        <v>0.47640144373847343</v>
      </c>
      <c r="R37" s="110">
        <f t="shared" si="34"/>
        <v>0.44915694570536208</v>
      </c>
      <c r="S37" s="110">
        <f t="shared" si="34"/>
        <v>0.42067635931407366</v>
      </c>
      <c r="T37" s="110">
        <f t="shared" si="34"/>
        <v>0.44176916813097328</v>
      </c>
      <c r="U37" s="110">
        <f t="shared" si="34"/>
        <v>0.48411286742830878</v>
      </c>
      <c r="V37" s="110">
        <f t="shared" si="34"/>
        <v>0.44522264013588936</v>
      </c>
      <c r="W37" s="110">
        <f t="shared" si="34"/>
        <v>0.46573193325276385</v>
      </c>
      <c r="X37" s="110">
        <f t="shared" si="34"/>
        <v>0.43495821017225561</v>
      </c>
      <c r="Y37" s="110">
        <f t="shared" si="34"/>
        <v>0.58858355001081908</v>
      </c>
      <c r="Z37" s="110">
        <f t="shared" si="34"/>
        <v>0.60739451626651508</v>
      </c>
      <c r="AA37" s="110">
        <f t="shared" si="34"/>
        <v>0.57204608609454477</v>
      </c>
      <c r="AB37" s="110">
        <f t="shared" si="34"/>
        <v>0.51063125970274392</v>
      </c>
      <c r="AC37" s="110">
        <f t="shared" si="34"/>
        <v>0.66267532925385908</v>
      </c>
      <c r="AD37" s="110">
        <f t="shared" si="34"/>
        <v>0.70994695986314438</v>
      </c>
      <c r="AE37" s="110">
        <f t="shared" si="34"/>
        <v>0.69054331645085365</v>
      </c>
      <c r="AF37" s="110">
        <f t="shared" si="34"/>
        <v>0.83730650220684311</v>
      </c>
      <c r="AG37" s="110">
        <f t="shared" si="34"/>
        <v>0.8312531203195207</v>
      </c>
      <c r="AH37" s="110">
        <f t="shared" si="34"/>
        <v>0.78323037903090398</v>
      </c>
      <c r="AI37" s="110">
        <f t="shared" si="34"/>
        <v>0.74843503264789435</v>
      </c>
      <c r="AJ37" s="110">
        <f t="shared" si="34"/>
        <v>0.66857026671027853</v>
      </c>
      <c r="AK37" s="110">
        <f t="shared" si="34"/>
        <v>0.67110685932689818</v>
      </c>
      <c r="AL37" s="110">
        <f t="shared" si="34"/>
        <v>0.67400388440939318</v>
      </c>
      <c r="AM37" s="110">
        <f t="shared" si="34"/>
        <v>0.738134473564102</v>
      </c>
      <c r="AN37" s="110">
        <f t="shared" si="34"/>
        <v>0.69085486062166113</v>
      </c>
      <c r="AO37" s="110">
        <f t="shared" si="34"/>
        <v>0.56620004933399115</v>
      </c>
      <c r="AP37" s="110">
        <f t="shared" si="34"/>
        <v>0.49858437891269775</v>
      </c>
      <c r="AQ37" s="110">
        <f t="shared" si="34"/>
        <v>0.61924871406691284</v>
      </c>
      <c r="AR37" s="110">
        <f t="shared" si="34"/>
        <v>0.67820622959672072</v>
      </c>
      <c r="AS37" s="110">
        <f t="shared" si="34"/>
        <v>0.66735401991674781</v>
      </c>
      <c r="AT37" s="110">
        <f t="shared" si="34"/>
        <v>0.70953346589753186</v>
      </c>
      <c r="AU37" s="110">
        <f t="shared" si="34"/>
        <v>0.67019817259878012</v>
      </c>
      <c r="AV37" s="110">
        <f t="shared" si="34"/>
        <v>0.59946531782838708</v>
      </c>
      <c r="AW37" s="110">
        <f t="shared" si="34"/>
        <v>0.65152413711303525</v>
      </c>
      <c r="AX37" s="110">
        <f t="shared" si="34"/>
        <v>0.59192556903140059</v>
      </c>
      <c r="AY37" s="110">
        <f t="shared" si="34"/>
        <v>0.59950278990111039</v>
      </c>
      <c r="AZ37" s="110">
        <f t="shared" si="34"/>
        <v>0.67620202774149407</v>
      </c>
      <c r="BA37" s="110">
        <f t="shared" si="34"/>
        <v>0.72323291973399007</v>
      </c>
      <c r="BB37" s="110">
        <f t="shared" si="34"/>
        <v>0.74852661050101632</v>
      </c>
      <c r="BC37" s="110">
        <f t="shared" si="34"/>
        <v>0.73318817841247474</v>
      </c>
      <c r="BD37" s="110">
        <f t="shared" si="34"/>
        <v>0.72324545971256127</v>
      </c>
      <c r="BE37" s="110">
        <f t="shared" si="34"/>
        <v>0.70579080242132142</v>
      </c>
      <c r="BF37" s="110">
        <f t="shared" si="34"/>
        <v>0.73015383398584255</v>
      </c>
      <c r="BG37" s="110">
        <f t="shared" si="34"/>
        <v>0.69771790782581944</v>
      </c>
      <c r="BH37" s="110">
        <f t="shared" si="34"/>
        <v>0.75139842687733427</v>
      </c>
      <c r="BI37" s="110">
        <f t="shared" si="34"/>
        <v>0.73367952522255198</v>
      </c>
      <c r="BJ37" s="110">
        <f t="shared" si="34"/>
        <v>0.73102529960053264</v>
      </c>
      <c r="BK37" s="110">
        <f t="shared" si="34"/>
        <v>0.7226864720358338</v>
      </c>
      <c r="BL37" s="110">
        <f t="shared" si="34"/>
        <v>0.73200192836481803</v>
      </c>
      <c r="BM37" s="110">
        <f t="shared" si="34"/>
        <v>0.68173028718756712</v>
      </c>
      <c r="BN37" s="110">
        <f t="shared" si="34"/>
        <v>0.60965708791795747</v>
      </c>
      <c r="BO37" s="110">
        <f t="shared" si="34"/>
        <v>0.6298420284083367</v>
      </c>
      <c r="BP37" s="110">
        <f t="shared" si="34"/>
        <v>0.5831270380550766</v>
      </c>
      <c r="BQ37" s="110">
        <f t="shared" si="34"/>
        <v>0.57945786118374953</v>
      </c>
      <c r="BR37" s="110">
        <f t="shared" ref="BR37:CK37" si="35">BR11/BR12</f>
        <v>0.50603692187018512</v>
      </c>
      <c r="BS37" s="110">
        <f t="shared" si="35"/>
        <v>0.54086967410700315</v>
      </c>
      <c r="BT37" s="110" t="e">
        <f t="shared" si="35"/>
        <v>#DIV/0!</v>
      </c>
      <c r="BU37" s="110" t="e">
        <f t="shared" si="35"/>
        <v>#DIV/0!</v>
      </c>
      <c r="BV37" s="110" t="e">
        <f t="shared" si="35"/>
        <v>#DIV/0!</v>
      </c>
      <c r="BW37" s="110" t="e">
        <f t="shared" si="35"/>
        <v>#DIV/0!</v>
      </c>
      <c r="BX37" s="110" t="e">
        <f t="shared" si="35"/>
        <v>#DIV/0!</v>
      </c>
      <c r="BY37" s="110" t="e">
        <f t="shared" si="35"/>
        <v>#DIV/0!</v>
      </c>
      <c r="BZ37" s="110" t="e">
        <f t="shared" si="35"/>
        <v>#DIV/0!</v>
      </c>
      <c r="CA37" s="110" t="e">
        <f t="shared" si="35"/>
        <v>#DIV/0!</v>
      </c>
      <c r="CB37" s="110" t="e">
        <f t="shared" si="35"/>
        <v>#DIV/0!</v>
      </c>
      <c r="CC37" s="110" t="e">
        <f t="shared" si="35"/>
        <v>#DIV/0!</v>
      </c>
      <c r="CD37" s="110" t="e">
        <f t="shared" si="35"/>
        <v>#DIV/0!</v>
      </c>
      <c r="CE37" s="110" t="e">
        <f t="shared" si="35"/>
        <v>#DIV/0!</v>
      </c>
      <c r="CF37" s="110" t="e">
        <f t="shared" si="35"/>
        <v>#DIV/0!</v>
      </c>
      <c r="CG37" s="110" t="e">
        <f t="shared" si="35"/>
        <v>#DIV/0!</v>
      </c>
      <c r="CH37" s="110" t="e">
        <f t="shared" si="35"/>
        <v>#DIV/0!</v>
      </c>
      <c r="CI37" s="110" t="e">
        <f t="shared" si="35"/>
        <v>#DIV/0!</v>
      </c>
      <c r="CJ37" s="110" t="e">
        <f t="shared" si="35"/>
        <v>#DIV/0!</v>
      </c>
      <c r="CK37" s="110" t="e">
        <f t="shared" si="35"/>
        <v>#DIV/0!</v>
      </c>
    </row>
    <row r="38" spans="1:89" s="189" customFormat="1" x14ac:dyDescent="0.25">
      <c r="A38" s="186" t="s">
        <v>635</v>
      </c>
      <c r="B38" s="187"/>
      <c r="C38" s="187"/>
      <c r="D38" s="187"/>
      <c r="E38" s="188">
        <f>E1</f>
        <v>43100</v>
      </c>
      <c r="F38" s="188">
        <f t="shared" ref="F38:U38" si="36">F1</f>
        <v>43008</v>
      </c>
      <c r="G38" s="188">
        <f t="shared" si="36"/>
        <v>42916</v>
      </c>
      <c r="H38" s="188">
        <f t="shared" si="36"/>
        <v>42825</v>
      </c>
      <c r="I38" s="188">
        <f t="shared" si="36"/>
        <v>42735</v>
      </c>
      <c r="J38" s="188">
        <f t="shared" si="36"/>
        <v>42643</v>
      </c>
      <c r="K38" s="188">
        <f t="shared" si="36"/>
        <v>42551</v>
      </c>
      <c r="L38" s="188">
        <f t="shared" si="36"/>
        <v>42460</v>
      </c>
      <c r="M38" s="188">
        <f t="shared" si="36"/>
        <v>42369</v>
      </c>
      <c r="N38" s="188">
        <f t="shared" si="36"/>
        <v>42277</v>
      </c>
      <c r="O38" s="188">
        <f t="shared" si="36"/>
        <v>42185</v>
      </c>
      <c r="P38" s="188">
        <f t="shared" si="36"/>
        <v>42094</v>
      </c>
      <c r="Q38" s="188">
        <f t="shared" si="36"/>
        <v>42004</v>
      </c>
      <c r="R38" s="188">
        <f t="shared" si="36"/>
        <v>41912</v>
      </c>
      <c r="S38" s="188">
        <f t="shared" si="36"/>
        <v>41820</v>
      </c>
      <c r="T38" s="188">
        <f t="shared" si="36"/>
        <v>41729</v>
      </c>
      <c r="U38" s="188">
        <f t="shared" si="36"/>
        <v>41639</v>
      </c>
    </row>
    <row r="39" spans="1:89" s="225" customFormat="1" x14ac:dyDescent="0.25">
      <c r="A39" s="222" t="s">
        <v>552</v>
      </c>
      <c r="B39" s="223"/>
      <c r="C39" s="223"/>
      <c r="D39" s="223"/>
      <c r="E39" s="224">
        <f>E2/E9</f>
        <v>0.19846294965372188</v>
      </c>
      <c r="F39" s="224">
        <f t="shared" ref="F39:U39" si="37">F2/F9</f>
        <v>0.15879159531760612</v>
      </c>
      <c r="G39" s="224">
        <f t="shared" si="37"/>
        <v>0.1552472500962703</v>
      </c>
      <c r="H39" s="224">
        <f t="shared" si="37"/>
        <v>0.13343159094488441</v>
      </c>
      <c r="I39" s="224">
        <f t="shared" si="37"/>
        <v>0.14240560499134397</v>
      </c>
      <c r="J39" s="224">
        <f t="shared" si="37"/>
        <v>9.1159885161736787E-2</v>
      </c>
      <c r="K39" s="224">
        <f t="shared" si="37"/>
        <v>8.1258673551718577E-2</v>
      </c>
      <c r="L39" s="224">
        <f t="shared" si="37"/>
        <v>6.8118864985599242E-2</v>
      </c>
      <c r="M39" s="224">
        <f t="shared" si="37"/>
        <v>7.2487167282036774E-2</v>
      </c>
      <c r="N39" s="224">
        <f t="shared" si="37"/>
        <v>5.4014844056093976E-2</v>
      </c>
      <c r="O39" s="224">
        <f t="shared" si="37"/>
        <v>6.7903601025075755E-2</v>
      </c>
      <c r="P39" s="224">
        <f t="shared" si="37"/>
        <v>6.703266837956183E-2</v>
      </c>
      <c r="Q39" s="224">
        <f t="shared" si="37"/>
        <v>1.0775453422788198E-2</v>
      </c>
      <c r="R39" s="224">
        <f t="shared" si="37"/>
        <v>2.1888383239119218E-2</v>
      </c>
      <c r="S39" s="224">
        <f t="shared" si="37"/>
        <v>1.4131247432764281E-2</v>
      </c>
      <c r="T39" s="224">
        <f t="shared" si="37"/>
        <v>2.0417692253249766E-2</v>
      </c>
      <c r="U39" s="224">
        <f t="shared" si="37"/>
        <v>1.5616549136648165E-2</v>
      </c>
    </row>
    <row r="40" spans="1:89" s="225" customFormat="1" x14ac:dyDescent="0.25">
      <c r="A40" s="222" t="s">
        <v>553</v>
      </c>
      <c r="B40" s="223"/>
      <c r="C40" s="223"/>
      <c r="D40" s="223"/>
      <c r="E40" s="224">
        <f>E3/E9</f>
        <v>0.11940696855669024</v>
      </c>
      <c r="F40" s="224">
        <f t="shared" ref="F40:U40" si="38">F3/F9</f>
        <v>0.11553824324931647</v>
      </c>
      <c r="G40" s="224">
        <f t="shared" si="38"/>
        <v>0.11029014561841607</v>
      </c>
      <c r="H40" s="224">
        <f t="shared" si="38"/>
        <v>0.10938912472131769</v>
      </c>
      <c r="I40" s="224">
        <f t="shared" si="38"/>
        <v>0.10808410077807007</v>
      </c>
      <c r="J40" s="224">
        <f t="shared" si="38"/>
        <v>8.4321958609596667E-2</v>
      </c>
      <c r="K40" s="224">
        <f t="shared" si="38"/>
        <v>8.1800871389381954E-2</v>
      </c>
      <c r="L40" s="224">
        <f t="shared" si="38"/>
        <v>7.8300417327925698E-2</v>
      </c>
      <c r="M40" s="224">
        <f t="shared" si="38"/>
        <v>7.6242793369808326E-2</v>
      </c>
      <c r="N40" s="224">
        <f t="shared" si="38"/>
        <v>7.9163986900564046E-2</v>
      </c>
      <c r="O40" s="224">
        <f t="shared" si="38"/>
        <v>7.6532494558457009E-2</v>
      </c>
      <c r="P40" s="224">
        <f t="shared" si="38"/>
        <v>7.3894083002108035E-2</v>
      </c>
      <c r="Q40" s="224">
        <f t="shared" si="38"/>
        <v>7.9178165363126302E-2</v>
      </c>
      <c r="R40" s="224">
        <f t="shared" si="38"/>
        <v>7.5089476686500706E-2</v>
      </c>
      <c r="S40" s="224">
        <f t="shared" si="38"/>
        <v>7.8287268382392777E-2</v>
      </c>
      <c r="T40" s="224">
        <f t="shared" si="38"/>
        <v>7.8057296540660417E-2</v>
      </c>
      <c r="U40" s="224">
        <f t="shared" si="38"/>
        <v>7.9709448007056968E-2</v>
      </c>
    </row>
    <row r="41" spans="1:89" x14ac:dyDescent="0.25">
      <c r="A41" s="184" t="s">
        <v>558</v>
      </c>
      <c r="B41" s="64"/>
      <c r="C41" s="64"/>
      <c r="D41" s="64"/>
      <c r="E41" s="90">
        <f>E4/E9</f>
        <v>-0.16247881022064697</v>
      </c>
      <c r="F41" s="90">
        <f t="shared" ref="F41:U41" si="39">F4/F9</f>
        <v>-9.700017518162482E-2</v>
      </c>
      <c r="G41" s="90">
        <f t="shared" si="39"/>
        <v>-8.9459686866746574E-2</v>
      </c>
      <c r="H41" s="90">
        <f t="shared" si="39"/>
        <v>-8.7237465099278724E-2</v>
      </c>
      <c r="I41" s="90">
        <f t="shared" si="39"/>
        <v>-0.129940198991257</v>
      </c>
      <c r="J41" s="90">
        <f t="shared" si="39"/>
        <v>-7.7854357401363469E-2</v>
      </c>
      <c r="K41" s="90">
        <f t="shared" si="39"/>
        <v>-6.365291961548214E-2</v>
      </c>
      <c r="L41" s="90">
        <f t="shared" si="39"/>
        <v>-5.2564582965967201E-2</v>
      </c>
      <c r="M41" s="90">
        <f t="shared" si="39"/>
        <v>-7.6075549927680994E-2</v>
      </c>
      <c r="N41" s="214">
        <f t="shared" si="39"/>
        <v>-2.9632668751339884E-2</v>
      </c>
      <c r="O41" s="214">
        <f t="shared" si="39"/>
        <v>-2.7359708317059066E-2</v>
      </c>
      <c r="P41" s="214">
        <f t="shared" si="39"/>
        <v>-2.401718616738812E-2</v>
      </c>
      <c r="Q41" s="214">
        <f t="shared" si="39"/>
        <v>-7.4307204561687212E-2</v>
      </c>
      <c r="R41" s="214">
        <f t="shared" si="39"/>
        <v>-1.4166615648192148E-2</v>
      </c>
      <c r="S41" s="214">
        <f t="shared" si="39"/>
        <v>1.2411384194397738E-3</v>
      </c>
      <c r="T41" s="214">
        <f t="shared" si="39"/>
        <v>1.9217461053922917E-3</v>
      </c>
      <c r="U41" s="214">
        <f t="shared" si="39"/>
        <v>-5.1751471322778901E-2</v>
      </c>
    </row>
    <row r="42" spans="1:89" x14ac:dyDescent="0.25">
      <c r="A42" s="184" t="s">
        <v>334</v>
      </c>
      <c r="B42" s="64"/>
      <c r="C42" s="64"/>
      <c r="D42" s="64"/>
      <c r="E42" s="90">
        <f>E5/E9</f>
        <v>0.28497372512905156</v>
      </c>
      <c r="F42" s="90">
        <f t="shared" ref="F42:U42" si="40">F5/F9</f>
        <v>0.25243030110144299</v>
      </c>
      <c r="G42" s="90">
        <f t="shared" si="40"/>
        <v>0.24650338140986619</v>
      </c>
      <c r="H42" s="90">
        <f t="shared" si="40"/>
        <v>0.25275905734597026</v>
      </c>
      <c r="I42" s="90">
        <f t="shared" si="40"/>
        <v>0.24960791153558962</v>
      </c>
      <c r="J42" s="90">
        <f t="shared" si="40"/>
        <v>0.23623390347226769</v>
      </c>
      <c r="K42" s="90">
        <f t="shared" si="40"/>
        <v>0.24960280319970493</v>
      </c>
      <c r="L42" s="90">
        <f t="shared" si="40"/>
        <v>0.22378107917474871</v>
      </c>
      <c r="M42" s="90">
        <f t="shared" si="40"/>
        <v>0.24245520724403025</v>
      </c>
      <c r="N42" s="214">
        <f t="shared" si="40"/>
        <v>0.25876653138468136</v>
      </c>
      <c r="O42" s="214">
        <f t="shared" si="40"/>
        <v>0.28987164904235158</v>
      </c>
      <c r="P42" s="214">
        <f t="shared" si="40"/>
        <v>0.25339226550947902</v>
      </c>
      <c r="Q42" s="214">
        <f t="shared" si="40"/>
        <v>0.34389887107280015</v>
      </c>
      <c r="R42" s="214">
        <f t="shared" si="40"/>
        <v>0.37432692055403149</v>
      </c>
      <c r="S42" s="214">
        <f t="shared" si="40"/>
        <v>0.40029866124505886</v>
      </c>
      <c r="T42" s="214">
        <f t="shared" si="40"/>
        <v>0.37858496575261674</v>
      </c>
      <c r="U42" s="214">
        <f t="shared" si="40"/>
        <v>0.37012803688157131</v>
      </c>
    </row>
    <row r="43" spans="1:89" x14ac:dyDescent="0.25">
      <c r="A43" s="184" t="s">
        <v>335</v>
      </c>
      <c r="B43" s="64"/>
      <c r="C43" s="64"/>
      <c r="D43" s="64"/>
      <c r="E43" s="90">
        <f>E6/E9</f>
        <v>0.44745253534969853</v>
      </c>
      <c r="F43" s="90">
        <f t="shared" ref="F43:U43" si="41">F6/F9</f>
        <v>0.34943047628306784</v>
      </c>
      <c r="G43" s="90">
        <f t="shared" si="41"/>
        <v>0.33596306827661276</v>
      </c>
      <c r="H43" s="90">
        <f t="shared" si="41"/>
        <v>0.33999652244524897</v>
      </c>
      <c r="I43" s="90">
        <f t="shared" si="41"/>
        <v>0.37954811052684662</v>
      </c>
      <c r="J43" s="90">
        <f t="shared" si="41"/>
        <v>0.31408826087363118</v>
      </c>
      <c r="K43" s="90">
        <f t="shared" si="41"/>
        <v>0.3132557228151871</v>
      </c>
      <c r="L43" s="90">
        <f t="shared" si="41"/>
        <v>0.27634566214071593</v>
      </c>
      <c r="M43" s="90">
        <f t="shared" si="41"/>
        <v>0.31853075717171125</v>
      </c>
      <c r="N43" s="214">
        <f t="shared" si="41"/>
        <v>0.28839920013602122</v>
      </c>
      <c r="O43" s="214">
        <f t="shared" si="41"/>
        <v>0.31723135735941066</v>
      </c>
      <c r="P43" s="214">
        <f t="shared" si="41"/>
        <v>0.27740945167686715</v>
      </c>
      <c r="Q43" s="214">
        <f t="shared" si="41"/>
        <v>0.41820607563448736</v>
      </c>
      <c r="R43" s="214">
        <f t="shared" si="41"/>
        <v>0.38849353620222365</v>
      </c>
      <c r="S43" s="214">
        <f t="shared" si="41"/>
        <v>0.39905752282561907</v>
      </c>
      <c r="T43" s="214">
        <f t="shared" si="41"/>
        <v>0.37666321964722443</v>
      </c>
      <c r="U43" s="214">
        <f t="shared" si="41"/>
        <v>0.42187950820435022</v>
      </c>
    </row>
    <row r="44" spans="1:89" x14ac:dyDescent="0.25">
      <c r="A44" s="184" t="s">
        <v>336</v>
      </c>
      <c r="B44" s="64"/>
      <c r="C44" s="64"/>
      <c r="D44" s="64"/>
      <c r="E44" s="90">
        <f>E7/E9</f>
        <v>0.84460889201023481</v>
      </c>
      <c r="F44" s="90">
        <f t="shared" ref="F44:U44" si="42">F7/F9</f>
        <v>0.82267033661470224</v>
      </c>
      <c r="G44" s="90">
        <f t="shared" si="42"/>
        <v>0.82392229115206017</v>
      </c>
      <c r="H44" s="90">
        <f t="shared" si="42"/>
        <v>0.84441674943307665</v>
      </c>
      <c r="I44" s="90">
        <f t="shared" si="42"/>
        <v>0.87945049322184299</v>
      </c>
      <c r="J44" s="90">
        <f t="shared" si="42"/>
        <v>0.90237251363003002</v>
      </c>
      <c r="K44" s="90">
        <f t="shared" si="42"/>
        <v>0.90059337467438161</v>
      </c>
      <c r="L44" s="90">
        <f t="shared" si="42"/>
        <v>0.90614530065244225</v>
      </c>
      <c r="M44" s="90">
        <f t="shared" si="42"/>
        <v>0.92734558927583588</v>
      </c>
      <c r="N44" s="214">
        <f t="shared" si="42"/>
        <v>0.89645383779468191</v>
      </c>
      <c r="O44" s="214">
        <f t="shared" si="42"/>
        <v>0.88292361273352626</v>
      </c>
      <c r="P44" s="214">
        <f t="shared" si="42"/>
        <v>0.88309043478571825</v>
      </c>
      <c r="Q44" s="214">
        <f t="shared" si="42"/>
        <v>0.9843535857757727</v>
      </c>
      <c r="R44" s="214">
        <f t="shared" si="42"/>
        <v>0.91718875572257219</v>
      </c>
      <c r="S44" s="214">
        <f t="shared" si="42"/>
        <v>0.90634034576540312</v>
      </c>
      <c r="T44" s="214">
        <f t="shared" si="42"/>
        <v>0.89960326510069755</v>
      </c>
      <c r="U44" s="214">
        <f t="shared" si="42"/>
        <v>0.95642547417907375</v>
      </c>
    </row>
    <row r="45" spans="1:89" s="225" customFormat="1" x14ac:dyDescent="0.25">
      <c r="A45" s="222" t="s">
        <v>337</v>
      </c>
      <c r="B45" s="223"/>
      <c r="C45" s="223"/>
      <c r="D45" s="223"/>
      <c r="E45" s="224">
        <f>E8/E9</f>
        <v>0.68213008178958789</v>
      </c>
      <c r="F45" s="224">
        <f t="shared" ref="F45:U45" si="43">F8/F9</f>
        <v>0.72567016143307739</v>
      </c>
      <c r="G45" s="224">
        <f t="shared" si="43"/>
        <v>0.73446260428531362</v>
      </c>
      <c r="H45" s="224">
        <f t="shared" si="43"/>
        <v>0.75717928433379789</v>
      </c>
      <c r="I45" s="224">
        <f t="shared" si="43"/>
        <v>0.74951029423058591</v>
      </c>
      <c r="J45" s="224">
        <f t="shared" si="43"/>
        <v>0.82451815622866653</v>
      </c>
      <c r="K45" s="224">
        <f t="shared" si="43"/>
        <v>0.83694045505889947</v>
      </c>
      <c r="L45" s="224">
        <f t="shared" si="43"/>
        <v>0.85358071768647503</v>
      </c>
      <c r="M45" s="224">
        <f t="shared" si="43"/>
        <v>0.85127003934815493</v>
      </c>
      <c r="N45" s="224">
        <f t="shared" si="43"/>
        <v>0.86682116904334194</v>
      </c>
      <c r="O45" s="224">
        <f t="shared" si="43"/>
        <v>0.85556390441646724</v>
      </c>
      <c r="P45" s="224">
        <f t="shared" si="43"/>
        <v>0.85907324861833012</v>
      </c>
      <c r="Q45" s="224">
        <f t="shared" si="43"/>
        <v>0.91004638121408554</v>
      </c>
      <c r="R45" s="224">
        <f t="shared" si="43"/>
        <v>0.90302214007438009</v>
      </c>
      <c r="S45" s="224">
        <f t="shared" si="43"/>
        <v>0.90758148418484297</v>
      </c>
      <c r="T45" s="224">
        <f t="shared" si="43"/>
        <v>0.90152501120608985</v>
      </c>
      <c r="U45" s="224">
        <f t="shared" si="43"/>
        <v>0.90467400285629485</v>
      </c>
    </row>
    <row r="46" spans="1:89" x14ac:dyDescent="0.25">
      <c r="A46" s="185" t="s">
        <v>338</v>
      </c>
      <c r="B46" s="64"/>
      <c r="C46" s="64"/>
      <c r="D46" s="64"/>
      <c r="E46" s="90">
        <f>E9/E9</f>
        <v>1</v>
      </c>
      <c r="F46" s="90">
        <f t="shared" ref="F46:U46" si="44">F9/F9</f>
        <v>1</v>
      </c>
      <c r="G46" s="90">
        <f t="shared" si="44"/>
        <v>1</v>
      </c>
      <c r="H46" s="90">
        <f t="shared" si="44"/>
        <v>1</v>
      </c>
      <c r="I46" s="90">
        <f t="shared" si="44"/>
        <v>1</v>
      </c>
      <c r="J46" s="90">
        <f t="shared" si="44"/>
        <v>1</v>
      </c>
      <c r="K46" s="90">
        <f t="shared" si="44"/>
        <v>1</v>
      </c>
      <c r="L46" s="90">
        <f t="shared" si="44"/>
        <v>1</v>
      </c>
      <c r="M46" s="90">
        <f t="shared" si="44"/>
        <v>1</v>
      </c>
      <c r="N46" s="214">
        <f t="shared" si="44"/>
        <v>1</v>
      </c>
      <c r="O46" s="214">
        <f t="shared" si="44"/>
        <v>1</v>
      </c>
      <c r="P46" s="214">
        <f t="shared" si="44"/>
        <v>1</v>
      </c>
      <c r="Q46" s="214">
        <f t="shared" si="44"/>
        <v>1</v>
      </c>
      <c r="R46" s="214">
        <f t="shared" si="44"/>
        <v>1</v>
      </c>
      <c r="S46" s="214">
        <f t="shared" si="44"/>
        <v>1</v>
      </c>
      <c r="T46" s="214">
        <f t="shared" si="44"/>
        <v>1</v>
      </c>
      <c r="U46" s="214">
        <f t="shared" si="44"/>
        <v>1</v>
      </c>
    </row>
    <row r="47" spans="1:89" x14ac:dyDescent="0.25">
      <c r="A47" s="184" t="s">
        <v>339</v>
      </c>
      <c r="B47" s="64"/>
      <c r="C47" s="64"/>
      <c r="D47" s="64"/>
      <c r="E47" s="90">
        <f>E10/E14</f>
        <v>7.4130752210978701E-2</v>
      </c>
      <c r="F47" s="90">
        <f t="shared" ref="F47:U47" si="45">F10/F14</f>
        <v>6.2743454306487131E-2</v>
      </c>
      <c r="G47" s="90">
        <f t="shared" si="45"/>
        <v>6.0907763579974697E-2</v>
      </c>
      <c r="H47" s="90">
        <f t="shared" si="45"/>
        <v>6.0536763306881465E-2</v>
      </c>
      <c r="I47" s="90">
        <f t="shared" si="45"/>
        <v>6.9716336140332041E-2</v>
      </c>
      <c r="J47" s="90">
        <f t="shared" si="45"/>
        <v>6.7456257656663521E-2</v>
      </c>
      <c r="K47" s="90">
        <f t="shared" si="45"/>
        <v>9.7446229742502138E-2</v>
      </c>
      <c r="L47" s="90">
        <f t="shared" si="45"/>
        <v>9.8957414918003875E-2</v>
      </c>
      <c r="M47" s="90">
        <f t="shared" si="45"/>
        <v>0.10660023487595499</v>
      </c>
      <c r="N47" s="214">
        <f t="shared" si="45"/>
        <v>0.12066155108558249</v>
      </c>
      <c r="O47" s="214">
        <f t="shared" si="45"/>
        <v>0.14002332669734197</v>
      </c>
      <c r="P47" s="214">
        <f t="shared" si="45"/>
        <v>0.15407205960446069</v>
      </c>
      <c r="Q47" s="214">
        <f t="shared" si="45"/>
        <v>0.17544300887442293</v>
      </c>
      <c r="R47" s="214">
        <f t="shared" si="45"/>
        <v>0.18750115398930459</v>
      </c>
      <c r="S47" s="214">
        <f t="shared" si="45"/>
        <v>0.1968376581097068</v>
      </c>
      <c r="T47" s="214">
        <f t="shared" si="45"/>
        <v>0.19205468571833001</v>
      </c>
      <c r="U47" s="214">
        <f t="shared" si="45"/>
        <v>0.16946453261522648</v>
      </c>
    </row>
    <row r="48" spans="1:89" x14ac:dyDescent="0.25">
      <c r="A48" s="184" t="s">
        <v>340</v>
      </c>
      <c r="B48" s="64"/>
      <c r="C48" s="64"/>
      <c r="D48" s="64"/>
      <c r="E48" s="90">
        <f>E11/E14</f>
        <v>0.10526708914145072</v>
      </c>
      <c r="F48" s="90">
        <f t="shared" ref="F48:U48" si="46">F11/F14</f>
        <v>0.12266932771529225</v>
      </c>
      <c r="G48" s="90">
        <f t="shared" si="46"/>
        <v>0.11989823755452687</v>
      </c>
      <c r="H48" s="90">
        <f t="shared" si="46"/>
        <v>0.12623159604287043</v>
      </c>
      <c r="I48" s="90">
        <f t="shared" si="46"/>
        <v>0.12360108850234698</v>
      </c>
      <c r="J48" s="90">
        <f t="shared" si="46"/>
        <v>0.13828846099894326</v>
      </c>
      <c r="K48" s="90">
        <f t="shared" si="46"/>
        <v>0.1231757301920284</v>
      </c>
      <c r="L48" s="90">
        <f t="shared" si="46"/>
        <v>0.13861918092047257</v>
      </c>
      <c r="M48" s="90">
        <f t="shared" si="46"/>
        <v>0.14097978927326291</v>
      </c>
      <c r="N48" s="214">
        <f t="shared" si="46"/>
        <v>0.12429771646965765</v>
      </c>
      <c r="O48" s="214">
        <f t="shared" si="46"/>
        <v>0.12068183232741085</v>
      </c>
      <c r="P48" s="214">
        <f t="shared" si="46"/>
        <v>0.12683827802183853</v>
      </c>
      <c r="Q48" s="214">
        <f t="shared" si="46"/>
        <v>0.15962859660722548</v>
      </c>
      <c r="R48" s="214">
        <f t="shared" si="46"/>
        <v>0.15288827731504831</v>
      </c>
      <c r="S48" s="214">
        <f t="shared" si="46"/>
        <v>0.14293383451684746</v>
      </c>
      <c r="T48" s="214">
        <f t="shared" si="46"/>
        <v>0.15198701666365216</v>
      </c>
      <c r="U48" s="214">
        <f t="shared" si="46"/>
        <v>0.1590269569291004</v>
      </c>
    </row>
    <row r="49" spans="1:21" x14ac:dyDescent="0.25">
      <c r="A49" s="184" t="s">
        <v>341</v>
      </c>
      <c r="B49" s="64"/>
      <c r="C49" s="64"/>
      <c r="D49" s="64"/>
      <c r="E49" s="90">
        <f>E12/E14</f>
        <v>0.17939784135242942</v>
      </c>
      <c r="F49" s="90">
        <f t="shared" ref="F49:U49" si="47">F12/F14</f>
        <v>0.18541278202177938</v>
      </c>
      <c r="G49" s="90">
        <f t="shared" si="47"/>
        <v>0.18080600113450157</v>
      </c>
      <c r="H49" s="90">
        <f t="shared" si="47"/>
        <v>0.18676835934975189</v>
      </c>
      <c r="I49" s="90">
        <f t="shared" si="47"/>
        <v>0.19331742464267904</v>
      </c>
      <c r="J49" s="90">
        <f t="shared" si="47"/>
        <v>0.20574471865560678</v>
      </c>
      <c r="K49" s="90">
        <f t="shared" si="47"/>
        <v>0.22062195993453054</v>
      </c>
      <c r="L49" s="90">
        <f t="shared" si="47"/>
        <v>0.23757659583847646</v>
      </c>
      <c r="M49" s="90">
        <f t="shared" si="47"/>
        <v>0.2475800241492179</v>
      </c>
      <c r="N49" s="214">
        <f t="shared" si="47"/>
        <v>0.24495926755524014</v>
      </c>
      <c r="O49" s="214">
        <f t="shared" si="47"/>
        <v>0.26070515902475283</v>
      </c>
      <c r="P49" s="214">
        <f t="shared" si="47"/>
        <v>0.28091033762629919</v>
      </c>
      <c r="Q49" s="214">
        <f t="shared" si="47"/>
        <v>0.33507160548164844</v>
      </c>
      <c r="R49" s="214">
        <f t="shared" si="47"/>
        <v>0.3403894313043529</v>
      </c>
      <c r="S49" s="214">
        <f t="shared" si="47"/>
        <v>0.33977149262655426</v>
      </c>
      <c r="T49" s="214">
        <f t="shared" si="47"/>
        <v>0.34404170238198217</v>
      </c>
      <c r="U49" s="214">
        <f t="shared" si="47"/>
        <v>0.32849148954432689</v>
      </c>
    </row>
    <row r="50" spans="1:21" x14ac:dyDescent="0.25">
      <c r="A50" s="184" t="s">
        <v>345</v>
      </c>
      <c r="B50" s="64"/>
      <c r="C50" s="64"/>
      <c r="D50" s="64"/>
      <c r="E50" s="90">
        <f>E13/E14</f>
        <v>0.82060215864757058</v>
      </c>
      <c r="F50" s="90">
        <f t="shared" ref="F50:U50" si="48">F13/F14</f>
        <v>0.81458721797822065</v>
      </c>
      <c r="G50" s="90">
        <f t="shared" si="48"/>
        <v>0.81919399886549848</v>
      </c>
      <c r="H50" s="90">
        <f t="shared" si="48"/>
        <v>0.81323164065024811</v>
      </c>
      <c r="I50" s="90">
        <f t="shared" si="48"/>
        <v>0.80668257535732102</v>
      </c>
      <c r="J50" s="90">
        <f t="shared" si="48"/>
        <v>0.79425528134439327</v>
      </c>
      <c r="K50" s="90">
        <f t="shared" si="48"/>
        <v>0.77937804006546951</v>
      </c>
      <c r="L50" s="90">
        <f t="shared" si="48"/>
        <v>0.76242340416152354</v>
      </c>
      <c r="M50" s="90">
        <f t="shared" si="48"/>
        <v>0.75241997585078213</v>
      </c>
      <c r="N50" s="214">
        <f t="shared" si="48"/>
        <v>0.75504073244475989</v>
      </c>
      <c r="O50" s="214">
        <f t="shared" si="48"/>
        <v>0.73929484097524722</v>
      </c>
      <c r="P50" s="214">
        <f t="shared" si="48"/>
        <v>0.71908966237370076</v>
      </c>
      <c r="Q50" s="214">
        <f t="shared" si="48"/>
        <v>0.66492839451835162</v>
      </c>
      <c r="R50" s="214">
        <f t="shared" si="48"/>
        <v>0.65961056869564716</v>
      </c>
      <c r="S50" s="214">
        <f t="shared" si="48"/>
        <v>0.66022850737344574</v>
      </c>
      <c r="T50" s="214">
        <f t="shared" si="48"/>
        <v>0.65595829761801783</v>
      </c>
      <c r="U50" s="214">
        <f t="shared" si="48"/>
        <v>0.67150851045567317</v>
      </c>
    </row>
    <row r="51" spans="1:21" x14ac:dyDescent="0.25">
      <c r="A51" s="185" t="s">
        <v>342</v>
      </c>
      <c r="B51" s="64"/>
      <c r="C51" s="64"/>
      <c r="D51" s="64"/>
      <c r="E51" s="90">
        <f>E14/E14</f>
        <v>1</v>
      </c>
      <c r="F51" s="90">
        <f t="shared" ref="F51:U51" si="49">F14/F14</f>
        <v>1</v>
      </c>
      <c r="G51" s="90">
        <f t="shared" si="49"/>
        <v>1</v>
      </c>
      <c r="H51" s="90">
        <f t="shared" si="49"/>
        <v>1</v>
      </c>
      <c r="I51" s="90">
        <f t="shared" si="49"/>
        <v>1</v>
      </c>
      <c r="J51" s="90">
        <f t="shared" si="49"/>
        <v>1</v>
      </c>
      <c r="K51" s="90">
        <f t="shared" si="49"/>
        <v>1</v>
      </c>
      <c r="L51" s="90">
        <f t="shared" si="49"/>
        <v>1</v>
      </c>
      <c r="M51" s="90">
        <f t="shared" si="49"/>
        <v>1</v>
      </c>
      <c r="N51" s="214">
        <f t="shared" si="49"/>
        <v>1</v>
      </c>
      <c r="O51" s="214">
        <f t="shared" si="49"/>
        <v>1</v>
      </c>
      <c r="P51" s="214">
        <f t="shared" si="49"/>
        <v>1</v>
      </c>
      <c r="Q51" s="214">
        <f t="shared" si="49"/>
        <v>1</v>
      </c>
      <c r="R51" s="214">
        <f t="shared" si="49"/>
        <v>1</v>
      </c>
      <c r="S51" s="214">
        <f t="shared" si="49"/>
        <v>1</v>
      </c>
      <c r="T51" s="214">
        <f t="shared" si="49"/>
        <v>1</v>
      </c>
      <c r="U51" s="214">
        <f t="shared" si="49"/>
        <v>1</v>
      </c>
    </row>
    <row r="54" spans="1:21" s="9" customFormat="1" x14ac:dyDescent="0.25">
      <c r="A54" s="229" t="s">
        <v>641</v>
      </c>
      <c r="B54" s="230"/>
      <c r="C54" s="230"/>
      <c r="D54" s="230"/>
      <c r="E54" s="231">
        <f>E1</f>
        <v>43100</v>
      </c>
      <c r="F54" s="231">
        <f t="shared" ref="F54:U54" si="50">F1</f>
        <v>43008</v>
      </c>
      <c r="G54" s="231">
        <f t="shared" si="50"/>
        <v>42916</v>
      </c>
      <c r="H54" s="231">
        <f t="shared" si="50"/>
        <v>42825</v>
      </c>
      <c r="I54" s="231">
        <f t="shared" si="50"/>
        <v>42735</v>
      </c>
      <c r="J54" s="231">
        <f t="shared" si="50"/>
        <v>42643</v>
      </c>
      <c r="K54" s="231">
        <f t="shared" si="50"/>
        <v>42551</v>
      </c>
      <c r="L54" s="231">
        <f t="shared" si="50"/>
        <v>42460</v>
      </c>
      <c r="M54" s="231">
        <f t="shared" si="50"/>
        <v>42369</v>
      </c>
      <c r="N54" s="231">
        <f t="shared" si="50"/>
        <v>42277</v>
      </c>
      <c r="O54" s="231">
        <f t="shared" si="50"/>
        <v>42185</v>
      </c>
      <c r="P54" s="231">
        <f t="shared" si="50"/>
        <v>42094</v>
      </c>
      <c r="Q54" s="231">
        <f t="shared" si="50"/>
        <v>42004</v>
      </c>
      <c r="R54" s="231">
        <f t="shared" si="50"/>
        <v>41912</v>
      </c>
      <c r="S54" s="231">
        <f t="shared" si="50"/>
        <v>41820</v>
      </c>
      <c r="T54" s="231">
        <f t="shared" si="50"/>
        <v>41729</v>
      </c>
      <c r="U54" s="231">
        <f t="shared" si="50"/>
        <v>41639</v>
      </c>
    </row>
    <row r="55" spans="1:21" x14ac:dyDescent="0.25">
      <c r="A55" s="184" t="s">
        <v>645</v>
      </c>
      <c r="B55" s="64"/>
      <c r="C55" s="64"/>
      <c r="D55" s="64"/>
      <c r="E55" s="214">
        <f>E2/E9</f>
        <v>0.19846294965372188</v>
      </c>
      <c r="F55" s="214">
        <f t="shared" ref="F55:U55" si="51">F2/F9</f>
        <v>0.15879159531760612</v>
      </c>
      <c r="G55" s="214">
        <f t="shared" si="51"/>
        <v>0.1552472500962703</v>
      </c>
      <c r="H55" s="214">
        <f t="shared" si="51"/>
        <v>0.13343159094488441</v>
      </c>
      <c r="I55" s="214">
        <f t="shared" si="51"/>
        <v>0.14240560499134397</v>
      </c>
      <c r="J55" s="214">
        <f t="shared" si="51"/>
        <v>9.1159885161736787E-2</v>
      </c>
      <c r="K55" s="214">
        <f t="shared" si="51"/>
        <v>8.1258673551718577E-2</v>
      </c>
      <c r="L55" s="214">
        <f t="shared" si="51"/>
        <v>6.8118864985599242E-2</v>
      </c>
      <c r="M55" s="214">
        <f t="shared" si="51"/>
        <v>7.2487167282036774E-2</v>
      </c>
      <c r="N55" s="214">
        <f t="shared" si="51"/>
        <v>5.4014844056093976E-2</v>
      </c>
      <c r="O55" s="214">
        <f t="shared" si="51"/>
        <v>6.7903601025075755E-2</v>
      </c>
      <c r="P55" s="214">
        <f t="shared" si="51"/>
        <v>6.703266837956183E-2</v>
      </c>
      <c r="Q55" s="214">
        <f t="shared" si="51"/>
        <v>1.0775453422788198E-2</v>
      </c>
      <c r="R55" s="214">
        <f t="shared" si="51"/>
        <v>2.1888383239119218E-2</v>
      </c>
      <c r="S55" s="214">
        <f t="shared" si="51"/>
        <v>1.4131247432764281E-2</v>
      </c>
      <c r="T55" s="214">
        <f t="shared" si="51"/>
        <v>2.0417692253249766E-2</v>
      </c>
      <c r="U55" s="214">
        <f t="shared" si="51"/>
        <v>1.5616549136648165E-2</v>
      </c>
    </row>
    <row r="56" spans="1:21" x14ac:dyDescent="0.25">
      <c r="A56" s="184" t="s">
        <v>646</v>
      </c>
      <c r="B56" s="64"/>
      <c r="C56" s="64"/>
      <c r="D56" s="64"/>
      <c r="E56" s="214">
        <f>E4/E9</f>
        <v>-0.16247881022064697</v>
      </c>
      <c r="F56" s="214">
        <f t="shared" ref="F56:U56" si="52">F4/F9</f>
        <v>-9.700017518162482E-2</v>
      </c>
      <c r="G56" s="214">
        <f t="shared" si="52"/>
        <v>-8.9459686866746574E-2</v>
      </c>
      <c r="H56" s="214">
        <f t="shared" si="52"/>
        <v>-8.7237465099278724E-2</v>
      </c>
      <c r="I56" s="214">
        <f t="shared" si="52"/>
        <v>-0.129940198991257</v>
      </c>
      <c r="J56" s="214">
        <f t="shared" si="52"/>
        <v>-7.7854357401363469E-2</v>
      </c>
      <c r="K56" s="214">
        <f t="shared" si="52"/>
        <v>-6.365291961548214E-2</v>
      </c>
      <c r="L56" s="214">
        <f t="shared" si="52"/>
        <v>-5.2564582965967201E-2</v>
      </c>
      <c r="M56" s="214">
        <f t="shared" si="52"/>
        <v>-7.6075549927680994E-2</v>
      </c>
      <c r="N56" s="214">
        <f t="shared" si="52"/>
        <v>-2.9632668751339884E-2</v>
      </c>
      <c r="O56" s="214">
        <f t="shared" si="52"/>
        <v>-2.7359708317059066E-2</v>
      </c>
      <c r="P56" s="214">
        <f t="shared" si="52"/>
        <v>-2.401718616738812E-2</v>
      </c>
      <c r="Q56" s="214">
        <f t="shared" si="52"/>
        <v>-7.4307204561687212E-2</v>
      </c>
      <c r="R56" s="214">
        <f t="shared" si="52"/>
        <v>-1.4166615648192148E-2</v>
      </c>
      <c r="S56" s="214">
        <f t="shared" si="52"/>
        <v>1.2411384194397738E-3</v>
      </c>
      <c r="T56" s="214">
        <f t="shared" si="52"/>
        <v>1.9217461053922917E-3</v>
      </c>
      <c r="U56" s="214">
        <f t="shared" si="52"/>
        <v>-5.1751471322778901E-2</v>
      </c>
    </row>
    <row r="57" spans="1:21" x14ac:dyDescent="0.25">
      <c r="A57" s="184" t="s">
        <v>647</v>
      </c>
      <c r="B57" s="64"/>
      <c r="C57" s="64"/>
      <c r="D57" s="64"/>
      <c r="E57" s="214">
        <f>E5/E9</f>
        <v>0.28497372512905156</v>
      </c>
      <c r="F57" s="214">
        <f t="shared" ref="F57:U57" si="53">F5/F9</f>
        <v>0.25243030110144299</v>
      </c>
      <c r="G57" s="214">
        <f t="shared" si="53"/>
        <v>0.24650338140986619</v>
      </c>
      <c r="H57" s="214">
        <f t="shared" si="53"/>
        <v>0.25275905734597026</v>
      </c>
      <c r="I57" s="214">
        <f t="shared" si="53"/>
        <v>0.24960791153558962</v>
      </c>
      <c r="J57" s="214">
        <f t="shared" si="53"/>
        <v>0.23623390347226769</v>
      </c>
      <c r="K57" s="214">
        <f t="shared" si="53"/>
        <v>0.24960280319970493</v>
      </c>
      <c r="L57" s="214">
        <f t="shared" si="53"/>
        <v>0.22378107917474871</v>
      </c>
      <c r="M57" s="214">
        <f t="shared" si="53"/>
        <v>0.24245520724403025</v>
      </c>
      <c r="N57" s="214">
        <f t="shared" si="53"/>
        <v>0.25876653138468136</v>
      </c>
      <c r="O57" s="214">
        <f t="shared" si="53"/>
        <v>0.28987164904235158</v>
      </c>
      <c r="P57" s="214">
        <f t="shared" si="53"/>
        <v>0.25339226550947902</v>
      </c>
      <c r="Q57" s="214">
        <f t="shared" si="53"/>
        <v>0.34389887107280015</v>
      </c>
      <c r="R57" s="214">
        <f t="shared" si="53"/>
        <v>0.37432692055403149</v>
      </c>
      <c r="S57" s="214">
        <f t="shared" si="53"/>
        <v>0.40029866124505886</v>
      </c>
      <c r="T57" s="214">
        <f t="shared" si="53"/>
        <v>0.37858496575261674</v>
      </c>
      <c r="U57" s="214">
        <f t="shared" si="53"/>
        <v>0.37012803688157131</v>
      </c>
    </row>
    <row r="58" spans="1:21" x14ac:dyDescent="0.25">
      <c r="A58" s="184" t="s">
        <v>648</v>
      </c>
      <c r="B58" s="64"/>
      <c r="C58" s="64"/>
      <c r="D58" s="64"/>
      <c r="E58" s="214">
        <f>E6/E9</f>
        <v>0.44745253534969853</v>
      </c>
      <c r="F58" s="214">
        <f t="shared" ref="F58:U58" si="54">F6/F9</f>
        <v>0.34943047628306784</v>
      </c>
      <c r="G58" s="214">
        <f t="shared" si="54"/>
        <v>0.33596306827661276</v>
      </c>
      <c r="H58" s="214">
        <f t="shared" si="54"/>
        <v>0.33999652244524897</v>
      </c>
      <c r="I58" s="214">
        <f t="shared" si="54"/>
        <v>0.37954811052684662</v>
      </c>
      <c r="J58" s="214">
        <f t="shared" si="54"/>
        <v>0.31408826087363118</v>
      </c>
      <c r="K58" s="214">
        <f t="shared" si="54"/>
        <v>0.3132557228151871</v>
      </c>
      <c r="L58" s="214">
        <f t="shared" si="54"/>
        <v>0.27634566214071593</v>
      </c>
      <c r="M58" s="214">
        <f t="shared" si="54"/>
        <v>0.31853075717171125</v>
      </c>
      <c r="N58" s="214">
        <f t="shared" si="54"/>
        <v>0.28839920013602122</v>
      </c>
      <c r="O58" s="214">
        <f t="shared" si="54"/>
        <v>0.31723135735941066</v>
      </c>
      <c r="P58" s="214">
        <f t="shared" si="54"/>
        <v>0.27740945167686715</v>
      </c>
      <c r="Q58" s="214">
        <f t="shared" si="54"/>
        <v>0.41820607563448736</v>
      </c>
      <c r="R58" s="214">
        <f t="shared" si="54"/>
        <v>0.38849353620222365</v>
      </c>
      <c r="S58" s="214">
        <f t="shared" si="54"/>
        <v>0.39905752282561907</v>
      </c>
      <c r="T58" s="214">
        <f t="shared" si="54"/>
        <v>0.37666321964722443</v>
      </c>
      <c r="U58" s="214">
        <f t="shared" si="54"/>
        <v>0.42187950820435022</v>
      </c>
    </row>
    <row r="59" spans="1:21" s="225" customFormat="1" x14ac:dyDescent="0.25">
      <c r="A59" s="227" t="s">
        <v>642</v>
      </c>
      <c r="B59" s="223"/>
      <c r="C59" s="223"/>
      <c r="D59" s="223"/>
      <c r="E59" s="224">
        <f>E55+E56</f>
        <v>3.5984139433074908E-2</v>
      </c>
      <c r="F59" s="224">
        <f t="shared" ref="F59:U59" si="55">F55+F56</f>
        <v>6.1791420135981295E-2</v>
      </c>
      <c r="G59" s="224">
        <f t="shared" si="55"/>
        <v>6.5787563229523727E-2</v>
      </c>
      <c r="H59" s="224">
        <f t="shared" si="55"/>
        <v>4.6194125845605685E-2</v>
      </c>
      <c r="I59" s="224">
        <f t="shared" si="55"/>
        <v>1.246540600008697E-2</v>
      </c>
      <c r="J59" s="224">
        <f t="shared" si="55"/>
        <v>1.3305527760373317E-2</v>
      </c>
      <c r="K59" s="224">
        <f t="shared" si="55"/>
        <v>1.7605753936236437E-2</v>
      </c>
      <c r="L59" s="224">
        <f t="shared" si="55"/>
        <v>1.5554282019632042E-2</v>
      </c>
      <c r="M59" s="224">
        <f t="shared" si="55"/>
        <v>-3.5883826456442197E-3</v>
      </c>
      <c r="N59" s="224">
        <f t="shared" si="55"/>
        <v>2.4382175304754092E-2</v>
      </c>
      <c r="O59" s="224">
        <f t="shared" si="55"/>
        <v>4.0543892708016685E-2</v>
      </c>
      <c r="P59" s="224">
        <f t="shared" si="55"/>
        <v>4.301548221217371E-2</v>
      </c>
      <c r="Q59" s="224">
        <f t="shared" si="55"/>
        <v>-6.3531751138899015E-2</v>
      </c>
      <c r="R59" s="224">
        <f t="shared" si="55"/>
        <v>7.7217675909270703E-3</v>
      </c>
      <c r="S59" s="224">
        <f t="shared" si="55"/>
        <v>1.5372385852204054E-2</v>
      </c>
      <c r="T59" s="224">
        <f t="shared" si="55"/>
        <v>2.2339438358642057E-2</v>
      </c>
      <c r="U59" s="224">
        <f t="shared" si="55"/>
        <v>-3.6134922186130736E-2</v>
      </c>
    </row>
    <row r="60" spans="1:21" x14ac:dyDescent="0.25">
      <c r="A60" s="184" t="s">
        <v>649</v>
      </c>
      <c r="B60" s="64"/>
      <c r="C60" s="64"/>
      <c r="D60" s="64"/>
      <c r="E60" s="214">
        <f>E3/E9</f>
        <v>0.11940696855669024</v>
      </c>
      <c r="F60" s="214">
        <f t="shared" ref="F60:U60" si="56">F3/F9</f>
        <v>0.11553824324931647</v>
      </c>
      <c r="G60" s="214">
        <f t="shared" si="56"/>
        <v>0.11029014561841607</v>
      </c>
      <c r="H60" s="214">
        <f t="shared" si="56"/>
        <v>0.10938912472131769</v>
      </c>
      <c r="I60" s="214">
        <f t="shared" si="56"/>
        <v>0.10808410077807007</v>
      </c>
      <c r="J60" s="214">
        <f t="shared" si="56"/>
        <v>8.4321958609596667E-2</v>
      </c>
      <c r="K60" s="214">
        <f t="shared" si="56"/>
        <v>8.1800871389381954E-2</v>
      </c>
      <c r="L60" s="214">
        <f t="shared" si="56"/>
        <v>7.8300417327925698E-2</v>
      </c>
      <c r="M60" s="214">
        <f t="shared" si="56"/>
        <v>7.6242793369808326E-2</v>
      </c>
      <c r="N60" s="214">
        <f t="shared" si="56"/>
        <v>7.9163986900564046E-2</v>
      </c>
      <c r="O60" s="214">
        <f t="shared" si="56"/>
        <v>7.6532494558457009E-2</v>
      </c>
      <c r="P60" s="214">
        <f t="shared" si="56"/>
        <v>7.3894083002108035E-2</v>
      </c>
      <c r="Q60" s="214">
        <f t="shared" si="56"/>
        <v>7.9178165363126302E-2</v>
      </c>
      <c r="R60" s="214">
        <f t="shared" si="56"/>
        <v>7.5089476686500706E-2</v>
      </c>
      <c r="S60" s="214">
        <f t="shared" si="56"/>
        <v>7.8287268382392777E-2</v>
      </c>
      <c r="T60" s="214">
        <f t="shared" si="56"/>
        <v>7.8057296540660417E-2</v>
      </c>
      <c r="U60" s="214">
        <f t="shared" si="56"/>
        <v>7.9709448007056968E-2</v>
      </c>
    </row>
    <row r="61" spans="1:21" x14ac:dyDescent="0.25">
      <c r="A61" s="184" t="s">
        <v>650</v>
      </c>
      <c r="B61" s="64"/>
      <c r="C61" s="64"/>
      <c r="D61" s="64"/>
      <c r="E61" s="214">
        <f>E7/E9</f>
        <v>0.84460889201023481</v>
      </c>
      <c r="F61" s="214">
        <f t="shared" ref="F61:U61" si="57">F7/F9</f>
        <v>0.82267033661470224</v>
      </c>
      <c r="G61" s="214">
        <f t="shared" si="57"/>
        <v>0.82392229115206017</v>
      </c>
      <c r="H61" s="214">
        <f t="shared" si="57"/>
        <v>0.84441674943307665</v>
      </c>
      <c r="I61" s="214">
        <f t="shared" si="57"/>
        <v>0.87945049322184299</v>
      </c>
      <c r="J61" s="214">
        <f t="shared" si="57"/>
        <v>0.90237251363003002</v>
      </c>
      <c r="K61" s="214">
        <f t="shared" si="57"/>
        <v>0.90059337467438161</v>
      </c>
      <c r="L61" s="214">
        <f t="shared" si="57"/>
        <v>0.90614530065244225</v>
      </c>
      <c r="M61" s="214">
        <f t="shared" si="57"/>
        <v>0.92734558927583588</v>
      </c>
      <c r="N61" s="214">
        <f t="shared" si="57"/>
        <v>0.89645383779468191</v>
      </c>
      <c r="O61" s="214">
        <f t="shared" si="57"/>
        <v>0.88292361273352626</v>
      </c>
      <c r="P61" s="214">
        <f t="shared" si="57"/>
        <v>0.88309043478571825</v>
      </c>
      <c r="Q61" s="214">
        <f t="shared" si="57"/>
        <v>0.9843535857757727</v>
      </c>
      <c r="R61" s="214">
        <f t="shared" si="57"/>
        <v>0.91718875572257219</v>
      </c>
      <c r="S61" s="214">
        <f t="shared" si="57"/>
        <v>0.90634034576540312</v>
      </c>
      <c r="T61" s="214">
        <f t="shared" si="57"/>
        <v>0.89960326510069755</v>
      </c>
      <c r="U61" s="214">
        <f t="shared" si="57"/>
        <v>0.95642547417907375</v>
      </c>
    </row>
    <row r="62" spans="1:21" s="225" customFormat="1" x14ac:dyDescent="0.25">
      <c r="A62" s="227" t="s">
        <v>643</v>
      </c>
      <c r="B62" s="223"/>
      <c r="C62" s="223"/>
      <c r="D62" s="223"/>
      <c r="E62" s="224">
        <f>E60+E61</f>
        <v>0.96401586056692501</v>
      </c>
      <c r="F62" s="224">
        <f t="shared" ref="F62:M62" si="58">F60+F61</f>
        <v>0.93820857986401873</v>
      </c>
      <c r="G62" s="224">
        <f t="shared" si="58"/>
        <v>0.93421243677047627</v>
      </c>
      <c r="H62" s="224">
        <f t="shared" si="58"/>
        <v>0.95380587415439433</v>
      </c>
      <c r="I62" s="224">
        <f t="shared" si="58"/>
        <v>0.98753459399991306</v>
      </c>
      <c r="J62" s="224">
        <f t="shared" si="58"/>
        <v>0.9866944722396267</v>
      </c>
      <c r="K62" s="224">
        <f t="shared" si="58"/>
        <v>0.98239424606376358</v>
      </c>
      <c r="L62" s="224">
        <f t="shared" si="58"/>
        <v>0.98444571798036795</v>
      </c>
      <c r="M62" s="224">
        <f t="shared" si="58"/>
        <v>1.0035883826456442</v>
      </c>
      <c r="N62" s="224">
        <f t="shared" ref="N62" si="59">N60+N61</f>
        <v>0.97561782469524594</v>
      </c>
      <c r="O62" s="224">
        <f t="shared" ref="O62" si="60">O60+O61</f>
        <v>0.95945610729198327</v>
      </c>
      <c r="P62" s="224">
        <f t="shared" ref="P62" si="61">P60+P61</f>
        <v>0.95698451778782623</v>
      </c>
      <c r="Q62" s="224">
        <f t="shared" ref="Q62" si="62">Q60+Q61</f>
        <v>1.0635317511388991</v>
      </c>
      <c r="R62" s="224">
        <f t="shared" ref="R62" si="63">R60+R61</f>
        <v>0.99227823240907287</v>
      </c>
      <c r="S62" s="224">
        <f t="shared" ref="S62" si="64">S60+S61</f>
        <v>0.98462761414779587</v>
      </c>
      <c r="T62" s="224">
        <f t="shared" ref="T62" si="65">T60+T61</f>
        <v>0.97766056164135795</v>
      </c>
      <c r="U62" s="224">
        <f t="shared" ref="U62" si="66">U60+U61</f>
        <v>1.0361349221861307</v>
      </c>
    </row>
    <row r="63" spans="1:21" x14ac:dyDescent="0.25">
      <c r="A63" s="226" t="s">
        <v>644</v>
      </c>
      <c r="B63" s="64"/>
      <c r="C63" s="64"/>
      <c r="D63" s="64"/>
      <c r="E63" s="214">
        <v>1</v>
      </c>
      <c r="F63" s="214">
        <v>1</v>
      </c>
      <c r="G63" s="214">
        <v>1</v>
      </c>
      <c r="H63" s="214">
        <v>1</v>
      </c>
      <c r="I63" s="214">
        <v>1</v>
      </c>
      <c r="J63" s="214">
        <v>1</v>
      </c>
      <c r="K63" s="214">
        <v>1</v>
      </c>
      <c r="L63" s="214">
        <v>1</v>
      </c>
      <c r="M63" s="214">
        <v>1</v>
      </c>
      <c r="N63" s="214">
        <v>1</v>
      </c>
      <c r="O63" s="214">
        <v>1</v>
      </c>
      <c r="P63" s="214">
        <v>1</v>
      </c>
      <c r="Q63" s="214">
        <v>1</v>
      </c>
      <c r="R63" s="214">
        <v>1</v>
      </c>
      <c r="S63" s="214">
        <v>1</v>
      </c>
      <c r="T63" s="214">
        <v>1</v>
      </c>
      <c r="U63" s="214">
        <v>1</v>
      </c>
    </row>
    <row r="64" spans="1:21" ht="42.6" customHeight="1" x14ac:dyDescent="0.25">
      <c r="A64" s="280" t="s">
        <v>700</v>
      </c>
      <c r="B64" s="281"/>
      <c r="C64" s="281"/>
      <c r="D64" s="281"/>
      <c r="E64" s="281"/>
      <c r="F64" s="281"/>
      <c r="G64" s="281"/>
      <c r="H64" s="281"/>
      <c r="I64" s="281"/>
      <c r="J64" s="281"/>
      <c r="K64" s="281"/>
      <c r="L64" s="281"/>
      <c r="M64" s="281"/>
      <c r="N64" s="281"/>
      <c r="O64" s="281"/>
      <c r="P64" s="281"/>
      <c r="Q64" s="281"/>
      <c r="R64" s="281"/>
      <c r="S64" s="281"/>
      <c r="T64" s="281"/>
      <c r="U64" s="281"/>
    </row>
    <row r="66" spans="1:21" s="9" customFormat="1" x14ac:dyDescent="0.25">
      <c r="A66" s="232" t="s">
        <v>651</v>
      </c>
      <c r="E66" s="233">
        <f>E1</f>
        <v>43100</v>
      </c>
      <c r="F66" s="233">
        <f t="shared" ref="F66:U66" si="67">F1</f>
        <v>43008</v>
      </c>
      <c r="G66" s="233">
        <f t="shared" si="67"/>
        <v>42916</v>
      </c>
      <c r="H66" s="233">
        <f t="shared" si="67"/>
        <v>42825</v>
      </c>
      <c r="I66" s="233">
        <f t="shared" si="67"/>
        <v>42735</v>
      </c>
      <c r="J66" s="233">
        <f t="shared" si="67"/>
        <v>42643</v>
      </c>
      <c r="K66" s="233">
        <f t="shared" si="67"/>
        <v>42551</v>
      </c>
      <c r="L66" s="233">
        <f t="shared" si="67"/>
        <v>42460</v>
      </c>
      <c r="M66" s="233">
        <f t="shared" si="67"/>
        <v>42369</v>
      </c>
      <c r="N66" s="233">
        <f t="shared" si="67"/>
        <v>42277</v>
      </c>
      <c r="O66" s="233">
        <f t="shared" si="67"/>
        <v>42185</v>
      </c>
      <c r="P66" s="233">
        <f t="shared" si="67"/>
        <v>42094</v>
      </c>
      <c r="Q66" s="233">
        <f t="shared" si="67"/>
        <v>42004</v>
      </c>
      <c r="R66" s="233">
        <f t="shared" si="67"/>
        <v>41912</v>
      </c>
      <c r="S66" s="233">
        <f t="shared" si="67"/>
        <v>41820</v>
      </c>
      <c r="T66" s="233">
        <f t="shared" si="67"/>
        <v>41729</v>
      </c>
      <c r="U66" s="233">
        <f t="shared" si="67"/>
        <v>41639</v>
      </c>
    </row>
    <row r="67" spans="1:21" x14ac:dyDescent="0.25">
      <c r="A67" s="17" t="s">
        <v>652</v>
      </c>
      <c r="E67" s="193">
        <f>E10</f>
        <v>81382000000</v>
      </c>
      <c r="F67" s="193">
        <f t="shared" ref="F67:U67" si="68">F10</f>
        <v>68409000000</v>
      </c>
      <c r="G67" s="193">
        <f t="shared" si="68"/>
        <v>67538000000</v>
      </c>
      <c r="H67" s="193">
        <f t="shared" si="68"/>
        <v>66498000000</v>
      </c>
      <c r="I67" s="193">
        <f t="shared" si="68"/>
        <v>75346000000</v>
      </c>
      <c r="J67" s="193">
        <f t="shared" si="68"/>
        <v>72133000000</v>
      </c>
      <c r="K67" s="193">
        <f t="shared" si="68"/>
        <v>105678000000</v>
      </c>
      <c r="L67" s="193">
        <f t="shared" si="68"/>
        <v>107748000000</v>
      </c>
      <c r="M67" s="193">
        <f t="shared" si="68"/>
        <v>116006000000</v>
      </c>
      <c r="N67" s="193">
        <f t="shared" si="68"/>
        <v>130578000000</v>
      </c>
      <c r="O67" s="193">
        <f t="shared" si="68"/>
        <v>155230000000</v>
      </c>
      <c r="P67" s="193">
        <f t="shared" si="68"/>
        <v>172341000000</v>
      </c>
      <c r="Q67" s="193">
        <f t="shared" si="68"/>
        <v>178578000000</v>
      </c>
      <c r="R67" s="193">
        <f t="shared" si="68"/>
        <v>192946000000</v>
      </c>
      <c r="S67" s="193">
        <f t="shared" si="68"/>
        <v>199829000000</v>
      </c>
      <c r="T67" s="193">
        <f t="shared" si="68"/>
        <v>195378000000</v>
      </c>
      <c r="U67" s="193">
        <f t="shared" si="68"/>
        <v>163870000000</v>
      </c>
    </row>
    <row r="68" spans="1:21" x14ac:dyDescent="0.25">
      <c r="A68" s="17" t="s">
        <v>653</v>
      </c>
      <c r="E68" s="193">
        <f>E11</f>
        <v>115564000000</v>
      </c>
      <c r="F68" s="193">
        <f t="shared" ref="F68:U68" si="69">F11</f>
        <v>133746000000</v>
      </c>
      <c r="G68" s="193">
        <f t="shared" si="69"/>
        <v>132950000000</v>
      </c>
      <c r="H68" s="193">
        <f t="shared" si="69"/>
        <v>138662000000</v>
      </c>
      <c r="I68" s="193">
        <f t="shared" si="69"/>
        <v>133582000000</v>
      </c>
      <c r="J68" s="193">
        <f t="shared" si="69"/>
        <v>147876000000</v>
      </c>
      <c r="K68" s="193">
        <f t="shared" si="69"/>
        <v>133581000000</v>
      </c>
      <c r="L68" s="193">
        <f t="shared" si="69"/>
        <v>150933000000</v>
      </c>
      <c r="M68" s="193">
        <f t="shared" si="69"/>
        <v>153419000000</v>
      </c>
      <c r="N68" s="193">
        <f t="shared" si="69"/>
        <v>134513000000</v>
      </c>
      <c r="O68" s="193">
        <f t="shared" si="69"/>
        <v>133788000000</v>
      </c>
      <c r="P68" s="193">
        <f t="shared" si="69"/>
        <v>141878000000</v>
      </c>
      <c r="Q68" s="193">
        <f t="shared" si="69"/>
        <v>162481000000</v>
      </c>
      <c r="R68" s="193">
        <f t="shared" si="69"/>
        <v>157328000000</v>
      </c>
      <c r="S68" s="193">
        <f t="shared" si="69"/>
        <v>145106000000</v>
      </c>
      <c r="T68" s="193">
        <f t="shared" si="69"/>
        <v>154617000000</v>
      </c>
      <c r="U68" s="193">
        <f t="shared" si="69"/>
        <v>153777000000</v>
      </c>
    </row>
    <row r="69" spans="1:21" x14ac:dyDescent="0.25">
      <c r="A69" s="17" t="s">
        <v>654</v>
      </c>
      <c r="E69" s="193">
        <f>E12</f>
        <v>196946000000</v>
      </c>
      <c r="F69" s="193">
        <f t="shared" ref="F69:U69" si="70">F12</f>
        <v>202155000000</v>
      </c>
      <c r="G69" s="193">
        <f t="shared" si="70"/>
        <v>200488000000</v>
      </c>
      <c r="H69" s="193">
        <f t="shared" si="70"/>
        <v>205160000000</v>
      </c>
      <c r="I69" s="193">
        <f t="shared" si="70"/>
        <v>208928000000</v>
      </c>
      <c r="J69" s="193">
        <f t="shared" si="70"/>
        <v>220009000000</v>
      </c>
      <c r="K69" s="193">
        <f t="shared" si="70"/>
        <v>239259000000</v>
      </c>
      <c r="L69" s="193">
        <f t="shared" si="70"/>
        <v>258681000000</v>
      </c>
      <c r="M69" s="193">
        <f t="shared" si="70"/>
        <v>269425000000</v>
      </c>
      <c r="N69" s="193">
        <f t="shared" si="70"/>
        <v>265091000000</v>
      </c>
      <c r="O69" s="193">
        <f t="shared" si="70"/>
        <v>289018000000</v>
      </c>
      <c r="P69" s="193">
        <f t="shared" si="70"/>
        <v>314219000000</v>
      </c>
      <c r="Q69" s="193">
        <f t="shared" si="70"/>
        <v>341059000000</v>
      </c>
      <c r="R69" s="193">
        <f t="shared" si="70"/>
        <v>350274000000</v>
      </c>
      <c r="S69" s="193">
        <f t="shared" si="70"/>
        <v>344935000000</v>
      </c>
      <c r="T69" s="193">
        <f t="shared" si="70"/>
        <v>349995000000</v>
      </c>
      <c r="U69" s="193">
        <f t="shared" si="70"/>
        <v>317647000000</v>
      </c>
    </row>
    <row r="70" spans="1:21" s="234" customFormat="1" x14ac:dyDescent="0.25">
      <c r="A70" s="234" t="s">
        <v>657</v>
      </c>
      <c r="E70" s="234">
        <f>E69/E74</f>
        <v>0.17939784135242942</v>
      </c>
      <c r="F70" s="234">
        <f t="shared" ref="F70:U70" si="71">F69/F74</f>
        <v>0.18541278202177938</v>
      </c>
      <c r="G70" s="234">
        <f t="shared" si="71"/>
        <v>0.18080600113450157</v>
      </c>
      <c r="H70" s="234">
        <f t="shared" si="71"/>
        <v>0.18676835934975189</v>
      </c>
      <c r="I70" s="234">
        <f t="shared" si="71"/>
        <v>0.19331742464267904</v>
      </c>
      <c r="J70" s="234">
        <f t="shared" si="71"/>
        <v>0.20574471865560678</v>
      </c>
      <c r="K70" s="234">
        <f t="shared" si="71"/>
        <v>0.22062195993453054</v>
      </c>
      <c r="L70" s="234">
        <f t="shared" si="71"/>
        <v>0.23757659583847646</v>
      </c>
      <c r="M70" s="234">
        <f t="shared" si="71"/>
        <v>0.2475800241492179</v>
      </c>
      <c r="N70" s="234">
        <f t="shared" si="71"/>
        <v>0.24495926755524014</v>
      </c>
      <c r="O70" s="234">
        <f t="shared" si="71"/>
        <v>0.26070515902475283</v>
      </c>
      <c r="P70" s="234">
        <f t="shared" si="71"/>
        <v>0.28091033762629919</v>
      </c>
      <c r="Q70" s="234">
        <f t="shared" si="71"/>
        <v>0.33507160548164844</v>
      </c>
      <c r="R70" s="234">
        <f t="shared" si="71"/>
        <v>0.3403894313043529</v>
      </c>
      <c r="S70" s="234">
        <f t="shared" si="71"/>
        <v>0.33977149262655426</v>
      </c>
      <c r="T70" s="234">
        <f t="shared" si="71"/>
        <v>0.34404170238198217</v>
      </c>
      <c r="U70" s="234">
        <f t="shared" si="71"/>
        <v>0.32849148954432689</v>
      </c>
    </row>
    <row r="71" spans="1:21" x14ac:dyDescent="0.25">
      <c r="A71" s="17" t="s">
        <v>655</v>
      </c>
      <c r="E71" s="193">
        <f>E13</f>
        <v>900871000000</v>
      </c>
      <c r="F71" s="193">
        <f t="shared" ref="F71:U71" si="72">F13</f>
        <v>888142000000</v>
      </c>
      <c r="G71" s="193">
        <f t="shared" si="72"/>
        <v>908369000000</v>
      </c>
      <c r="H71" s="193">
        <f t="shared" si="72"/>
        <v>893313000000</v>
      </c>
      <c r="I71" s="193">
        <f t="shared" si="72"/>
        <v>871823000000</v>
      </c>
      <c r="J71" s="193">
        <f t="shared" si="72"/>
        <v>849321000000</v>
      </c>
      <c r="K71" s="193">
        <f t="shared" si="72"/>
        <v>845216000000</v>
      </c>
      <c r="L71" s="193">
        <f t="shared" si="72"/>
        <v>830151000000</v>
      </c>
      <c r="M71" s="193">
        <f t="shared" si="72"/>
        <v>818809000000</v>
      </c>
      <c r="N71" s="193">
        <f t="shared" si="72"/>
        <v>817093000000</v>
      </c>
      <c r="O71" s="193">
        <f t="shared" si="72"/>
        <v>819583000000</v>
      </c>
      <c r="P71" s="193">
        <f t="shared" si="72"/>
        <v>804355000000</v>
      </c>
      <c r="Q71" s="193">
        <f t="shared" si="72"/>
        <v>676810000000</v>
      </c>
      <c r="R71" s="193">
        <f t="shared" si="72"/>
        <v>678765000000</v>
      </c>
      <c r="S71" s="193">
        <f t="shared" si="72"/>
        <v>670262000000</v>
      </c>
      <c r="T71" s="193">
        <f t="shared" si="72"/>
        <v>667309000000</v>
      </c>
      <c r="U71" s="193">
        <f t="shared" si="72"/>
        <v>649340000000</v>
      </c>
    </row>
    <row r="72" spans="1:21" s="234" customFormat="1" x14ac:dyDescent="0.25">
      <c r="A72" s="234" t="s">
        <v>658</v>
      </c>
      <c r="E72" s="234">
        <f>E71/E74</f>
        <v>0.82060215864757058</v>
      </c>
      <c r="F72" s="234">
        <f t="shared" ref="F72:U72" si="73">F71/F74</f>
        <v>0.81458721797822065</v>
      </c>
      <c r="G72" s="234">
        <f t="shared" si="73"/>
        <v>0.81919399886549848</v>
      </c>
      <c r="H72" s="234">
        <f t="shared" si="73"/>
        <v>0.81323164065024811</v>
      </c>
      <c r="I72" s="234">
        <f t="shared" si="73"/>
        <v>0.80668257535732102</v>
      </c>
      <c r="J72" s="234">
        <f t="shared" si="73"/>
        <v>0.79425528134439327</v>
      </c>
      <c r="K72" s="234">
        <f t="shared" si="73"/>
        <v>0.77937804006546951</v>
      </c>
      <c r="L72" s="234">
        <f t="shared" si="73"/>
        <v>0.76242340416152354</v>
      </c>
      <c r="M72" s="234">
        <f t="shared" si="73"/>
        <v>0.75241997585078213</v>
      </c>
      <c r="N72" s="234">
        <f t="shared" si="73"/>
        <v>0.75504073244475989</v>
      </c>
      <c r="O72" s="234">
        <f t="shared" si="73"/>
        <v>0.73929484097524722</v>
      </c>
      <c r="P72" s="234">
        <f t="shared" si="73"/>
        <v>0.71908966237370076</v>
      </c>
      <c r="Q72" s="234">
        <f t="shared" si="73"/>
        <v>0.66492839451835162</v>
      </c>
      <c r="R72" s="234">
        <f t="shared" si="73"/>
        <v>0.65961056869564716</v>
      </c>
      <c r="S72" s="234">
        <f t="shared" si="73"/>
        <v>0.66022850737344574</v>
      </c>
      <c r="T72" s="234">
        <f t="shared" si="73"/>
        <v>0.65595829761801783</v>
      </c>
      <c r="U72" s="234">
        <f t="shared" si="73"/>
        <v>0.67150851045567317</v>
      </c>
    </row>
    <row r="73" spans="1:21" s="236" customFormat="1" x14ac:dyDescent="0.25">
      <c r="A73" s="235" t="s">
        <v>659</v>
      </c>
      <c r="E73" s="237">
        <f>E74/E71</f>
        <v>1.218617315908715</v>
      </c>
      <c r="F73" s="237">
        <f t="shared" ref="F73:U73" si="74">F74/F71</f>
        <v>1.2276156290322944</v>
      </c>
      <c r="G73" s="237">
        <f t="shared" si="74"/>
        <v>1.2207120674527643</v>
      </c>
      <c r="H73" s="237">
        <f t="shared" si="74"/>
        <v>1.2296619437979746</v>
      </c>
      <c r="I73" s="237">
        <f t="shared" si="74"/>
        <v>1.2396449738077568</v>
      </c>
      <c r="J73" s="237">
        <f t="shared" si="74"/>
        <v>1.259041045729471</v>
      </c>
      <c r="K73" s="237">
        <f t="shared" si="74"/>
        <v>1.2830743857191536</v>
      </c>
      <c r="L73" s="237">
        <f t="shared" si="74"/>
        <v>1.3116071654433952</v>
      </c>
      <c r="M73" s="237">
        <f t="shared" si="74"/>
        <v>1.3290449909563768</v>
      </c>
      <c r="N73" s="237">
        <f t="shared" si="74"/>
        <v>1.3244318578178984</v>
      </c>
      <c r="O73" s="237">
        <f t="shared" si="74"/>
        <v>1.3526403061068861</v>
      </c>
      <c r="P73" s="237">
        <f t="shared" si="74"/>
        <v>1.3906471644982625</v>
      </c>
      <c r="Q73" s="237">
        <f t="shared" si="74"/>
        <v>1.50392133685968</v>
      </c>
      <c r="R73" s="237">
        <f t="shared" si="74"/>
        <v>1.5160460542308458</v>
      </c>
      <c r="S73" s="237">
        <f t="shared" si="74"/>
        <v>1.5146271159636082</v>
      </c>
      <c r="T73" s="237">
        <f t="shared" si="74"/>
        <v>1.5244871566245921</v>
      </c>
      <c r="U73" s="237">
        <f t="shared" si="74"/>
        <v>1.4891844026242029</v>
      </c>
    </row>
    <row r="74" spans="1:21" x14ac:dyDescent="0.25">
      <c r="A74" s="17" t="s">
        <v>656</v>
      </c>
      <c r="E74" s="193">
        <f>E14</f>
        <v>1097817000000</v>
      </c>
      <c r="F74" s="193">
        <f t="shared" ref="F74:U74" si="75">F14</f>
        <v>1090297000000</v>
      </c>
      <c r="G74" s="193">
        <f t="shared" si="75"/>
        <v>1108857000000</v>
      </c>
      <c r="H74" s="193">
        <f t="shared" si="75"/>
        <v>1098473000000</v>
      </c>
      <c r="I74" s="193">
        <f t="shared" si="75"/>
        <v>1080751000000</v>
      </c>
      <c r="J74" s="193">
        <f t="shared" si="75"/>
        <v>1069330000000</v>
      </c>
      <c r="K74" s="193">
        <f t="shared" si="75"/>
        <v>1084475000000</v>
      </c>
      <c r="L74" s="193">
        <f t="shared" si="75"/>
        <v>1088832000000</v>
      </c>
      <c r="M74" s="193">
        <f t="shared" si="75"/>
        <v>1088234000000</v>
      </c>
      <c r="N74" s="193">
        <f t="shared" si="75"/>
        <v>1082184000000</v>
      </c>
      <c r="O74" s="193">
        <f t="shared" si="75"/>
        <v>1108601000000</v>
      </c>
      <c r="P74" s="193">
        <f t="shared" si="75"/>
        <v>1118574000000</v>
      </c>
      <c r="Q74" s="193">
        <f t="shared" si="75"/>
        <v>1017869000000</v>
      </c>
      <c r="R74" s="193">
        <f t="shared" si="75"/>
        <v>1029039000000</v>
      </c>
      <c r="S74" s="193">
        <f t="shared" si="75"/>
        <v>1015197000000</v>
      </c>
      <c r="T74" s="193">
        <f t="shared" si="75"/>
        <v>1017304000000</v>
      </c>
      <c r="U74" s="193">
        <f t="shared" si="75"/>
        <v>966987000000</v>
      </c>
    </row>
    <row r="75" spans="1:21" ht="83.4" customHeight="1" x14ac:dyDescent="0.25">
      <c r="A75" s="278" t="s">
        <v>701</v>
      </c>
      <c r="B75" s="277"/>
      <c r="C75" s="277"/>
      <c r="D75" s="277"/>
      <c r="E75" s="277"/>
      <c r="F75" s="277"/>
      <c r="G75" s="277"/>
      <c r="H75" s="277"/>
      <c r="I75" s="277"/>
      <c r="J75" s="277"/>
      <c r="K75" s="277"/>
      <c r="L75" s="277"/>
      <c r="M75" s="277"/>
      <c r="N75" s="277"/>
      <c r="O75" s="277"/>
      <c r="P75" s="277"/>
      <c r="Q75" s="277"/>
      <c r="R75" s="277"/>
      <c r="S75" s="277"/>
      <c r="T75" s="277"/>
      <c r="U75" s="277"/>
    </row>
    <row r="77" spans="1:21" s="238" customFormat="1" x14ac:dyDescent="0.25">
      <c r="A77" s="239" t="s">
        <v>660</v>
      </c>
      <c r="B77" s="240"/>
      <c r="C77" s="240"/>
      <c r="D77" s="240"/>
      <c r="E77" s="241">
        <f>E1</f>
        <v>43100</v>
      </c>
      <c r="F77" s="241">
        <f t="shared" ref="F77:U77" si="76">F1</f>
        <v>43008</v>
      </c>
      <c r="G77" s="241">
        <f t="shared" si="76"/>
        <v>42916</v>
      </c>
      <c r="H77" s="241">
        <f t="shared" si="76"/>
        <v>42825</v>
      </c>
      <c r="I77" s="241">
        <f t="shared" si="76"/>
        <v>42735</v>
      </c>
      <c r="J77" s="241">
        <f t="shared" si="76"/>
        <v>42643</v>
      </c>
      <c r="K77" s="241">
        <f t="shared" si="76"/>
        <v>42551</v>
      </c>
      <c r="L77" s="241">
        <f t="shared" si="76"/>
        <v>42460</v>
      </c>
      <c r="M77" s="241">
        <f t="shared" si="76"/>
        <v>42369</v>
      </c>
      <c r="N77" s="241">
        <f t="shared" si="76"/>
        <v>42277</v>
      </c>
      <c r="O77" s="241">
        <f t="shared" si="76"/>
        <v>42185</v>
      </c>
      <c r="P77" s="241">
        <f t="shared" si="76"/>
        <v>42094</v>
      </c>
      <c r="Q77" s="241">
        <f t="shared" si="76"/>
        <v>42004</v>
      </c>
      <c r="R77" s="241">
        <f t="shared" si="76"/>
        <v>41912</v>
      </c>
      <c r="S77" s="241">
        <f t="shared" si="76"/>
        <v>41820</v>
      </c>
      <c r="T77" s="241">
        <f t="shared" si="76"/>
        <v>41729</v>
      </c>
      <c r="U77" s="241">
        <f t="shared" si="76"/>
        <v>41639</v>
      </c>
    </row>
    <row r="78" spans="1:21" x14ac:dyDescent="0.25">
      <c r="A78" s="184" t="s">
        <v>652</v>
      </c>
      <c r="B78" s="64"/>
      <c r="C78" s="64"/>
      <c r="D78" s="64"/>
      <c r="E78" s="89">
        <f>E10</f>
        <v>81382000000</v>
      </c>
      <c r="F78" s="89">
        <f t="shared" ref="F78:U78" si="77">F10</f>
        <v>68409000000</v>
      </c>
      <c r="G78" s="89">
        <f t="shared" si="77"/>
        <v>67538000000</v>
      </c>
      <c r="H78" s="89">
        <f t="shared" si="77"/>
        <v>66498000000</v>
      </c>
      <c r="I78" s="89">
        <f t="shared" si="77"/>
        <v>75346000000</v>
      </c>
      <c r="J78" s="89">
        <f t="shared" si="77"/>
        <v>72133000000</v>
      </c>
      <c r="K78" s="89">
        <f t="shared" si="77"/>
        <v>105678000000</v>
      </c>
      <c r="L78" s="89">
        <f t="shared" si="77"/>
        <v>107748000000</v>
      </c>
      <c r="M78" s="89">
        <f t="shared" si="77"/>
        <v>116006000000</v>
      </c>
      <c r="N78" s="89">
        <f t="shared" si="77"/>
        <v>130578000000</v>
      </c>
      <c r="O78" s="89">
        <f t="shared" si="77"/>
        <v>155230000000</v>
      </c>
      <c r="P78" s="89">
        <f t="shared" si="77"/>
        <v>172341000000</v>
      </c>
      <c r="Q78" s="89">
        <f t="shared" si="77"/>
        <v>178578000000</v>
      </c>
      <c r="R78" s="89">
        <f t="shared" si="77"/>
        <v>192946000000</v>
      </c>
      <c r="S78" s="89">
        <f t="shared" si="77"/>
        <v>199829000000</v>
      </c>
      <c r="T78" s="89">
        <f t="shared" si="77"/>
        <v>195378000000</v>
      </c>
      <c r="U78" s="89">
        <f t="shared" si="77"/>
        <v>163870000000</v>
      </c>
    </row>
    <row r="79" spans="1:21" x14ac:dyDescent="0.25">
      <c r="A79" s="184" t="s">
        <v>661</v>
      </c>
      <c r="B79" s="64"/>
      <c r="C79" s="64"/>
      <c r="D79" s="64"/>
      <c r="E79" s="89">
        <f>E78</f>
        <v>81382000000</v>
      </c>
      <c r="F79" s="89">
        <f t="shared" ref="F79:U79" si="78">F78</f>
        <v>68409000000</v>
      </c>
      <c r="G79" s="89">
        <f t="shared" si="78"/>
        <v>67538000000</v>
      </c>
      <c r="H79" s="89">
        <f t="shared" si="78"/>
        <v>66498000000</v>
      </c>
      <c r="I79" s="89">
        <f t="shared" si="78"/>
        <v>75346000000</v>
      </c>
      <c r="J79" s="89">
        <f t="shared" si="78"/>
        <v>72133000000</v>
      </c>
      <c r="K79" s="89">
        <f t="shared" si="78"/>
        <v>105678000000</v>
      </c>
      <c r="L79" s="89">
        <f t="shared" si="78"/>
        <v>107748000000</v>
      </c>
      <c r="M79" s="89">
        <f t="shared" si="78"/>
        <v>116006000000</v>
      </c>
      <c r="N79" s="89">
        <f t="shared" si="78"/>
        <v>130578000000</v>
      </c>
      <c r="O79" s="89">
        <f t="shared" si="78"/>
        <v>155230000000</v>
      </c>
      <c r="P79" s="89">
        <f t="shared" si="78"/>
        <v>172341000000</v>
      </c>
      <c r="Q79" s="89">
        <f t="shared" si="78"/>
        <v>178578000000</v>
      </c>
      <c r="R79" s="89">
        <f t="shared" si="78"/>
        <v>192946000000</v>
      </c>
      <c r="S79" s="89">
        <f t="shared" si="78"/>
        <v>199829000000</v>
      </c>
      <c r="T79" s="89">
        <f t="shared" si="78"/>
        <v>195378000000</v>
      </c>
      <c r="U79" s="89">
        <f t="shared" si="78"/>
        <v>163870000000</v>
      </c>
    </row>
    <row r="80" spans="1:21" s="220" customFormat="1" x14ac:dyDescent="0.25">
      <c r="A80" s="224" t="s">
        <v>662</v>
      </c>
      <c r="B80" s="224"/>
      <c r="C80" s="224"/>
      <c r="D80" s="224"/>
      <c r="E80" s="224">
        <f>E79/E85</f>
        <v>7.4130752210978701E-2</v>
      </c>
      <c r="F80" s="224">
        <f t="shared" ref="F80:U80" si="79">F79/F85</f>
        <v>6.2743454306487131E-2</v>
      </c>
      <c r="G80" s="224">
        <f t="shared" si="79"/>
        <v>6.0907763579974697E-2</v>
      </c>
      <c r="H80" s="224">
        <f t="shared" si="79"/>
        <v>6.0536763306881465E-2</v>
      </c>
      <c r="I80" s="224">
        <f t="shared" si="79"/>
        <v>6.9716336140332041E-2</v>
      </c>
      <c r="J80" s="224">
        <f t="shared" si="79"/>
        <v>6.7456257656663521E-2</v>
      </c>
      <c r="K80" s="224">
        <f t="shared" si="79"/>
        <v>9.7446229742502138E-2</v>
      </c>
      <c r="L80" s="224">
        <f t="shared" si="79"/>
        <v>9.8957414918003875E-2</v>
      </c>
      <c r="M80" s="224">
        <f t="shared" si="79"/>
        <v>0.10660023487595499</v>
      </c>
      <c r="N80" s="224">
        <f t="shared" si="79"/>
        <v>0.12066155108558249</v>
      </c>
      <c r="O80" s="224">
        <f t="shared" si="79"/>
        <v>0.14002332669734197</v>
      </c>
      <c r="P80" s="224">
        <f t="shared" si="79"/>
        <v>0.15407205960446069</v>
      </c>
      <c r="Q80" s="224">
        <f t="shared" si="79"/>
        <v>0.17544300887442293</v>
      </c>
      <c r="R80" s="224">
        <f t="shared" si="79"/>
        <v>0.18750115398930459</v>
      </c>
      <c r="S80" s="224">
        <f t="shared" si="79"/>
        <v>0.1968376581097068</v>
      </c>
      <c r="T80" s="224">
        <f t="shared" si="79"/>
        <v>0.19205468571833001</v>
      </c>
      <c r="U80" s="224">
        <f t="shared" si="79"/>
        <v>0.16946453261522648</v>
      </c>
    </row>
    <row r="81" spans="1:21" x14ac:dyDescent="0.25">
      <c r="A81" s="184" t="s">
        <v>653</v>
      </c>
      <c r="B81" s="64"/>
      <c r="C81" s="64"/>
      <c r="D81" s="64"/>
      <c r="E81" s="89">
        <f>E11</f>
        <v>115564000000</v>
      </c>
      <c r="F81" s="89">
        <f t="shared" ref="F81:U81" si="80">F11</f>
        <v>133746000000</v>
      </c>
      <c r="G81" s="89">
        <f t="shared" si="80"/>
        <v>132950000000</v>
      </c>
      <c r="H81" s="89">
        <f t="shared" si="80"/>
        <v>138662000000</v>
      </c>
      <c r="I81" s="89">
        <f t="shared" si="80"/>
        <v>133582000000</v>
      </c>
      <c r="J81" s="89">
        <f t="shared" si="80"/>
        <v>147876000000</v>
      </c>
      <c r="K81" s="89">
        <f t="shared" si="80"/>
        <v>133581000000</v>
      </c>
      <c r="L81" s="89">
        <f t="shared" si="80"/>
        <v>150933000000</v>
      </c>
      <c r="M81" s="89">
        <f t="shared" si="80"/>
        <v>153419000000</v>
      </c>
      <c r="N81" s="89">
        <f t="shared" si="80"/>
        <v>134513000000</v>
      </c>
      <c r="O81" s="89">
        <f t="shared" si="80"/>
        <v>133788000000</v>
      </c>
      <c r="P81" s="89">
        <f t="shared" si="80"/>
        <v>141878000000</v>
      </c>
      <c r="Q81" s="89">
        <f t="shared" si="80"/>
        <v>162481000000</v>
      </c>
      <c r="R81" s="89">
        <f t="shared" si="80"/>
        <v>157328000000</v>
      </c>
      <c r="S81" s="89">
        <f t="shared" si="80"/>
        <v>145106000000</v>
      </c>
      <c r="T81" s="89">
        <f t="shared" si="80"/>
        <v>154617000000</v>
      </c>
      <c r="U81" s="89">
        <f t="shared" si="80"/>
        <v>153777000000</v>
      </c>
    </row>
    <row r="82" spans="1:21" x14ac:dyDescent="0.25">
      <c r="A82" s="184" t="s">
        <v>655</v>
      </c>
      <c r="B82" s="64"/>
      <c r="C82" s="64"/>
      <c r="D82" s="64"/>
      <c r="E82" s="89">
        <f>E13</f>
        <v>900871000000</v>
      </c>
      <c r="F82" s="89">
        <f t="shared" ref="F82:U82" si="81">F13</f>
        <v>888142000000</v>
      </c>
      <c r="G82" s="89">
        <f t="shared" si="81"/>
        <v>908369000000</v>
      </c>
      <c r="H82" s="89">
        <f t="shared" si="81"/>
        <v>893313000000</v>
      </c>
      <c r="I82" s="89">
        <f t="shared" si="81"/>
        <v>871823000000</v>
      </c>
      <c r="J82" s="89">
        <f t="shared" si="81"/>
        <v>849321000000</v>
      </c>
      <c r="K82" s="89">
        <f t="shared" si="81"/>
        <v>845216000000</v>
      </c>
      <c r="L82" s="89">
        <f t="shared" si="81"/>
        <v>830151000000</v>
      </c>
      <c r="M82" s="89">
        <f t="shared" si="81"/>
        <v>818809000000</v>
      </c>
      <c r="N82" s="89">
        <f t="shared" si="81"/>
        <v>817093000000</v>
      </c>
      <c r="O82" s="89">
        <f t="shared" si="81"/>
        <v>819583000000</v>
      </c>
      <c r="P82" s="89">
        <f t="shared" si="81"/>
        <v>804355000000</v>
      </c>
      <c r="Q82" s="89">
        <f t="shared" si="81"/>
        <v>676810000000</v>
      </c>
      <c r="R82" s="89">
        <f t="shared" si="81"/>
        <v>678765000000</v>
      </c>
      <c r="S82" s="89">
        <f t="shared" si="81"/>
        <v>670262000000</v>
      </c>
      <c r="T82" s="89">
        <f t="shared" si="81"/>
        <v>667309000000</v>
      </c>
      <c r="U82" s="89">
        <f t="shared" si="81"/>
        <v>649340000000</v>
      </c>
    </row>
    <row r="83" spans="1:21" x14ac:dyDescent="0.25">
      <c r="A83" s="184" t="s">
        <v>663</v>
      </c>
      <c r="B83" s="64"/>
      <c r="C83" s="64"/>
      <c r="D83" s="64"/>
      <c r="E83" s="89">
        <f>E81+E82</f>
        <v>1016435000000</v>
      </c>
      <c r="F83" s="89">
        <f t="shared" ref="F83:U83" si="82">F81+F82</f>
        <v>1021888000000</v>
      </c>
      <c r="G83" s="89">
        <f t="shared" si="82"/>
        <v>1041319000000</v>
      </c>
      <c r="H83" s="89">
        <f t="shared" si="82"/>
        <v>1031975000000</v>
      </c>
      <c r="I83" s="89">
        <f t="shared" si="82"/>
        <v>1005405000000</v>
      </c>
      <c r="J83" s="89">
        <f t="shared" si="82"/>
        <v>997197000000</v>
      </c>
      <c r="K83" s="89">
        <f t="shared" si="82"/>
        <v>978797000000</v>
      </c>
      <c r="L83" s="89">
        <f t="shared" si="82"/>
        <v>981084000000</v>
      </c>
      <c r="M83" s="89">
        <f t="shared" si="82"/>
        <v>972228000000</v>
      </c>
      <c r="N83" s="89">
        <f t="shared" si="82"/>
        <v>951606000000</v>
      </c>
      <c r="O83" s="89">
        <f t="shared" si="82"/>
        <v>953371000000</v>
      </c>
      <c r="P83" s="89">
        <f t="shared" si="82"/>
        <v>946233000000</v>
      </c>
      <c r="Q83" s="89">
        <f t="shared" si="82"/>
        <v>839291000000</v>
      </c>
      <c r="R83" s="89">
        <f t="shared" si="82"/>
        <v>836093000000</v>
      </c>
      <c r="S83" s="89">
        <f t="shared" si="82"/>
        <v>815368000000</v>
      </c>
      <c r="T83" s="89">
        <f t="shared" si="82"/>
        <v>821926000000</v>
      </c>
      <c r="U83" s="89">
        <f t="shared" si="82"/>
        <v>803117000000</v>
      </c>
    </row>
    <row r="84" spans="1:21" s="220" customFormat="1" x14ac:dyDescent="0.25">
      <c r="A84" s="224" t="s">
        <v>664</v>
      </c>
      <c r="B84" s="224"/>
      <c r="C84" s="224"/>
      <c r="D84" s="224"/>
      <c r="E84" s="224">
        <f>E83/E85</f>
        <v>0.92586924778902135</v>
      </c>
      <c r="F84" s="224">
        <f t="shared" ref="F84:U84" si="83">F83/F85</f>
        <v>0.93725654569351291</v>
      </c>
      <c r="G84" s="224">
        <f t="shared" si="83"/>
        <v>0.93909223642002526</v>
      </c>
      <c r="H84" s="224">
        <f t="shared" si="83"/>
        <v>0.93946323669311849</v>
      </c>
      <c r="I84" s="224">
        <f t="shared" si="83"/>
        <v>0.93028366385966799</v>
      </c>
      <c r="J84" s="224">
        <f t="shared" si="83"/>
        <v>0.93254374234333648</v>
      </c>
      <c r="K84" s="224">
        <f t="shared" si="83"/>
        <v>0.90255377025749783</v>
      </c>
      <c r="L84" s="224">
        <f t="shared" si="83"/>
        <v>0.90104258508199608</v>
      </c>
      <c r="M84" s="224">
        <f t="shared" si="83"/>
        <v>0.89339976512404506</v>
      </c>
      <c r="N84" s="224">
        <f t="shared" si="83"/>
        <v>0.87933844891441748</v>
      </c>
      <c r="O84" s="224">
        <f t="shared" si="83"/>
        <v>0.85997667330265803</v>
      </c>
      <c r="P84" s="224">
        <f t="shared" si="83"/>
        <v>0.84592794039553931</v>
      </c>
      <c r="Q84" s="224">
        <f t="shared" si="83"/>
        <v>0.82455699112557701</v>
      </c>
      <c r="R84" s="224">
        <f t="shared" si="83"/>
        <v>0.81249884601069544</v>
      </c>
      <c r="S84" s="224">
        <f t="shared" si="83"/>
        <v>0.80316234189029323</v>
      </c>
      <c r="T84" s="224">
        <f t="shared" si="83"/>
        <v>0.80794531428166994</v>
      </c>
      <c r="U84" s="224">
        <f t="shared" si="83"/>
        <v>0.83053546738477357</v>
      </c>
    </row>
    <row r="85" spans="1:21" x14ac:dyDescent="0.25">
      <c r="A85" s="184" t="s">
        <v>656</v>
      </c>
      <c r="B85" s="64"/>
      <c r="C85" s="64"/>
      <c r="D85" s="64"/>
      <c r="E85" s="89">
        <f>E14</f>
        <v>1097817000000</v>
      </c>
      <c r="F85" s="89">
        <f t="shared" ref="F85:U85" si="84">F14</f>
        <v>1090297000000</v>
      </c>
      <c r="G85" s="89">
        <f t="shared" si="84"/>
        <v>1108857000000</v>
      </c>
      <c r="H85" s="89">
        <f t="shared" si="84"/>
        <v>1098473000000</v>
      </c>
      <c r="I85" s="89">
        <f t="shared" si="84"/>
        <v>1080751000000</v>
      </c>
      <c r="J85" s="89">
        <f t="shared" si="84"/>
        <v>1069330000000</v>
      </c>
      <c r="K85" s="89">
        <f t="shared" si="84"/>
        <v>1084475000000</v>
      </c>
      <c r="L85" s="89">
        <f t="shared" si="84"/>
        <v>1088832000000</v>
      </c>
      <c r="M85" s="89">
        <f t="shared" si="84"/>
        <v>1088234000000</v>
      </c>
      <c r="N85" s="89">
        <f t="shared" si="84"/>
        <v>1082184000000</v>
      </c>
      <c r="O85" s="89">
        <f t="shared" si="84"/>
        <v>1108601000000</v>
      </c>
      <c r="P85" s="89">
        <f t="shared" si="84"/>
        <v>1118574000000</v>
      </c>
      <c r="Q85" s="89">
        <f t="shared" si="84"/>
        <v>1017869000000</v>
      </c>
      <c r="R85" s="89">
        <f t="shared" si="84"/>
        <v>1029039000000</v>
      </c>
      <c r="S85" s="89">
        <f t="shared" si="84"/>
        <v>1015197000000</v>
      </c>
      <c r="T85" s="89">
        <f t="shared" si="84"/>
        <v>1017304000000</v>
      </c>
      <c r="U85" s="89">
        <f t="shared" si="84"/>
        <v>966987000000</v>
      </c>
    </row>
    <row r="87" spans="1:21" s="56" customFormat="1" ht="85.8" customHeight="1" x14ac:dyDescent="0.25">
      <c r="A87" s="276" t="s">
        <v>702</v>
      </c>
      <c r="B87" s="279"/>
      <c r="C87" s="279"/>
      <c r="D87" s="279"/>
      <c r="E87" s="279"/>
      <c r="F87" s="279"/>
      <c r="G87" s="279"/>
      <c r="H87" s="279"/>
      <c r="I87" s="279"/>
      <c r="J87" s="279"/>
      <c r="K87" s="279"/>
      <c r="L87" s="279"/>
      <c r="M87" s="279"/>
      <c r="N87" s="279"/>
      <c r="O87" s="279"/>
      <c r="P87" s="279"/>
      <c r="Q87" s="279"/>
      <c r="R87" s="279"/>
      <c r="S87" s="279"/>
      <c r="T87" s="279"/>
      <c r="U87" s="279"/>
    </row>
  </sheetData>
  <mergeCells count="4">
    <mergeCell ref="A18:AG18"/>
    <mergeCell ref="A87:U87"/>
    <mergeCell ref="A64:U64"/>
    <mergeCell ref="A75:U75"/>
  </mergeCells>
  <phoneticPr fontId="1"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股权价值增加分析表"/>
  <dimension ref="A1:CK78"/>
  <sheetViews>
    <sheetView zoomScaleNormal="100" workbookViewId="0">
      <selection activeCell="A35" sqref="A35:AG35"/>
    </sheetView>
  </sheetViews>
  <sheetFormatPr defaultRowHeight="14.4" x14ac:dyDescent="0.25"/>
  <cols>
    <col min="1" max="1" width="47.88671875" style="17" bestFit="1" customWidth="1"/>
    <col min="2" max="4" width="10.5546875" hidden="1" customWidth="1"/>
    <col min="5" max="5" width="23.77734375" bestFit="1" customWidth="1"/>
    <col min="6" max="7" width="23.77734375" hidden="1" customWidth="1"/>
    <col min="8" max="8" width="21.5546875" hidden="1" customWidth="1"/>
    <col min="9" max="9" width="23.77734375" bestFit="1" customWidth="1"/>
    <col min="10" max="10" width="23.77734375" hidden="1" customWidth="1"/>
    <col min="11" max="12" width="21.5546875" hidden="1" customWidth="1"/>
    <col min="13" max="13" width="23.77734375" bestFit="1" customWidth="1"/>
    <col min="14" max="15" width="23.77734375" hidden="1" customWidth="1"/>
    <col min="16" max="16" width="21.5546875" hidden="1" customWidth="1"/>
    <col min="17" max="17" width="23.77734375" bestFit="1" customWidth="1"/>
    <col min="18" max="19" width="23.77734375" hidden="1" customWidth="1"/>
    <col min="20" max="20" width="21.5546875" hidden="1" customWidth="1"/>
    <col min="21" max="21" width="23.77734375" bestFit="1" customWidth="1"/>
    <col min="22" max="23" width="23.77734375" hidden="1" customWidth="1"/>
    <col min="24" max="24" width="21.5546875" hidden="1" customWidth="1"/>
    <col min="25" max="25" width="23.77734375" bestFit="1" customWidth="1"/>
    <col min="26" max="27" width="23.77734375" hidden="1" customWidth="1"/>
    <col min="28" max="28" width="21.5546875" hidden="1" customWidth="1"/>
    <col min="29" max="29" width="23.77734375" bestFit="1" customWidth="1"/>
    <col min="30" max="31" width="23.77734375" hidden="1" customWidth="1"/>
    <col min="32" max="32" width="21.5546875" hidden="1" customWidth="1"/>
    <col min="33" max="33" width="23.77734375" bestFit="1" customWidth="1"/>
    <col min="34" max="34" width="23.77734375" hidden="1" customWidth="1"/>
    <col min="35" max="36" width="21.5546875" hidden="1" customWidth="1"/>
    <col min="37" max="37" width="23.77734375" bestFit="1" customWidth="1"/>
    <col min="38" max="40" width="21.5546875" hidden="1" customWidth="1"/>
    <col min="41" max="41" width="23.77734375" bestFit="1" customWidth="1"/>
    <col min="42" max="42" width="23.77734375" hidden="1" customWidth="1"/>
    <col min="43" max="44" width="21.5546875" hidden="1" customWidth="1"/>
    <col min="45" max="45" width="23.77734375" bestFit="1" customWidth="1"/>
    <col min="46" max="48" width="21.5546875" hidden="1" customWidth="1"/>
    <col min="49" max="49" width="23.77734375" bestFit="1" customWidth="1"/>
    <col min="50" max="52" width="21.5546875" hidden="1" customWidth="1"/>
    <col min="53" max="53" width="21.5546875" bestFit="1" customWidth="1"/>
    <col min="54" max="56" width="21.5546875" hidden="1" customWidth="1"/>
    <col min="57" max="57" width="21.5546875" bestFit="1" customWidth="1"/>
    <col min="58" max="60" width="21.5546875" hidden="1" customWidth="1"/>
    <col min="61" max="61" width="21.5546875" bestFit="1" customWidth="1"/>
    <col min="62" max="63" width="21.5546875" hidden="1" customWidth="1"/>
    <col min="64" max="64" width="20.44140625" hidden="1" customWidth="1"/>
    <col min="65" max="65" width="21.5546875" bestFit="1" customWidth="1"/>
    <col min="66" max="68" width="21.5546875" hidden="1" customWidth="1"/>
    <col min="69" max="69" width="21.5546875" bestFit="1" customWidth="1"/>
    <col min="70" max="70" width="21.5546875" hidden="1" customWidth="1"/>
    <col min="71" max="73" width="21.5546875" bestFit="1" customWidth="1"/>
    <col min="74" max="74" width="9.5546875" hidden="1" customWidth="1"/>
    <col min="75" max="81" width="18.33203125" bestFit="1" customWidth="1"/>
    <col min="82" max="82" width="9.5546875" bestFit="1" customWidth="1"/>
    <col min="83" max="83" width="18.33203125" bestFit="1" customWidth="1"/>
    <col min="84" max="85" width="17.21875" bestFit="1" customWidth="1"/>
    <col min="86" max="86" width="16.109375" bestFit="1" customWidth="1"/>
    <col min="87" max="87" width="17.21875" bestFit="1" customWidth="1"/>
    <col min="88" max="88" width="16.109375" bestFit="1" customWidth="1"/>
    <col min="89" max="89" width="9.33203125" bestFit="1" customWidth="1"/>
  </cols>
  <sheetData>
    <row r="1" spans="1:89" s="26" customFormat="1" x14ac:dyDescent="0.25">
      <c r="A1" s="17">
        <v>600028</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37529</v>
      </c>
      <c r="BO1" s="1">
        <v>37437</v>
      </c>
      <c r="BP1" s="1">
        <v>37346</v>
      </c>
      <c r="BQ1" s="1">
        <v>37256</v>
      </c>
      <c r="BR1" s="1">
        <v>37072</v>
      </c>
      <c r="BS1" s="1">
        <v>36891</v>
      </c>
      <c r="BT1" s="1">
        <v>36525</v>
      </c>
      <c r="BU1" s="1">
        <v>36160</v>
      </c>
      <c r="BV1" s="1">
        <v>25569</v>
      </c>
      <c r="BW1" s="1"/>
      <c r="BX1" s="1"/>
      <c r="BY1" s="1"/>
      <c r="BZ1" s="1"/>
      <c r="CA1" s="1"/>
      <c r="CB1" s="1"/>
      <c r="CC1" s="1"/>
      <c r="CD1" s="1"/>
      <c r="CE1" s="1"/>
      <c r="CF1" s="1"/>
      <c r="CG1" s="1"/>
      <c r="CH1" s="1"/>
      <c r="CI1" s="1"/>
      <c r="CJ1" s="1"/>
      <c r="CK1" s="1"/>
    </row>
    <row r="2" spans="1:89" s="26" customFormat="1" x14ac:dyDescent="0.25">
      <c r="A2" s="17" t="s">
        <v>351</v>
      </c>
      <c r="E2" s="26">
        <f>股权价值增加表!E4</f>
        <v>2360193000000</v>
      </c>
      <c r="F2" s="26">
        <f>股权价值增加表!F4</f>
        <v>1744955000000</v>
      </c>
      <c r="G2" s="26">
        <f>股权价值增加表!G4</f>
        <v>1165837000000</v>
      </c>
      <c r="H2" s="26">
        <f>股权价值增加表!H4</f>
        <v>582185000000</v>
      </c>
      <c r="I2" s="26">
        <f>股权价值增加表!I4</f>
        <v>1930911000000</v>
      </c>
      <c r="J2" s="26">
        <f>股权价值增加表!J4</f>
        <v>1363945000000</v>
      </c>
      <c r="K2" s="26">
        <f>股权价值增加表!K4</f>
        <v>879220000000</v>
      </c>
      <c r="L2" s="26">
        <f>股权价值增加表!L4</f>
        <v>413790000000</v>
      </c>
      <c r="M2" s="26">
        <f>股权价值增加表!M4</f>
        <v>2018883000000</v>
      </c>
      <c r="N2" s="26">
        <f>股权价值增加表!N4</f>
        <v>1536837000000</v>
      </c>
      <c r="O2" s="26">
        <f>股权价值增加表!O4</f>
        <v>1040362000000</v>
      </c>
      <c r="P2" s="26">
        <f>股权价值增加表!P4</f>
        <v>478241000000</v>
      </c>
      <c r="Q2" s="26">
        <f>股权价值增加表!Q4</f>
        <v>2825914000000</v>
      </c>
      <c r="R2" s="26">
        <f>股权价值增加表!R4</f>
        <v>2115648000000</v>
      </c>
      <c r="S2" s="26">
        <f>股权价值增加表!S4</f>
        <v>1356172000000</v>
      </c>
      <c r="T2" s="26">
        <f>股权价值增加表!T4</f>
        <v>641065000000</v>
      </c>
      <c r="U2" s="26">
        <f>股权价值增加表!U4</f>
        <v>2880311000000</v>
      </c>
      <c r="V2" s="26">
        <f>股权价值增加表!V4</f>
        <v>2139924000000</v>
      </c>
      <c r="W2" s="26">
        <f>股权价值增加表!W4</f>
        <v>1415244000000</v>
      </c>
      <c r="X2" s="26">
        <f>股权价值增加表!X4</f>
        <v>695571000000</v>
      </c>
      <c r="Y2" s="26">
        <f>股权价值增加表!Y4</f>
        <v>2786045000000</v>
      </c>
      <c r="Z2" s="26">
        <f>股权价值增加表!Z4</f>
        <v>2024766000000</v>
      </c>
      <c r="AA2" s="26">
        <f>股权价值增加表!AA4</f>
        <v>1348072000000</v>
      </c>
      <c r="AB2" s="26">
        <f>股权价值增加表!AB4</f>
        <v>671365000000</v>
      </c>
      <c r="AC2" s="26">
        <f>股权价值增加表!AC4</f>
        <v>2505683000000</v>
      </c>
      <c r="AD2" s="26">
        <f>股权价值增加表!AD4</f>
        <v>1875102000000</v>
      </c>
      <c r="AE2" s="26">
        <f>股权价值增加表!AE4</f>
        <v>1233272000000</v>
      </c>
      <c r="AF2" s="26">
        <f>股权价值增加表!AF4</f>
        <v>588842000000</v>
      </c>
      <c r="AG2" s="26">
        <f>股权价值增加表!AG4</f>
        <v>1913182000000</v>
      </c>
      <c r="AH2" s="26">
        <f>股权价值增加表!AH4</f>
        <v>1427622000000</v>
      </c>
      <c r="AI2" s="26">
        <f>股权价值增加表!AI4</f>
        <v>936523000000</v>
      </c>
      <c r="AJ2" s="26">
        <f>股权价值增加表!AJ4</f>
        <v>438209000000</v>
      </c>
      <c r="AK2" s="26">
        <f>股权价值增加表!AK4</f>
        <v>1345052000000</v>
      </c>
      <c r="AL2" s="26">
        <f>股权价值增加表!AL4</f>
        <v>893448000000</v>
      </c>
      <c r="AM2" s="26">
        <f>股权价值增加表!AM4</f>
        <v>534025000000</v>
      </c>
      <c r="AN2" s="26">
        <f>股权价值增加表!AN4</f>
        <v>228585000000</v>
      </c>
      <c r="AO2" s="26">
        <f>股权价值增加表!AO4</f>
        <v>1452101000000</v>
      </c>
      <c r="AP2" s="26">
        <f>股权价值增加表!AP4</f>
        <v>1147397000000</v>
      </c>
      <c r="AQ2" s="26">
        <f>股权价值增加表!AQ4</f>
        <v>734783000000</v>
      </c>
      <c r="AR2" s="26">
        <f>股权价值增加表!AR4</f>
        <v>332010000000</v>
      </c>
      <c r="AS2" s="26">
        <f>股权价值增加表!AS4</f>
        <v>1204843000000</v>
      </c>
      <c r="AT2" s="26">
        <f>股权价值增加表!AT4</f>
        <v>875218000000</v>
      </c>
      <c r="AU2" s="26">
        <f>股权价值增加表!AU4</f>
        <v>566830000000</v>
      </c>
      <c r="AV2" s="26">
        <f>股权价值增加表!AV4</f>
        <v>272964000000</v>
      </c>
      <c r="AW2" s="26">
        <f>股权价值增加表!AW4</f>
        <v>1044579000000</v>
      </c>
      <c r="AX2" s="26">
        <f>股权价值增加表!AX4</f>
        <v>755219000000</v>
      </c>
      <c r="AY2" s="26">
        <f>股权价值增加表!AY4</f>
        <v>481988000000</v>
      </c>
      <c r="AZ2" s="26">
        <f>股权价值增加表!AZ4</f>
        <v>222699000000</v>
      </c>
      <c r="BA2" s="26">
        <f>股权价值增加表!BA4</f>
        <v>799115000000</v>
      </c>
      <c r="BB2" s="26">
        <f>股权价值增加表!BB4</f>
        <v>576990000000</v>
      </c>
      <c r="BC2" s="26">
        <f>股权价值增加表!BC4</f>
        <v>359248000000</v>
      </c>
      <c r="BD2" s="26">
        <f>股权价值增加表!BD4</f>
        <v>169040000000</v>
      </c>
      <c r="BE2" s="26">
        <f>股权价值增加表!BE4</f>
        <v>590632000000</v>
      </c>
      <c r="BF2" s="26">
        <f>股权价值增加表!BF4</f>
        <v>417695000000</v>
      </c>
      <c r="BG2" s="26">
        <f>股权价值增加表!BG4</f>
        <v>265709000000</v>
      </c>
      <c r="BH2" s="26">
        <f>股权价值增加表!BH4</f>
        <v>123490000000</v>
      </c>
      <c r="BI2" s="26">
        <f>股权价值增加表!BI4</f>
        <v>417191000000</v>
      </c>
      <c r="BJ2" s="26">
        <f>股权价值增加表!BJ4</f>
        <v>300662000000</v>
      </c>
      <c r="BK2" s="26">
        <f>股权价值增加表!BK4</f>
        <v>194842000000</v>
      </c>
      <c r="BL2" s="26">
        <f>股权价值增加表!BL4</f>
        <v>98519000000</v>
      </c>
      <c r="BM2" s="26">
        <f>股权价值增加表!BM4</f>
        <v>324184000000</v>
      </c>
      <c r="BN2" s="26">
        <f>股权价值增加表!BN4</f>
        <v>226183000000</v>
      </c>
      <c r="BO2" s="26">
        <f>股权价值增加表!BO4</f>
        <v>140628000000</v>
      </c>
      <c r="BP2" s="26">
        <f>股权价值增加表!BP4</f>
        <v>62995000000</v>
      </c>
      <c r="BQ2" s="26">
        <f>股权价值增加表!BQ4</f>
        <v>304347000000</v>
      </c>
      <c r="BR2" s="26">
        <f>股权价值增加表!BR4</f>
        <v>160314000000</v>
      </c>
      <c r="BS2" s="26">
        <f>股权价值增加表!BS4</f>
        <v>322932000000</v>
      </c>
      <c r="BT2" s="26">
        <f>股权价值增加表!BT4</f>
        <v>231047000000</v>
      </c>
      <c r="BU2" s="26">
        <f>股权价值增加表!BU4</f>
        <v>190220000000</v>
      </c>
      <c r="BV2" s="26">
        <f>股权价值增加表!BV4</f>
        <v>0</v>
      </c>
      <c r="BW2" s="26">
        <f>股权价值增加表!BW4</f>
        <v>0</v>
      </c>
      <c r="BX2" s="26">
        <f>股权价值增加表!BX4</f>
        <v>0</v>
      </c>
      <c r="BY2" s="26">
        <f>股权价值增加表!BY4</f>
        <v>0</v>
      </c>
      <c r="BZ2" s="26">
        <f>股权价值增加表!BZ4</f>
        <v>0</v>
      </c>
      <c r="CA2" s="26">
        <f>股权价值增加表!CA4</f>
        <v>0</v>
      </c>
      <c r="CB2" s="26">
        <f>股权价值增加表!CB4</f>
        <v>0</v>
      </c>
      <c r="CC2" s="26">
        <f>股权价值增加表!CC4</f>
        <v>0</v>
      </c>
      <c r="CD2" s="26">
        <f>股权价值增加表!CD4</f>
        <v>0</v>
      </c>
      <c r="CE2" s="26">
        <f>股权价值增加表!CE4</f>
        <v>0</v>
      </c>
      <c r="CF2" s="26">
        <f>股权价值增加表!CF4</f>
        <v>0</v>
      </c>
      <c r="CG2" s="26">
        <f>股权价值增加表!CG4</f>
        <v>0</v>
      </c>
      <c r="CH2" s="26">
        <f>股权价值增加表!CH4</f>
        <v>0</v>
      </c>
      <c r="CI2" s="26">
        <f>股权价值增加表!CI4</f>
        <v>0</v>
      </c>
      <c r="CJ2" s="26">
        <f>股权价值增加表!CJ4</f>
        <v>0</v>
      </c>
    </row>
    <row r="3" spans="1:89" s="66" customFormat="1" x14ac:dyDescent="0.25">
      <c r="A3" s="46" t="s">
        <v>372</v>
      </c>
      <c r="E3" s="66">
        <f>(E2-I2)/I2</f>
        <v>0.22232096663181264</v>
      </c>
      <c r="F3" s="66">
        <f t="shared" ref="F3:BQ3" si="0">(F2-J2)/J2</f>
        <v>0.27934410845012081</v>
      </c>
      <c r="G3" s="66">
        <f t="shared" si="0"/>
        <v>0.32599008211824115</v>
      </c>
      <c r="H3" s="66">
        <f t="shared" si="0"/>
        <v>0.40695763551559971</v>
      </c>
      <c r="I3" s="66">
        <f t="shared" si="0"/>
        <v>-4.357459050375876E-2</v>
      </c>
      <c r="J3" s="66">
        <f t="shared" si="0"/>
        <v>-0.11249859288916131</v>
      </c>
      <c r="K3" s="66">
        <f t="shared" si="0"/>
        <v>-0.15489031702426656</v>
      </c>
      <c r="L3" s="66">
        <f t="shared" si="0"/>
        <v>-0.13476678076534634</v>
      </c>
      <c r="M3" s="66">
        <f t="shared" si="0"/>
        <v>-0.28558229302094829</v>
      </c>
      <c r="N3" s="66">
        <f t="shared" si="0"/>
        <v>-0.27358568155004992</v>
      </c>
      <c r="O3" s="66">
        <f t="shared" si="0"/>
        <v>-0.23286869217178943</v>
      </c>
      <c r="P3" s="66">
        <f t="shared" si="0"/>
        <v>-0.25398984502351557</v>
      </c>
      <c r="Q3" s="66">
        <f t="shared" si="0"/>
        <v>-1.8885807817280841E-2</v>
      </c>
      <c r="R3" s="66">
        <f t="shared" si="0"/>
        <v>-1.1344328116325627E-2</v>
      </c>
      <c r="S3" s="66">
        <f t="shared" si="0"/>
        <v>-4.1739798932198265E-2</v>
      </c>
      <c r="T3" s="66">
        <f t="shared" si="0"/>
        <v>-7.8361518809726111E-2</v>
      </c>
      <c r="U3" s="66">
        <f t="shared" si="0"/>
        <v>3.3835060094147794E-2</v>
      </c>
      <c r="V3" s="66">
        <f t="shared" si="0"/>
        <v>5.687472033805388E-2</v>
      </c>
      <c r="W3" s="66">
        <f t="shared" si="0"/>
        <v>4.9828199087289103E-2</v>
      </c>
      <c r="X3" s="66">
        <f t="shared" si="0"/>
        <v>3.6054903070609878E-2</v>
      </c>
      <c r="Y3" s="66">
        <f t="shared" si="0"/>
        <v>0.11189045062763327</v>
      </c>
      <c r="Z3" s="66">
        <f t="shared" si="0"/>
        <v>7.9816457984685632E-2</v>
      </c>
      <c r="AA3" s="66">
        <f t="shared" si="0"/>
        <v>9.3085710208291442E-2</v>
      </c>
      <c r="AB3" s="66">
        <f t="shared" si="0"/>
        <v>0.14014455490606989</v>
      </c>
      <c r="AC3" s="66">
        <f t="shared" si="0"/>
        <v>0.30969400715666362</v>
      </c>
      <c r="AD3" s="66">
        <f t="shared" si="0"/>
        <v>0.31344431509181003</v>
      </c>
      <c r="AE3" s="66">
        <f t="shared" si="0"/>
        <v>0.31686247961876002</v>
      </c>
      <c r="AF3" s="66">
        <f t="shared" si="0"/>
        <v>0.34374693354084468</v>
      </c>
      <c r="AG3" s="66">
        <f t="shared" si="0"/>
        <v>0.42238515685638922</v>
      </c>
      <c r="AH3" s="66">
        <f t="shared" si="0"/>
        <v>0.5978792274424477</v>
      </c>
      <c r="AI3" s="66">
        <f t="shared" si="0"/>
        <v>0.75370628715884092</v>
      </c>
      <c r="AJ3" s="66">
        <f t="shared" si="0"/>
        <v>0.91705055012358638</v>
      </c>
      <c r="AK3" s="66">
        <f t="shared" si="0"/>
        <v>-7.3720078699759869E-2</v>
      </c>
      <c r="AL3" s="66">
        <f t="shared" si="0"/>
        <v>-0.221326184398251</v>
      </c>
      <c r="AM3" s="66">
        <f t="shared" si="0"/>
        <v>-0.27322080124336029</v>
      </c>
      <c r="AN3" s="66">
        <f t="shared" si="0"/>
        <v>-0.31151170145477547</v>
      </c>
      <c r="AO3" s="66">
        <f t="shared" si="0"/>
        <v>0.20522009921624643</v>
      </c>
      <c r="AP3" s="66">
        <f t="shared" si="0"/>
        <v>0.31098423478493359</v>
      </c>
      <c r="AQ3" s="66">
        <f t="shared" si="0"/>
        <v>0.29630224229486796</v>
      </c>
      <c r="AR3" s="66">
        <f t="shared" si="0"/>
        <v>0.21631423924033938</v>
      </c>
      <c r="AS3" s="66">
        <f t="shared" si="0"/>
        <v>0.15342448967478764</v>
      </c>
      <c r="AT3" s="66">
        <f t="shared" si="0"/>
        <v>0.15889298335979365</v>
      </c>
      <c r="AU3" s="66">
        <f t="shared" si="0"/>
        <v>0.17602512925633004</v>
      </c>
      <c r="AV3" s="66">
        <f t="shared" si="0"/>
        <v>0.2257082429647192</v>
      </c>
      <c r="AW3" s="66">
        <f t="shared" si="0"/>
        <v>0.30716980659854964</v>
      </c>
      <c r="AX3" s="66">
        <f t="shared" si="0"/>
        <v>0.30889443491221685</v>
      </c>
      <c r="AY3" s="66">
        <f t="shared" si="0"/>
        <v>0.34165813031666148</v>
      </c>
      <c r="AZ3" s="66">
        <f t="shared" si="0"/>
        <v>0.31743374349266446</v>
      </c>
      <c r="BA3" s="66">
        <f t="shared" si="0"/>
        <v>0.35298290644597652</v>
      </c>
      <c r="BB3" s="66">
        <f t="shared" si="0"/>
        <v>0.38136678677025104</v>
      </c>
      <c r="BC3" s="66">
        <f t="shared" si="0"/>
        <v>0.3520354974803262</v>
      </c>
      <c r="BD3" s="66">
        <f t="shared" si="0"/>
        <v>0.36885577779577294</v>
      </c>
      <c r="BE3" s="66">
        <f t="shared" si="0"/>
        <v>0.41573523877552487</v>
      </c>
      <c r="BF3" s="66">
        <f t="shared" si="0"/>
        <v>0.38925105267709253</v>
      </c>
      <c r="BG3" s="66">
        <f t="shared" si="0"/>
        <v>0.36371521540530277</v>
      </c>
      <c r="BH3" s="66">
        <f t="shared" si="0"/>
        <v>0.2534637988611334</v>
      </c>
      <c r="BI3" s="66">
        <f t="shared" si="0"/>
        <v>0.28689571354539395</v>
      </c>
      <c r="BJ3" s="66">
        <f t="shared" si="0"/>
        <v>0.32928646273150503</v>
      </c>
      <c r="BK3" s="66">
        <f t="shared" si="0"/>
        <v>0.3855135534886367</v>
      </c>
      <c r="BL3" s="66">
        <f t="shared" si="0"/>
        <v>0.56391777125168663</v>
      </c>
      <c r="BM3" s="66">
        <f t="shared" si="0"/>
        <v>6.5178891199847544E-2</v>
      </c>
      <c r="BN3" s="66">
        <f t="shared" si="0"/>
        <v>0.41087490799306359</v>
      </c>
      <c r="BO3" s="66">
        <f t="shared" si="0"/>
        <v>-0.56452751662888778</v>
      </c>
      <c r="BP3" s="66">
        <f t="shared" si="0"/>
        <v>-0.72734984656801427</v>
      </c>
      <c r="BQ3" s="66">
        <f t="shared" si="0"/>
        <v>0.59997371464619909</v>
      </c>
      <c r="BR3" s="66" t="e">
        <f t="shared" ref="BR3:CJ3" si="1">(BR2-BV2)/BV2</f>
        <v>#DIV/0!</v>
      </c>
      <c r="BS3" s="66" t="e">
        <f t="shared" si="1"/>
        <v>#DIV/0!</v>
      </c>
      <c r="BT3" s="66" t="e">
        <f t="shared" si="1"/>
        <v>#DIV/0!</v>
      </c>
      <c r="BU3" s="66" t="e">
        <f t="shared" si="1"/>
        <v>#DIV/0!</v>
      </c>
      <c r="BV3" s="66" t="e">
        <f t="shared" si="1"/>
        <v>#DIV/0!</v>
      </c>
      <c r="BW3" s="66" t="e">
        <f t="shared" si="1"/>
        <v>#DIV/0!</v>
      </c>
      <c r="BX3" s="66" t="e">
        <f t="shared" si="1"/>
        <v>#DIV/0!</v>
      </c>
      <c r="BY3" s="66" t="e">
        <f t="shared" si="1"/>
        <v>#DIV/0!</v>
      </c>
      <c r="BZ3" s="66" t="e">
        <f t="shared" si="1"/>
        <v>#DIV/0!</v>
      </c>
      <c r="CA3" s="66" t="e">
        <f t="shared" si="1"/>
        <v>#DIV/0!</v>
      </c>
      <c r="CB3" s="66" t="e">
        <f t="shared" si="1"/>
        <v>#DIV/0!</v>
      </c>
      <c r="CC3" s="66" t="e">
        <f t="shared" si="1"/>
        <v>#DIV/0!</v>
      </c>
      <c r="CD3" s="66" t="e">
        <f t="shared" si="1"/>
        <v>#DIV/0!</v>
      </c>
      <c r="CE3" s="66" t="e">
        <f t="shared" si="1"/>
        <v>#DIV/0!</v>
      </c>
      <c r="CF3" s="66" t="e">
        <f t="shared" si="1"/>
        <v>#DIV/0!</v>
      </c>
      <c r="CG3" s="66" t="e">
        <f t="shared" si="1"/>
        <v>#DIV/0!</v>
      </c>
      <c r="CH3" s="66" t="e">
        <f t="shared" si="1"/>
        <v>#DIV/0!</v>
      </c>
      <c r="CI3" s="66" t="e">
        <f t="shared" si="1"/>
        <v>#DIV/0!</v>
      </c>
      <c r="CJ3" s="66" t="e">
        <f t="shared" si="1"/>
        <v>#DIV/0!</v>
      </c>
    </row>
    <row r="4" spans="1:89" s="26" customFormat="1" x14ac:dyDescent="0.25">
      <c r="A4" s="17" t="s">
        <v>352</v>
      </c>
      <c r="E4" s="26">
        <f>股权价值增加表!E5</f>
        <v>1890398000000</v>
      </c>
      <c r="F4" s="26">
        <f>股权价值增加表!F5</f>
        <v>1405556000000</v>
      </c>
      <c r="G4" s="26">
        <f>股权价值增加表!G5</f>
        <v>942602000000</v>
      </c>
      <c r="H4" s="26">
        <f>股权价值增加表!H5</f>
        <v>466318000000</v>
      </c>
      <c r="I4" s="26">
        <f>股权价值增加表!I5</f>
        <v>1492165000000</v>
      </c>
      <c r="J4" s="26">
        <f>股权价值增加表!J5</f>
        <v>1042208000000</v>
      </c>
      <c r="K4" s="26">
        <f>股权价值增加表!K5</f>
        <v>665193000000</v>
      </c>
      <c r="L4" s="26">
        <f>股权价值增加表!L5</f>
        <v>313289000000</v>
      </c>
      <c r="M4" s="26">
        <f>股权价值增加表!M5</f>
        <v>1592771000000</v>
      </c>
      <c r="N4" s="26">
        <f>股权价值增加表!N5</f>
        <v>1217056000000</v>
      </c>
      <c r="O4" s="26">
        <f>股权价值增加表!O5</f>
        <v>819733000000</v>
      </c>
      <c r="P4" s="26">
        <f>股权价值增加表!P5</f>
        <v>385281000000</v>
      </c>
      <c r="Q4" s="26">
        <f>股权价值增加表!Q5</f>
        <v>2429017000000</v>
      </c>
      <c r="R4" s="26">
        <f>股权价值增加表!R5</f>
        <v>1803729000000</v>
      </c>
      <c r="S4" s="26">
        <f>股权价值增加表!S5</f>
        <v>1148049000000</v>
      </c>
      <c r="T4" s="26">
        <f>股权价值增加表!T5</f>
        <v>540340000000</v>
      </c>
      <c r="U4" s="26">
        <f>股权价值增加表!U5</f>
        <v>2457041000000</v>
      </c>
      <c r="V4" s="26">
        <f>股权价值增加表!V5</f>
        <v>1827437000000</v>
      </c>
      <c r="W4" s="26">
        <f>股权价值增加表!W5</f>
        <v>1213550000000</v>
      </c>
      <c r="X4" s="26">
        <f>股权价值增加表!X5</f>
        <v>590055000000</v>
      </c>
      <c r="Y4" s="26">
        <f>股权价值增加表!Y5</f>
        <v>2372235000000</v>
      </c>
      <c r="Z4" s="26">
        <f>股权价值增加表!Z5</f>
        <v>1724711000000</v>
      </c>
      <c r="AA4" s="26">
        <f>股权价值增加表!AA5</f>
        <v>1152431000000</v>
      </c>
      <c r="AB4" s="26">
        <f>股权价值增加表!AB5</f>
        <v>574798000000</v>
      </c>
      <c r="AC4" s="26">
        <f>股权价值增加表!AC5</f>
        <v>2093199000000</v>
      </c>
      <c r="AD4" s="26">
        <f>股权价值增加表!AD5</f>
        <v>1564326000000</v>
      </c>
      <c r="AE4" s="26">
        <f>股权价值增加表!AE5</f>
        <v>1029875000000</v>
      </c>
      <c r="AF4" s="26">
        <f>股权价值增加表!AF5</f>
        <v>487346000000</v>
      </c>
      <c r="AG4" s="26">
        <f>股权价值增加表!AG5</f>
        <v>1537131000000</v>
      </c>
      <c r="AH4" s="26">
        <f>股权价值增加表!AH5</f>
        <v>1161324000000</v>
      </c>
      <c r="AI4" s="26">
        <f>股权价值增加表!AI5</f>
        <v>767032000000</v>
      </c>
      <c r="AJ4" s="26">
        <f>股权价值增加表!AJ5</f>
        <v>358379000000</v>
      </c>
      <c r="AK4" s="26">
        <f>股权价值增加表!AK5</f>
        <v>1035815000000</v>
      </c>
      <c r="AL4" s="26">
        <f>股权价值增加表!AL5</f>
        <v>667113000000</v>
      </c>
      <c r="AM4" s="26">
        <f>股权价值增加表!AM5</f>
        <v>389325000000</v>
      </c>
      <c r="AN4" s="26">
        <f>股权价值增加表!AN5</f>
        <v>166444000000</v>
      </c>
      <c r="AO4" s="26">
        <f>股权价值增加表!AO5</f>
        <v>1326783000000</v>
      </c>
      <c r="AP4" s="26">
        <f>股权价值增加表!AP5</f>
        <v>1060029000000</v>
      </c>
      <c r="AQ4" s="26">
        <f>股权价值增加表!AQ5</f>
        <v>679678000000</v>
      </c>
      <c r="AR4" s="26">
        <f>股权价值增加表!AR5</f>
        <v>295510000000</v>
      </c>
      <c r="AS4" s="26">
        <f>股权价值增加表!AS5</f>
        <v>1012961000000</v>
      </c>
      <c r="AT4" s="26">
        <f>股权价值增加表!AT5</f>
        <v>727637000000</v>
      </c>
      <c r="AU4" s="26">
        <f>股权价值增加表!AU5</f>
        <v>465105000000</v>
      </c>
      <c r="AV4" s="26">
        <f>股权价值增加表!AV5</f>
        <v>228232000000</v>
      </c>
      <c r="AW4" s="26">
        <f>股权价值增加表!AW5</f>
        <v>880029000000</v>
      </c>
      <c r="AX4" s="26">
        <f>股权价值增加表!AX5</f>
        <v>639519000000</v>
      </c>
      <c r="AY4" s="26">
        <f>股权价值增加表!AY5</f>
        <v>409298000000</v>
      </c>
      <c r="AZ4" s="26">
        <f>股权价值增加表!AZ5</f>
        <v>191137000000</v>
      </c>
      <c r="BA4" s="26">
        <f>股权价值增加表!BA5</f>
        <v>668249000000</v>
      </c>
      <c r="BB4" s="26">
        <f>股权价值增加表!BB5</f>
        <v>479614000000</v>
      </c>
      <c r="BC4" s="26">
        <f>股权价值增加表!BC5</f>
        <v>293181000000</v>
      </c>
      <c r="BD4" s="26">
        <f>股权价值增加表!BD5</f>
        <v>136187000000</v>
      </c>
      <c r="BE4" s="26">
        <f>股权价值增加表!BE5</f>
        <v>459207000000</v>
      </c>
      <c r="BF4" s="26">
        <f>股权价值增加表!BF5</f>
        <v>323054000000</v>
      </c>
      <c r="BG4" s="26">
        <f>股权价值增加表!BG5</f>
        <v>206098000000</v>
      </c>
      <c r="BH4" s="26">
        <f>股权价值增加表!BH5</f>
        <v>94583000000</v>
      </c>
      <c r="BI4" s="26">
        <f>股权价值增加表!BI5</f>
        <v>323104000000</v>
      </c>
      <c r="BJ4" s="26">
        <f>股权价值增加表!BJ5</f>
        <v>234209000000</v>
      </c>
      <c r="BK4" s="26">
        <f>股权价值增加表!BK5</f>
        <v>152303000000</v>
      </c>
      <c r="BL4" s="26">
        <f>股权价值增加表!BL5</f>
        <v>76178000000</v>
      </c>
      <c r="BM4" s="26">
        <f>股权价值增加表!BM5</f>
        <v>251182000000</v>
      </c>
      <c r="BN4" s="26">
        <f>股权价值增加表!BN5</f>
        <v>175233000000</v>
      </c>
      <c r="BO4" s="26">
        <f>股权价值增加表!BO5</f>
        <v>109372000000</v>
      </c>
      <c r="BP4" s="26">
        <f>股权价值增加表!BP5</f>
        <v>51667000000</v>
      </c>
      <c r="BQ4" s="26">
        <f>股权价值增加表!BQ5</f>
        <v>236135000000</v>
      </c>
      <c r="BR4" s="26">
        <f>股权价值增加表!BR5</f>
        <v>124248000000</v>
      </c>
      <c r="BS4" s="26">
        <f>股权价值增加表!BS5</f>
        <v>249234000000</v>
      </c>
      <c r="BT4" s="26">
        <f>股权价值增加表!BT5</f>
        <v>175259000000</v>
      </c>
      <c r="BU4" s="26">
        <f>股权价值增加表!BU5</f>
        <v>146753000000</v>
      </c>
      <c r="BV4" s="26">
        <f>股权价值增加表!BV5</f>
        <v>0</v>
      </c>
      <c r="BW4" s="26">
        <f>股权价值增加表!BW5</f>
        <v>0</v>
      </c>
      <c r="BX4" s="26">
        <f>股权价值增加表!BX5</f>
        <v>0</v>
      </c>
      <c r="BY4" s="26">
        <f>股权价值增加表!BY5</f>
        <v>0</v>
      </c>
      <c r="BZ4" s="26">
        <f>股权价值增加表!BZ5</f>
        <v>0</v>
      </c>
      <c r="CA4" s="26">
        <f>股权价值增加表!CA5</f>
        <v>0</v>
      </c>
      <c r="CB4" s="26">
        <f>股权价值增加表!CB5</f>
        <v>0</v>
      </c>
      <c r="CC4" s="26">
        <f>股权价值增加表!CC5</f>
        <v>0</v>
      </c>
      <c r="CD4" s="26">
        <f>股权价值增加表!CD5</f>
        <v>0</v>
      </c>
      <c r="CE4" s="26">
        <f>股权价值增加表!CE5</f>
        <v>0</v>
      </c>
      <c r="CF4" s="26">
        <f>股权价值增加表!CF5</f>
        <v>0</v>
      </c>
      <c r="CG4" s="26">
        <f>股权价值增加表!CG5</f>
        <v>0</v>
      </c>
      <c r="CH4" s="26">
        <f>股权价值增加表!CH5</f>
        <v>0</v>
      </c>
      <c r="CI4" s="26">
        <f>股权价值增加表!CI5</f>
        <v>0</v>
      </c>
      <c r="CJ4" s="26">
        <f>股权价值增加表!CJ5</f>
        <v>0</v>
      </c>
    </row>
    <row r="5" spans="1:89" s="66" customFormat="1" x14ac:dyDescent="0.25">
      <c r="A5" s="46" t="s">
        <v>353</v>
      </c>
      <c r="E5" s="66">
        <f t="shared" ref="E5:AJ5" si="2">E4/E2</f>
        <v>0.80095060022633746</v>
      </c>
      <c r="F5" s="66">
        <f t="shared" si="2"/>
        <v>0.8054969898937222</v>
      </c>
      <c r="G5" s="66">
        <f t="shared" si="2"/>
        <v>0.80851954432738027</v>
      </c>
      <c r="H5" s="66">
        <f t="shared" si="2"/>
        <v>0.80097907022681791</v>
      </c>
      <c r="I5" s="66">
        <f t="shared" si="2"/>
        <v>0.77277771994669875</v>
      </c>
      <c r="J5" s="66">
        <f t="shared" si="2"/>
        <v>0.76411292244188733</v>
      </c>
      <c r="K5" s="66">
        <f t="shared" si="2"/>
        <v>0.7565717340369873</v>
      </c>
      <c r="L5" s="66">
        <f t="shared" si="2"/>
        <v>0.75712076173904641</v>
      </c>
      <c r="M5" s="66">
        <f t="shared" si="2"/>
        <v>0.7889367536405032</v>
      </c>
      <c r="N5" s="66">
        <f t="shared" si="2"/>
        <v>0.79192263070188962</v>
      </c>
      <c r="O5" s="66">
        <f t="shared" si="2"/>
        <v>0.78793054725182199</v>
      </c>
      <c r="P5" s="66">
        <f t="shared" si="2"/>
        <v>0.80562101534581931</v>
      </c>
      <c r="Q5" s="66">
        <f t="shared" si="2"/>
        <v>0.85955092759369178</v>
      </c>
      <c r="R5" s="66">
        <f t="shared" si="2"/>
        <v>0.85256573872402219</v>
      </c>
      <c r="S5" s="66">
        <f t="shared" si="2"/>
        <v>0.84653642753279079</v>
      </c>
      <c r="T5" s="66">
        <f t="shared" si="2"/>
        <v>0.84287864725105877</v>
      </c>
      <c r="U5" s="66">
        <f t="shared" si="2"/>
        <v>0.85304711887014983</v>
      </c>
      <c r="V5" s="66">
        <f t="shared" si="2"/>
        <v>0.85397285137229173</v>
      </c>
      <c r="W5" s="66">
        <f t="shared" si="2"/>
        <v>0.85748464575719807</v>
      </c>
      <c r="X5" s="66">
        <f t="shared" si="2"/>
        <v>0.84830304886201413</v>
      </c>
      <c r="Y5" s="66">
        <f t="shared" si="2"/>
        <v>0.85147045363588891</v>
      </c>
      <c r="Z5" s="66">
        <f t="shared" si="2"/>
        <v>0.85180756689908854</v>
      </c>
      <c r="AA5" s="66">
        <f t="shared" si="2"/>
        <v>0.85487347856791029</v>
      </c>
      <c r="AB5" s="66">
        <f t="shared" si="2"/>
        <v>0.8561631899190455</v>
      </c>
      <c r="AC5" s="66">
        <f t="shared" si="2"/>
        <v>0.83538061279100351</v>
      </c>
      <c r="AD5" s="66">
        <f t="shared" si="2"/>
        <v>0.83426181615720107</v>
      </c>
      <c r="AE5" s="66">
        <f t="shared" si="2"/>
        <v>0.83507531185334627</v>
      </c>
      <c r="AF5" s="66">
        <f t="shared" si="2"/>
        <v>0.82763457769656379</v>
      </c>
      <c r="AG5" s="66">
        <f t="shared" si="2"/>
        <v>0.80344211894111484</v>
      </c>
      <c r="AH5" s="66">
        <f t="shared" si="2"/>
        <v>0.81346743045427994</v>
      </c>
      <c r="AI5" s="66">
        <f t="shared" si="2"/>
        <v>0.81902099574703446</v>
      </c>
      <c r="AJ5" s="66">
        <f t="shared" si="2"/>
        <v>0.81782665349182693</v>
      </c>
      <c r="AK5" s="66">
        <f t="shared" ref="AK5:BP5" si="3">AK4/AK2</f>
        <v>0.77009290347138992</v>
      </c>
      <c r="AL5" s="66">
        <f t="shared" si="3"/>
        <v>0.74667244204475247</v>
      </c>
      <c r="AM5" s="66">
        <f t="shared" si="3"/>
        <v>0.72903890267309579</v>
      </c>
      <c r="AN5" s="66">
        <f t="shared" si="3"/>
        <v>0.72814926613732311</v>
      </c>
      <c r="AO5" s="66">
        <f t="shared" si="3"/>
        <v>0.9136988405076506</v>
      </c>
      <c r="AP5" s="66">
        <f t="shared" si="3"/>
        <v>0.92385547460904982</v>
      </c>
      <c r="AQ5" s="66">
        <f t="shared" si="3"/>
        <v>0.92500506952392747</v>
      </c>
      <c r="AR5" s="66">
        <f t="shared" si="3"/>
        <v>0.89006355230264145</v>
      </c>
      <c r="AS5" s="66">
        <f t="shared" si="3"/>
        <v>0.84074107580821733</v>
      </c>
      <c r="AT5" s="66">
        <f t="shared" si="3"/>
        <v>0.83137801096412556</v>
      </c>
      <c r="AU5" s="66">
        <f t="shared" si="3"/>
        <v>0.82053702168198583</v>
      </c>
      <c r="AV5" s="66">
        <f t="shared" si="3"/>
        <v>0.83612491024457436</v>
      </c>
      <c r="AW5" s="66">
        <f t="shared" si="3"/>
        <v>0.84247242190394411</v>
      </c>
      <c r="AX5" s="66">
        <f t="shared" si="3"/>
        <v>0.84679940520564234</v>
      </c>
      <c r="AY5" s="66">
        <f t="shared" si="3"/>
        <v>0.84918711669170188</v>
      </c>
      <c r="AZ5" s="66">
        <f t="shared" si="3"/>
        <v>0.85827507083552235</v>
      </c>
      <c r="BA5" s="66">
        <f t="shared" si="3"/>
        <v>0.83623633644719475</v>
      </c>
      <c r="BB5" s="66">
        <f t="shared" si="3"/>
        <v>0.83123451013015826</v>
      </c>
      <c r="BC5" s="66">
        <f t="shared" si="3"/>
        <v>0.81609640137175432</v>
      </c>
      <c r="BD5" s="66">
        <f t="shared" si="3"/>
        <v>0.8056495504022716</v>
      </c>
      <c r="BE5" s="66">
        <f t="shared" si="3"/>
        <v>0.77748411870674128</v>
      </c>
      <c r="BF5" s="66">
        <f t="shared" si="3"/>
        <v>0.77342079747183945</v>
      </c>
      <c r="BG5" s="66">
        <f t="shared" si="3"/>
        <v>0.77565306406632817</v>
      </c>
      <c r="BH5" s="66">
        <f t="shared" si="3"/>
        <v>0.76591626852376715</v>
      </c>
      <c r="BI5" s="66">
        <f t="shared" si="3"/>
        <v>0.77447500065917052</v>
      </c>
      <c r="BJ5" s="66">
        <f t="shared" si="3"/>
        <v>0.77897772249236685</v>
      </c>
      <c r="BK5" s="66">
        <f t="shared" si="3"/>
        <v>0.78167438232003372</v>
      </c>
      <c r="BL5" s="66">
        <f t="shared" si="3"/>
        <v>0.7732315593946345</v>
      </c>
      <c r="BM5" s="66">
        <f t="shared" si="3"/>
        <v>0.77481306912123982</v>
      </c>
      <c r="BN5" s="66">
        <f t="shared" si="3"/>
        <v>0.77473992298271754</v>
      </c>
      <c r="BO5" s="66">
        <f t="shared" si="3"/>
        <v>0.77773985266092105</v>
      </c>
      <c r="BP5" s="66">
        <f t="shared" si="3"/>
        <v>0.82017620446067152</v>
      </c>
      <c r="BQ5" s="66">
        <f t="shared" ref="BQ5:CK5" si="4">BQ4/BQ2</f>
        <v>0.77587424880153244</v>
      </c>
      <c r="BR5" s="66">
        <f t="shared" si="4"/>
        <v>0.77502900557655596</v>
      </c>
      <c r="BS5" s="66">
        <f t="shared" si="4"/>
        <v>0.77178477202630891</v>
      </c>
      <c r="BT5" s="66">
        <f t="shared" si="4"/>
        <v>0.75854263418265544</v>
      </c>
      <c r="BU5" s="66">
        <f t="shared" si="4"/>
        <v>0.7714909052675849</v>
      </c>
      <c r="BV5" s="66" t="e">
        <f t="shared" si="4"/>
        <v>#DIV/0!</v>
      </c>
      <c r="BW5" s="66" t="e">
        <f t="shared" si="4"/>
        <v>#DIV/0!</v>
      </c>
      <c r="BX5" s="66" t="e">
        <f t="shared" si="4"/>
        <v>#DIV/0!</v>
      </c>
      <c r="BY5" s="66" t="e">
        <f t="shared" si="4"/>
        <v>#DIV/0!</v>
      </c>
      <c r="BZ5" s="66" t="e">
        <f t="shared" si="4"/>
        <v>#DIV/0!</v>
      </c>
      <c r="CA5" s="66" t="e">
        <f t="shared" si="4"/>
        <v>#DIV/0!</v>
      </c>
      <c r="CB5" s="66" t="e">
        <f t="shared" si="4"/>
        <v>#DIV/0!</v>
      </c>
      <c r="CC5" s="66" t="e">
        <f t="shared" si="4"/>
        <v>#DIV/0!</v>
      </c>
      <c r="CD5" s="66" t="e">
        <f t="shared" si="4"/>
        <v>#DIV/0!</v>
      </c>
      <c r="CE5" s="66" t="e">
        <f t="shared" si="4"/>
        <v>#DIV/0!</v>
      </c>
      <c r="CF5" s="66" t="e">
        <f t="shared" si="4"/>
        <v>#DIV/0!</v>
      </c>
      <c r="CG5" s="66" t="e">
        <f t="shared" si="4"/>
        <v>#DIV/0!</v>
      </c>
      <c r="CH5" s="66" t="e">
        <f t="shared" si="4"/>
        <v>#DIV/0!</v>
      </c>
      <c r="CI5" s="66" t="e">
        <f t="shared" si="4"/>
        <v>#DIV/0!</v>
      </c>
      <c r="CJ5" s="66" t="e">
        <f t="shared" si="4"/>
        <v>#DIV/0!</v>
      </c>
      <c r="CK5" s="66" t="e">
        <f t="shared" si="4"/>
        <v>#DIV/0!</v>
      </c>
    </row>
    <row r="6" spans="1:89" s="66" customFormat="1" x14ac:dyDescent="0.25">
      <c r="A6" s="46" t="s">
        <v>354</v>
      </c>
      <c r="E6" s="66">
        <f>(E4-I4)/I4</f>
        <v>0.26688268388549524</v>
      </c>
      <c r="F6" s="66">
        <f t="shared" ref="F6:BQ6" si="5">(F4-J4)/J4</f>
        <v>0.34863290245325307</v>
      </c>
      <c r="G6" s="66">
        <f t="shared" si="5"/>
        <v>0.41703535665588787</v>
      </c>
      <c r="H6" s="66">
        <f t="shared" si="5"/>
        <v>0.4884595373600733</v>
      </c>
      <c r="I6" s="66">
        <f t="shared" si="5"/>
        <v>-6.3164133450445789E-2</v>
      </c>
      <c r="J6" s="66">
        <f t="shared" si="5"/>
        <v>-0.14366471222359531</v>
      </c>
      <c r="K6" s="66">
        <f t="shared" si="5"/>
        <v>-0.18852480014834097</v>
      </c>
      <c r="L6" s="66">
        <f t="shared" si="5"/>
        <v>-0.18685582730526551</v>
      </c>
      <c r="M6" s="66">
        <f t="shared" si="5"/>
        <v>-0.34427342418764462</v>
      </c>
      <c r="N6" s="66">
        <f t="shared" si="5"/>
        <v>-0.32525562321169088</v>
      </c>
      <c r="O6" s="66">
        <f t="shared" si="5"/>
        <v>-0.28597734068842007</v>
      </c>
      <c r="P6" s="66">
        <f t="shared" si="5"/>
        <v>-0.28696561424288414</v>
      </c>
      <c r="Q6" s="66">
        <f t="shared" si="5"/>
        <v>-1.1405589080524093E-2</v>
      </c>
      <c r="R6" s="66">
        <f t="shared" si="5"/>
        <v>-1.2973361051571135E-2</v>
      </c>
      <c r="S6" s="66">
        <f t="shared" si="5"/>
        <v>-5.3974702319640723E-2</v>
      </c>
      <c r="T6" s="66">
        <f t="shared" si="5"/>
        <v>-8.4254857598020524E-2</v>
      </c>
      <c r="U6" s="66">
        <f t="shared" si="5"/>
        <v>3.5749409312315177E-2</v>
      </c>
      <c r="V6" s="66">
        <f t="shared" si="5"/>
        <v>5.9561283020749561E-2</v>
      </c>
      <c r="W6" s="66">
        <f t="shared" si="5"/>
        <v>5.3034845470140944E-2</v>
      </c>
      <c r="X6" s="66">
        <f t="shared" si="5"/>
        <v>2.6543237798322194E-2</v>
      </c>
      <c r="Y6" s="66">
        <f t="shared" si="5"/>
        <v>0.13330600673896748</v>
      </c>
      <c r="Z6" s="66">
        <f t="shared" si="5"/>
        <v>0.10252658333365296</v>
      </c>
      <c r="AA6" s="66">
        <f t="shared" si="5"/>
        <v>0.11900084961767204</v>
      </c>
      <c r="AB6" s="66">
        <f t="shared" si="5"/>
        <v>0.17944540429181732</v>
      </c>
      <c r="AC6" s="66">
        <f t="shared" si="5"/>
        <v>0.3617570655981826</v>
      </c>
      <c r="AD6" s="66">
        <f t="shared" si="5"/>
        <v>0.34701943643634336</v>
      </c>
      <c r="AE6" s="66">
        <f t="shared" si="5"/>
        <v>0.3426754033730014</v>
      </c>
      <c r="AF6" s="66">
        <f t="shared" si="5"/>
        <v>0.35986204548815637</v>
      </c>
      <c r="AG6" s="66">
        <f t="shared" si="5"/>
        <v>0.48398217828473233</v>
      </c>
      <c r="AH6" s="66">
        <f t="shared" si="5"/>
        <v>0.74082052066141724</v>
      </c>
      <c r="AI6" s="66">
        <f t="shared" si="5"/>
        <v>0.97015860784691454</v>
      </c>
      <c r="AJ6" s="66">
        <f t="shared" si="5"/>
        <v>1.1531506092139099</v>
      </c>
      <c r="AK6" s="66">
        <f t="shared" si="5"/>
        <v>-0.21930338269332664</v>
      </c>
      <c r="AL6" s="66">
        <f t="shared" si="5"/>
        <v>-0.37066533085415587</v>
      </c>
      <c r="AM6" s="66">
        <f t="shared" si="5"/>
        <v>-0.42719199385591411</v>
      </c>
      <c r="AN6" s="66">
        <f t="shared" si="5"/>
        <v>-0.43675679334032691</v>
      </c>
      <c r="AO6" s="66">
        <f t="shared" si="5"/>
        <v>0.30980659670016913</v>
      </c>
      <c r="AP6" s="66">
        <f t="shared" si="5"/>
        <v>0.45681019519348248</v>
      </c>
      <c r="AQ6" s="66">
        <f t="shared" si="5"/>
        <v>0.46134313757108608</v>
      </c>
      <c r="AR6" s="66">
        <f t="shared" si="5"/>
        <v>0.29477899681026326</v>
      </c>
      <c r="AS6" s="66">
        <f t="shared" si="5"/>
        <v>0.15105411298945831</v>
      </c>
      <c r="AT6" s="66">
        <f t="shared" si="5"/>
        <v>0.13778793124207411</v>
      </c>
      <c r="AU6" s="66">
        <f t="shared" si="5"/>
        <v>0.13634808867866444</v>
      </c>
      <c r="AV6" s="66">
        <f t="shared" si="5"/>
        <v>0.19407545373213977</v>
      </c>
      <c r="AW6" s="66">
        <f t="shared" si="5"/>
        <v>0.31691779561211464</v>
      </c>
      <c r="AX6" s="66">
        <f t="shared" si="5"/>
        <v>0.33340352867097289</v>
      </c>
      <c r="AY6" s="66">
        <f t="shared" si="5"/>
        <v>0.39605908977730481</v>
      </c>
      <c r="AZ6" s="66">
        <f t="shared" si="5"/>
        <v>0.40348931983228942</v>
      </c>
      <c r="BA6" s="66">
        <f t="shared" si="5"/>
        <v>0.45522389684826231</v>
      </c>
      <c r="BB6" s="66">
        <f t="shared" si="5"/>
        <v>0.48462486147826678</v>
      </c>
      <c r="BC6" s="66">
        <f t="shared" si="5"/>
        <v>0.42253199934011976</v>
      </c>
      <c r="BD6" s="66">
        <f t="shared" si="5"/>
        <v>0.43986762948944313</v>
      </c>
      <c r="BE6" s="66">
        <f t="shared" si="5"/>
        <v>0.42123588689709812</v>
      </c>
      <c r="BF6" s="66">
        <f t="shared" si="5"/>
        <v>0.3793406743549565</v>
      </c>
      <c r="BG6" s="66">
        <f t="shared" si="5"/>
        <v>0.35321037668332206</v>
      </c>
      <c r="BH6" s="66">
        <f t="shared" si="5"/>
        <v>0.24160518784951035</v>
      </c>
      <c r="BI6" s="66">
        <f t="shared" si="5"/>
        <v>0.28633421184639024</v>
      </c>
      <c r="BJ6" s="66">
        <f t="shared" si="5"/>
        <v>0.336557611865345</v>
      </c>
      <c r="BK6" s="66">
        <f t="shared" si="5"/>
        <v>0.39252276633873384</v>
      </c>
      <c r="BL6" s="66">
        <f t="shared" si="5"/>
        <v>0.47440339094586487</v>
      </c>
      <c r="BM6" s="66">
        <f t="shared" si="5"/>
        <v>6.3722023418807033E-2</v>
      </c>
      <c r="BN6" s="66">
        <f t="shared" si="5"/>
        <v>0.41034865752366234</v>
      </c>
      <c r="BO6" s="66">
        <f t="shared" si="5"/>
        <v>-0.56116741696558259</v>
      </c>
      <c r="BP6" s="66">
        <f t="shared" si="5"/>
        <v>-0.7051963094619963</v>
      </c>
      <c r="BQ6" s="66">
        <f t="shared" si="5"/>
        <v>0.60906420993097243</v>
      </c>
      <c r="BR6" s="66" t="e">
        <f t="shared" ref="BR6:CJ6" si="6">(BR4-BV4)/BV4</f>
        <v>#DIV/0!</v>
      </c>
      <c r="BS6" s="66" t="e">
        <f t="shared" si="6"/>
        <v>#DIV/0!</v>
      </c>
      <c r="BT6" s="66" t="e">
        <f t="shared" si="6"/>
        <v>#DIV/0!</v>
      </c>
      <c r="BU6" s="66" t="e">
        <f t="shared" si="6"/>
        <v>#DIV/0!</v>
      </c>
      <c r="BV6" s="66" t="e">
        <f t="shared" si="6"/>
        <v>#DIV/0!</v>
      </c>
      <c r="BW6" s="66" t="e">
        <f t="shared" si="6"/>
        <v>#DIV/0!</v>
      </c>
      <c r="BX6" s="66" t="e">
        <f t="shared" si="6"/>
        <v>#DIV/0!</v>
      </c>
      <c r="BY6" s="66" t="e">
        <f t="shared" si="6"/>
        <v>#DIV/0!</v>
      </c>
      <c r="BZ6" s="66" t="e">
        <f t="shared" si="6"/>
        <v>#DIV/0!</v>
      </c>
      <c r="CA6" s="66" t="e">
        <f t="shared" si="6"/>
        <v>#DIV/0!</v>
      </c>
      <c r="CB6" s="66" t="e">
        <f t="shared" si="6"/>
        <v>#DIV/0!</v>
      </c>
      <c r="CC6" s="66" t="e">
        <f t="shared" si="6"/>
        <v>#DIV/0!</v>
      </c>
      <c r="CD6" s="66" t="e">
        <f t="shared" si="6"/>
        <v>#DIV/0!</v>
      </c>
      <c r="CE6" s="66" t="e">
        <f t="shared" si="6"/>
        <v>#DIV/0!</v>
      </c>
      <c r="CF6" s="66" t="e">
        <f t="shared" si="6"/>
        <v>#DIV/0!</v>
      </c>
      <c r="CG6" s="66" t="e">
        <f t="shared" si="6"/>
        <v>#DIV/0!</v>
      </c>
      <c r="CH6" s="66" t="e">
        <f t="shared" si="6"/>
        <v>#DIV/0!</v>
      </c>
      <c r="CI6" s="66" t="e">
        <f t="shared" si="6"/>
        <v>#DIV/0!</v>
      </c>
      <c r="CJ6" s="66" t="e">
        <f t="shared" si="6"/>
        <v>#DIV/0!</v>
      </c>
    </row>
    <row r="7" spans="1:89" s="27" customFormat="1" x14ac:dyDescent="0.25">
      <c r="A7" s="128" t="s">
        <v>355</v>
      </c>
      <c r="E7" s="27">
        <f>股权价值增加表!E6</f>
        <v>469795000000</v>
      </c>
      <c r="F7" s="27">
        <f>股权价值增加表!F6</f>
        <v>339399000000</v>
      </c>
      <c r="G7" s="27">
        <f>股权价值增加表!G6</f>
        <v>223235000000</v>
      </c>
      <c r="H7" s="27">
        <f>股权价值增加表!H6</f>
        <v>115867000000</v>
      </c>
      <c r="I7" s="27">
        <f>股权价值增加表!I6</f>
        <v>438746000000</v>
      </c>
      <c r="J7" s="27">
        <f>股权价值增加表!J6</f>
        <v>321737000000</v>
      </c>
      <c r="K7" s="27">
        <f>股权价值增加表!K6</f>
        <v>214027000000</v>
      </c>
      <c r="L7" s="27">
        <f>股权价值增加表!L6</f>
        <v>100501000000</v>
      </c>
      <c r="M7" s="27">
        <f>股权价值增加表!M6</f>
        <v>426112000000</v>
      </c>
      <c r="N7" s="27">
        <f>股权价值增加表!N6</f>
        <v>319781000000</v>
      </c>
      <c r="O7" s="27">
        <f>股权价值增加表!O6</f>
        <v>220629000000</v>
      </c>
      <c r="P7" s="27">
        <f>股权价值增加表!P6</f>
        <v>92960000000</v>
      </c>
      <c r="Q7" s="27">
        <f>股权价值增加表!Q6</f>
        <v>396897000000</v>
      </c>
      <c r="R7" s="27">
        <f>股权价值增加表!R6</f>
        <v>311919000000</v>
      </c>
      <c r="S7" s="27">
        <f>股权价值增加表!S6</f>
        <v>208123000000</v>
      </c>
      <c r="T7" s="27">
        <f>股权价值增加表!T6</f>
        <v>100725000000</v>
      </c>
      <c r="U7" s="27">
        <f>股权价值增加表!U6</f>
        <v>423270000000</v>
      </c>
      <c r="V7" s="27">
        <f>股权价值增加表!V6</f>
        <v>312487000000</v>
      </c>
      <c r="W7" s="27">
        <f>股权价值增加表!W6</f>
        <v>201694000000</v>
      </c>
      <c r="X7" s="27">
        <f>股权价值增加表!X6</f>
        <v>105516000000</v>
      </c>
      <c r="Y7" s="27">
        <f>股权价值增加表!Y6</f>
        <v>413810000000</v>
      </c>
      <c r="Z7" s="27">
        <f>股权价值增加表!Z6</f>
        <v>300055000000</v>
      </c>
      <c r="AA7" s="27">
        <f>股权价值增加表!AA6</f>
        <v>195641000000</v>
      </c>
      <c r="AB7" s="27">
        <f>股权价值增加表!AB6</f>
        <v>96567000000</v>
      </c>
      <c r="AC7" s="27">
        <f>股权价值增加表!AC6</f>
        <v>412484000000</v>
      </c>
      <c r="AD7" s="27">
        <f>股权价值增加表!AD6</f>
        <v>310776000000</v>
      </c>
      <c r="AE7" s="27">
        <f>股权价值增加表!AE6</f>
        <v>203397000000</v>
      </c>
      <c r="AF7" s="27">
        <f>股权价值增加表!AF6</f>
        <v>101496000000</v>
      </c>
      <c r="AG7" s="27">
        <f>股权价值增加表!AG6</f>
        <v>376051000000</v>
      </c>
      <c r="AH7" s="27">
        <f>股权价值增加表!AH6</f>
        <v>266298000000</v>
      </c>
      <c r="AI7" s="27">
        <f>股权价值增加表!AI6</f>
        <v>169491000000</v>
      </c>
      <c r="AJ7" s="27">
        <f>股权价值增加表!AJ6</f>
        <v>79830000000</v>
      </c>
      <c r="AK7" s="27">
        <f>股权价值增加表!AK6</f>
        <v>309237000000</v>
      </c>
      <c r="AL7" s="27">
        <f>股权价值增加表!AL6</f>
        <v>226335000000</v>
      </c>
      <c r="AM7" s="27">
        <f>股权价值增加表!AM6</f>
        <v>144700000000</v>
      </c>
      <c r="AN7" s="27">
        <f>股权价值增加表!AN6</f>
        <v>62141000000</v>
      </c>
      <c r="AO7" s="27">
        <f>股权价值增加表!AO6</f>
        <v>125318000000</v>
      </c>
      <c r="AP7" s="27">
        <f>股权价值增加表!AP6</f>
        <v>87368000000</v>
      </c>
      <c r="AQ7" s="27">
        <f>股权价值增加表!AQ6</f>
        <v>55105000000</v>
      </c>
      <c r="AR7" s="27">
        <f>股权价值增加表!AR6</f>
        <v>36500000000</v>
      </c>
      <c r="AS7" s="27">
        <f>股权价值增加表!AS6</f>
        <v>191882000000</v>
      </c>
      <c r="AT7" s="27">
        <f>股权价值增加表!AT6</f>
        <v>147581000000</v>
      </c>
      <c r="AU7" s="27">
        <f>股权价值增加表!AU6</f>
        <v>101725000000</v>
      </c>
      <c r="AV7" s="27">
        <f>股权价值增加表!AV6</f>
        <v>44732000000</v>
      </c>
      <c r="AW7" s="27">
        <f>股权价值增加表!AW6</f>
        <v>164550000000</v>
      </c>
      <c r="AX7" s="27">
        <f>股权价值增加表!AX6</f>
        <v>115700000000</v>
      </c>
      <c r="AY7" s="27">
        <f>股权价值增加表!AY6</f>
        <v>72690000000</v>
      </c>
      <c r="AZ7" s="27">
        <f>股权价值增加表!AZ6</f>
        <v>31562000000</v>
      </c>
      <c r="BA7" s="27">
        <f>股权价值增加表!BA6</f>
        <v>130866000000</v>
      </c>
      <c r="BB7" s="27">
        <f>股权价值增加表!BB6</f>
        <v>97376000000</v>
      </c>
      <c r="BC7" s="27">
        <f>股权价值增加表!BC6</f>
        <v>66067000000</v>
      </c>
      <c r="BD7" s="27">
        <f>股权价值增加表!BD6</f>
        <v>32853000000</v>
      </c>
      <c r="BE7" s="27">
        <f>股权价值增加表!BE6</f>
        <v>131425000000</v>
      </c>
      <c r="BF7" s="27">
        <f>股权价值增加表!BF6</f>
        <v>94641000000</v>
      </c>
      <c r="BG7" s="27">
        <f>股权价值增加表!BG6</f>
        <v>59611000000</v>
      </c>
      <c r="BH7" s="27">
        <f>股权价值增加表!BH6</f>
        <v>28907000000</v>
      </c>
      <c r="BI7" s="27">
        <f>股权价值增加表!BI6</f>
        <v>94087000000</v>
      </c>
      <c r="BJ7" s="27">
        <f>股权价值增加表!BJ6</f>
        <v>66453000000</v>
      </c>
      <c r="BK7" s="27">
        <f>股权价值增加表!BK6</f>
        <v>42539000000</v>
      </c>
      <c r="BL7" s="27">
        <f>股权价值增加表!BL6</f>
        <v>22341000000</v>
      </c>
      <c r="BM7" s="27">
        <f>股权价值增加表!BM6</f>
        <v>73002000000</v>
      </c>
      <c r="BN7" s="27">
        <f>股权价值增加表!BN6</f>
        <v>50950000000</v>
      </c>
      <c r="BO7" s="27">
        <f>股权价值增加表!BO6</f>
        <v>31256000000</v>
      </c>
      <c r="BP7" s="27">
        <f>股权价值增加表!BP6</f>
        <v>11328000000</v>
      </c>
      <c r="BQ7" s="27">
        <f>股权价值增加表!BQ6</f>
        <v>68212000000</v>
      </c>
      <c r="BR7" s="27">
        <f>股权价值增加表!BR6</f>
        <v>36066000000</v>
      </c>
      <c r="BS7" s="27">
        <f>股权价值增加表!BS6</f>
        <v>73698000000</v>
      </c>
      <c r="BT7" s="27">
        <f>股权价值增加表!BT6</f>
        <v>55788000000</v>
      </c>
      <c r="BU7" s="27">
        <f>股权价值增加表!BU6</f>
        <v>43467000000</v>
      </c>
      <c r="BV7" s="27">
        <f>股权价值增加表!BV6</f>
        <v>0</v>
      </c>
      <c r="BW7" s="27">
        <f>股权价值增加表!BW6</f>
        <v>0</v>
      </c>
      <c r="BX7" s="27">
        <f>股权价值增加表!BX6</f>
        <v>0</v>
      </c>
      <c r="BY7" s="27">
        <f>股权价值增加表!BY6</f>
        <v>0</v>
      </c>
      <c r="BZ7" s="27">
        <f>股权价值增加表!BZ6</f>
        <v>0</v>
      </c>
      <c r="CA7" s="27">
        <f>股权价值增加表!CA6</f>
        <v>0</v>
      </c>
      <c r="CB7" s="27">
        <f>股权价值增加表!CB6</f>
        <v>0</v>
      </c>
      <c r="CC7" s="27">
        <f>股权价值增加表!CC6</f>
        <v>0</v>
      </c>
      <c r="CD7" s="27">
        <f>股权价值增加表!CD6</f>
        <v>0</v>
      </c>
      <c r="CE7" s="27">
        <f>股权价值增加表!CE6</f>
        <v>0</v>
      </c>
      <c r="CF7" s="27">
        <f>股权价值增加表!CF6</f>
        <v>0</v>
      </c>
      <c r="CG7" s="27">
        <f>股权价值增加表!CG6</f>
        <v>0</v>
      </c>
      <c r="CH7" s="27">
        <f>股权价值增加表!CH6</f>
        <v>0</v>
      </c>
      <c r="CI7" s="27">
        <f>股权价值增加表!CI6</f>
        <v>0</v>
      </c>
      <c r="CJ7" s="27">
        <f>股权价值增加表!CJ6</f>
        <v>0</v>
      </c>
      <c r="CK7" s="27">
        <f>股权价值增加表!CK6</f>
        <v>0</v>
      </c>
    </row>
    <row r="8" spans="1:89" s="66" customFormat="1" x14ac:dyDescent="0.25">
      <c r="A8" s="46" t="s">
        <v>356</v>
      </c>
      <c r="E8" s="66">
        <f>E7/E2</f>
        <v>0.19904939977366257</v>
      </c>
      <c r="F8" s="66">
        <f t="shared" ref="F8:BQ8" si="7">F7/F2</f>
        <v>0.19450301010627782</v>
      </c>
      <c r="G8" s="66">
        <f t="shared" si="7"/>
        <v>0.19148045567261976</v>
      </c>
      <c r="H8" s="66">
        <f t="shared" si="7"/>
        <v>0.19902092977318206</v>
      </c>
      <c r="I8" s="66">
        <f t="shared" si="7"/>
        <v>0.22722228005330128</v>
      </c>
      <c r="J8" s="66">
        <f t="shared" si="7"/>
        <v>0.23588707755811267</v>
      </c>
      <c r="K8" s="66">
        <f t="shared" si="7"/>
        <v>0.24342826596301267</v>
      </c>
      <c r="L8" s="66">
        <f t="shared" si="7"/>
        <v>0.24287923826095362</v>
      </c>
      <c r="M8" s="66">
        <f t="shared" si="7"/>
        <v>0.2110632463594968</v>
      </c>
      <c r="N8" s="66">
        <f t="shared" si="7"/>
        <v>0.20807736929811033</v>
      </c>
      <c r="O8" s="66">
        <f t="shared" si="7"/>
        <v>0.21206945274817804</v>
      </c>
      <c r="P8" s="66">
        <f t="shared" si="7"/>
        <v>0.19437898465418063</v>
      </c>
      <c r="Q8" s="66">
        <f t="shared" si="7"/>
        <v>0.14044907240630819</v>
      </c>
      <c r="R8" s="66">
        <f t="shared" si="7"/>
        <v>0.14743426127597786</v>
      </c>
      <c r="S8" s="66">
        <f t="shared" si="7"/>
        <v>0.15346357246720918</v>
      </c>
      <c r="T8" s="66">
        <f t="shared" si="7"/>
        <v>0.15712135274894121</v>
      </c>
      <c r="U8" s="66">
        <f t="shared" si="7"/>
        <v>0.14695288112985022</v>
      </c>
      <c r="V8" s="66">
        <f t="shared" si="7"/>
        <v>0.14602714862770827</v>
      </c>
      <c r="W8" s="66">
        <f t="shared" si="7"/>
        <v>0.14251535424280196</v>
      </c>
      <c r="X8" s="66">
        <f t="shared" si="7"/>
        <v>0.15169695113798592</v>
      </c>
      <c r="Y8" s="66">
        <f t="shared" si="7"/>
        <v>0.14852954636411114</v>
      </c>
      <c r="Z8" s="66">
        <f t="shared" si="7"/>
        <v>0.1481924331009114</v>
      </c>
      <c r="AA8" s="66">
        <f t="shared" si="7"/>
        <v>0.14512652143208968</v>
      </c>
      <c r="AB8" s="66">
        <f t="shared" si="7"/>
        <v>0.14383681008095447</v>
      </c>
      <c r="AC8" s="66">
        <f t="shared" si="7"/>
        <v>0.16461938720899652</v>
      </c>
      <c r="AD8" s="66">
        <f t="shared" si="7"/>
        <v>0.16573818384279895</v>
      </c>
      <c r="AE8" s="66">
        <f t="shared" si="7"/>
        <v>0.16492468814665379</v>
      </c>
      <c r="AF8" s="66">
        <f t="shared" si="7"/>
        <v>0.17236542230343624</v>
      </c>
      <c r="AG8" s="66">
        <f t="shared" si="7"/>
        <v>0.19655788105888514</v>
      </c>
      <c r="AH8" s="66">
        <f t="shared" si="7"/>
        <v>0.18653256954572009</v>
      </c>
      <c r="AI8" s="66">
        <f t="shared" si="7"/>
        <v>0.18097900425296548</v>
      </c>
      <c r="AJ8" s="66">
        <f t="shared" si="7"/>
        <v>0.18217334650817305</v>
      </c>
      <c r="AK8" s="66">
        <f t="shared" si="7"/>
        <v>0.22990709652861005</v>
      </c>
      <c r="AL8" s="66">
        <f t="shared" si="7"/>
        <v>0.25332755795524753</v>
      </c>
      <c r="AM8" s="66">
        <f t="shared" si="7"/>
        <v>0.27096109732690415</v>
      </c>
      <c r="AN8" s="66">
        <f t="shared" si="7"/>
        <v>0.27185073386267689</v>
      </c>
      <c r="AO8" s="66">
        <f t="shared" si="7"/>
        <v>8.6301159492349358E-2</v>
      </c>
      <c r="AP8" s="66">
        <f t="shared" si="7"/>
        <v>7.6144525390950124E-2</v>
      </c>
      <c r="AQ8" s="66">
        <f t="shared" si="7"/>
        <v>7.499493047607253E-2</v>
      </c>
      <c r="AR8" s="66">
        <f t="shared" si="7"/>
        <v>0.10993644769735851</v>
      </c>
      <c r="AS8" s="66">
        <f t="shared" si="7"/>
        <v>0.15925892419178267</v>
      </c>
      <c r="AT8" s="66">
        <f t="shared" si="7"/>
        <v>0.1686219890358745</v>
      </c>
      <c r="AU8" s="66">
        <f t="shared" si="7"/>
        <v>0.17946297831801422</v>
      </c>
      <c r="AV8" s="66">
        <f t="shared" si="7"/>
        <v>0.16387508975542561</v>
      </c>
      <c r="AW8" s="66">
        <f t="shared" si="7"/>
        <v>0.15752757809605591</v>
      </c>
      <c r="AX8" s="66">
        <f t="shared" si="7"/>
        <v>0.15320059479435766</v>
      </c>
      <c r="AY8" s="66">
        <f t="shared" si="7"/>
        <v>0.15081288330829815</v>
      </c>
      <c r="AZ8" s="66">
        <f t="shared" si="7"/>
        <v>0.14172492916447763</v>
      </c>
      <c r="BA8" s="66">
        <f t="shared" si="7"/>
        <v>0.16376366355280528</v>
      </c>
      <c r="BB8" s="66">
        <f t="shared" si="7"/>
        <v>0.16876548986984177</v>
      </c>
      <c r="BC8" s="66">
        <f t="shared" si="7"/>
        <v>0.18390359862824568</v>
      </c>
      <c r="BD8" s="66">
        <f t="shared" si="7"/>
        <v>0.19435044959772835</v>
      </c>
      <c r="BE8" s="66">
        <f t="shared" si="7"/>
        <v>0.22251588129325875</v>
      </c>
      <c r="BF8" s="66">
        <f t="shared" si="7"/>
        <v>0.22657920252816049</v>
      </c>
      <c r="BG8" s="66">
        <f t="shared" si="7"/>
        <v>0.2243469359336718</v>
      </c>
      <c r="BH8" s="66">
        <f t="shared" si="7"/>
        <v>0.2340837314762329</v>
      </c>
      <c r="BI8" s="66">
        <f t="shared" si="7"/>
        <v>0.22552499934082951</v>
      </c>
      <c r="BJ8" s="66">
        <f t="shared" si="7"/>
        <v>0.22102227750763315</v>
      </c>
      <c r="BK8" s="66">
        <f t="shared" si="7"/>
        <v>0.21832561767996633</v>
      </c>
      <c r="BL8" s="66">
        <f t="shared" si="7"/>
        <v>0.22676844060536547</v>
      </c>
      <c r="BM8" s="66">
        <f t="shared" si="7"/>
        <v>0.22518693087876021</v>
      </c>
      <c r="BN8" s="66">
        <f t="shared" si="7"/>
        <v>0.22526007701728246</v>
      </c>
      <c r="BO8" s="66">
        <f t="shared" si="7"/>
        <v>0.22226014733907898</v>
      </c>
      <c r="BP8" s="66">
        <f t="shared" si="7"/>
        <v>0.17982379553932851</v>
      </c>
      <c r="BQ8" s="66">
        <f t="shared" si="7"/>
        <v>0.22412575119846753</v>
      </c>
      <c r="BR8" s="66">
        <f t="shared" ref="BR8:CJ8" si="8">BR7/BR2</f>
        <v>0.22497099442344398</v>
      </c>
      <c r="BS8" s="66">
        <f t="shared" si="8"/>
        <v>0.22821522797369106</v>
      </c>
      <c r="BT8" s="66">
        <f t="shared" si="8"/>
        <v>0.24145736581734453</v>
      </c>
      <c r="BU8" s="66">
        <f t="shared" si="8"/>
        <v>0.2285090947324151</v>
      </c>
      <c r="BV8" s="66" t="e">
        <f t="shared" si="8"/>
        <v>#DIV/0!</v>
      </c>
      <c r="BW8" s="66" t="e">
        <f t="shared" si="8"/>
        <v>#DIV/0!</v>
      </c>
      <c r="BX8" s="66" t="e">
        <f t="shared" si="8"/>
        <v>#DIV/0!</v>
      </c>
      <c r="BY8" s="66" t="e">
        <f t="shared" si="8"/>
        <v>#DIV/0!</v>
      </c>
      <c r="BZ8" s="66" t="e">
        <f t="shared" si="8"/>
        <v>#DIV/0!</v>
      </c>
      <c r="CA8" s="66" t="e">
        <f t="shared" si="8"/>
        <v>#DIV/0!</v>
      </c>
      <c r="CB8" s="66" t="e">
        <f t="shared" si="8"/>
        <v>#DIV/0!</v>
      </c>
      <c r="CC8" s="66" t="e">
        <f t="shared" si="8"/>
        <v>#DIV/0!</v>
      </c>
      <c r="CD8" s="66" t="e">
        <f t="shared" si="8"/>
        <v>#DIV/0!</v>
      </c>
      <c r="CE8" s="66" t="e">
        <f t="shared" si="8"/>
        <v>#DIV/0!</v>
      </c>
      <c r="CF8" s="66" t="e">
        <f t="shared" si="8"/>
        <v>#DIV/0!</v>
      </c>
      <c r="CG8" s="66" t="e">
        <f t="shared" si="8"/>
        <v>#DIV/0!</v>
      </c>
      <c r="CH8" s="66" t="e">
        <f t="shared" si="8"/>
        <v>#DIV/0!</v>
      </c>
      <c r="CI8" s="66" t="e">
        <f t="shared" si="8"/>
        <v>#DIV/0!</v>
      </c>
      <c r="CJ8" s="66" t="e">
        <f t="shared" si="8"/>
        <v>#DIV/0!</v>
      </c>
    </row>
    <row r="9" spans="1:89" s="66" customFormat="1" x14ac:dyDescent="0.25">
      <c r="A9" s="46" t="s">
        <v>357</v>
      </c>
      <c r="E9" s="66">
        <f>(E7-I7)/I7</f>
        <v>7.076759674162271E-2</v>
      </c>
      <c r="F9" s="66">
        <f t="shared" ref="F9:BQ9" si="9">(F7-J7)/J7</f>
        <v>5.489576890441572E-2</v>
      </c>
      <c r="G9" s="66">
        <f t="shared" si="9"/>
        <v>4.3022609296957857E-2</v>
      </c>
      <c r="H9" s="66">
        <f t="shared" si="9"/>
        <v>0.15289400105471587</v>
      </c>
      <c r="I9" s="66">
        <f t="shared" si="9"/>
        <v>2.9649481826374287E-2</v>
      </c>
      <c r="J9" s="66">
        <f t="shared" si="9"/>
        <v>6.1166861070545151E-3</v>
      </c>
      <c r="K9" s="66">
        <f t="shared" si="9"/>
        <v>-2.992353679706657E-2</v>
      </c>
      <c r="L9" s="66">
        <f t="shared" si="9"/>
        <v>8.1120912220309815E-2</v>
      </c>
      <c r="M9" s="66">
        <f t="shared" si="9"/>
        <v>7.360851807899782E-2</v>
      </c>
      <c r="N9" s="66">
        <f t="shared" si="9"/>
        <v>2.5205261622408381E-2</v>
      </c>
      <c r="O9" s="66">
        <f t="shared" si="9"/>
        <v>6.0089466325201922E-2</v>
      </c>
      <c r="P9" s="66">
        <f t="shared" si="9"/>
        <v>-7.7091089600397122E-2</v>
      </c>
      <c r="Q9" s="66">
        <f t="shared" si="9"/>
        <v>-6.2307746828265648E-2</v>
      </c>
      <c r="R9" s="66">
        <f t="shared" si="9"/>
        <v>-1.8176756153055968E-3</v>
      </c>
      <c r="S9" s="66">
        <f t="shared" si="9"/>
        <v>3.1875018592521343E-2</v>
      </c>
      <c r="T9" s="66">
        <f t="shared" si="9"/>
        <v>-4.5405436142385992E-2</v>
      </c>
      <c r="U9" s="66">
        <f t="shared" si="9"/>
        <v>2.2860733186728207E-2</v>
      </c>
      <c r="V9" s="66">
        <f t="shared" si="9"/>
        <v>4.1432404059255801E-2</v>
      </c>
      <c r="W9" s="66">
        <f t="shared" si="9"/>
        <v>3.0939322534642533E-2</v>
      </c>
      <c r="X9" s="66">
        <f t="shared" si="9"/>
        <v>9.2671409487713199E-2</v>
      </c>
      <c r="Y9" s="66">
        <f t="shared" si="9"/>
        <v>3.2146701447813733E-3</v>
      </c>
      <c r="Z9" s="66">
        <f t="shared" si="9"/>
        <v>-3.4497515895693359E-2</v>
      </c>
      <c r="AA9" s="66">
        <f t="shared" si="9"/>
        <v>-3.8132322502298463E-2</v>
      </c>
      <c r="AB9" s="66">
        <f t="shared" si="9"/>
        <v>-4.8563490186805391E-2</v>
      </c>
      <c r="AC9" s="66">
        <f t="shared" si="9"/>
        <v>9.688313553214857E-2</v>
      </c>
      <c r="AD9" s="66">
        <f t="shared" si="9"/>
        <v>0.16702340986413716</v>
      </c>
      <c r="AE9" s="66">
        <f t="shared" si="9"/>
        <v>0.20004602014266243</v>
      </c>
      <c r="AF9" s="66">
        <f t="shared" si="9"/>
        <v>0.27140172867343104</v>
      </c>
      <c r="AG9" s="66">
        <f t="shared" si="9"/>
        <v>0.21606082066505625</v>
      </c>
      <c r="AH9" s="66">
        <f t="shared" si="9"/>
        <v>0.17656571011995492</v>
      </c>
      <c r="AI9" s="66">
        <f t="shared" si="9"/>
        <v>0.17132688320663442</v>
      </c>
      <c r="AJ9" s="66">
        <f t="shared" si="9"/>
        <v>0.28465908176566196</v>
      </c>
      <c r="AK9" s="66">
        <f t="shared" si="9"/>
        <v>1.4676183788442203</v>
      </c>
      <c r="AL9" s="66">
        <f t="shared" si="9"/>
        <v>1.5905938100906512</v>
      </c>
      <c r="AM9" s="66">
        <f t="shared" si="9"/>
        <v>1.6258960166953997</v>
      </c>
      <c r="AN9" s="66">
        <f t="shared" si="9"/>
        <v>0.70249315068493146</v>
      </c>
      <c r="AO9" s="66">
        <f t="shared" si="9"/>
        <v>-0.34690069938816565</v>
      </c>
      <c r="AP9" s="66">
        <f t="shared" si="9"/>
        <v>-0.40799967475488036</v>
      </c>
      <c r="AQ9" s="66">
        <f t="shared" si="9"/>
        <v>-0.45829442123371839</v>
      </c>
      <c r="AR9" s="66">
        <f t="shared" si="9"/>
        <v>-0.18402933023338996</v>
      </c>
      <c r="AS9" s="66">
        <f t="shared" si="9"/>
        <v>0.16610148890914617</v>
      </c>
      <c r="AT9" s="66">
        <f t="shared" si="9"/>
        <v>0.27554883318928264</v>
      </c>
      <c r="AU9" s="66">
        <f t="shared" si="9"/>
        <v>0.39943596092997663</v>
      </c>
      <c r="AV9" s="66">
        <f t="shared" si="9"/>
        <v>0.41727393701286358</v>
      </c>
      <c r="AW9" s="66">
        <f t="shared" si="9"/>
        <v>0.25739305854843886</v>
      </c>
      <c r="AX9" s="66">
        <f t="shared" si="9"/>
        <v>0.18817778508051264</v>
      </c>
      <c r="AY9" s="66">
        <f t="shared" si="9"/>
        <v>0.10024671923955984</v>
      </c>
      <c r="AZ9" s="66">
        <f t="shared" si="9"/>
        <v>-3.9296259093537879E-2</v>
      </c>
      <c r="BA9" s="66">
        <f t="shared" si="9"/>
        <v>-4.2533764504470231E-3</v>
      </c>
      <c r="BB9" s="66">
        <f t="shared" si="9"/>
        <v>2.889868027599032E-2</v>
      </c>
      <c r="BC9" s="66">
        <f t="shared" si="9"/>
        <v>0.10830215899750047</v>
      </c>
      <c r="BD9" s="66">
        <f t="shared" si="9"/>
        <v>0.13650672847407203</v>
      </c>
      <c r="BE9" s="66">
        <f t="shared" si="9"/>
        <v>0.39684547280708282</v>
      </c>
      <c r="BF9" s="66">
        <f t="shared" si="9"/>
        <v>0.42417949528238003</v>
      </c>
      <c r="BG9" s="66">
        <f t="shared" si="9"/>
        <v>0.40132584216836314</v>
      </c>
      <c r="BH9" s="66">
        <f t="shared" si="9"/>
        <v>0.29389910926099994</v>
      </c>
      <c r="BI9" s="66">
        <f t="shared" si="9"/>
        <v>0.28882770335059316</v>
      </c>
      <c r="BJ9" s="66">
        <f t="shared" si="9"/>
        <v>0.30427870461236506</v>
      </c>
      <c r="BK9" s="66">
        <f t="shared" si="9"/>
        <v>0.36098669055541338</v>
      </c>
      <c r="BL9" s="66">
        <f t="shared" si="9"/>
        <v>0.97219279661016944</v>
      </c>
      <c r="BM9" s="66">
        <f t="shared" si="9"/>
        <v>7.0222248284759287E-2</v>
      </c>
      <c r="BN9" s="66">
        <f t="shared" si="9"/>
        <v>0.41268785005268122</v>
      </c>
      <c r="BO9" s="66">
        <f t="shared" si="9"/>
        <v>-0.57589079757931017</v>
      </c>
      <c r="BP9" s="66">
        <f t="shared" si="9"/>
        <v>-0.79694557969455793</v>
      </c>
      <c r="BQ9" s="66">
        <f t="shared" si="9"/>
        <v>0.56928244415303564</v>
      </c>
      <c r="BR9" s="66" t="e">
        <f t="shared" ref="BR9:CK9" si="10">(BR7-BV7)/BV7</f>
        <v>#DIV/0!</v>
      </c>
      <c r="BS9" s="66" t="e">
        <f t="shared" si="10"/>
        <v>#DIV/0!</v>
      </c>
      <c r="BT9" s="66" t="e">
        <f t="shared" si="10"/>
        <v>#DIV/0!</v>
      </c>
      <c r="BU9" s="66" t="e">
        <f t="shared" si="10"/>
        <v>#DIV/0!</v>
      </c>
      <c r="BV9" s="66" t="e">
        <f t="shared" si="10"/>
        <v>#DIV/0!</v>
      </c>
      <c r="BW9" s="66" t="e">
        <f t="shared" si="10"/>
        <v>#DIV/0!</v>
      </c>
      <c r="BX9" s="66" t="e">
        <f t="shared" si="10"/>
        <v>#DIV/0!</v>
      </c>
      <c r="BY9" s="66" t="e">
        <f t="shared" si="10"/>
        <v>#DIV/0!</v>
      </c>
      <c r="BZ9" s="66" t="e">
        <f t="shared" si="10"/>
        <v>#DIV/0!</v>
      </c>
      <c r="CA9" s="66" t="e">
        <f t="shared" si="10"/>
        <v>#DIV/0!</v>
      </c>
      <c r="CB9" s="66" t="e">
        <f t="shared" si="10"/>
        <v>#DIV/0!</v>
      </c>
      <c r="CC9" s="66" t="e">
        <f t="shared" si="10"/>
        <v>#DIV/0!</v>
      </c>
      <c r="CD9" s="66" t="e">
        <f t="shared" si="10"/>
        <v>#DIV/0!</v>
      </c>
      <c r="CE9" s="66" t="e">
        <f t="shared" si="10"/>
        <v>#DIV/0!</v>
      </c>
      <c r="CF9" s="66" t="e">
        <f t="shared" si="10"/>
        <v>#DIV/0!</v>
      </c>
      <c r="CG9" s="66" t="e">
        <f t="shared" si="10"/>
        <v>#DIV/0!</v>
      </c>
      <c r="CH9" s="66" t="e">
        <f t="shared" si="10"/>
        <v>#DIV/0!</v>
      </c>
      <c r="CI9" s="66" t="e">
        <f t="shared" si="10"/>
        <v>#DIV/0!</v>
      </c>
      <c r="CJ9" s="66" t="e">
        <f t="shared" si="10"/>
        <v>#DIV/0!</v>
      </c>
      <c r="CK9" s="66" t="e">
        <f t="shared" si="10"/>
        <v>#DIV/0!</v>
      </c>
    </row>
    <row r="10" spans="1:89" s="27" customFormat="1" x14ac:dyDescent="0.25">
      <c r="A10" s="128" t="s">
        <v>358</v>
      </c>
      <c r="E10" s="27">
        <f>股权价值增加表!E8</f>
        <v>235292000000</v>
      </c>
      <c r="F10" s="27">
        <f>股权价值增加表!F8</f>
        <v>176329000000</v>
      </c>
      <c r="G10" s="27">
        <f>股权价值增加表!G8</f>
        <v>116297000000</v>
      </c>
      <c r="H10" s="27">
        <f>股权价值增加表!H8</f>
        <v>58169000000</v>
      </c>
      <c r="I10" s="27">
        <f>股权价值增加表!I8</f>
        <v>232006000000</v>
      </c>
      <c r="J10" s="27">
        <f>股权价值增加表!J8</f>
        <v>171073000000</v>
      </c>
      <c r="K10" s="27">
        <f>股权价值增加表!K8</f>
        <v>112831000000</v>
      </c>
      <c r="L10" s="27">
        <f>股权价值增加表!L8</f>
        <v>55099000000</v>
      </c>
      <c r="M10" s="27">
        <f>股权价值增加表!M8</f>
        <v>236343000000</v>
      </c>
      <c r="N10" s="27">
        <f>股权价值增加表!N8</f>
        <v>179260000000</v>
      </c>
      <c r="O10" s="27">
        <f>股权价值增加表!O8</f>
        <v>119886000000</v>
      </c>
      <c r="P10" s="27">
        <f>股权价值增加表!P8</f>
        <v>58830000000</v>
      </c>
      <c r="Q10" s="27">
        <f>股权价值增加表!Q8</f>
        <v>191202000000</v>
      </c>
      <c r="R10" s="27">
        <f>股权价值增加表!R8</f>
        <v>141950000000</v>
      </c>
      <c r="S10" s="27">
        <f>股权价值增加表!S8</f>
        <v>93767000000</v>
      </c>
      <c r="T10" s="27">
        <f>股权价值增加表!T8</f>
        <v>46136000000</v>
      </c>
      <c r="U10" s="27">
        <f>股权价值增加表!U8</f>
        <v>190672000000</v>
      </c>
      <c r="V10" s="27">
        <f>股权价值增加表!V8</f>
        <v>142398000000</v>
      </c>
      <c r="W10" s="27">
        <f>股权价值增加表!W8</f>
        <v>94451000000</v>
      </c>
      <c r="X10" s="27">
        <f>股权价值增加表!X8</f>
        <v>48022000000</v>
      </c>
      <c r="Y10" s="27">
        <f>股权价值增加表!Y8</f>
        <v>188483000000</v>
      </c>
      <c r="Z10" s="27">
        <f>股权价值增加表!Z8</f>
        <v>140560000000</v>
      </c>
      <c r="AA10" s="27">
        <f>股权价值增加表!AA8</f>
        <v>95267000000</v>
      </c>
      <c r="AB10" s="27">
        <f>股权价值增加表!AB8</f>
        <v>47415000000</v>
      </c>
      <c r="AC10" s="27">
        <f>股权价值增加表!AC8</f>
        <v>189949000000</v>
      </c>
      <c r="AD10" s="27">
        <f>股权价值增加表!AD8</f>
        <v>141982000000</v>
      </c>
      <c r="AE10" s="27">
        <f>股权价值增加表!AE8</f>
        <v>93285000000</v>
      </c>
      <c r="AF10" s="27">
        <f>股权价值增加表!AF8</f>
        <v>43937000000</v>
      </c>
      <c r="AG10" s="27">
        <f>股权价值增加表!AG8</f>
        <v>157189000000</v>
      </c>
      <c r="AH10" s="27">
        <f>股权价值增加表!AH8</f>
        <v>115089000000</v>
      </c>
      <c r="AI10" s="27">
        <f>股权价值增加表!AI8</f>
        <v>75410000000</v>
      </c>
      <c r="AJ10" s="27">
        <f>股权价值增加表!AJ8</f>
        <v>36291000000</v>
      </c>
      <c r="AK10" s="27">
        <f>股权价值增加表!AK8</f>
        <v>132884000000</v>
      </c>
      <c r="AL10" s="27">
        <f>股权价值增加表!AL8</f>
        <v>96911000000</v>
      </c>
      <c r="AM10" s="27">
        <f>股权价值增加表!AM8</f>
        <v>61518000000</v>
      </c>
      <c r="AN10" s="27">
        <f>股权价值增加表!AN8</f>
        <v>28358000000</v>
      </c>
      <c r="AO10" s="27">
        <f>股权价值增加表!AO8</f>
        <v>56799000000</v>
      </c>
      <c r="AP10" s="27">
        <f>股权价值增加表!AP8</f>
        <v>47161000000</v>
      </c>
      <c r="AQ10" s="27">
        <f>股权价值增加表!AQ8</f>
        <v>28451000000</v>
      </c>
      <c r="AR10" s="27">
        <f>股权价值增加表!AR8</f>
        <v>13737000000</v>
      </c>
      <c r="AS10" s="27">
        <f>股权价值增加表!AS8</f>
        <v>34304000000</v>
      </c>
      <c r="AT10" s="27">
        <f>股权价值增加表!AT8</f>
        <v>23014000000</v>
      </c>
      <c r="AU10" s="27">
        <f>股权价值增加表!AU8</f>
        <v>14144000000</v>
      </c>
      <c r="AV10" s="27">
        <f>股权价值增加表!AV8</f>
        <v>6313000000</v>
      </c>
      <c r="AW10" s="27">
        <f>股权价值增加表!AW8</f>
        <v>28286000000</v>
      </c>
      <c r="AX10" s="27">
        <f>股权价值增加表!AX8</f>
        <v>21733000000</v>
      </c>
      <c r="AY10" s="27">
        <f>股权价值增加表!AY8</f>
        <v>12918000000</v>
      </c>
      <c r="AZ10" s="27">
        <f>股权价值增加表!AZ8</f>
        <v>4419000000</v>
      </c>
      <c r="BA10" s="27">
        <f>股权价值增加表!BA8</f>
        <v>17152000000</v>
      </c>
      <c r="BB10" s="27">
        <f>股权价值增加表!BB8</f>
        <v>12709000000</v>
      </c>
      <c r="BC10" s="27">
        <f>股权价值增加表!BC8</f>
        <v>8204000000</v>
      </c>
      <c r="BD10" s="27">
        <f>股权价值增加表!BD8</f>
        <v>4207000000</v>
      </c>
      <c r="BE10" s="27">
        <f>股权价值增加表!BE8</f>
        <v>16203000000</v>
      </c>
      <c r="BF10" s="27">
        <f>股权价值增加表!BF8</f>
        <v>11998000000</v>
      </c>
      <c r="BG10" s="27">
        <f>股权价值增加表!BG8</f>
        <v>7776000000</v>
      </c>
      <c r="BH10" s="27">
        <f>股权价值增加表!BH8</f>
        <v>3835000000</v>
      </c>
      <c r="BI10" s="27">
        <f>股权价值增加表!BI8</f>
        <v>13371000000</v>
      </c>
      <c r="BJ10" s="27">
        <f>股权价值增加表!BJ8</f>
        <v>9552000000</v>
      </c>
      <c r="BK10" s="27">
        <f>股权价值增加表!BK8</f>
        <v>6141000000</v>
      </c>
      <c r="BL10" s="27">
        <f>股权价值增加表!BL8</f>
        <v>3161000000</v>
      </c>
      <c r="BM10" s="27">
        <f>股权价值增加表!BM8</f>
        <v>11852000000</v>
      </c>
      <c r="BN10" s="27">
        <f>股权价值增加表!BN8</f>
        <v>8699000000</v>
      </c>
      <c r="BO10" s="27">
        <f>股权价值增加表!BO8</f>
        <v>5776000000</v>
      </c>
      <c r="BP10" s="27">
        <f>股权价值增加表!BP8</f>
        <v>2697000000</v>
      </c>
      <c r="BQ10" s="27">
        <f>股权价值增加表!BQ8</f>
        <v>11863000000</v>
      </c>
      <c r="BR10" s="27">
        <f>股权价值增加表!BR8</f>
        <v>5926000000</v>
      </c>
      <c r="BS10" s="27">
        <f>股权价值增加表!BS8</f>
        <v>12101000000</v>
      </c>
      <c r="BT10" s="27">
        <f>股权价值增加表!BT8</f>
        <v>9381000000</v>
      </c>
      <c r="BU10" s="27">
        <f>股权价值增加表!BU8</f>
        <v>8545000000</v>
      </c>
      <c r="BV10" s="27">
        <f>股权价值增加表!BV8</f>
        <v>0</v>
      </c>
      <c r="BW10" s="27">
        <f>股权价值增加表!BW8</f>
        <v>0</v>
      </c>
      <c r="BX10" s="27">
        <f>股权价值增加表!BX8</f>
        <v>0</v>
      </c>
      <c r="BY10" s="27">
        <f>股权价值增加表!BY8</f>
        <v>0</v>
      </c>
      <c r="BZ10" s="27">
        <f>股权价值增加表!BZ8</f>
        <v>0</v>
      </c>
      <c r="CA10" s="27">
        <f>股权价值增加表!CA8</f>
        <v>0</v>
      </c>
      <c r="CB10" s="27">
        <f>股权价值增加表!CB8</f>
        <v>0</v>
      </c>
      <c r="CC10" s="27">
        <f>股权价值增加表!CC8</f>
        <v>0</v>
      </c>
      <c r="CD10" s="27">
        <f>股权价值增加表!CD8</f>
        <v>0</v>
      </c>
      <c r="CE10" s="27">
        <f>股权价值增加表!CE8</f>
        <v>0</v>
      </c>
      <c r="CF10" s="27">
        <f>股权价值增加表!CF8</f>
        <v>0</v>
      </c>
      <c r="CG10" s="27">
        <f>股权价值增加表!CG8</f>
        <v>0</v>
      </c>
      <c r="CH10" s="27">
        <f>股权价值增加表!CH8</f>
        <v>0</v>
      </c>
      <c r="CI10" s="27">
        <f>股权价值增加表!CI8</f>
        <v>0</v>
      </c>
      <c r="CJ10" s="27">
        <f>股权价值增加表!CJ8</f>
        <v>0</v>
      </c>
    </row>
    <row r="11" spans="1:89" s="57" customFormat="1" x14ac:dyDescent="0.25">
      <c r="A11" s="20" t="s">
        <v>359</v>
      </c>
      <c r="E11" s="57">
        <f>E10/E2</f>
        <v>9.9691847234527009E-2</v>
      </c>
      <c r="F11" s="57">
        <f t="shared" ref="F11:BQ11" si="11">F10/F2</f>
        <v>0.10105074342891364</v>
      </c>
      <c r="G11" s="57">
        <f t="shared" si="11"/>
        <v>9.9754082260213053E-2</v>
      </c>
      <c r="H11" s="57">
        <f t="shared" si="11"/>
        <v>9.9914975480302648E-2</v>
      </c>
      <c r="I11" s="57">
        <f t="shared" si="11"/>
        <v>0.1201536476823634</v>
      </c>
      <c r="J11" s="57">
        <f t="shared" si="11"/>
        <v>0.12542514544208161</v>
      </c>
      <c r="K11" s="57">
        <f t="shared" si="11"/>
        <v>0.12833079320306637</v>
      </c>
      <c r="L11" s="57">
        <f t="shared" si="11"/>
        <v>0.13315691534353175</v>
      </c>
      <c r="M11" s="57">
        <f t="shared" si="11"/>
        <v>0.1170662192905681</v>
      </c>
      <c r="N11" s="57">
        <f t="shared" si="11"/>
        <v>0.11664216829761387</v>
      </c>
      <c r="O11" s="57">
        <f t="shared" si="11"/>
        <v>0.11523488939426853</v>
      </c>
      <c r="P11" s="57">
        <f t="shared" si="11"/>
        <v>0.12301329246133226</v>
      </c>
      <c r="Q11" s="57">
        <f t="shared" si="11"/>
        <v>6.7660233113958884E-2</v>
      </c>
      <c r="R11" s="57">
        <f t="shared" si="11"/>
        <v>6.7095282391021568E-2</v>
      </c>
      <c r="S11" s="57">
        <f t="shared" si="11"/>
        <v>6.9140934925658398E-2</v>
      </c>
      <c r="T11" s="57">
        <f t="shared" si="11"/>
        <v>7.1967741180691505E-2</v>
      </c>
      <c r="U11" s="57">
        <f t="shared" si="11"/>
        <v>6.6198407047016794E-2</v>
      </c>
      <c r="V11" s="57">
        <f t="shared" si="11"/>
        <v>6.6543484721887314E-2</v>
      </c>
      <c r="W11" s="57">
        <f t="shared" si="11"/>
        <v>6.6738315089129502E-2</v>
      </c>
      <c r="X11" s="57">
        <f t="shared" si="11"/>
        <v>6.9039681067784603E-2</v>
      </c>
      <c r="Y11" s="57">
        <f t="shared" si="11"/>
        <v>6.7652532532676252E-2</v>
      </c>
      <c r="Z11" s="57">
        <f t="shared" si="11"/>
        <v>6.9420367588155868E-2</v>
      </c>
      <c r="AA11" s="57">
        <f t="shared" si="11"/>
        <v>7.0669074055391704E-2</v>
      </c>
      <c r="AB11" s="57">
        <f t="shared" si="11"/>
        <v>7.0624771919894538E-2</v>
      </c>
      <c r="AC11" s="57">
        <f t="shared" si="11"/>
        <v>7.5807274902691207E-2</v>
      </c>
      <c r="AD11" s="57">
        <f t="shared" si="11"/>
        <v>7.5719614186321602E-2</v>
      </c>
      <c r="AE11" s="57">
        <f t="shared" si="11"/>
        <v>7.5640248055578979E-2</v>
      </c>
      <c r="AF11" s="57">
        <f t="shared" si="11"/>
        <v>7.4615941118330559E-2</v>
      </c>
      <c r="AG11" s="57">
        <f t="shared" si="11"/>
        <v>8.2161028067376754E-2</v>
      </c>
      <c r="AH11" s="57">
        <f t="shared" si="11"/>
        <v>8.0615877312061601E-2</v>
      </c>
      <c r="AI11" s="57">
        <f t="shared" si="11"/>
        <v>8.0521247209091498E-2</v>
      </c>
      <c r="AJ11" s="57">
        <f t="shared" si="11"/>
        <v>8.2816646851160067E-2</v>
      </c>
      <c r="AK11" s="57">
        <f t="shared" si="11"/>
        <v>9.8794693439361453E-2</v>
      </c>
      <c r="AL11" s="57">
        <f t="shared" si="11"/>
        <v>0.10846853985906287</v>
      </c>
      <c r="AM11" s="57">
        <f t="shared" si="11"/>
        <v>0.11519685407986517</v>
      </c>
      <c r="AN11" s="57">
        <f t="shared" si="11"/>
        <v>0.12405888400376228</v>
      </c>
      <c r="AO11" s="57">
        <f t="shared" si="11"/>
        <v>3.9115047782488963E-2</v>
      </c>
      <c r="AP11" s="57">
        <f t="shared" si="11"/>
        <v>4.110260005909027E-2</v>
      </c>
      <c r="AQ11" s="57">
        <f t="shared" si="11"/>
        <v>3.8720275237723249E-2</v>
      </c>
      <c r="AR11" s="57">
        <f t="shared" si="11"/>
        <v>4.1375259781331886E-2</v>
      </c>
      <c r="AS11" s="57">
        <f t="shared" si="11"/>
        <v>2.8471759391057588E-2</v>
      </c>
      <c r="AT11" s="57">
        <f t="shared" si="11"/>
        <v>2.6295163033667041E-2</v>
      </c>
      <c r="AU11" s="57">
        <f t="shared" si="11"/>
        <v>2.4952807720127729E-2</v>
      </c>
      <c r="AV11" s="57">
        <f t="shared" si="11"/>
        <v>2.3127591916882812E-2</v>
      </c>
      <c r="AW11" s="57">
        <f t="shared" si="11"/>
        <v>2.7078851862807889E-2</v>
      </c>
      <c r="AX11" s="57">
        <f t="shared" si="11"/>
        <v>2.8777083203679991E-2</v>
      </c>
      <c r="AY11" s="57">
        <f t="shared" si="11"/>
        <v>2.6801497132708699E-2</v>
      </c>
      <c r="AZ11" s="57">
        <f t="shared" si="11"/>
        <v>1.984292700012124E-2</v>
      </c>
      <c r="BA11" s="57">
        <f t="shared" si="11"/>
        <v>2.1463744267095474E-2</v>
      </c>
      <c r="BB11" s="57">
        <f t="shared" si="11"/>
        <v>2.2026378273453613E-2</v>
      </c>
      <c r="BC11" s="57">
        <f t="shared" si="11"/>
        <v>2.2836591992161405E-2</v>
      </c>
      <c r="BD11" s="57">
        <f t="shared" si="11"/>
        <v>2.4887600567912921E-2</v>
      </c>
      <c r="BE11" s="57">
        <f t="shared" si="11"/>
        <v>2.7433325657939291E-2</v>
      </c>
      <c r="BF11" s="57">
        <f t="shared" si="11"/>
        <v>2.8724308406851889E-2</v>
      </c>
      <c r="BG11" s="57">
        <f t="shared" si="11"/>
        <v>2.9265098284213181E-2</v>
      </c>
      <c r="BH11" s="57">
        <f t="shared" si="11"/>
        <v>3.1055146165681433E-2</v>
      </c>
      <c r="BI11" s="57">
        <f t="shared" si="11"/>
        <v>3.205006819418444E-2</v>
      </c>
      <c r="BJ11" s="57">
        <f t="shared" si="11"/>
        <v>3.1769894432951286E-2</v>
      </c>
      <c r="BK11" s="57">
        <f t="shared" si="11"/>
        <v>3.1517845228441504E-2</v>
      </c>
      <c r="BL11" s="57">
        <f t="shared" si="11"/>
        <v>3.2085181538586464E-2</v>
      </c>
      <c r="BM11" s="57">
        <f t="shared" si="11"/>
        <v>3.65594847370629E-2</v>
      </c>
      <c r="BN11" s="57">
        <f t="shared" si="11"/>
        <v>3.8460008046581749E-2</v>
      </c>
      <c r="BO11" s="57">
        <f t="shared" si="11"/>
        <v>4.1072901555877922E-2</v>
      </c>
      <c r="BP11" s="57">
        <f t="shared" si="11"/>
        <v>4.2812921660449241E-2</v>
      </c>
      <c r="BQ11" s="57">
        <f t="shared" si="11"/>
        <v>3.8978534370307578E-2</v>
      </c>
      <c r="BR11" s="57">
        <f t="shared" ref="BR11:CJ11" si="12">BR10/BR2</f>
        <v>3.6964956273313622E-2</v>
      </c>
      <c r="BS11" s="57">
        <f t="shared" si="12"/>
        <v>3.7472285186974347E-2</v>
      </c>
      <c r="BT11" s="57">
        <f t="shared" si="12"/>
        <v>4.0602128571243082E-2</v>
      </c>
      <c r="BU11" s="57">
        <f t="shared" si="12"/>
        <v>4.4921669645673429E-2</v>
      </c>
      <c r="BV11" s="57" t="e">
        <f t="shared" si="12"/>
        <v>#DIV/0!</v>
      </c>
      <c r="BW11" s="57" t="e">
        <f t="shared" si="12"/>
        <v>#DIV/0!</v>
      </c>
      <c r="BX11" s="57" t="e">
        <f t="shared" si="12"/>
        <v>#DIV/0!</v>
      </c>
      <c r="BY11" s="57" t="e">
        <f t="shared" si="12"/>
        <v>#DIV/0!</v>
      </c>
      <c r="BZ11" s="57" t="e">
        <f t="shared" si="12"/>
        <v>#DIV/0!</v>
      </c>
      <c r="CA11" s="57" t="e">
        <f t="shared" si="12"/>
        <v>#DIV/0!</v>
      </c>
      <c r="CB11" s="57" t="e">
        <f t="shared" si="12"/>
        <v>#DIV/0!</v>
      </c>
      <c r="CC11" s="57" t="e">
        <f t="shared" si="12"/>
        <v>#DIV/0!</v>
      </c>
      <c r="CD11" s="57" t="e">
        <f t="shared" si="12"/>
        <v>#DIV/0!</v>
      </c>
      <c r="CE11" s="57" t="e">
        <f t="shared" si="12"/>
        <v>#DIV/0!</v>
      </c>
      <c r="CF11" s="57" t="e">
        <f t="shared" si="12"/>
        <v>#DIV/0!</v>
      </c>
      <c r="CG11" s="57" t="e">
        <f t="shared" si="12"/>
        <v>#DIV/0!</v>
      </c>
      <c r="CH11" s="57" t="e">
        <f t="shared" si="12"/>
        <v>#DIV/0!</v>
      </c>
      <c r="CI11" s="57" t="e">
        <f t="shared" si="12"/>
        <v>#DIV/0!</v>
      </c>
      <c r="CJ11" s="57" t="e">
        <f t="shared" si="12"/>
        <v>#DIV/0!</v>
      </c>
    </row>
    <row r="12" spans="1:89" s="27" customFormat="1" x14ac:dyDescent="0.25">
      <c r="A12" s="128" t="s">
        <v>360</v>
      </c>
      <c r="E12" s="27">
        <f>股权价值增加表!E9</f>
        <v>56055000000</v>
      </c>
      <c r="F12" s="27">
        <f>股权价值增加表!F9</f>
        <v>40128000000</v>
      </c>
      <c r="G12" s="27">
        <f>股权价值增加表!G9</f>
        <v>25955000000</v>
      </c>
      <c r="H12" s="27">
        <f>股权价值增加表!H9</f>
        <v>12429000000</v>
      </c>
      <c r="I12" s="27">
        <f>股权价值增加表!I9</f>
        <v>49550000000</v>
      </c>
      <c r="J12" s="27">
        <f>股权价值增加表!J9</f>
        <v>35715000000</v>
      </c>
      <c r="K12" s="27">
        <f>股权价值增加表!K9</f>
        <v>23572000000</v>
      </c>
      <c r="L12" s="27">
        <f>股权价值增加表!L9</f>
        <v>11858000000</v>
      </c>
      <c r="M12" s="27">
        <f>股权价值增加表!M9</f>
        <v>46872000000</v>
      </c>
      <c r="N12" s="27">
        <f>股权价值增加表!N9</f>
        <v>34150000000</v>
      </c>
      <c r="O12" s="27">
        <f>股权价值增加表!O9</f>
        <v>22379000000</v>
      </c>
      <c r="P12" s="27">
        <f>股权价值增加表!P9</f>
        <v>10961000000</v>
      </c>
      <c r="Q12" s="27">
        <f>股权价值增加表!Q9</f>
        <v>46274000000</v>
      </c>
      <c r="R12" s="27">
        <f>股权价值增加表!R9</f>
        <v>33732000000</v>
      </c>
      <c r="S12" s="27">
        <f>股权价值增加表!S9</f>
        <v>22060000000</v>
      </c>
      <c r="T12" s="27">
        <f>股权价值增加表!T9</f>
        <v>10720000000</v>
      </c>
      <c r="U12" s="27">
        <f>股权价值增加表!U9</f>
        <v>44359000000</v>
      </c>
      <c r="V12" s="27">
        <f>股权价值增加表!V9</f>
        <v>32172000000</v>
      </c>
      <c r="W12" s="27">
        <f>股权价值增加表!W9</f>
        <v>20811000000</v>
      </c>
      <c r="X12" s="27">
        <f>股权价值增加表!X9</f>
        <v>10410000000</v>
      </c>
      <c r="Y12" s="27">
        <f>股权价值增加表!Y9</f>
        <v>40299000000</v>
      </c>
      <c r="Z12" s="27">
        <f>股权价值增加表!Z9</f>
        <v>29756000000</v>
      </c>
      <c r="AA12" s="27">
        <f>股权价值增加表!AA9</f>
        <v>18922000000</v>
      </c>
      <c r="AB12" s="27">
        <f>股权价值增加表!AB9</f>
        <v>9301000000</v>
      </c>
      <c r="AC12" s="27">
        <f>股权价值增加表!AC9</f>
        <v>38399000000</v>
      </c>
      <c r="AD12" s="27">
        <f>股权价值增加表!AD9</f>
        <v>26908000000</v>
      </c>
      <c r="AE12" s="27">
        <f>股权价值增加表!AE9</f>
        <v>16650000000</v>
      </c>
      <c r="AF12" s="27">
        <f>股权价值增加表!AF9</f>
        <v>8108000000</v>
      </c>
      <c r="AG12" s="27">
        <f>股权价值增加表!AG9</f>
        <v>31981000000</v>
      </c>
      <c r="AH12" s="27">
        <f>股权价值增加表!AH9</f>
        <v>22194000000</v>
      </c>
      <c r="AI12" s="27">
        <f>股权价值增加表!AI9</f>
        <v>14178000000</v>
      </c>
      <c r="AJ12" s="27">
        <f>股权价值增加表!AJ9</f>
        <v>6910000000</v>
      </c>
      <c r="AK12" s="27">
        <f>股权价值增加表!AK9</f>
        <v>27635000000</v>
      </c>
      <c r="AL12" s="27">
        <f>股权价值增加表!AL9</f>
        <v>19984000000</v>
      </c>
      <c r="AM12" s="27">
        <f>股权价值增加表!AM9</f>
        <v>12055000000</v>
      </c>
      <c r="AN12" s="27">
        <f>股权价值增加表!AN9</f>
        <v>5509000000</v>
      </c>
      <c r="AO12" s="27">
        <f>股权价值增加表!AO9</f>
        <v>24967000000</v>
      </c>
      <c r="AP12" s="27">
        <f>股权价值增加表!AP9</f>
        <v>18109000000</v>
      </c>
      <c r="AQ12" s="27">
        <f>股权价值增加表!AQ9</f>
        <v>11885000000</v>
      </c>
      <c r="AR12" s="27">
        <f>股权价值增加表!AR9</f>
        <v>5632000000</v>
      </c>
      <c r="AS12" s="27">
        <f>股权价值增加表!AS9</f>
        <v>22564000000</v>
      </c>
      <c r="AT12" s="27">
        <f>股权价值增加表!AT9</f>
        <v>14614000000</v>
      </c>
      <c r="AU12" s="27">
        <f>股权价值增加表!AU9</f>
        <v>9500000000</v>
      </c>
      <c r="AV12" s="27">
        <f>股权价值增加表!AV9</f>
        <v>4550000000</v>
      </c>
      <c r="AW12" s="27">
        <f>股权价值增加表!AW9</f>
        <v>24734000000</v>
      </c>
      <c r="AX12" s="27">
        <f>股权价值增加表!AX9</f>
        <v>16770000000</v>
      </c>
      <c r="AY12" s="27">
        <f>股权价值增加表!AY9</f>
        <v>10711000000</v>
      </c>
      <c r="AZ12" s="27">
        <f>股权价值增加表!AZ9</f>
        <v>5189000000</v>
      </c>
      <c r="BA12" s="27">
        <f>股权价值增加表!BA9</f>
        <v>22690000000</v>
      </c>
      <c r="BB12" s="27">
        <f>股权价值增加表!BB9</f>
        <v>15727000000</v>
      </c>
      <c r="BC12" s="27">
        <f>股权价值增加表!BC9</f>
        <v>10359000000</v>
      </c>
      <c r="BD12" s="27">
        <f>股权价值增加表!BD9</f>
        <v>4880000000</v>
      </c>
      <c r="BE12" s="27">
        <f>股权价值增加表!BE9</f>
        <v>19477000000</v>
      </c>
      <c r="BF12" s="27">
        <f>股权价值增加表!BF9</f>
        <v>13656000000</v>
      </c>
      <c r="BG12" s="27">
        <f>股权价值增加表!BG9</f>
        <v>8664000000</v>
      </c>
      <c r="BH12" s="27">
        <f>股权价值增加表!BH9</f>
        <v>4203000000</v>
      </c>
      <c r="BI12" s="27">
        <f>股权价值增加表!BI9</f>
        <v>14582000000</v>
      </c>
      <c r="BJ12" s="27">
        <f>股权价值增加表!BJ9</f>
        <v>10492000000</v>
      </c>
      <c r="BK12" s="27">
        <f>股权价值增加表!BK9</f>
        <v>6692000000</v>
      </c>
      <c r="BL12" s="27">
        <f>股权价值增加表!BL9</f>
        <v>3393000000</v>
      </c>
      <c r="BM12" s="27">
        <f>股权价值增加表!BM9</f>
        <v>13279000000</v>
      </c>
      <c r="BN12" s="27">
        <f>股权价值增加表!BN9</f>
        <v>9847000000</v>
      </c>
      <c r="BO12" s="27">
        <f>股权价值增加表!BO9</f>
        <v>6468000000</v>
      </c>
      <c r="BP12" s="27">
        <f>股权价值增加表!BP9</f>
        <v>2941000000</v>
      </c>
      <c r="BQ12" s="27">
        <f>股权价值增加表!BQ9</f>
        <v>12300000000</v>
      </c>
      <c r="BR12" s="27">
        <f>股权价值增加表!BR9</f>
        <v>5816000000</v>
      </c>
      <c r="BS12" s="27">
        <f>股权价值增加表!BS9</f>
        <v>11583000000</v>
      </c>
      <c r="BT12" s="27">
        <f>股权价值增加表!BT9</f>
        <v>6925000000</v>
      </c>
      <c r="BU12" s="27">
        <f>股权价值增加表!BU9</f>
        <v>6827000000</v>
      </c>
      <c r="BV12" s="27">
        <f>股权价值增加表!BV9</f>
        <v>0</v>
      </c>
      <c r="BW12" s="27">
        <f>股权价值增加表!BW9</f>
        <v>0</v>
      </c>
      <c r="BX12" s="27">
        <f>股权价值增加表!BX9</f>
        <v>0</v>
      </c>
      <c r="BY12" s="27">
        <f>股权价值增加表!BY9</f>
        <v>0</v>
      </c>
      <c r="BZ12" s="27">
        <f>股权价值增加表!BZ9</f>
        <v>0</v>
      </c>
      <c r="CA12" s="27">
        <f>股权价值增加表!CA9</f>
        <v>0</v>
      </c>
      <c r="CB12" s="27">
        <f>股权价值增加表!CB9</f>
        <v>0</v>
      </c>
      <c r="CC12" s="27">
        <f>股权价值增加表!CC9</f>
        <v>0</v>
      </c>
      <c r="CD12" s="27">
        <f>股权价值增加表!CD9</f>
        <v>0</v>
      </c>
      <c r="CE12" s="27">
        <f>股权价值增加表!CE9</f>
        <v>0</v>
      </c>
      <c r="CF12" s="27">
        <f>股权价值增加表!CF9</f>
        <v>0</v>
      </c>
      <c r="CG12" s="27">
        <f>股权价值增加表!CG9</f>
        <v>0</v>
      </c>
      <c r="CH12" s="27">
        <f>股权价值增加表!CH9</f>
        <v>0</v>
      </c>
      <c r="CI12" s="27">
        <f>股权价值增加表!CI9</f>
        <v>0</v>
      </c>
      <c r="CJ12" s="27">
        <f>股权价值增加表!CJ9</f>
        <v>0</v>
      </c>
    </row>
    <row r="13" spans="1:89" s="57" customFormat="1" x14ac:dyDescent="0.25">
      <c r="A13" s="20" t="s">
        <v>361</v>
      </c>
      <c r="E13" s="57">
        <f>E12/E2</f>
        <v>2.3750176362695764E-2</v>
      </c>
      <c r="F13" s="57">
        <f t="shared" ref="F13:BQ13" si="13">F12/F2</f>
        <v>2.2996581573736859E-2</v>
      </c>
      <c r="G13" s="57">
        <f t="shared" si="13"/>
        <v>2.2262975012801962E-2</v>
      </c>
      <c r="H13" s="57">
        <f t="shared" si="13"/>
        <v>2.1348883945824782E-2</v>
      </c>
      <c r="I13" s="57">
        <f t="shared" si="13"/>
        <v>2.5661462387443025E-2</v>
      </c>
      <c r="J13" s="57">
        <f t="shared" si="13"/>
        <v>2.6185073445043606E-2</v>
      </c>
      <c r="K13" s="57">
        <f t="shared" si="13"/>
        <v>2.6810127158162916E-2</v>
      </c>
      <c r="L13" s="57">
        <f t="shared" si="13"/>
        <v>2.8657048261195292E-2</v>
      </c>
      <c r="M13" s="57">
        <f t="shared" si="13"/>
        <v>2.3216798596055344E-2</v>
      </c>
      <c r="N13" s="57">
        <f t="shared" si="13"/>
        <v>2.2220964227175687E-2</v>
      </c>
      <c r="O13" s="57">
        <f t="shared" si="13"/>
        <v>2.1510781824018946E-2</v>
      </c>
      <c r="P13" s="57">
        <f t="shared" si="13"/>
        <v>2.2919406742625579E-2</v>
      </c>
      <c r="Q13" s="57">
        <f t="shared" si="13"/>
        <v>1.6374879065675741E-2</v>
      </c>
      <c r="R13" s="57">
        <f t="shared" si="13"/>
        <v>1.5944051184317996E-2</v>
      </c>
      <c r="S13" s="57">
        <f t="shared" si="13"/>
        <v>1.6266373291883331E-2</v>
      </c>
      <c r="T13" s="57">
        <f t="shared" si="13"/>
        <v>1.6722173258561925E-2</v>
      </c>
      <c r="U13" s="57">
        <f t="shared" si="13"/>
        <v>1.5400767486566555E-2</v>
      </c>
      <c r="V13" s="57">
        <f t="shared" si="13"/>
        <v>1.5034178783919428E-2</v>
      </c>
      <c r="W13" s="57">
        <f t="shared" si="13"/>
        <v>1.4704884811382348E-2</v>
      </c>
      <c r="X13" s="57">
        <f t="shared" si="13"/>
        <v>1.4966121359286112E-2</v>
      </c>
      <c r="Y13" s="57">
        <f t="shared" si="13"/>
        <v>1.4464590485796174E-2</v>
      </c>
      <c r="Z13" s="57">
        <f t="shared" si="13"/>
        <v>1.4696019194316776E-2</v>
      </c>
      <c r="AA13" s="57">
        <f t="shared" si="13"/>
        <v>1.4036342272519568E-2</v>
      </c>
      <c r="AB13" s="57">
        <f t="shared" si="13"/>
        <v>1.3853864887207405E-2</v>
      </c>
      <c r="AC13" s="57">
        <f t="shared" si="13"/>
        <v>1.5324763747050205E-2</v>
      </c>
      <c r="AD13" s="57">
        <f t="shared" si="13"/>
        <v>1.4350152685027267E-2</v>
      </c>
      <c r="AE13" s="57">
        <f t="shared" si="13"/>
        <v>1.3500671384739133E-2</v>
      </c>
      <c r="AF13" s="57">
        <f t="shared" si="13"/>
        <v>1.3769398242652529E-2</v>
      </c>
      <c r="AG13" s="57">
        <f t="shared" si="13"/>
        <v>1.6716130509277213E-2</v>
      </c>
      <c r="AH13" s="57">
        <f t="shared" si="13"/>
        <v>1.5546131959300151E-2</v>
      </c>
      <c r="AI13" s="57">
        <f t="shared" si="13"/>
        <v>1.5138976832389595E-2</v>
      </c>
      <c r="AJ13" s="57">
        <f t="shared" si="13"/>
        <v>1.5768731358780857E-2</v>
      </c>
      <c r="AK13" s="57">
        <f t="shared" si="13"/>
        <v>2.0545674070593552E-2</v>
      </c>
      <c r="AL13" s="57">
        <f t="shared" si="13"/>
        <v>2.2367278229958543E-2</v>
      </c>
      <c r="AM13" s="57">
        <f t="shared" si="13"/>
        <v>2.2573849538879268E-2</v>
      </c>
      <c r="AN13" s="57">
        <f t="shared" si="13"/>
        <v>2.4100444036135354E-2</v>
      </c>
      <c r="AO13" s="57">
        <f t="shared" si="13"/>
        <v>1.7193707600228911E-2</v>
      </c>
      <c r="AP13" s="57">
        <f t="shared" si="13"/>
        <v>1.5782680275440844E-2</v>
      </c>
      <c r="AQ13" s="57">
        <f t="shared" si="13"/>
        <v>1.6174843457183959E-2</v>
      </c>
      <c r="AR13" s="57">
        <f t="shared" si="13"/>
        <v>1.6963344477575977E-2</v>
      </c>
      <c r="AS13" s="57">
        <f t="shared" si="13"/>
        <v>1.8727751250577875E-2</v>
      </c>
      <c r="AT13" s="57">
        <f t="shared" si="13"/>
        <v>1.6697554209351269E-2</v>
      </c>
      <c r="AU13" s="57">
        <f t="shared" si="13"/>
        <v>1.675987509482561E-2</v>
      </c>
      <c r="AV13" s="57">
        <f t="shared" si="13"/>
        <v>1.6668864758722764E-2</v>
      </c>
      <c r="AW13" s="57">
        <f t="shared" si="13"/>
        <v>2.3678438873460026E-2</v>
      </c>
      <c r="AX13" s="57">
        <f t="shared" si="13"/>
        <v>2.2205479470193416E-2</v>
      </c>
      <c r="AY13" s="57">
        <f t="shared" si="13"/>
        <v>2.2222544959625549E-2</v>
      </c>
      <c r="AZ13" s="57">
        <f t="shared" si="13"/>
        <v>2.3300508758458727E-2</v>
      </c>
      <c r="BA13" s="57">
        <f t="shared" si="13"/>
        <v>2.8393910763782435E-2</v>
      </c>
      <c r="BB13" s="57">
        <f t="shared" si="13"/>
        <v>2.7256971524636475E-2</v>
      </c>
      <c r="BC13" s="57">
        <f t="shared" si="13"/>
        <v>2.8835233599073619E-2</v>
      </c>
      <c r="BD13" s="57">
        <f t="shared" si="13"/>
        <v>2.8868906767628964E-2</v>
      </c>
      <c r="BE13" s="57">
        <f t="shared" si="13"/>
        <v>3.2976540383859998E-2</v>
      </c>
      <c r="BF13" s="57">
        <f t="shared" si="13"/>
        <v>3.2693711918983945E-2</v>
      </c>
      <c r="BG13" s="57">
        <f t="shared" si="13"/>
        <v>3.2607100248768388E-2</v>
      </c>
      <c r="BH13" s="57">
        <f t="shared" si="13"/>
        <v>3.4035144546117092E-2</v>
      </c>
      <c r="BI13" s="57">
        <f t="shared" si="13"/>
        <v>3.4952815377129423E-2</v>
      </c>
      <c r="BJ13" s="57">
        <f t="shared" si="13"/>
        <v>3.4896328767852272E-2</v>
      </c>
      <c r="BK13" s="57">
        <f t="shared" si="13"/>
        <v>3.434577760441794E-2</v>
      </c>
      <c r="BL13" s="57">
        <f t="shared" si="13"/>
        <v>3.4440057247840515E-2</v>
      </c>
      <c r="BM13" s="57">
        <f t="shared" si="13"/>
        <v>4.0961305925030229E-2</v>
      </c>
      <c r="BN13" s="57">
        <f t="shared" si="13"/>
        <v>4.3535544227461836E-2</v>
      </c>
      <c r="BO13" s="57">
        <f t="shared" si="13"/>
        <v>4.5993685468043347E-2</v>
      </c>
      <c r="BP13" s="57">
        <f t="shared" si="13"/>
        <v>4.668624494007461E-2</v>
      </c>
      <c r="BQ13" s="57">
        <f t="shared" si="13"/>
        <v>4.0414395410501826E-2</v>
      </c>
      <c r="BR13" s="57">
        <f t="shared" ref="BR13:CJ13" si="14">BR12/BR2</f>
        <v>3.6278802849408036E-2</v>
      </c>
      <c r="BS13" s="57">
        <f t="shared" si="14"/>
        <v>3.5868232321355581E-2</v>
      </c>
      <c r="BT13" s="57">
        <f t="shared" si="14"/>
        <v>2.9972256726986283E-2</v>
      </c>
      <c r="BU13" s="57">
        <f t="shared" si="14"/>
        <v>3.5890022079697194E-2</v>
      </c>
      <c r="BV13" s="57" t="e">
        <f t="shared" si="14"/>
        <v>#DIV/0!</v>
      </c>
      <c r="BW13" s="57" t="e">
        <f t="shared" si="14"/>
        <v>#DIV/0!</v>
      </c>
      <c r="BX13" s="57" t="e">
        <f t="shared" si="14"/>
        <v>#DIV/0!</v>
      </c>
      <c r="BY13" s="57" t="e">
        <f t="shared" si="14"/>
        <v>#DIV/0!</v>
      </c>
      <c r="BZ13" s="57" t="e">
        <f t="shared" si="14"/>
        <v>#DIV/0!</v>
      </c>
      <c r="CA13" s="57" t="e">
        <f t="shared" si="14"/>
        <v>#DIV/0!</v>
      </c>
      <c r="CB13" s="57" t="e">
        <f t="shared" si="14"/>
        <v>#DIV/0!</v>
      </c>
      <c r="CC13" s="57" t="e">
        <f t="shared" si="14"/>
        <v>#DIV/0!</v>
      </c>
      <c r="CD13" s="57" t="e">
        <f t="shared" si="14"/>
        <v>#DIV/0!</v>
      </c>
      <c r="CE13" s="57" t="e">
        <f t="shared" si="14"/>
        <v>#DIV/0!</v>
      </c>
      <c r="CF13" s="57" t="e">
        <f t="shared" si="14"/>
        <v>#DIV/0!</v>
      </c>
      <c r="CG13" s="57" t="e">
        <f t="shared" si="14"/>
        <v>#DIV/0!</v>
      </c>
      <c r="CH13" s="57" t="e">
        <f t="shared" si="14"/>
        <v>#DIV/0!</v>
      </c>
      <c r="CI13" s="57" t="e">
        <f t="shared" si="14"/>
        <v>#DIV/0!</v>
      </c>
      <c r="CJ13" s="57" t="e">
        <f t="shared" si="14"/>
        <v>#DIV/0!</v>
      </c>
    </row>
    <row r="14" spans="1:89" s="26" customFormat="1" x14ac:dyDescent="0.25">
      <c r="A14" s="128" t="s">
        <v>362</v>
      </c>
      <c r="E14" s="26">
        <f>股权价值增加表!E10</f>
        <v>78928000000</v>
      </c>
      <c r="F14" s="26">
        <f>股权价值增加表!F10</f>
        <v>56989000000</v>
      </c>
      <c r="G14" s="26">
        <f>股权价值增加表!G10</f>
        <v>35903000000</v>
      </c>
      <c r="H14" s="26">
        <f>股权价值增加表!H10</f>
        <v>17911000000</v>
      </c>
      <c r="I14" s="26">
        <f>股权价值增加表!I10</f>
        <v>74155000000</v>
      </c>
      <c r="J14" s="26">
        <f>股权价值增加表!J10</f>
        <v>56711000000</v>
      </c>
      <c r="K14" s="26">
        <f>股权价值增加表!K10</f>
        <v>38416000000</v>
      </c>
      <c r="L14" s="26">
        <f>股权价值增加表!L10</f>
        <v>18539000000</v>
      </c>
      <c r="M14" s="26">
        <f>股权价值增加表!M10</f>
        <v>71881000000</v>
      </c>
      <c r="N14" s="26">
        <f>股权价值增加表!N10</f>
        <v>52102000000</v>
      </c>
      <c r="O14" s="26">
        <f>股权价值增加表!O10</f>
        <v>34271000000</v>
      </c>
      <c r="P14" s="26">
        <f>股权价值增加表!P10</f>
        <v>16846000000</v>
      </c>
      <c r="Q14" s="26">
        <f>股权价值增加表!Q10</f>
        <v>70500000000</v>
      </c>
      <c r="R14" s="26">
        <f>股权价值增加表!R10</f>
        <v>51291000000</v>
      </c>
      <c r="S14" s="26">
        <f>股权价值增加表!S10</f>
        <v>34439000000</v>
      </c>
      <c r="T14" s="26">
        <f>股权价值增加表!T10</f>
        <v>16822000000</v>
      </c>
      <c r="U14" s="26">
        <f>股权价值增加表!U10</f>
        <v>73572000000</v>
      </c>
      <c r="V14" s="26">
        <f>股权价值增加表!V10</f>
        <v>51452000000</v>
      </c>
      <c r="W14" s="26">
        <f>股权价值增加表!W10</f>
        <v>33375000000</v>
      </c>
      <c r="X14" s="26">
        <f>股权价值增加表!X10</f>
        <v>16804000000</v>
      </c>
      <c r="Y14" s="26">
        <f>股权价值增加表!Y10</f>
        <v>65590000000</v>
      </c>
      <c r="Z14" s="26">
        <f>股权价值增加表!Z10</f>
        <v>44184000000</v>
      </c>
      <c r="AA14" s="26">
        <f>股权价值增加表!AA10</f>
        <v>29223000000</v>
      </c>
      <c r="AB14" s="26">
        <f>股权价值增加表!AB10</f>
        <v>14167000000</v>
      </c>
      <c r="AC14" s="26">
        <f>股权价值增加表!AC10</f>
        <v>63083000000</v>
      </c>
      <c r="AD14" s="26">
        <f>股权价值增加表!AD10</f>
        <v>44839000000</v>
      </c>
      <c r="AE14" s="26">
        <f>股权价值增加表!AE10</f>
        <v>28502000000</v>
      </c>
      <c r="AF14" s="26">
        <f>股权价值增加表!AF10</f>
        <v>14477000000</v>
      </c>
      <c r="AG14" s="26">
        <f>股权价值增加表!AG10</f>
        <v>57774000000</v>
      </c>
      <c r="AH14" s="26">
        <f>股权价值增加表!AH10</f>
        <v>38256000000</v>
      </c>
      <c r="AI14" s="26">
        <f>股权价值增加表!AI10</f>
        <v>24314000000</v>
      </c>
      <c r="AJ14" s="26">
        <f>股权价值增加表!AJ10</f>
        <v>12060000000</v>
      </c>
      <c r="AK14" s="26">
        <f>股权价值增加表!AK10</f>
        <v>46726000000</v>
      </c>
      <c r="AL14" s="26">
        <f>股权价值增加表!AL10</f>
        <v>32968000000</v>
      </c>
      <c r="AM14" s="26">
        <f>股权价值增加表!AM10</f>
        <v>20087000000</v>
      </c>
      <c r="AN14" s="26">
        <f>股权价值增加表!AN10</f>
        <v>9565000000</v>
      </c>
      <c r="AO14" s="26">
        <f>股权价值增加表!AO10</f>
        <v>40917000000</v>
      </c>
      <c r="AP14" s="26">
        <f>股权价值增加表!AP10</f>
        <v>28939000000</v>
      </c>
      <c r="AQ14" s="26">
        <f>股权价值增加表!AQ10</f>
        <v>18721000000</v>
      </c>
      <c r="AR14" s="26">
        <f>股权价值增加表!AR10</f>
        <v>9110000000</v>
      </c>
      <c r="AS14" s="26">
        <f>股权价值增加表!AS10</f>
        <v>35964000000</v>
      </c>
      <c r="AT14" s="26">
        <f>股权价值增加表!AT10</f>
        <v>25508000000</v>
      </c>
      <c r="AU14" s="26">
        <f>股权价值增加表!AU10</f>
        <v>17009000000</v>
      </c>
      <c r="AV14" s="26">
        <f>股权价值增加表!AV10</f>
        <v>8295000000</v>
      </c>
      <c r="AW14" s="26">
        <f>股权价值增加表!AW10</f>
        <v>26491000000</v>
      </c>
      <c r="AX14" s="26">
        <f>股权价值增加表!AX10</f>
        <v>18101000000</v>
      </c>
      <c r="AY14" s="26">
        <f>股权价值增加表!AY10</f>
        <v>11771000000</v>
      </c>
      <c r="AZ14" s="26">
        <f>股权价值增加表!AZ10</f>
        <v>5720000000</v>
      </c>
      <c r="BA14" s="26">
        <f>股权价值增加表!BA10</f>
        <v>23330000000</v>
      </c>
      <c r="BB14" s="26">
        <f>股权价值增加表!BB10</f>
        <v>16941000000</v>
      </c>
      <c r="BC14" s="26">
        <f>股权价值增加表!BC10</f>
        <v>10600000000</v>
      </c>
      <c r="BD14" s="26">
        <f>股权价值增加表!BD10</f>
        <v>6056000000</v>
      </c>
      <c r="BE14" s="26">
        <f>股权价值增加表!BE10</f>
        <v>23167000000</v>
      </c>
      <c r="BF14" s="26">
        <f>股权价值增加表!BF10</f>
        <v>16006000000</v>
      </c>
      <c r="BG14" s="26">
        <f>股权价值增加表!BG10</f>
        <v>10865000000</v>
      </c>
      <c r="BH14" s="26">
        <f>股权价值增加表!BH10</f>
        <v>5065000000</v>
      </c>
      <c r="BI14" s="26">
        <f>股权价值增加表!BI10</f>
        <v>21219000000</v>
      </c>
      <c r="BJ14" s="26">
        <f>股权价值增加表!BJ10</f>
        <v>13804000000</v>
      </c>
      <c r="BK14" s="26">
        <f>股权价值增加表!BK10</f>
        <v>9646000000</v>
      </c>
      <c r="BL14" s="26">
        <f>股权价值增加表!BL10</f>
        <v>4270000000</v>
      </c>
      <c r="BM14" s="26">
        <f>股权价值增加表!BM10</f>
        <v>17253000000</v>
      </c>
      <c r="BN14" s="26">
        <f>股权价值增加表!BN10</f>
        <v>12194000000</v>
      </c>
      <c r="BO14" s="26">
        <f>股权价值增加表!BO10</f>
        <v>8017000000</v>
      </c>
      <c r="BP14" s="26">
        <f>股权价值增加表!BP10</f>
        <v>3713000000</v>
      </c>
      <c r="BQ14" s="26">
        <f>股权价值增加表!BQ10</f>
        <v>14369000000</v>
      </c>
      <c r="BR14" s="26">
        <f>股权价值增加表!BR10</f>
        <v>6889000000</v>
      </c>
      <c r="BS14" s="26">
        <f>股权价值增加表!BS10</f>
        <v>17172000000</v>
      </c>
      <c r="BT14" s="26">
        <f>股权价值增加表!BT10</f>
        <v>22964000000</v>
      </c>
      <c r="BU14" s="26">
        <f>股权价值增加表!BU10</f>
        <v>19897000000</v>
      </c>
      <c r="BV14" s="26">
        <f>股权价值增加表!BV10</f>
        <v>0</v>
      </c>
      <c r="BW14" s="26">
        <f>股权价值增加表!BW10</f>
        <v>0</v>
      </c>
      <c r="BX14" s="26">
        <f>股权价值增加表!BX10</f>
        <v>0</v>
      </c>
      <c r="BY14" s="26">
        <f>股权价值增加表!BY10</f>
        <v>0</v>
      </c>
      <c r="BZ14" s="26">
        <f>股权价值增加表!BZ10</f>
        <v>0</v>
      </c>
      <c r="CA14" s="26">
        <f>股权价值增加表!CA10</f>
        <v>0</v>
      </c>
      <c r="CB14" s="26">
        <f>股权价值增加表!CB10</f>
        <v>0</v>
      </c>
      <c r="CC14" s="26">
        <f>股权价值增加表!CC10</f>
        <v>0</v>
      </c>
      <c r="CD14" s="26">
        <f>股权价值增加表!CD10</f>
        <v>0</v>
      </c>
      <c r="CE14" s="26">
        <f>股权价值增加表!CE10</f>
        <v>0</v>
      </c>
      <c r="CF14" s="26">
        <f>股权价值增加表!CF10</f>
        <v>0</v>
      </c>
      <c r="CG14" s="26">
        <f>股权价值增加表!CG10</f>
        <v>0</v>
      </c>
      <c r="CH14" s="26">
        <f>股权价值增加表!CH10</f>
        <v>0</v>
      </c>
      <c r="CI14" s="26">
        <f>股权价值增加表!CI10</f>
        <v>0</v>
      </c>
      <c r="CJ14" s="26">
        <f>股权价值增加表!CJ10</f>
        <v>0</v>
      </c>
      <c r="CK14" s="26">
        <f>股权价值增加表!CK10</f>
        <v>0</v>
      </c>
    </row>
    <row r="15" spans="1:89" s="57" customFormat="1" x14ac:dyDescent="0.25">
      <c r="A15" s="20" t="s">
        <v>363</v>
      </c>
      <c r="E15" s="57">
        <f>E14/E2</f>
        <v>3.3441332975735462E-2</v>
      </c>
      <c r="F15" s="57">
        <f t="shared" ref="F15:BQ15" si="15">F14/F2</f>
        <v>3.2659294938837964E-2</v>
      </c>
      <c r="G15" s="57">
        <f t="shared" si="15"/>
        <v>3.0795900284516616E-2</v>
      </c>
      <c r="H15" s="57">
        <f t="shared" si="15"/>
        <v>3.0765134793922892E-2</v>
      </c>
      <c r="I15" s="57">
        <f t="shared" si="15"/>
        <v>3.8404152236949297E-2</v>
      </c>
      <c r="J15" s="57">
        <f t="shared" si="15"/>
        <v>4.1578656030851681E-2</v>
      </c>
      <c r="K15" s="57">
        <f t="shared" si="15"/>
        <v>4.3693273583403469E-2</v>
      </c>
      <c r="L15" s="57">
        <f t="shared" si="15"/>
        <v>4.4802919355228496E-2</v>
      </c>
      <c r="M15" s="57">
        <f t="shared" si="15"/>
        <v>3.5604341608701448E-2</v>
      </c>
      <c r="N15" s="57">
        <f t="shared" si="15"/>
        <v>3.3902098921356004E-2</v>
      </c>
      <c r="O15" s="57">
        <f t="shared" si="15"/>
        <v>3.2941418467802554E-2</v>
      </c>
      <c r="P15" s="57">
        <f t="shared" si="15"/>
        <v>3.5224917980683376E-2</v>
      </c>
      <c r="Q15" s="57">
        <f t="shared" si="15"/>
        <v>2.4947680644209273E-2</v>
      </c>
      <c r="R15" s="57">
        <f t="shared" si="15"/>
        <v>2.4243635992376805E-2</v>
      </c>
      <c r="S15" s="57">
        <f t="shared" si="15"/>
        <v>2.5394271523081144E-2</v>
      </c>
      <c r="T15" s="57">
        <f t="shared" si="15"/>
        <v>2.6240708820478423E-2</v>
      </c>
      <c r="U15" s="57">
        <f t="shared" si="15"/>
        <v>2.5543075035994376E-2</v>
      </c>
      <c r="V15" s="57">
        <f t="shared" si="15"/>
        <v>2.4043844547750295E-2</v>
      </c>
      <c r="W15" s="57">
        <f t="shared" si="15"/>
        <v>2.3582505914174517E-2</v>
      </c>
      <c r="X15" s="57">
        <f t="shared" si="15"/>
        <v>2.415856900302054E-2</v>
      </c>
      <c r="Y15" s="57">
        <f t="shared" si="15"/>
        <v>2.3542333307609891E-2</v>
      </c>
      <c r="Z15" s="57">
        <f t="shared" si="15"/>
        <v>2.18217808872729E-2</v>
      </c>
      <c r="AA15" s="57">
        <f t="shared" si="15"/>
        <v>2.1677625527419902E-2</v>
      </c>
      <c r="AB15" s="57">
        <f t="shared" si="15"/>
        <v>2.1101785169021323E-2</v>
      </c>
      <c r="AC15" s="57">
        <f t="shared" si="15"/>
        <v>2.5175969985030029E-2</v>
      </c>
      <c r="AD15" s="57">
        <f t="shared" si="15"/>
        <v>2.3912832475246681E-2</v>
      </c>
      <c r="AE15" s="57">
        <f t="shared" si="15"/>
        <v>2.3110879027497585E-2</v>
      </c>
      <c r="AF15" s="57">
        <f t="shared" si="15"/>
        <v>2.4585542471494901E-2</v>
      </c>
      <c r="AG15" s="57">
        <f t="shared" si="15"/>
        <v>3.0197858855038361E-2</v>
      </c>
      <c r="AH15" s="57">
        <f t="shared" si="15"/>
        <v>2.6797009292375714E-2</v>
      </c>
      <c r="AI15" s="57">
        <f t="shared" si="15"/>
        <v>2.596198918766544E-2</v>
      </c>
      <c r="AJ15" s="57">
        <f t="shared" si="15"/>
        <v>2.7521114354109567E-2</v>
      </c>
      <c r="AK15" s="57">
        <f t="shared" si="15"/>
        <v>3.4739177370094243E-2</v>
      </c>
      <c r="AL15" s="57">
        <f t="shared" si="15"/>
        <v>3.6899741227245458E-2</v>
      </c>
      <c r="AM15" s="57">
        <f t="shared" si="15"/>
        <v>3.7614343897757599E-2</v>
      </c>
      <c r="AN15" s="57">
        <f t="shared" si="15"/>
        <v>4.1844390489314695E-2</v>
      </c>
      <c r="AO15" s="57">
        <f t="shared" si="15"/>
        <v>2.8177792040636293E-2</v>
      </c>
      <c r="AP15" s="57">
        <f t="shared" si="15"/>
        <v>2.5221435998176743E-2</v>
      </c>
      <c r="AQ15" s="57">
        <f t="shared" si="15"/>
        <v>2.5478270455358928E-2</v>
      </c>
      <c r="AR15" s="57">
        <f t="shared" si="15"/>
        <v>2.7438932562272221E-2</v>
      </c>
      <c r="AS15" s="57">
        <f t="shared" si="15"/>
        <v>2.9849532262709748E-2</v>
      </c>
      <c r="AT15" s="57">
        <f t="shared" si="15"/>
        <v>2.9144738796505556E-2</v>
      </c>
      <c r="AU15" s="57">
        <f t="shared" si="15"/>
        <v>3.0007233209251451E-2</v>
      </c>
      <c r="AV15" s="57">
        <f t="shared" si="15"/>
        <v>3.0388622675517649E-2</v>
      </c>
      <c r="AW15" s="57">
        <f t="shared" si="15"/>
        <v>2.5360456222076069E-2</v>
      </c>
      <c r="AX15" s="57">
        <f t="shared" si="15"/>
        <v>2.3967882163981574E-2</v>
      </c>
      <c r="AY15" s="57">
        <f t="shared" si="15"/>
        <v>2.4421769836593443E-2</v>
      </c>
      <c r="AZ15" s="57">
        <f t="shared" si="15"/>
        <v>2.5684893061935617E-2</v>
      </c>
      <c r="BA15" s="57">
        <f t="shared" si="15"/>
        <v>2.9194796743897938E-2</v>
      </c>
      <c r="BB15" s="57">
        <f t="shared" si="15"/>
        <v>2.9360994124681537E-2</v>
      </c>
      <c r="BC15" s="57">
        <f t="shared" si="15"/>
        <v>2.9506079365786309E-2</v>
      </c>
      <c r="BD15" s="57">
        <f t="shared" si="15"/>
        <v>3.5825840037860858E-2</v>
      </c>
      <c r="BE15" s="57">
        <f t="shared" si="15"/>
        <v>3.922408538650124E-2</v>
      </c>
      <c r="BF15" s="57">
        <f t="shared" si="15"/>
        <v>3.8319826667783913E-2</v>
      </c>
      <c r="BG15" s="57">
        <f t="shared" si="15"/>
        <v>4.089059836136525E-2</v>
      </c>
      <c r="BH15" s="57">
        <f t="shared" si="15"/>
        <v>4.1015466839420194E-2</v>
      </c>
      <c r="BI15" s="57">
        <f t="shared" si="15"/>
        <v>5.0861595767885695E-2</v>
      </c>
      <c r="BJ15" s="57">
        <f t="shared" si="15"/>
        <v>4.5912020807418297E-2</v>
      </c>
      <c r="BK15" s="57">
        <f t="shared" si="15"/>
        <v>4.9506779852393219E-2</v>
      </c>
      <c r="BL15" s="57">
        <f t="shared" si="15"/>
        <v>4.3341893441874155E-2</v>
      </c>
      <c r="BM15" s="57">
        <f t="shared" si="15"/>
        <v>5.3219776423265801E-2</v>
      </c>
      <c r="BN15" s="57">
        <f t="shared" si="15"/>
        <v>5.3912097726177478E-2</v>
      </c>
      <c r="BO15" s="57">
        <f t="shared" si="15"/>
        <v>5.7008561595130416E-2</v>
      </c>
      <c r="BP15" s="57">
        <f t="shared" si="15"/>
        <v>5.8941185808397495E-2</v>
      </c>
      <c r="BQ15" s="57">
        <f t="shared" si="15"/>
        <v>4.7212556719796808E-2</v>
      </c>
      <c r="BR15" s="57">
        <f t="shared" ref="BR15:CK15" si="16">BR14/BR2</f>
        <v>4.2971917611687067E-2</v>
      </c>
      <c r="BS15" s="57">
        <f t="shared" si="16"/>
        <v>5.317528148340827E-2</v>
      </c>
      <c r="BT15" s="57">
        <f t="shared" si="16"/>
        <v>9.9391032993287082E-2</v>
      </c>
      <c r="BU15" s="57">
        <f t="shared" si="16"/>
        <v>0.10459993691515088</v>
      </c>
      <c r="BV15" s="57" t="e">
        <f t="shared" si="16"/>
        <v>#DIV/0!</v>
      </c>
      <c r="BW15" s="57" t="e">
        <f t="shared" si="16"/>
        <v>#DIV/0!</v>
      </c>
      <c r="BX15" s="57" t="e">
        <f t="shared" si="16"/>
        <v>#DIV/0!</v>
      </c>
      <c r="BY15" s="57" t="e">
        <f t="shared" si="16"/>
        <v>#DIV/0!</v>
      </c>
      <c r="BZ15" s="57" t="e">
        <f t="shared" si="16"/>
        <v>#DIV/0!</v>
      </c>
      <c r="CA15" s="57" t="e">
        <f t="shared" si="16"/>
        <v>#DIV/0!</v>
      </c>
      <c r="CB15" s="57" t="e">
        <f t="shared" si="16"/>
        <v>#DIV/0!</v>
      </c>
      <c r="CC15" s="57" t="e">
        <f t="shared" si="16"/>
        <v>#DIV/0!</v>
      </c>
      <c r="CD15" s="57" t="e">
        <f t="shared" si="16"/>
        <v>#DIV/0!</v>
      </c>
      <c r="CE15" s="57" t="e">
        <f t="shared" si="16"/>
        <v>#DIV/0!</v>
      </c>
      <c r="CF15" s="57" t="e">
        <f t="shared" si="16"/>
        <v>#DIV/0!</v>
      </c>
      <c r="CG15" s="57" t="e">
        <f t="shared" si="16"/>
        <v>#DIV/0!</v>
      </c>
      <c r="CH15" s="57" t="e">
        <f t="shared" si="16"/>
        <v>#DIV/0!</v>
      </c>
      <c r="CI15" s="57" t="e">
        <f t="shared" si="16"/>
        <v>#DIV/0!</v>
      </c>
      <c r="CJ15" s="57" t="e">
        <f t="shared" si="16"/>
        <v>#DIV/0!</v>
      </c>
      <c r="CK15" s="57" t="e">
        <f t="shared" si="16"/>
        <v>#DIV/0!</v>
      </c>
    </row>
    <row r="16" spans="1:89" s="26" customFormat="1" x14ac:dyDescent="0.25">
      <c r="A16" s="128" t="s">
        <v>364</v>
      </c>
      <c r="E16" s="26">
        <f>股权价值增加表!E11</f>
        <v>21791000000</v>
      </c>
      <c r="F16" s="26">
        <f>股权价值增加表!F11</f>
        <v>7090000000</v>
      </c>
      <c r="G16" s="26">
        <f>股权价值增加表!G11</f>
        <v>4076000000</v>
      </c>
      <c r="H16" s="26">
        <f>股权价值增加表!H11</f>
        <v>303000000</v>
      </c>
      <c r="I16" s="26">
        <f>股权价值增加表!I11</f>
        <v>17076000000</v>
      </c>
      <c r="J16" s="26">
        <f>股权价值增加表!J11</f>
        <v>1528000000</v>
      </c>
      <c r="K16" s="26">
        <f>股权价值增加表!K11</f>
        <v>1423000000</v>
      </c>
      <c r="L16" s="26">
        <f>股权价值增加表!L11</f>
        <v>47000000</v>
      </c>
      <c r="M16" s="26">
        <f>股权价值增加表!M11</f>
        <v>8767000000</v>
      </c>
      <c r="N16" s="26">
        <f>股权价值增加表!N11</f>
        <v>327000000</v>
      </c>
      <c r="O16" s="26">
        <f>股权价值增加表!O11</f>
        <v>205000000</v>
      </c>
      <c r="P16" s="26">
        <f>股权价值增加表!P11</f>
        <v>-513000000</v>
      </c>
      <c r="Q16" s="26">
        <f>股权价值增加表!Q11</f>
        <v>6839000000</v>
      </c>
      <c r="R16" s="26">
        <f>股权价值增加表!R11</f>
        <v>1130000000</v>
      </c>
      <c r="S16" s="26">
        <f>股权价值增加表!S11</f>
        <v>1112000000</v>
      </c>
      <c r="T16" s="26">
        <f>股权价值增加表!T11</f>
        <v>-49000000</v>
      </c>
      <c r="U16" s="26">
        <f>股权价值增加表!U11</f>
        <v>4044000000</v>
      </c>
      <c r="V16" s="26">
        <f>股权价值增加表!V11</f>
        <v>34000000</v>
      </c>
      <c r="W16" s="26">
        <f>股权价值增加表!W11</f>
        <v>73000000</v>
      </c>
      <c r="X16" s="26">
        <f>股权价值增加表!X11</f>
        <v>-12000000</v>
      </c>
      <c r="Y16" s="26">
        <f>股权价值增加表!Y11</f>
        <v>7906000000</v>
      </c>
      <c r="Z16" s="26">
        <f>股权价值增加表!Z11</f>
        <v>7518000000</v>
      </c>
      <c r="AA16" s="26">
        <f>股权价值增加表!AA11</f>
        <v>7048000000</v>
      </c>
      <c r="AB16" s="26">
        <f>股权价值增加表!AB11</f>
        <v>425000000</v>
      </c>
      <c r="AC16" s="26">
        <f>股权价值增加表!AC11</f>
        <v>5811000000</v>
      </c>
      <c r="AD16" s="26">
        <f>股权价值增加表!AD11</f>
        <v>2841000000</v>
      </c>
      <c r="AE16" s="26">
        <f>股权价值增加表!AE11</f>
        <v>2712000000</v>
      </c>
      <c r="AF16" s="26">
        <f>股权价值增加表!AF11</f>
        <v>1027000000</v>
      </c>
      <c r="AG16" s="26">
        <f>股权价值增加表!AG11</f>
        <v>15445000000</v>
      </c>
      <c r="AH16" s="26">
        <f>股权价值增加表!AH11</f>
        <v>2187000000</v>
      </c>
      <c r="AI16" s="26">
        <f>股权价值增加表!AI11</f>
        <v>741000000</v>
      </c>
      <c r="AJ16" s="26">
        <f>股权价值增加表!AJ11</f>
        <v>480000000</v>
      </c>
      <c r="AK16" s="26">
        <f>股权价值增加表!AK11</f>
        <v>7453000000</v>
      </c>
      <c r="AL16" s="26">
        <f>股权价值增加表!AL11</f>
        <v>599000000</v>
      </c>
      <c r="AM16" s="26">
        <f>股权价值增加表!AM11</f>
        <v>178000000</v>
      </c>
      <c r="AN16" s="26">
        <f>股权价值增加表!AN11</f>
        <v>-38000000</v>
      </c>
      <c r="AO16" s="26">
        <f>股权价值增加表!AO11</f>
        <v>16617000000</v>
      </c>
      <c r="AP16" s="26">
        <f>股权价值增加表!AP11</f>
        <v>11952000000</v>
      </c>
      <c r="AQ16" s="26">
        <f>股权价值增加表!AQ11</f>
        <v>16079000000</v>
      </c>
      <c r="AR16" s="26">
        <f>股权价值增加表!AR11</f>
        <v>9012000000</v>
      </c>
      <c r="AS16" s="26">
        <f>股权价值增加表!AS11</f>
        <v>7458000000</v>
      </c>
      <c r="AT16" s="26">
        <f>股权价值增加表!AT11</f>
        <v>1593000000</v>
      </c>
      <c r="AU16" s="26">
        <f>股权价值增加表!AU11</f>
        <v>1535000000</v>
      </c>
      <c r="AV16" s="26">
        <f>股权价值增加表!AV11</f>
        <v>0</v>
      </c>
      <c r="AW16" s="26">
        <f>股权价值增加表!AW11</f>
        <v>0</v>
      </c>
      <c r="AX16" s="26">
        <f>股权价值增加表!AX11</f>
        <v>0</v>
      </c>
      <c r="AY16" s="26">
        <f>股权价值增加表!AY11</f>
        <v>0</v>
      </c>
      <c r="AZ16" s="26">
        <f>股权价值增加表!AZ11</f>
        <v>0</v>
      </c>
      <c r="BA16" s="26">
        <f>股权价值增加表!BA11</f>
        <v>0</v>
      </c>
      <c r="BB16" s="26">
        <f>股权价值增加表!BB11</f>
        <v>0</v>
      </c>
      <c r="BC16" s="26">
        <f>股权价值增加表!BC11</f>
        <v>0</v>
      </c>
      <c r="BD16" s="26">
        <f>股权价值增加表!BD11</f>
        <v>0</v>
      </c>
      <c r="BE16" s="26">
        <f>股权价值增加表!BE11</f>
        <v>0</v>
      </c>
      <c r="BF16" s="26">
        <f>股权价值增加表!BF11</f>
        <v>0</v>
      </c>
      <c r="BG16" s="26">
        <f>股权价值增加表!BG11</f>
        <v>0</v>
      </c>
      <c r="BH16" s="26">
        <f>股权价值增加表!BH11</f>
        <v>0</v>
      </c>
      <c r="BI16" s="26">
        <f>股权价值增加表!BI11</f>
        <v>0</v>
      </c>
      <c r="BJ16" s="26">
        <f>股权价值增加表!BJ11</f>
        <v>0</v>
      </c>
      <c r="BK16" s="26">
        <f>股权价值增加表!BK11</f>
        <v>0</v>
      </c>
      <c r="BL16" s="26">
        <f>股权价值增加表!BL11</f>
        <v>0</v>
      </c>
      <c r="BM16" s="26">
        <f>股权价值增加表!BM11</f>
        <v>0</v>
      </c>
      <c r="BN16" s="26">
        <f>股权价值增加表!BN11</f>
        <v>0</v>
      </c>
      <c r="BO16" s="26">
        <f>股权价值增加表!BO11</f>
        <v>0</v>
      </c>
      <c r="BP16" s="26">
        <f>股权价值增加表!BP11</f>
        <v>0</v>
      </c>
      <c r="BQ16" s="26">
        <f>股权价值增加表!BQ11</f>
        <v>0</v>
      </c>
      <c r="BR16" s="26">
        <f>股权价值增加表!BR11</f>
        <v>0</v>
      </c>
      <c r="BS16" s="26">
        <f>股权价值增加表!BS11</f>
        <v>0</v>
      </c>
      <c r="BT16" s="26">
        <f>股权价值增加表!BT11</f>
        <v>0</v>
      </c>
      <c r="BU16" s="26">
        <f>股权价值增加表!BU11</f>
        <v>0</v>
      </c>
      <c r="BV16" s="26">
        <f>股权价值增加表!BV11</f>
        <v>0</v>
      </c>
      <c r="BW16" s="26">
        <f>股权价值增加表!BW11</f>
        <v>0</v>
      </c>
      <c r="BX16" s="26">
        <f>股权价值增加表!BX11</f>
        <v>0</v>
      </c>
      <c r="BY16" s="26">
        <f>股权价值增加表!BY11</f>
        <v>0</v>
      </c>
      <c r="BZ16" s="26">
        <f>股权价值增加表!BZ11</f>
        <v>0</v>
      </c>
      <c r="CA16" s="26">
        <f>股权价值增加表!CA11</f>
        <v>0</v>
      </c>
      <c r="CB16" s="26">
        <f>股权价值增加表!CB11</f>
        <v>0</v>
      </c>
      <c r="CC16" s="26">
        <f>股权价值增加表!CC11</f>
        <v>0</v>
      </c>
      <c r="CD16" s="26">
        <f>股权价值增加表!CD11</f>
        <v>0</v>
      </c>
      <c r="CE16" s="26">
        <f>股权价值增加表!CE11</f>
        <v>0</v>
      </c>
      <c r="CF16" s="26">
        <f>股权价值增加表!CF11</f>
        <v>0</v>
      </c>
      <c r="CG16" s="26">
        <f>股权价值增加表!CG11</f>
        <v>0</v>
      </c>
      <c r="CH16" s="26">
        <f>股权价值增加表!CH11</f>
        <v>0</v>
      </c>
      <c r="CI16" s="26">
        <f>股权价值增加表!CI11</f>
        <v>0</v>
      </c>
      <c r="CJ16" s="26">
        <f>股权价值增加表!CJ11</f>
        <v>0</v>
      </c>
    </row>
    <row r="17" spans="1:89" s="57" customFormat="1" x14ac:dyDescent="0.25">
      <c r="A17" s="20" t="s">
        <v>669</v>
      </c>
      <c r="E17" s="57">
        <f>E16/E2</f>
        <v>9.2327195275979553E-3</v>
      </c>
      <c r="F17" s="57">
        <f t="shared" ref="F17:BQ17" si="17">F16/F2</f>
        <v>4.063142029450616E-3</v>
      </c>
      <c r="G17" s="57">
        <f t="shared" si="17"/>
        <v>3.4962005837865843E-3</v>
      </c>
      <c r="H17" s="57">
        <f t="shared" si="17"/>
        <v>5.2045312057163963E-4</v>
      </c>
      <c r="I17" s="57">
        <f t="shared" si="17"/>
        <v>8.8434940812911634E-3</v>
      </c>
      <c r="J17" s="57">
        <f t="shared" si="17"/>
        <v>1.120279776677212E-3</v>
      </c>
      <c r="K17" s="57">
        <f t="shared" si="17"/>
        <v>1.6184800163781534E-3</v>
      </c>
      <c r="L17" s="57">
        <f t="shared" si="17"/>
        <v>1.1358418521472244E-4</v>
      </c>
      <c r="M17" s="57">
        <f t="shared" si="17"/>
        <v>4.3425002835726489E-3</v>
      </c>
      <c r="N17" s="57">
        <f t="shared" si="17"/>
        <v>2.1277467942273643E-4</v>
      </c>
      <c r="O17" s="57">
        <f t="shared" si="17"/>
        <v>1.9704679717252264E-4</v>
      </c>
      <c r="P17" s="57">
        <f t="shared" si="17"/>
        <v>-1.0726809286531267E-3</v>
      </c>
      <c r="Q17" s="57">
        <f t="shared" si="17"/>
        <v>2.4201019563935776E-3</v>
      </c>
      <c r="R17" s="57">
        <f t="shared" si="17"/>
        <v>5.3411531596938623E-4</v>
      </c>
      <c r="S17" s="57">
        <f t="shared" si="17"/>
        <v>8.199549909598487E-4</v>
      </c>
      <c r="T17" s="57">
        <f t="shared" si="17"/>
        <v>-7.6435306872158051E-5</v>
      </c>
      <c r="U17" s="57">
        <f t="shared" si="17"/>
        <v>1.4040150525412012E-3</v>
      </c>
      <c r="V17" s="57">
        <f t="shared" si="17"/>
        <v>1.5888414728747375E-5</v>
      </c>
      <c r="W17" s="57">
        <f t="shared" si="17"/>
        <v>5.1581211437745011E-5</v>
      </c>
      <c r="X17" s="57">
        <f t="shared" si="17"/>
        <v>-1.7252013094277937E-5</v>
      </c>
      <c r="Y17" s="57">
        <f t="shared" si="17"/>
        <v>2.8377143944193291E-3</v>
      </c>
      <c r="Z17" s="57">
        <f t="shared" si="17"/>
        <v>3.71302165287248E-3</v>
      </c>
      <c r="AA17" s="57">
        <f t="shared" si="17"/>
        <v>5.2282073954506882E-3</v>
      </c>
      <c r="AB17" s="57">
        <f t="shared" si="17"/>
        <v>6.3303866004334457E-4</v>
      </c>
      <c r="AC17" s="57">
        <f t="shared" si="17"/>
        <v>2.3191281578715263E-3</v>
      </c>
      <c r="AD17" s="57">
        <f t="shared" si="17"/>
        <v>1.5151175776037785E-3</v>
      </c>
      <c r="AE17" s="57">
        <f t="shared" si="17"/>
        <v>2.1990282760007526E-3</v>
      </c>
      <c r="AF17" s="57">
        <f t="shared" si="17"/>
        <v>1.7441011340902993E-3</v>
      </c>
      <c r="AG17" s="57">
        <f t="shared" si="17"/>
        <v>8.0729381731586437E-3</v>
      </c>
      <c r="AH17" s="57">
        <f t="shared" si="17"/>
        <v>1.5319181127777521E-3</v>
      </c>
      <c r="AI17" s="57">
        <f t="shared" si="17"/>
        <v>7.9122456148968047E-4</v>
      </c>
      <c r="AJ17" s="57">
        <f t="shared" si="17"/>
        <v>1.0953677354869479E-3</v>
      </c>
      <c r="AK17" s="57">
        <f t="shared" si="17"/>
        <v>5.5410497140630996E-3</v>
      </c>
      <c r="AL17" s="57">
        <f t="shared" si="17"/>
        <v>6.7043633205290064E-4</v>
      </c>
      <c r="AM17" s="57">
        <f t="shared" si="17"/>
        <v>3.3331772857075979E-4</v>
      </c>
      <c r="AN17" s="57">
        <f t="shared" si="17"/>
        <v>-1.6624012949231139E-4</v>
      </c>
      <c r="AO17" s="57">
        <f t="shared" si="17"/>
        <v>1.1443418880642599E-2</v>
      </c>
      <c r="AP17" s="57">
        <f t="shared" si="17"/>
        <v>1.041662127406643E-2</v>
      </c>
      <c r="AQ17" s="57">
        <f t="shared" si="17"/>
        <v>2.1882651068410672E-2</v>
      </c>
      <c r="AR17" s="57">
        <f t="shared" si="17"/>
        <v>2.7143760730098491E-2</v>
      </c>
      <c r="AS17" s="57">
        <f t="shared" si="17"/>
        <v>6.1900181185432458E-3</v>
      </c>
      <c r="AT17" s="57">
        <f t="shared" si="17"/>
        <v>1.8201179591827408E-3</v>
      </c>
      <c r="AU17" s="57">
        <f t="shared" si="17"/>
        <v>2.7080429758481379E-3</v>
      </c>
      <c r="AV17" s="57">
        <f t="shared" si="17"/>
        <v>0</v>
      </c>
      <c r="AW17" s="57">
        <f t="shared" si="17"/>
        <v>0</v>
      </c>
      <c r="AX17" s="57">
        <f t="shared" si="17"/>
        <v>0</v>
      </c>
      <c r="AY17" s="57">
        <f t="shared" si="17"/>
        <v>0</v>
      </c>
      <c r="AZ17" s="57">
        <f t="shared" si="17"/>
        <v>0</v>
      </c>
      <c r="BA17" s="57">
        <f t="shared" si="17"/>
        <v>0</v>
      </c>
      <c r="BB17" s="57">
        <f t="shared" si="17"/>
        <v>0</v>
      </c>
      <c r="BC17" s="57">
        <f t="shared" si="17"/>
        <v>0</v>
      </c>
      <c r="BD17" s="57">
        <f t="shared" si="17"/>
        <v>0</v>
      </c>
      <c r="BE17" s="57">
        <f t="shared" si="17"/>
        <v>0</v>
      </c>
      <c r="BF17" s="57">
        <f t="shared" si="17"/>
        <v>0</v>
      </c>
      <c r="BG17" s="57">
        <f t="shared" si="17"/>
        <v>0</v>
      </c>
      <c r="BH17" s="57">
        <f t="shared" si="17"/>
        <v>0</v>
      </c>
      <c r="BI17" s="57">
        <f t="shared" si="17"/>
        <v>0</v>
      </c>
      <c r="BJ17" s="57">
        <f t="shared" si="17"/>
        <v>0</v>
      </c>
      <c r="BK17" s="57">
        <f t="shared" si="17"/>
        <v>0</v>
      </c>
      <c r="BL17" s="57">
        <f t="shared" si="17"/>
        <v>0</v>
      </c>
      <c r="BM17" s="57">
        <f t="shared" si="17"/>
        <v>0</v>
      </c>
      <c r="BN17" s="57">
        <f t="shared" si="17"/>
        <v>0</v>
      </c>
      <c r="BO17" s="57">
        <f t="shared" si="17"/>
        <v>0</v>
      </c>
      <c r="BP17" s="57">
        <f t="shared" si="17"/>
        <v>0</v>
      </c>
      <c r="BQ17" s="57">
        <f t="shared" si="17"/>
        <v>0</v>
      </c>
      <c r="BR17" s="57">
        <f t="shared" ref="BR17:CK17" si="18">BR16/BR2</f>
        <v>0</v>
      </c>
      <c r="BS17" s="57">
        <f t="shared" si="18"/>
        <v>0</v>
      </c>
      <c r="BT17" s="57">
        <f t="shared" si="18"/>
        <v>0</v>
      </c>
      <c r="BU17" s="57">
        <f t="shared" si="18"/>
        <v>0</v>
      </c>
      <c r="BV17" s="57" t="e">
        <f t="shared" si="18"/>
        <v>#DIV/0!</v>
      </c>
      <c r="BW17" s="57" t="e">
        <f t="shared" si="18"/>
        <v>#DIV/0!</v>
      </c>
      <c r="BX17" s="57" t="e">
        <f t="shared" si="18"/>
        <v>#DIV/0!</v>
      </c>
      <c r="BY17" s="57" t="e">
        <f t="shared" si="18"/>
        <v>#DIV/0!</v>
      </c>
      <c r="BZ17" s="57" t="e">
        <f t="shared" si="18"/>
        <v>#DIV/0!</v>
      </c>
      <c r="CA17" s="57" t="e">
        <f t="shared" si="18"/>
        <v>#DIV/0!</v>
      </c>
      <c r="CB17" s="57" t="e">
        <f t="shared" si="18"/>
        <v>#DIV/0!</v>
      </c>
      <c r="CC17" s="57" t="e">
        <f t="shared" si="18"/>
        <v>#DIV/0!</v>
      </c>
      <c r="CD17" s="57" t="e">
        <f t="shared" si="18"/>
        <v>#DIV/0!</v>
      </c>
      <c r="CE17" s="57" t="e">
        <f t="shared" si="18"/>
        <v>#DIV/0!</v>
      </c>
      <c r="CF17" s="57" t="e">
        <f t="shared" si="18"/>
        <v>#DIV/0!</v>
      </c>
      <c r="CG17" s="57" t="e">
        <f t="shared" si="18"/>
        <v>#DIV/0!</v>
      </c>
      <c r="CH17" s="57" t="e">
        <f t="shared" si="18"/>
        <v>#DIV/0!</v>
      </c>
      <c r="CI17" s="57" t="e">
        <f t="shared" si="18"/>
        <v>#DIV/0!</v>
      </c>
      <c r="CJ17" s="57" t="e">
        <f t="shared" si="18"/>
        <v>#DIV/0!</v>
      </c>
      <c r="CK17" s="57" t="e">
        <f t="shared" si="18"/>
        <v>#DIV/0!</v>
      </c>
    </row>
    <row r="18" spans="1:89" s="26" customFormat="1" x14ac:dyDescent="0.25">
      <c r="A18" s="128" t="s">
        <v>365</v>
      </c>
      <c r="E18" s="26">
        <f>股权价值增加表!E12</f>
        <v>778000000</v>
      </c>
      <c r="F18" s="26">
        <f>股权价值增加表!F12</f>
        <v>1204</v>
      </c>
      <c r="G18" s="26">
        <f>股权价值增加表!G12</f>
        <v>868</v>
      </c>
      <c r="H18" s="26">
        <f>股权价值增加表!H12</f>
        <v>644</v>
      </c>
      <c r="I18" s="26">
        <f>股权价值增加表!I12</f>
        <v>198000000</v>
      </c>
      <c r="J18" s="26">
        <f>股权价值增加表!J12</f>
        <v>0</v>
      </c>
      <c r="K18" s="26">
        <f>股权价值增加表!K12</f>
        <v>0</v>
      </c>
      <c r="L18" s="26">
        <f>股权价值增加表!L12</f>
        <v>0</v>
      </c>
      <c r="M18" s="26">
        <f>股权价值增加表!M12</f>
        <v>-140000000</v>
      </c>
      <c r="N18" s="26">
        <f>股权价值增加表!N12</f>
        <v>0</v>
      </c>
      <c r="O18" s="26">
        <f>股权价值增加表!O12</f>
        <v>0</v>
      </c>
      <c r="P18" s="26">
        <f>股权价值增加表!P12</f>
        <v>0</v>
      </c>
      <c r="Q18" s="26">
        <f>股权价值增加表!Q12</f>
        <v>-711000000</v>
      </c>
      <c r="R18" s="26">
        <f>股权价值增加表!R12</f>
        <v>0</v>
      </c>
      <c r="S18" s="26">
        <f>股权价值增加表!S12</f>
        <v>0</v>
      </c>
      <c r="T18" s="26">
        <f>股权价值增加表!T12</f>
        <v>0</v>
      </c>
      <c r="U18" s="26">
        <f>股权价值增加表!U12</f>
        <v>-833000000</v>
      </c>
      <c r="V18" s="26">
        <f>股权价值增加表!V12</f>
        <v>0</v>
      </c>
      <c r="W18" s="26">
        <f>股权价值增加表!W12</f>
        <v>0</v>
      </c>
      <c r="X18" s="26">
        <f>股权价值增加表!X12</f>
        <v>0</v>
      </c>
      <c r="Y18" s="26">
        <f>股权价值增加表!Y12</f>
        <v>-852000000</v>
      </c>
      <c r="Z18" s="26">
        <f>股权价值增加表!Z12</f>
        <v>0</v>
      </c>
      <c r="AA18" s="26">
        <f>股权价值增加表!AA12</f>
        <v>0</v>
      </c>
      <c r="AB18" s="26">
        <f>股权价值增加表!AB12</f>
        <v>0</v>
      </c>
      <c r="AC18" s="26">
        <f>股权价值增加表!AC12</f>
        <v>0</v>
      </c>
      <c r="AD18" s="26">
        <f>股权价值增加表!AD12</f>
        <v>0</v>
      </c>
      <c r="AE18" s="26">
        <f>股权价值增加表!AE12</f>
        <v>0</v>
      </c>
      <c r="AF18" s="26">
        <f>股权价值增加表!AF12</f>
        <v>0</v>
      </c>
      <c r="AG18" s="26">
        <f>股权价值增加表!AG12</f>
        <v>0</v>
      </c>
      <c r="AH18" s="26">
        <f>股权价值增加表!AH12</f>
        <v>0</v>
      </c>
      <c r="AI18" s="26">
        <f>股权价值增加表!AI12</f>
        <v>0</v>
      </c>
      <c r="AJ18" s="26">
        <f>股权价值增加表!AJ12</f>
        <v>0</v>
      </c>
      <c r="AK18" s="26">
        <f>股权价值增加表!AK12</f>
        <v>0</v>
      </c>
      <c r="AL18" s="26">
        <f>股权价值增加表!AL12</f>
        <v>0</v>
      </c>
      <c r="AM18" s="26">
        <f>股权价值增加表!AM12</f>
        <v>0</v>
      </c>
      <c r="AN18" s="26">
        <f>股权价值增加表!AN12</f>
        <v>0</v>
      </c>
      <c r="AO18" s="26">
        <f>股权价值增加表!AO12</f>
        <v>0</v>
      </c>
      <c r="AP18" s="26">
        <f>股权价值增加表!AP12</f>
        <v>0</v>
      </c>
      <c r="AQ18" s="26">
        <f>股权价值增加表!AQ12</f>
        <v>0</v>
      </c>
      <c r="AR18" s="26">
        <f>股权价值增加表!AR12</f>
        <v>0</v>
      </c>
      <c r="AS18" s="26">
        <f>股权价值增加表!AS12</f>
        <v>0</v>
      </c>
      <c r="AT18" s="26">
        <f>股权价值增加表!AT12</f>
        <v>0</v>
      </c>
      <c r="AU18" s="26">
        <f>股权价值增加表!AU12</f>
        <v>0</v>
      </c>
      <c r="AV18" s="26">
        <f>股权价值增加表!AV12</f>
        <v>0</v>
      </c>
      <c r="AW18" s="26">
        <f>股权价值增加表!AW12</f>
        <v>0</v>
      </c>
      <c r="AX18" s="26">
        <f>股权价值增加表!AX12</f>
        <v>0</v>
      </c>
      <c r="AY18" s="26">
        <f>股权价值增加表!AY12</f>
        <v>0</v>
      </c>
      <c r="AZ18" s="26">
        <f>股权价值增加表!AZ12</f>
        <v>0</v>
      </c>
      <c r="BA18" s="26">
        <f>股权价值增加表!BA12</f>
        <v>0</v>
      </c>
      <c r="BB18" s="26">
        <f>股权价值增加表!BB12</f>
        <v>0</v>
      </c>
      <c r="BC18" s="26">
        <f>股权价值增加表!BC12</f>
        <v>0</v>
      </c>
      <c r="BD18" s="26">
        <f>股权价值增加表!BD12</f>
        <v>0</v>
      </c>
      <c r="BE18" s="26">
        <f>股权价值增加表!BE12</f>
        <v>0</v>
      </c>
      <c r="BF18" s="26">
        <f>股权价值增加表!BF12</f>
        <v>0</v>
      </c>
      <c r="BG18" s="26">
        <f>股权价值增加表!BG12</f>
        <v>0</v>
      </c>
      <c r="BH18" s="26">
        <f>股权价值增加表!BH12</f>
        <v>0</v>
      </c>
      <c r="BI18" s="26">
        <f>股权价值增加表!BI12</f>
        <v>0</v>
      </c>
      <c r="BJ18" s="26">
        <f>股权价值增加表!BJ12</f>
        <v>0</v>
      </c>
      <c r="BK18" s="26">
        <f>股权价值增加表!BK12</f>
        <v>0</v>
      </c>
      <c r="BL18" s="26">
        <f>股权价值增加表!BL12</f>
        <v>0</v>
      </c>
      <c r="BM18" s="26">
        <f>股权价值增加表!BM12</f>
        <v>0</v>
      </c>
      <c r="BN18" s="26">
        <f>股权价值增加表!BN12</f>
        <v>0</v>
      </c>
      <c r="BO18" s="26">
        <f>股权价值增加表!BO12</f>
        <v>0</v>
      </c>
      <c r="BP18" s="26">
        <f>股权价值增加表!BP12</f>
        <v>0</v>
      </c>
      <c r="BQ18" s="26">
        <f>股权价值增加表!BQ12</f>
        <v>0</v>
      </c>
      <c r="BR18" s="26">
        <f>股权价值增加表!BR12</f>
        <v>0</v>
      </c>
      <c r="BS18" s="26">
        <f>股权价值增加表!BS12</f>
        <v>0</v>
      </c>
      <c r="BT18" s="26">
        <f>股权价值增加表!BT12</f>
        <v>0</v>
      </c>
      <c r="BU18" s="26">
        <f>股权价值增加表!BU12</f>
        <v>0</v>
      </c>
      <c r="BV18" s="26">
        <f>股权价值增加表!BV12</f>
        <v>0</v>
      </c>
      <c r="BW18" s="26">
        <f>股权价值增加表!BW12</f>
        <v>0</v>
      </c>
      <c r="BX18" s="26">
        <f>股权价值增加表!BX12</f>
        <v>0</v>
      </c>
      <c r="BY18" s="26">
        <f>股权价值增加表!BY12</f>
        <v>0</v>
      </c>
      <c r="BZ18" s="26">
        <f>股权价值增加表!BZ12</f>
        <v>0</v>
      </c>
      <c r="CA18" s="26">
        <f>股权价值增加表!CA12</f>
        <v>0</v>
      </c>
      <c r="CB18" s="26">
        <f>股权价值增加表!CB12</f>
        <v>0</v>
      </c>
      <c r="CC18" s="26">
        <f>股权价值增加表!CC12</f>
        <v>0</v>
      </c>
      <c r="CD18" s="26">
        <f>股权价值增加表!CD12</f>
        <v>0</v>
      </c>
      <c r="CE18" s="26">
        <f>股权价值增加表!CE12</f>
        <v>0</v>
      </c>
      <c r="CF18" s="26">
        <f>股权价值增加表!CF12</f>
        <v>0</v>
      </c>
      <c r="CG18" s="26">
        <f>股权价值增加表!CG12</f>
        <v>0</v>
      </c>
      <c r="CH18" s="26">
        <f>股权价值增加表!CH12</f>
        <v>0</v>
      </c>
      <c r="CI18" s="26">
        <f>股权价值增加表!CI12</f>
        <v>0</v>
      </c>
      <c r="CJ18" s="26">
        <f>股权价值增加表!CJ12</f>
        <v>0</v>
      </c>
      <c r="CK18" s="26">
        <f>股权价值增加表!CK12</f>
        <v>0</v>
      </c>
    </row>
    <row r="19" spans="1:89" s="57" customFormat="1" x14ac:dyDescent="0.25">
      <c r="A19" s="20" t="s">
        <v>366</v>
      </c>
      <c r="E19" s="57">
        <f>E18/E2</f>
        <v>3.2963405958749985E-4</v>
      </c>
      <c r="F19" s="57">
        <f t="shared" ref="F19:BQ19" si="19">F18/F2</f>
        <v>6.8998914012109191E-10</v>
      </c>
      <c r="G19" s="57">
        <f t="shared" si="19"/>
        <v>7.4452946681225595E-10</v>
      </c>
      <c r="H19" s="57">
        <f t="shared" si="19"/>
        <v>1.1061775895978083E-9</v>
      </c>
      <c r="I19" s="57">
        <f t="shared" si="19"/>
        <v>1.0254227149775416E-4</v>
      </c>
      <c r="J19" s="57">
        <f t="shared" si="19"/>
        <v>0</v>
      </c>
      <c r="K19" s="57">
        <f t="shared" si="19"/>
        <v>0</v>
      </c>
      <c r="L19" s="57">
        <f t="shared" si="19"/>
        <v>0</v>
      </c>
      <c r="M19" s="57">
        <f t="shared" si="19"/>
        <v>-6.9345276571252521E-5</v>
      </c>
      <c r="N19" s="57">
        <f t="shared" si="19"/>
        <v>0</v>
      </c>
      <c r="O19" s="57">
        <f t="shared" si="19"/>
        <v>0</v>
      </c>
      <c r="P19" s="57">
        <f t="shared" si="19"/>
        <v>0</v>
      </c>
      <c r="Q19" s="57">
        <f t="shared" si="19"/>
        <v>-2.5160001330542966E-4</v>
      </c>
      <c r="R19" s="57">
        <f t="shared" si="19"/>
        <v>0</v>
      </c>
      <c r="S19" s="57">
        <f t="shared" si="19"/>
        <v>0</v>
      </c>
      <c r="T19" s="57">
        <f t="shared" si="19"/>
        <v>0</v>
      </c>
      <c r="U19" s="57">
        <f t="shared" si="19"/>
        <v>-2.8920488100069752E-4</v>
      </c>
      <c r="V19" s="57">
        <f t="shared" si="19"/>
        <v>0</v>
      </c>
      <c r="W19" s="57">
        <f t="shared" si="19"/>
        <v>0</v>
      </c>
      <c r="X19" s="57">
        <f t="shared" si="19"/>
        <v>0</v>
      </c>
      <c r="Y19" s="57">
        <f t="shared" si="19"/>
        <v>-3.0580984872821508E-4</v>
      </c>
      <c r="Z19" s="57">
        <f t="shared" si="19"/>
        <v>0</v>
      </c>
      <c r="AA19" s="57">
        <f t="shared" si="19"/>
        <v>0</v>
      </c>
      <c r="AB19" s="57">
        <f t="shared" si="19"/>
        <v>0</v>
      </c>
      <c r="AC19" s="57">
        <f t="shared" si="19"/>
        <v>0</v>
      </c>
      <c r="AD19" s="57">
        <f t="shared" si="19"/>
        <v>0</v>
      </c>
      <c r="AE19" s="57">
        <f t="shared" si="19"/>
        <v>0</v>
      </c>
      <c r="AF19" s="57">
        <f t="shared" si="19"/>
        <v>0</v>
      </c>
      <c r="AG19" s="57">
        <f t="shared" si="19"/>
        <v>0</v>
      </c>
      <c r="AH19" s="57">
        <f t="shared" si="19"/>
        <v>0</v>
      </c>
      <c r="AI19" s="57">
        <f t="shared" si="19"/>
        <v>0</v>
      </c>
      <c r="AJ19" s="57">
        <f t="shared" si="19"/>
        <v>0</v>
      </c>
      <c r="AK19" s="57">
        <f t="shared" si="19"/>
        <v>0</v>
      </c>
      <c r="AL19" s="57">
        <f t="shared" si="19"/>
        <v>0</v>
      </c>
      <c r="AM19" s="57">
        <f t="shared" si="19"/>
        <v>0</v>
      </c>
      <c r="AN19" s="57">
        <f t="shared" si="19"/>
        <v>0</v>
      </c>
      <c r="AO19" s="57">
        <f t="shared" si="19"/>
        <v>0</v>
      </c>
      <c r="AP19" s="57">
        <f t="shared" si="19"/>
        <v>0</v>
      </c>
      <c r="AQ19" s="57">
        <f t="shared" si="19"/>
        <v>0</v>
      </c>
      <c r="AR19" s="57">
        <f t="shared" si="19"/>
        <v>0</v>
      </c>
      <c r="AS19" s="57">
        <f t="shared" si="19"/>
        <v>0</v>
      </c>
      <c r="AT19" s="57">
        <f t="shared" si="19"/>
        <v>0</v>
      </c>
      <c r="AU19" s="57">
        <f t="shared" si="19"/>
        <v>0</v>
      </c>
      <c r="AV19" s="57">
        <f t="shared" si="19"/>
        <v>0</v>
      </c>
      <c r="AW19" s="57">
        <f t="shared" si="19"/>
        <v>0</v>
      </c>
      <c r="AX19" s="57">
        <f t="shared" si="19"/>
        <v>0</v>
      </c>
      <c r="AY19" s="57">
        <f t="shared" si="19"/>
        <v>0</v>
      </c>
      <c r="AZ19" s="57">
        <f t="shared" si="19"/>
        <v>0</v>
      </c>
      <c r="BA19" s="57">
        <f t="shared" si="19"/>
        <v>0</v>
      </c>
      <c r="BB19" s="57">
        <f t="shared" si="19"/>
        <v>0</v>
      </c>
      <c r="BC19" s="57">
        <f t="shared" si="19"/>
        <v>0</v>
      </c>
      <c r="BD19" s="57">
        <f t="shared" si="19"/>
        <v>0</v>
      </c>
      <c r="BE19" s="57">
        <f t="shared" si="19"/>
        <v>0</v>
      </c>
      <c r="BF19" s="57">
        <f t="shared" si="19"/>
        <v>0</v>
      </c>
      <c r="BG19" s="57">
        <f t="shared" si="19"/>
        <v>0</v>
      </c>
      <c r="BH19" s="57">
        <f t="shared" si="19"/>
        <v>0</v>
      </c>
      <c r="BI19" s="57">
        <f t="shared" si="19"/>
        <v>0</v>
      </c>
      <c r="BJ19" s="57">
        <f t="shared" si="19"/>
        <v>0</v>
      </c>
      <c r="BK19" s="57">
        <f t="shared" si="19"/>
        <v>0</v>
      </c>
      <c r="BL19" s="57">
        <f t="shared" si="19"/>
        <v>0</v>
      </c>
      <c r="BM19" s="57">
        <f t="shared" si="19"/>
        <v>0</v>
      </c>
      <c r="BN19" s="57">
        <f t="shared" si="19"/>
        <v>0</v>
      </c>
      <c r="BO19" s="57">
        <f t="shared" si="19"/>
        <v>0</v>
      </c>
      <c r="BP19" s="57">
        <f t="shared" si="19"/>
        <v>0</v>
      </c>
      <c r="BQ19" s="57">
        <f t="shared" si="19"/>
        <v>0</v>
      </c>
      <c r="BR19" s="57">
        <f t="shared" ref="BR19:CK19" si="20">BR18/BR2</f>
        <v>0</v>
      </c>
      <c r="BS19" s="57">
        <f t="shared" si="20"/>
        <v>0</v>
      </c>
      <c r="BT19" s="57">
        <f t="shared" si="20"/>
        <v>0</v>
      </c>
      <c r="BU19" s="57">
        <f t="shared" si="20"/>
        <v>0</v>
      </c>
      <c r="BV19" s="57" t="e">
        <f t="shared" si="20"/>
        <v>#DIV/0!</v>
      </c>
      <c r="BW19" s="57" t="e">
        <f t="shared" si="20"/>
        <v>#DIV/0!</v>
      </c>
      <c r="BX19" s="57" t="e">
        <f t="shared" si="20"/>
        <v>#DIV/0!</v>
      </c>
      <c r="BY19" s="57" t="e">
        <f t="shared" si="20"/>
        <v>#DIV/0!</v>
      </c>
      <c r="BZ19" s="57" t="e">
        <f t="shared" si="20"/>
        <v>#DIV/0!</v>
      </c>
      <c r="CA19" s="57" t="e">
        <f t="shared" si="20"/>
        <v>#DIV/0!</v>
      </c>
      <c r="CB19" s="57" t="e">
        <f t="shared" si="20"/>
        <v>#DIV/0!</v>
      </c>
      <c r="CC19" s="57" t="e">
        <f t="shared" si="20"/>
        <v>#DIV/0!</v>
      </c>
      <c r="CD19" s="57" t="e">
        <f t="shared" si="20"/>
        <v>#DIV/0!</v>
      </c>
      <c r="CE19" s="57" t="e">
        <f t="shared" si="20"/>
        <v>#DIV/0!</v>
      </c>
      <c r="CF19" s="57" t="e">
        <f t="shared" si="20"/>
        <v>#DIV/0!</v>
      </c>
      <c r="CG19" s="57" t="e">
        <f t="shared" si="20"/>
        <v>#DIV/0!</v>
      </c>
      <c r="CH19" s="57" t="e">
        <f t="shared" si="20"/>
        <v>#DIV/0!</v>
      </c>
      <c r="CI19" s="57" t="e">
        <f t="shared" si="20"/>
        <v>#DIV/0!</v>
      </c>
      <c r="CJ19" s="57" t="e">
        <f t="shared" si="20"/>
        <v>#DIV/0!</v>
      </c>
      <c r="CK19" s="57" t="e">
        <f t="shared" si="20"/>
        <v>#DIV/0!</v>
      </c>
    </row>
    <row r="20" spans="1:89" s="26" customFormat="1" x14ac:dyDescent="0.25">
      <c r="A20" s="128" t="s">
        <v>367</v>
      </c>
      <c r="E20" s="26">
        <f>股权价值增加表!E13-股权价值增加表!E14</f>
        <v>-392000000</v>
      </c>
      <c r="F20" s="26">
        <f>股权价值增加表!F13-股权价值增加表!F14</f>
        <v>-497000000</v>
      </c>
      <c r="G20" s="26">
        <f>股权价值增加表!G13-股权价值增加表!G14</f>
        <v>17000000</v>
      </c>
      <c r="H20" s="26">
        <f>股权价值增加表!H13-股权价值增加表!H14</f>
        <v>84000000</v>
      </c>
      <c r="I20" s="26">
        <f>股权价值增加表!I13-股权价值增加表!I14</f>
        <v>1001000000</v>
      </c>
      <c r="J20" s="26">
        <f>股权价值增加表!J13-股权价值增加表!J14</f>
        <v>753000000</v>
      </c>
      <c r="K20" s="26">
        <f>股权价值增加表!K13-股权价值增加表!K14</f>
        <v>482000000</v>
      </c>
      <c r="L20" s="26">
        <f>股权价值增加表!L13-股权价值增加表!L14</f>
        <v>-108000000</v>
      </c>
      <c r="M20" s="26">
        <f>股权价值增加表!M13-股权价值增加表!M14</f>
        <v>3878000000</v>
      </c>
      <c r="N20" s="26">
        <f>股权价值增加表!N13-股权价值增加表!N14</f>
        <v>1687000000</v>
      </c>
      <c r="O20" s="26">
        <f>股权价值增加表!O13-股权价值增加表!O14</f>
        <v>932000000</v>
      </c>
      <c r="P20" s="26">
        <f>股权价值增加表!P13-股权价值增加表!P14</f>
        <v>472000000</v>
      </c>
      <c r="Q20" s="26">
        <f>股权价值增加表!Q13-股权价值增加表!Q14</f>
        <v>1000000000</v>
      </c>
      <c r="R20" s="26">
        <f>股权价值增加表!R13-股权价值增加表!R14</f>
        <v>18000000</v>
      </c>
      <c r="S20" s="26">
        <f>股权价值增加表!S13-股权价值增加表!S14</f>
        <v>-230000000</v>
      </c>
      <c r="T20" s="26">
        <f>股权价值增加表!T13-股权价值增加表!T14</f>
        <v>-23000000</v>
      </c>
      <c r="U20" s="26">
        <f>股权价值增加表!U13-股权价值增加表!U14</f>
        <v>529000000</v>
      </c>
      <c r="V20" s="26">
        <f>股权价值增加表!V13-股权价值增加表!V14</f>
        <v>359000000</v>
      </c>
      <c r="W20" s="26">
        <f>股权价值增加表!W13-股权价值增加表!W14</f>
        <v>279000000</v>
      </c>
      <c r="X20" s="26">
        <f>股权价值增加表!X13-股权价值增加表!X14</f>
        <v>-97000000</v>
      </c>
      <c r="Y20" s="26">
        <f>股权价值增加表!Y13-股权价值增加表!Y14</f>
        <v>2181000000</v>
      </c>
      <c r="Z20" s="26">
        <f>股权价值增加表!Z13-股权价值增加表!Z14</f>
        <v>1158000000</v>
      </c>
      <c r="AA20" s="26">
        <f>股权价值增加表!AA13-股权价值增加表!AA14</f>
        <v>775000000</v>
      </c>
      <c r="AB20" s="26">
        <f>股权价值增加表!AB13-股权价值增加表!AB14</f>
        <v>-84000000</v>
      </c>
      <c r="AC20" s="26">
        <f>股权价值增加表!AC13-股权价值增加表!AC14</f>
        <v>1672000000</v>
      </c>
      <c r="AD20" s="26">
        <f>股权价值增加表!AD13-股权价值增加表!AD14</f>
        <v>628000000</v>
      </c>
      <c r="AE20" s="26">
        <f>股权价值增加表!AE13-股权价值增加表!AE14</f>
        <v>518000000</v>
      </c>
      <c r="AF20" s="26">
        <f>股权价值增加表!AF13-股权价值增加表!AF14</f>
        <v>-73000000</v>
      </c>
      <c r="AG20" s="26">
        <f>股权价值增加表!AG13-股权价值增加表!AG14</f>
        <v>826000000</v>
      </c>
      <c r="AH20" s="26">
        <f>股权价值增加表!AH13-股权价值增加表!AH14</f>
        <v>464000000</v>
      </c>
      <c r="AI20" s="26">
        <f>股权价值增加表!AI13-股权价值增加表!AI14</f>
        <v>349000000</v>
      </c>
      <c r="AJ20" s="26">
        <f>股权价值增加表!AJ13-股权价值增加表!AJ14</f>
        <v>246000000</v>
      </c>
      <c r="AK20" s="26">
        <f>股权价值增加表!AK13-股权价值增加表!AK14</f>
        <v>-126000000</v>
      </c>
      <c r="AL20" s="26">
        <f>股权价值增加表!AL13-股权价值增加表!AL14</f>
        <v>-313000000</v>
      </c>
      <c r="AM20" s="26">
        <f>股权价值增加表!AM13-股权价值增加表!AM14</f>
        <v>-231000000</v>
      </c>
      <c r="AN20" s="26">
        <f>股权价值增加表!AN13-股权价值增加表!AN14</f>
        <v>-47000000</v>
      </c>
      <c r="AO20" s="26">
        <f>股权价值增加表!AO13-股权价值增加表!AO14</f>
        <v>50292000000</v>
      </c>
      <c r="AP20" s="26">
        <f>股权价值增加表!AP13-股权价值增加表!AP14</f>
        <v>44978000000</v>
      </c>
      <c r="AQ20" s="26">
        <f>股权价值增加表!AQ13-股权价值增加表!AQ14</f>
        <v>33300000000</v>
      </c>
      <c r="AR20" s="26">
        <f>股权价值增加表!AR13-股权价值增加表!AR14</f>
        <v>7269000000</v>
      </c>
      <c r="AS20" s="26">
        <f>股权价值增加表!AS13-股权价值增加表!AS14</f>
        <v>4769000000</v>
      </c>
      <c r="AT20" s="26">
        <f>股权价值增加表!AT13-股权价值增加表!AT14</f>
        <v>-684000000</v>
      </c>
      <c r="AU20" s="26">
        <f>股权价值增加表!AU13-股权价值增加表!AU14</f>
        <v>-580000000</v>
      </c>
      <c r="AV20" s="26">
        <f>股权价值增加表!AV13-股权价值增加表!AV14</f>
        <v>-116000000</v>
      </c>
      <c r="AW20" s="26">
        <f>股权价值增加表!AW13-股权价值增加表!AW14</f>
        <v>-3087000000</v>
      </c>
      <c r="AX20" s="26">
        <f>股权价值增加表!AX13-股权价值增加表!AX14</f>
        <v>-824000000</v>
      </c>
      <c r="AY20" s="26">
        <f>股权价值增加表!AY13-股权价值增加表!AY14</f>
        <v>-542000000</v>
      </c>
      <c r="AZ20" s="26">
        <f>股权价值增加表!AZ13-股权价值增加表!AZ14</f>
        <v>-199000000</v>
      </c>
      <c r="BA20" s="26">
        <f>股权价值增加表!BA13-股权价值增加表!BA14</f>
        <v>-5602000000</v>
      </c>
      <c r="BB20" s="26">
        <f>股权价值增加表!BB13-股权价值增加表!BB14</f>
        <v>-1655000000</v>
      </c>
      <c r="BC20" s="26">
        <f>股权价值增加表!BC13-股权价值增加表!BC14</f>
        <v>-976000000</v>
      </c>
      <c r="BD20" s="26">
        <f>股权价值增加表!BD13-股权价值增加表!BD14</f>
        <v>-337000000</v>
      </c>
      <c r="BE20" s="26">
        <f>股权价值增加表!BE13-股权价值增加表!BE14</f>
        <v>-10506000000</v>
      </c>
      <c r="BF20" s="26">
        <f>股权价值增加表!BF13-股权价值增加表!BF14</f>
        <v>-8568000000</v>
      </c>
      <c r="BG20" s="26">
        <f>股权价值增加表!BG13-股权价值增加表!BG14</f>
        <v>-4771000000</v>
      </c>
      <c r="BH20" s="26">
        <f>股权价值增加表!BH13-股权价值增加表!BH14</f>
        <v>-1518000000</v>
      </c>
      <c r="BI20" s="26">
        <f>股权价值增加表!BI13-股权价值增加表!BI14</f>
        <v>-6042000000</v>
      </c>
      <c r="BJ20" s="26">
        <f>股权价值增加表!BJ13-股权价值增加表!BJ14</f>
        <v>-3244000000</v>
      </c>
      <c r="BK20" s="26">
        <f>股权价值增加表!BK13-股权价值增加表!BK14</f>
        <v>-680000000</v>
      </c>
      <c r="BL20" s="26">
        <f>股权价值增加表!BL13-股权价值增加表!BL14</f>
        <v>-238000000</v>
      </c>
      <c r="BM20" s="26">
        <f>股权价值增加表!BM13-股权价值增加表!BM14</f>
        <v>-1310000000</v>
      </c>
      <c r="BN20" s="26">
        <f>股权价值增加表!BN13-股权价值增加表!BN14</f>
        <v>-326000000</v>
      </c>
      <c r="BO20" s="26">
        <f>股权价值增加表!BO13-股权价值增加表!BO14</f>
        <v>-201000000</v>
      </c>
      <c r="BP20" s="26">
        <f>股权价值增加表!BP13-股权价值增加表!BP14</f>
        <v>-113000000</v>
      </c>
      <c r="BQ20" s="26">
        <f>股权价值增加表!BQ13-股权价值增加表!BQ14</f>
        <v>-2739000000</v>
      </c>
      <c r="BR20" s="26">
        <f>股权价值增加表!BR13-股权价值增加表!BR14</f>
        <v>-1648000000</v>
      </c>
      <c r="BS20" s="26">
        <f>股权价值增加表!BS13-股权价值增加表!BS14</f>
        <v>-442000000</v>
      </c>
      <c r="BT20" s="26">
        <f>股权价值增加表!BT13-股权价值增加表!BT14</f>
        <v>-329000000</v>
      </c>
      <c r="BU20" s="26">
        <f>股权价值增加表!BU13-股权价值增加表!BU14</f>
        <v>-1557000000</v>
      </c>
      <c r="BV20" s="26">
        <f>股权价值增加表!BV13-股权价值增加表!BV14</f>
        <v>0</v>
      </c>
      <c r="BW20" s="26">
        <f>股权价值增加表!BW13-股权价值增加表!BW14</f>
        <v>0</v>
      </c>
      <c r="BX20" s="26">
        <f>股权价值增加表!BX13-股权价值增加表!BX14</f>
        <v>0</v>
      </c>
      <c r="BY20" s="26">
        <f>股权价值增加表!BY13-股权价值增加表!BY14</f>
        <v>0</v>
      </c>
      <c r="BZ20" s="26">
        <f>股权价值增加表!BZ13-股权价值增加表!BZ14</f>
        <v>0</v>
      </c>
      <c r="CA20" s="26">
        <f>股权价值增加表!CA13-股权价值增加表!CA14</f>
        <v>0</v>
      </c>
      <c r="CB20" s="26">
        <f>股权价值增加表!CB13-股权价值增加表!CB14</f>
        <v>0</v>
      </c>
      <c r="CC20" s="26">
        <f>股权价值增加表!CC13-股权价值增加表!CC14</f>
        <v>0</v>
      </c>
      <c r="CD20" s="26">
        <f>股权价值增加表!CD13-股权价值增加表!CD14</f>
        <v>0</v>
      </c>
      <c r="CE20" s="26">
        <f>股权价值增加表!CE13-股权价值增加表!CE14</f>
        <v>0</v>
      </c>
      <c r="CF20" s="26">
        <f>股权价值增加表!CF13-股权价值增加表!CF14</f>
        <v>0</v>
      </c>
      <c r="CG20" s="26">
        <f>股权价值增加表!CG13-股权价值增加表!CG14</f>
        <v>0</v>
      </c>
      <c r="CH20" s="26">
        <f>股权价值增加表!CH13-股权价值增加表!CH14</f>
        <v>0</v>
      </c>
      <c r="CI20" s="26">
        <f>股权价值增加表!CI13-股权价值增加表!CI14</f>
        <v>0</v>
      </c>
      <c r="CJ20" s="26">
        <f>股权价值增加表!CJ13-股权价值增加表!CJ14</f>
        <v>0</v>
      </c>
    </row>
    <row r="21" spans="1:89" s="57" customFormat="1" x14ac:dyDescent="0.25">
      <c r="A21" s="20" t="s">
        <v>368</v>
      </c>
      <c r="E21" s="57">
        <f>E20/E2</f>
        <v>-1.6608811228573258E-4</v>
      </c>
      <c r="F21" s="57">
        <f t="shared" ref="F21:BQ21" si="21">F20/F2</f>
        <v>-2.8482109853835775E-4</v>
      </c>
      <c r="G21" s="57">
        <f t="shared" si="21"/>
        <v>1.458179831314326E-5</v>
      </c>
      <c r="H21" s="57">
        <f t="shared" si="21"/>
        <v>1.4428403342580108E-4</v>
      </c>
      <c r="I21" s="57">
        <f t="shared" si="21"/>
        <v>5.1840815034975721E-4</v>
      </c>
      <c r="J21" s="57">
        <f t="shared" si="21"/>
        <v>5.5207504701435906E-4</v>
      </c>
      <c r="K21" s="57">
        <f t="shared" si="21"/>
        <v>5.4821318896294444E-4</v>
      </c>
      <c r="L21" s="57">
        <f t="shared" si="21"/>
        <v>-2.6100195751468138E-4</v>
      </c>
      <c r="M21" s="57">
        <f t="shared" si="21"/>
        <v>1.9208641610236948E-3</v>
      </c>
      <c r="N21" s="57">
        <f t="shared" si="21"/>
        <v>1.0977091259515486E-3</v>
      </c>
      <c r="O21" s="57">
        <f t="shared" si="21"/>
        <v>8.958420242184932E-4</v>
      </c>
      <c r="P21" s="57">
        <f t="shared" si="21"/>
        <v>9.8695009419936803E-4</v>
      </c>
      <c r="Q21" s="57">
        <f t="shared" si="21"/>
        <v>3.538678105561599E-4</v>
      </c>
      <c r="R21" s="57">
        <f t="shared" si="21"/>
        <v>8.5080315818132319E-6</v>
      </c>
      <c r="S21" s="57">
        <f t="shared" si="21"/>
        <v>-1.695950071229903E-4</v>
      </c>
      <c r="T21" s="57">
        <f t="shared" si="21"/>
        <v>-3.5877797103257859E-5</v>
      </c>
      <c r="U21" s="57">
        <f t="shared" si="21"/>
        <v>1.8366072274834212E-4</v>
      </c>
      <c r="V21" s="57">
        <f t="shared" si="21"/>
        <v>1.6776296728295023E-4</v>
      </c>
      <c r="W21" s="57">
        <f t="shared" si="21"/>
        <v>1.971391505634364E-4</v>
      </c>
      <c r="X21" s="57">
        <f t="shared" si="21"/>
        <v>-1.3945377251208002E-4</v>
      </c>
      <c r="Y21" s="57">
        <f t="shared" si="21"/>
        <v>7.8283014093455058E-4</v>
      </c>
      <c r="Z21" s="57">
        <f t="shared" si="21"/>
        <v>5.7191794014715774E-4</v>
      </c>
      <c r="AA21" s="57">
        <f t="shared" si="21"/>
        <v>5.7489510946002889E-4</v>
      </c>
      <c r="AB21" s="57">
        <f t="shared" si="21"/>
        <v>-1.2511822927915514E-4</v>
      </c>
      <c r="AC21" s="57">
        <f t="shared" si="21"/>
        <v>6.6728313198437315E-4</v>
      </c>
      <c r="AD21" s="57">
        <f t="shared" si="21"/>
        <v>3.3491511395113442E-4</v>
      </c>
      <c r="AE21" s="57">
        <f t="shared" si="21"/>
        <v>4.200208875252175E-4</v>
      </c>
      <c r="AF21" s="57">
        <f t="shared" si="21"/>
        <v>-1.2397213513981679E-4</v>
      </c>
      <c r="AG21" s="57">
        <f t="shared" si="21"/>
        <v>4.3174146526571964E-4</v>
      </c>
      <c r="AH21" s="57">
        <f t="shared" si="21"/>
        <v>3.2501600563734657E-4</v>
      </c>
      <c r="AI21" s="57">
        <f t="shared" si="21"/>
        <v>3.7265502288785221E-4</v>
      </c>
      <c r="AJ21" s="57">
        <f t="shared" si="21"/>
        <v>5.6137596443706084E-4</v>
      </c>
      <c r="AK21" s="57">
        <f t="shared" si="21"/>
        <v>-9.3676675697296457E-5</v>
      </c>
      <c r="AL21" s="57">
        <f t="shared" si="21"/>
        <v>-3.5032816683231707E-4</v>
      </c>
      <c r="AM21" s="57">
        <f t="shared" si="21"/>
        <v>-4.3256401853845796E-4</v>
      </c>
      <c r="AN21" s="57">
        <f t="shared" si="21"/>
        <v>-2.056127917404904E-4</v>
      </c>
      <c r="AO21" s="57">
        <f t="shared" si="21"/>
        <v>3.4633954525201759E-2</v>
      </c>
      <c r="AP21" s="57">
        <f t="shared" si="21"/>
        <v>3.9200032769825963E-2</v>
      </c>
      <c r="AQ21" s="57">
        <f t="shared" si="21"/>
        <v>4.531950249257264E-2</v>
      </c>
      <c r="AR21" s="57">
        <f t="shared" si="21"/>
        <v>2.1893918857865728E-2</v>
      </c>
      <c r="AS21" s="57">
        <f t="shared" si="21"/>
        <v>3.9581920631982757E-3</v>
      </c>
      <c r="AT21" s="57">
        <f t="shared" si="21"/>
        <v>-7.8151957569428418E-4</v>
      </c>
      <c r="AU21" s="57">
        <f t="shared" si="21"/>
        <v>-1.0232344794735635E-3</v>
      </c>
      <c r="AV21" s="57">
        <f t="shared" si="21"/>
        <v>-4.2496446417842644E-4</v>
      </c>
      <c r="AW21" s="57">
        <f t="shared" si="21"/>
        <v>-2.9552575726680317E-3</v>
      </c>
      <c r="AX21" s="57">
        <f t="shared" si="21"/>
        <v>-1.0910742446892888E-3</v>
      </c>
      <c r="AY21" s="57">
        <f t="shared" si="21"/>
        <v>-1.1245093238835822E-3</v>
      </c>
      <c r="AZ21" s="57">
        <f t="shared" si="21"/>
        <v>-8.9358281806384407E-4</v>
      </c>
      <c r="BA21" s="57">
        <f t="shared" si="21"/>
        <v>-7.0102550946985103E-3</v>
      </c>
      <c r="BB21" s="57">
        <f t="shared" si="21"/>
        <v>-2.8683339399296348E-3</v>
      </c>
      <c r="BC21" s="57">
        <f t="shared" si="21"/>
        <v>-2.7167861755667392E-3</v>
      </c>
      <c r="BD21" s="57">
        <f t="shared" si="21"/>
        <v>-1.9936109796497869E-3</v>
      </c>
      <c r="BE21" s="57">
        <f t="shared" si="21"/>
        <v>-1.7787725690446843E-2</v>
      </c>
      <c r="BF21" s="57">
        <f t="shared" si="21"/>
        <v>-2.0512574964986412E-2</v>
      </c>
      <c r="BG21" s="57">
        <f t="shared" si="21"/>
        <v>-1.7955733528032546E-2</v>
      </c>
      <c r="BH21" s="57">
        <f t="shared" si="21"/>
        <v>-1.2292493319297109E-2</v>
      </c>
      <c r="BI21" s="57">
        <f t="shared" si="21"/>
        <v>-1.4482575127459605E-2</v>
      </c>
      <c r="BJ21" s="57">
        <f t="shared" si="21"/>
        <v>-1.0789524449381699E-2</v>
      </c>
      <c r="BK21" s="57">
        <f t="shared" si="21"/>
        <v>-3.4900072879563955E-3</v>
      </c>
      <c r="BL21" s="57">
        <f t="shared" si="21"/>
        <v>-2.4157776672520019E-3</v>
      </c>
      <c r="BM21" s="57">
        <f t="shared" si="21"/>
        <v>-4.0409150359055354E-3</v>
      </c>
      <c r="BN21" s="57">
        <f t="shared" si="21"/>
        <v>-1.441310797009501E-3</v>
      </c>
      <c r="BO21" s="57">
        <f t="shared" si="21"/>
        <v>-1.4293028415393804E-3</v>
      </c>
      <c r="BP21" s="57">
        <f t="shared" si="21"/>
        <v>-1.7937931581871577E-3</v>
      </c>
      <c r="BQ21" s="57">
        <f t="shared" si="21"/>
        <v>-8.9995958560458948E-3</v>
      </c>
      <c r="BR21" s="57">
        <f t="shared" ref="BR21:CK21" si="22">BR20/BR2</f>
        <v>-1.0279825841785497E-2</v>
      </c>
      <c r="BS21" s="57">
        <f t="shared" si="22"/>
        <v>-1.36870920193725E-3</v>
      </c>
      <c r="BT21" s="57">
        <f t="shared" si="22"/>
        <v>-1.4239527022640414E-3</v>
      </c>
      <c r="BU21" s="57">
        <f t="shared" si="22"/>
        <v>-8.1852591735884772E-3</v>
      </c>
      <c r="BV21" s="57" t="e">
        <f t="shared" si="22"/>
        <v>#DIV/0!</v>
      </c>
      <c r="BW21" s="57" t="e">
        <f t="shared" si="22"/>
        <v>#DIV/0!</v>
      </c>
      <c r="BX21" s="57" t="e">
        <f t="shared" si="22"/>
        <v>#DIV/0!</v>
      </c>
      <c r="BY21" s="57" t="e">
        <f t="shared" si="22"/>
        <v>#DIV/0!</v>
      </c>
      <c r="BZ21" s="57" t="e">
        <f t="shared" si="22"/>
        <v>#DIV/0!</v>
      </c>
      <c r="CA21" s="57" t="e">
        <f t="shared" si="22"/>
        <v>#DIV/0!</v>
      </c>
      <c r="CB21" s="57" t="e">
        <f t="shared" si="22"/>
        <v>#DIV/0!</v>
      </c>
      <c r="CC21" s="57" t="e">
        <f t="shared" si="22"/>
        <v>#DIV/0!</v>
      </c>
      <c r="CD21" s="57" t="e">
        <f t="shared" si="22"/>
        <v>#DIV/0!</v>
      </c>
      <c r="CE21" s="57" t="e">
        <f t="shared" si="22"/>
        <v>#DIV/0!</v>
      </c>
      <c r="CF21" s="57" t="e">
        <f t="shared" si="22"/>
        <v>#DIV/0!</v>
      </c>
      <c r="CG21" s="57" t="e">
        <f t="shared" si="22"/>
        <v>#DIV/0!</v>
      </c>
      <c r="CH21" s="57" t="e">
        <f t="shared" si="22"/>
        <v>#DIV/0!</v>
      </c>
      <c r="CI21" s="57" t="e">
        <f t="shared" si="22"/>
        <v>#DIV/0!</v>
      </c>
      <c r="CJ21" s="57" t="e">
        <f t="shared" si="22"/>
        <v>#DIV/0!</v>
      </c>
      <c r="CK21" s="57" t="e">
        <f t="shared" si="22"/>
        <v>#DIV/0!</v>
      </c>
    </row>
    <row r="22" spans="1:89" s="66" customFormat="1" x14ac:dyDescent="0.25">
      <c r="A22" s="46" t="s">
        <v>369</v>
      </c>
      <c r="E22" s="66">
        <f>E11+E13+E15+E17+E19+E21</f>
        <v>0.16627962204785796</v>
      </c>
      <c r="F22" s="66">
        <f t="shared" ref="F22:BQ22" si="23">F11+F13+F15+F17+F19+F21</f>
        <v>0.16048494156238988</v>
      </c>
      <c r="G22" s="66">
        <f t="shared" si="23"/>
        <v>0.15632374068416083</v>
      </c>
      <c r="H22" s="66">
        <f t="shared" si="23"/>
        <v>0.15269373248022536</v>
      </c>
      <c r="I22" s="66">
        <f t="shared" si="23"/>
        <v>0.19368370680989441</v>
      </c>
      <c r="J22" s="66">
        <f t="shared" si="23"/>
        <v>0.19486122974166847</v>
      </c>
      <c r="K22" s="66">
        <f t="shared" si="23"/>
        <v>0.20100088714997386</v>
      </c>
      <c r="L22" s="66">
        <f t="shared" si="23"/>
        <v>0.2064694651876556</v>
      </c>
      <c r="M22" s="66">
        <f t="shared" si="23"/>
        <v>0.18208137866334997</v>
      </c>
      <c r="N22" s="66">
        <f t="shared" si="23"/>
        <v>0.17407571525151985</v>
      </c>
      <c r="O22" s="66">
        <f t="shared" si="23"/>
        <v>0.17077997850748106</v>
      </c>
      <c r="P22" s="66">
        <f t="shared" si="23"/>
        <v>0.18107188635018748</v>
      </c>
      <c r="Q22" s="66">
        <f t="shared" si="23"/>
        <v>0.1115051625774882</v>
      </c>
      <c r="R22" s="66">
        <f t="shared" si="23"/>
        <v>0.10782559291526757</v>
      </c>
      <c r="S22" s="66">
        <f t="shared" si="23"/>
        <v>0.11145193972445973</v>
      </c>
      <c r="T22" s="66">
        <f t="shared" si="23"/>
        <v>0.11481831015575644</v>
      </c>
      <c r="U22" s="66">
        <f t="shared" si="23"/>
        <v>0.10844072046386656</v>
      </c>
      <c r="V22" s="66">
        <f t="shared" si="23"/>
        <v>0.10580515943556873</v>
      </c>
      <c r="W22" s="66">
        <f t="shared" si="23"/>
        <v>0.10527442617668756</v>
      </c>
      <c r="X22" s="66">
        <f t="shared" si="23"/>
        <v>0.1080076656444849</v>
      </c>
      <c r="Y22" s="66">
        <f t="shared" si="23"/>
        <v>0.108974191012708</v>
      </c>
      <c r="Z22" s="66">
        <f t="shared" si="23"/>
        <v>0.11022310726276517</v>
      </c>
      <c r="AA22" s="66">
        <f t="shared" si="23"/>
        <v>0.11218614436024189</v>
      </c>
      <c r="AB22" s="66">
        <f t="shared" si="23"/>
        <v>0.10608834240688744</v>
      </c>
      <c r="AC22" s="66">
        <f t="shared" si="23"/>
        <v>0.11929441992462735</v>
      </c>
      <c r="AD22" s="66">
        <f t="shared" si="23"/>
        <v>0.11583263203815046</v>
      </c>
      <c r="AE22" s="66">
        <f t="shared" si="23"/>
        <v>0.11487084763134167</v>
      </c>
      <c r="AF22" s="66">
        <f t="shared" si="23"/>
        <v>0.11459101083142847</v>
      </c>
      <c r="AG22" s="66">
        <f t="shared" si="23"/>
        <v>0.13757969707011672</v>
      </c>
      <c r="AH22" s="66">
        <f t="shared" si="23"/>
        <v>0.12481595268215258</v>
      </c>
      <c r="AI22" s="66">
        <f t="shared" si="23"/>
        <v>0.12278609281352408</v>
      </c>
      <c r="AJ22" s="66">
        <f t="shared" si="23"/>
        <v>0.12776323626397448</v>
      </c>
      <c r="AK22" s="66">
        <f t="shared" si="23"/>
        <v>0.15952691791841506</v>
      </c>
      <c r="AL22" s="66">
        <f t="shared" si="23"/>
        <v>0.16805566748148745</v>
      </c>
      <c r="AM22" s="66">
        <f t="shared" si="23"/>
        <v>0.17528580122653434</v>
      </c>
      <c r="AN22" s="66">
        <f t="shared" si="23"/>
        <v>0.18963186560797951</v>
      </c>
      <c r="AO22" s="66">
        <f t="shared" si="23"/>
        <v>0.13056392082919852</v>
      </c>
      <c r="AP22" s="66">
        <f t="shared" si="23"/>
        <v>0.13172337037660026</v>
      </c>
      <c r="AQ22" s="66">
        <f t="shared" si="23"/>
        <v>0.14757554271124945</v>
      </c>
      <c r="AR22" s="66">
        <f t="shared" si="23"/>
        <v>0.13481521640914432</v>
      </c>
      <c r="AS22" s="66">
        <f t="shared" si="23"/>
        <v>8.7197253086086751E-2</v>
      </c>
      <c r="AT22" s="66">
        <f t="shared" si="23"/>
        <v>7.3176054423012338E-2</v>
      </c>
      <c r="AU22" s="66">
        <f t="shared" si="23"/>
        <v>7.3404724520579362E-2</v>
      </c>
      <c r="AV22" s="66">
        <f t="shared" si="23"/>
        <v>6.9760114886944793E-2</v>
      </c>
      <c r="AW22" s="66">
        <f t="shared" si="23"/>
        <v>7.3162489385675961E-2</v>
      </c>
      <c r="AX22" s="66">
        <f t="shared" si="23"/>
        <v>7.3859370593165691E-2</v>
      </c>
      <c r="AY22" s="66">
        <f t="shared" si="23"/>
        <v>7.2321302605044102E-2</v>
      </c>
      <c r="AZ22" s="66">
        <f t="shared" si="23"/>
        <v>6.7934746002451751E-2</v>
      </c>
      <c r="BA22" s="66">
        <f t="shared" si="23"/>
        <v>7.2042196680077344E-2</v>
      </c>
      <c r="BB22" s="66">
        <f t="shared" si="23"/>
        <v>7.577600998284198E-2</v>
      </c>
      <c r="BC22" s="66">
        <f t="shared" si="23"/>
        <v>7.8461118781454592E-2</v>
      </c>
      <c r="BD22" s="66">
        <f t="shared" si="23"/>
        <v>8.7588736393752947E-2</v>
      </c>
      <c r="BE22" s="66">
        <f t="shared" si="23"/>
        <v>8.1846225737853689E-2</v>
      </c>
      <c r="BF22" s="66">
        <f t="shared" si="23"/>
        <v>7.9225272028633331E-2</v>
      </c>
      <c r="BG22" s="66">
        <f t="shared" si="23"/>
        <v>8.4807063366314259E-2</v>
      </c>
      <c r="BH22" s="66">
        <f t="shared" si="23"/>
        <v>9.3813264231921628E-2</v>
      </c>
      <c r="BI22" s="66">
        <f t="shared" si="23"/>
        <v>0.10338190421173996</v>
      </c>
      <c r="BJ22" s="66">
        <f t="shared" si="23"/>
        <v>0.10178871955884017</v>
      </c>
      <c r="BK22" s="66">
        <f t="shared" si="23"/>
        <v>0.11188039539729627</v>
      </c>
      <c r="BL22" s="66">
        <f t="shared" si="23"/>
        <v>0.10745135456104914</v>
      </c>
      <c r="BM22" s="66">
        <f t="shared" si="23"/>
        <v>0.12669965204945341</v>
      </c>
      <c r="BN22" s="66">
        <f t="shared" si="23"/>
        <v>0.13446633920321158</v>
      </c>
      <c r="BO22" s="66">
        <f t="shared" si="23"/>
        <v>0.1426458457775123</v>
      </c>
      <c r="BP22" s="66">
        <f t="shared" si="23"/>
        <v>0.14664655925073419</v>
      </c>
      <c r="BQ22" s="66">
        <f t="shared" si="23"/>
        <v>0.11760589064456031</v>
      </c>
      <c r="BR22" s="66">
        <f t="shared" ref="BR22:CJ22" si="24">BR11+BR13+BR15+BR17+BR19+BR21</f>
        <v>0.10593585089262322</v>
      </c>
      <c r="BS22" s="66">
        <f t="shared" si="24"/>
        <v>0.12514708978980096</v>
      </c>
      <c r="BT22" s="66">
        <f t="shared" si="24"/>
        <v>0.16854146558925243</v>
      </c>
      <c r="BU22" s="66">
        <f t="shared" si="24"/>
        <v>0.17722636946693301</v>
      </c>
      <c r="BV22" s="66" t="e">
        <f t="shared" si="24"/>
        <v>#DIV/0!</v>
      </c>
      <c r="BW22" s="66" t="e">
        <f t="shared" si="24"/>
        <v>#DIV/0!</v>
      </c>
      <c r="BX22" s="66" t="e">
        <f t="shared" si="24"/>
        <v>#DIV/0!</v>
      </c>
      <c r="BY22" s="66" t="e">
        <f t="shared" si="24"/>
        <v>#DIV/0!</v>
      </c>
      <c r="BZ22" s="66" t="e">
        <f t="shared" si="24"/>
        <v>#DIV/0!</v>
      </c>
      <c r="CA22" s="66" t="e">
        <f t="shared" si="24"/>
        <v>#DIV/0!</v>
      </c>
      <c r="CB22" s="66" t="e">
        <f t="shared" si="24"/>
        <v>#DIV/0!</v>
      </c>
      <c r="CC22" s="66" t="e">
        <f t="shared" si="24"/>
        <v>#DIV/0!</v>
      </c>
      <c r="CD22" s="66" t="e">
        <f t="shared" si="24"/>
        <v>#DIV/0!</v>
      </c>
      <c r="CE22" s="66" t="e">
        <f t="shared" si="24"/>
        <v>#DIV/0!</v>
      </c>
      <c r="CF22" s="66" t="e">
        <f t="shared" si="24"/>
        <v>#DIV/0!</v>
      </c>
      <c r="CG22" s="66" t="e">
        <f t="shared" si="24"/>
        <v>#DIV/0!</v>
      </c>
      <c r="CH22" s="66" t="e">
        <f t="shared" si="24"/>
        <v>#DIV/0!</v>
      </c>
      <c r="CI22" s="66" t="e">
        <f t="shared" si="24"/>
        <v>#DIV/0!</v>
      </c>
      <c r="CJ22" s="66" t="e">
        <f t="shared" si="24"/>
        <v>#DIV/0!</v>
      </c>
    </row>
    <row r="23" spans="1:89" s="27" customFormat="1" x14ac:dyDescent="0.25">
      <c r="A23" s="128" t="s">
        <v>370</v>
      </c>
      <c r="E23" s="27">
        <f>股权价值增加表!E17</f>
        <v>62711485933.64592</v>
      </c>
      <c r="F23" s="27">
        <f>股权价值增加表!F17</f>
        <v>46861698054.629272</v>
      </c>
      <c r="G23" s="27">
        <f>股权价值增加表!G17</f>
        <v>33263703010.187378</v>
      </c>
      <c r="H23" s="27">
        <f>股权价值增加表!H17</f>
        <v>21317357776.640984</v>
      </c>
      <c r="I23" s="27">
        <f>股权价值增加表!I17</f>
        <v>52426830573.327667</v>
      </c>
      <c r="J23" s="27">
        <f>股权价值增加表!J17</f>
        <v>46348834297.823784</v>
      </c>
      <c r="K23" s="27">
        <f>股权价值增加表!K17</f>
        <v>30688668801.701725</v>
      </c>
      <c r="L23" s="27">
        <f>股权价值增加表!L17</f>
        <v>11856852743.631987</v>
      </c>
      <c r="M23" s="27">
        <f>股权价值增加表!M17</f>
        <v>52964664109.623924</v>
      </c>
      <c r="N23" s="27">
        <f>股权价值增加表!N17</f>
        <v>45604168670.133987</v>
      </c>
      <c r="O23" s="27">
        <f>股权价值增加表!O17</f>
        <v>35711376832.906181</v>
      </c>
      <c r="P23" s="27">
        <f>股权价值增加表!P17</f>
        <v>6483365245.2785368</v>
      </c>
      <c r="Q23" s="27">
        <f>股权价值增加表!Q17</f>
        <v>62366741151.987885</v>
      </c>
      <c r="R23" s="27">
        <f>股权价值增加表!R17</f>
        <v>64944125600.90007</v>
      </c>
      <c r="S23" s="27">
        <f>股权价值增加表!S17</f>
        <v>43407711514.490494</v>
      </c>
      <c r="T23" s="27">
        <f>股权价值增加表!T17</f>
        <v>21225348516.094322</v>
      </c>
      <c r="U23" s="27">
        <f>股权价值增加表!U17</f>
        <v>86850218048.737732</v>
      </c>
      <c r="V23" s="27">
        <f>股权价值增加表!V17</f>
        <v>66126595366.685616</v>
      </c>
      <c r="W23" s="27">
        <f>股权价值增加表!W17</f>
        <v>40482094208.895477</v>
      </c>
      <c r="X23" s="27">
        <f>股权价值增加表!X17</f>
        <v>23187027174.321579</v>
      </c>
      <c r="Y23" s="27">
        <f>股权价值增加表!Y17</f>
        <v>89085800773.367615</v>
      </c>
      <c r="Z23" s="27">
        <f>股权价值增加表!Z17</f>
        <v>60951650211.080704</v>
      </c>
      <c r="AA23" s="27">
        <f>股权价值增加表!AA17</f>
        <v>35561853107.892059</v>
      </c>
      <c r="AB23" s="27">
        <f>股权价值增加表!AB17</f>
        <v>20254446940.663406</v>
      </c>
      <c r="AC23" s="27">
        <f>股权价值增加表!AC17</f>
        <v>91018177958.818878</v>
      </c>
      <c r="AD23" s="27">
        <f>股权价值增加表!AD17</f>
        <v>74415591350.340927</v>
      </c>
      <c r="AE23" s="27">
        <f>股权价值增加表!AE17</f>
        <v>49110739951.807228</v>
      </c>
      <c r="AF23" s="27">
        <f>股权价值增加表!AF17</f>
        <v>26020306756.554306</v>
      </c>
      <c r="AG23" s="27">
        <f>股权价值增加表!AG17</f>
        <v>88468233415.564026</v>
      </c>
      <c r="AH23" s="27">
        <f>股权价值增加表!AH17</f>
        <v>69498281366.032547</v>
      </c>
      <c r="AI23" s="27">
        <f>股权价值增加表!AI17</f>
        <v>43840516769.003937</v>
      </c>
      <c r="AJ23" s="27">
        <f>股权价值增加表!AJ17</f>
        <v>19631189310.316208</v>
      </c>
      <c r="AK23" s="27">
        <f>股权价值增加表!AK17</f>
        <v>77730211796.128784</v>
      </c>
      <c r="AL23" s="27">
        <f>股权价值增加表!AL17</f>
        <v>60808358242.062943</v>
      </c>
      <c r="AM23" s="27">
        <f>股权价值增加表!AM17</f>
        <v>41162350849.126259</v>
      </c>
      <c r="AN23" s="27">
        <f>股权价值增加表!AN17</f>
        <v>15331526104.417671</v>
      </c>
      <c r="AO23" s="27">
        <f>股权价值增加表!AO17</f>
        <v>38481793743.271484</v>
      </c>
      <c r="AP23" s="27">
        <f>股权价值增加表!AP17</f>
        <v>23419553377.765511</v>
      </c>
      <c r="AQ23" s="27">
        <f>股权价值增加表!AQ17</f>
        <v>13174913437.236731</v>
      </c>
      <c r="AR23" s="27">
        <f>股权价值增加表!AR17</f>
        <v>6149574074.0740738</v>
      </c>
      <c r="AS23" s="27">
        <f>股权价值增加表!AS17</f>
        <v>69960529463.070114</v>
      </c>
      <c r="AT23" s="27">
        <f>股权价值增加表!AT17</f>
        <v>59644471329.052734</v>
      </c>
      <c r="AU23" s="27">
        <f>股权价值增加表!AU17</f>
        <v>42635169866.451248</v>
      </c>
      <c r="AV23" s="27">
        <f>股权价值增加表!AV17</f>
        <v>17577709485.224022</v>
      </c>
      <c r="AW23" s="27">
        <f>股权价值增加表!AW17</f>
        <v>57432600961.921722</v>
      </c>
      <c r="AX23" s="27">
        <f>股权价值增加表!AX17</f>
        <v>41430083207.717819</v>
      </c>
      <c r="AY23" s="27">
        <f>股权价值增加表!AY17</f>
        <v>25788494702.184975</v>
      </c>
      <c r="AZ23" s="27">
        <f>股权价值增加表!AZ17</f>
        <v>11470829052.804604</v>
      </c>
      <c r="BA23" s="27">
        <f>股权价值增加表!BA17</f>
        <v>41728616249.414459</v>
      </c>
      <c r="BB23" s="27">
        <f>股权价值增加表!BB17</f>
        <v>36166654060.648308</v>
      </c>
      <c r="BC23" s="27">
        <f>股权价值增加表!BC17</f>
        <v>25740955279.272591</v>
      </c>
      <c r="BD23" s="27">
        <f>股权价值增加表!BD17</f>
        <v>12391606479.187313</v>
      </c>
      <c r="BE23" s="27">
        <f>股权价值增加表!BE17</f>
        <v>45126678474.901833</v>
      </c>
      <c r="BF23" s="27">
        <f>股权价值增加表!BF17</f>
        <v>32458254329.210274</v>
      </c>
      <c r="BG23" s="27">
        <f>股权价值增加表!BG17</f>
        <v>19946087953.15329</v>
      </c>
      <c r="BH23" s="27">
        <f>股权价值增加表!BH17</f>
        <v>10563993516.773464</v>
      </c>
      <c r="BI23" s="27">
        <f>股权价值增加表!BI17</f>
        <v>28562160347.954208</v>
      </c>
      <c r="BJ23" s="27">
        <f>股权价值增加表!BJ17</f>
        <v>21573482652.713001</v>
      </c>
      <c r="BK23" s="27">
        <f>股权价值增加表!BK17</f>
        <v>14102504717.790359</v>
      </c>
      <c r="BL23" s="27">
        <f>股权价值增加表!BL17</f>
        <v>8190319909.6355953</v>
      </c>
      <c r="BM23" s="27">
        <f>股权价值增加表!BM17</f>
        <v>21477890449.658638</v>
      </c>
      <c r="BN23" s="27">
        <f>股权价值增加表!BN17</f>
        <v>14500470120.960461</v>
      </c>
      <c r="BO23" s="27">
        <f>股权价值增加表!BO17</f>
        <v>8042340056.2851782</v>
      </c>
      <c r="BP23" s="27">
        <f>股权价值增加表!BP17</f>
        <v>1793773950.4843919</v>
      </c>
      <c r="BQ23" s="27">
        <f>股权价值增加表!BQ17</f>
        <v>18943613034.196976</v>
      </c>
      <c r="BR23" s="27">
        <f>股权价值增加表!BR17</f>
        <v>11882885086.638149</v>
      </c>
      <c r="BS23" s="27">
        <f>股权价值增加表!BS17</f>
        <v>23127202072.53886</v>
      </c>
      <c r="BT23" s="27">
        <f>股权价值增加表!BT17</f>
        <v>14081791471.31056</v>
      </c>
      <c r="BU23" s="27">
        <f>股权价值增加表!BU17</f>
        <v>-6592466504.2630939</v>
      </c>
      <c r="BV23" s="27" t="e">
        <f>股权价值增加表!BV17</f>
        <v>#DIV/0!</v>
      </c>
      <c r="BW23" s="27">
        <f>股权价值增加表!BW17</f>
        <v>0</v>
      </c>
      <c r="BX23" s="27">
        <f>股权价值增加表!BX17</f>
        <v>0</v>
      </c>
      <c r="BY23" s="27">
        <f>股权价值增加表!BY17</f>
        <v>0</v>
      </c>
      <c r="BZ23" s="27">
        <f>股权价值增加表!BZ17</f>
        <v>0</v>
      </c>
      <c r="CA23" s="27">
        <f>股权价值增加表!CA17</f>
        <v>0</v>
      </c>
      <c r="CB23" s="27">
        <f>股权价值增加表!CB17</f>
        <v>0</v>
      </c>
      <c r="CC23" s="27">
        <f>股权价值增加表!CC17</f>
        <v>0</v>
      </c>
      <c r="CD23" s="27" t="e">
        <f>股权价值增加表!CD17</f>
        <v>#DIV/0!</v>
      </c>
      <c r="CE23" s="27">
        <f>股权价值增加表!CE17</f>
        <v>0</v>
      </c>
      <c r="CF23" s="27">
        <f>股权价值增加表!CF17</f>
        <v>0</v>
      </c>
      <c r="CG23" s="27" t="e">
        <f>股权价值增加表!CG17</f>
        <v>#DIV/0!</v>
      </c>
      <c r="CH23" s="27" t="e">
        <f>股权价值增加表!CH17</f>
        <v>#DIV/0!</v>
      </c>
      <c r="CI23" s="27" t="e">
        <f>股权价值增加表!CI17</f>
        <v>#DIV/0!</v>
      </c>
      <c r="CJ23" s="27" t="e">
        <f>股权价值增加表!CJ17</f>
        <v>#DIV/0!</v>
      </c>
    </row>
    <row r="24" spans="1:89" s="57" customFormat="1" x14ac:dyDescent="0.25">
      <c r="A24" s="20" t="s">
        <v>371</v>
      </c>
      <c r="E24" s="57">
        <f>E23/E2</f>
        <v>2.6570490605491128E-2</v>
      </c>
      <c r="F24" s="57">
        <f t="shared" ref="F24:BQ24" si="25">F23/F2</f>
        <v>2.6855533841634468E-2</v>
      </c>
      <c r="G24" s="57">
        <f t="shared" si="25"/>
        <v>2.8532035790755809E-2</v>
      </c>
      <c r="H24" s="57">
        <f t="shared" si="25"/>
        <v>3.6616123357078909E-2</v>
      </c>
      <c r="I24" s="57">
        <f t="shared" si="25"/>
        <v>2.7151344921297598E-2</v>
      </c>
      <c r="J24" s="57">
        <f t="shared" si="25"/>
        <v>3.3981454015978491E-2</v>
      </c>
      <c r="K24" s="57">
        <f t="shared" si="25"/>
        <v>3.4904425287984493E-2</v>
      </c>
      <c r="L24" s="57">
        <f t="shared" si="25"/>
        <v>2.8654275704178417E-2</v>
      </c>
      <c r="M24" s="57">
        <f t="shared" si="25"/>
        <v>2.6234637722752592E-2</v>
      </c>
      <c r="N24" s="57">
        <f t="shared" si="25"/>
        <v>2.967404394228795E-2</v>
      </c>
      <c r="O24" s="57">
        <f t="shared" si="25"/>
        <v>3.4325914280708233E-2</v>
      </c>
      <c r="P24" s="57">
        <f t="shared" si="25"/>
        <v>1.3556690549907968E-2</v>
      </c>
      <c r="Q24" s="57">
        <f t="shared" si="25"/>
        <v>2.2069582142976708E-2</v>
      </c>
      <c r="R24" s="57">
        <f t="shared" si="25"/>
        <v>3.0697037314761279E-2</v>
      </c>
      <c r="S24" s="57">
        <f t="shared" si="25"/>
        <v>3.2007526710837925E-2</v>
      </c>
      <c r="T24" s="57">
        <f t="shared" si="25"/>
        <v>3.3109510761146412E-2</v>
      </c>
      <c r="U24" s="57">
        <f t="shared" si="25"/>
        <v>3.0153069598643247E-2</v>
      </c>
      <c r="V24" s="57">
        <f t="shared" si="25"/>
        <v>3.0901375640763697E-2</v>
      </c>
      <c r="W24" s="57">
        <f t="shared" si="25"/>
        <v>2.8604321381256854E-2</v>
      </c>
      <c r="X24" s="57">
        <f t="shared" si="25"/>
        <v>3.3335241369064524E-2</v>
      </c>
      <c r="Y24" s="57">
        <f t="shared" si="25"/>
        <v>3.1975722134196548E-2</v>
      </c>
      <c r="Z24" s="57">
        <f t="shared" si="25"/>
        <v>3.0103058926849179E-2</v>
      </c>
      <c r="AA24" s="57">
        <f t="shared" si="25"/>
        <v>2.6379787658145901E-2</v>
      </c>
      <c r="AB24" s="57">
        <f t="shared" si="25"/>
        <v>3.0169054002909604E-2</v>
      </c>
      <c r="AC24" s="57">
        <f t="shared" si="25"/>
        <v>3.6324697880306039E-2</v>
      </c>
      <c r="AD24" s="57">
        <f t="shared" si="25"/>
        <v>3.9686156459937075E-2</v>
      </c>
      <c r="AE24" s="57">
        <f t="shared" si="25"/>
        <v>3.982149919223596E-2</v>
      </c>
      <c r="AF24" s="57">
        <f t="shared" si="25"/>
        <v>4.4188945008260802E-2</v>
      </c>
      <c r="AG24" s="57">
        <f t="shared" si="25"/>
        <v>4.6241410077851465E-2</v>
      </c>
      <c r="AH24" s="57">
        <f t="shared" si="25"/>
        <v>4.8681150448811064E-2</v>
      </c>
      <c r="AI24" s="57">
        <f t="shared" si="25"/>
        <v>4.6812002234866562E-2</v>
      </c>
      <c r="AJ24" s="57">
        <f t="shared" si="25"/>
        <v>4.4798690374493008E-2</v>
      </c>
      <c r="AK24" s="57">
        <f t="shared" si="25"/>
        <v>5.7789744780223209E-2</v>
      </c>
      <c r="AL24" s="57">
        <f t="shared" si="25"/>
        <v>6.8060321632666856E-2</v>
      </c>
      <c r="AM24" s="57">
        <f t="shared" si="25"/>
        <v>7.7079445436311525E-2</v>
      </c>
      <c r="AN24" s="57">
        <f t="shared" si="25"/>
        <v>6.7071444339819639E-2</v>
      </c>
      <c r="AO24" s="57">
        <f t="shared" si="25"/>
        <v>2.6500769397770185E-2</v>
      </c>
      <c r="AP24" s="57">
        <f t="shared" si="25"/>
        <v>2.0411028944441644E-2</v>
      </c>
      <c r="AQ24" s="57">
        <f t="shared" si="25"/>
        <v>1.7930346016765127E-2</v>
      </c>
      <c r="AR24" s="57">
        <f t="shared" si="25"/>
        <v>1.8522255576862365E-2</v>
      </c>
      <c r="AS24" s="57">
        <f t="shared" si="25"/>
        <v>5.8066096132915336E-2</v>
      </c>
      <c r="AT24" s="57">
        <f t="shared" si="25"/>
        <v>6.8148131470162562E-2</v>
      </c>
      <c r="AU24" s="57">
        <f t="shared" si="25"/>
        <v>7.5216854906146907E-2</v>
      </c>
      <c r="AV24" s="57">
        <f t="shared" si="25"/>
        <v>6.4395705973036815E-2</v>
      </c>
      <c r="AW24" s="57">
        <f t="shared" si="25"/>
        <v>5.498157723056056E-2</v>
      </c>
      <c r="AX24" s="57">
        <f t="shared" si="25"/>
        <v>5.4858369834071732E-2</v>
      </c>
      <c r="AY24" s="57">
        <f t="shared" si="25"/>
        <v>5.3504433102452703E-2</v>
      </c>
      <c r="AZ24" s="57">
        <f t="shared" si="25"/>
        <v>5.1508219851928404E-2</v>
      </c>
      <c r="BA24" s="57">
        <f t="shared" si="25"/>
        <v>5.2218537068399989E-2</v>
      </c>
      <c r="BB24" s="57">
        <f t="shared" si="25"/>
        <v>6.2681595973324164E-2</v>
      </c>
      <c r="BC24" s="57">
        <f t="shared" si="25"/>
        <v>7.1652327303903127E-2</v>
      </c>
      <c r="BD24" s="57">
        <f t="shared" si="25"/>
        <v>7.3305764784591304E-2</v>
      </c>
      <c r="BE24" s="57">
        <f t="shared" si="25"/>
        <v>7.6404052734870165E-2</v>
      </c>
      <c r="BF24" s="57">
        <f t="shared" si="25"/>
        <v>7.7708026979519201E-2</v>
      </c>
      <c r="BG24" s="57">
        <f t="shared" si="25"/>
        <v>7.506741568088883E-2</v>
      </c>
      <c r="BH24" s="57">
        <f t="shared" si="25"/>
        <v>8.55453357905374E-2</v>
      </c>
      <c r="BI24" s="57">
        <f t="shared" si="25"/>
        <v>6.8463030956933901E-2</v>
      </c>
      <c r="BJ24" s="57">
        <f t="shared" si="25"/>
        <v>7.175327328599225E-2</v>
      </c>
      <c r="BK24" s="57">
        <f t="shared" si="25"/>
        <v>7.23791827110703E-2</v>
      </c>
      <c r="BL24" s="57">
        <f t="shared" si="25"/>
        <v>8.3134419854399608E-2</v>
      </c>
      <c r="BM24" s="57">
        <f t="shared" si="25"/>
        <v>6.625216065462404E-2</v>
      </c>
      <c r="BN24" s="57">
        <f t="shared" si="25"/>
        <v>6.4109460573785207E-2</v>
      </c>
      <c r="BO24" s="57">
        <f t="shared" si="25"/>
        <v>5.7188753706837743E-2</v>
      </c>
      <c r="BP24" s="57">
        <f t="shared" si="25"/>
        <v>2.8474862298347361E-2</v>
      </c>
      <c r="BQ24" s="57">
        <f t="shared" si="25"/>
        <v>6.2243468916062833E-2</v>
      </c>
      <c r="BR24" s="57">
        <f t="shared" ref="BR24:CJ24" si="26">BR23/BR2</f>
        <v>7.4122566255212574E-2</v>
      </c>
      <c r="BS24" s="57">
        <f t="shared" si="26"/>
        <v>7.1616321927027549E-2</v>
      </c>
      <c r="BT24" s="57">
        <f t="shared" si="26"/>
        <v>6.0947735617907006E-2</v>
      </c>
      <c r="BU24" s="57">
        <f t="shared" si="26"/>
        <v>-3.4657062896977675E-2</v>
      </c>
      <c r="BV24" s="57" t="e">
        <f t="shared" si="26"/>
        <v>#DIV/0!</v>
      </c>
      <c r="BW24" s="57" t="e">
        <f t="shared" si="26"/>
        <v>#DIV/0!</v>
      </c>
      <c r="BX24" s="57" t="e">
        <f t="shared" si="26"/>
        <v>#DIV/0!</v>
      </c>
      <c r="BY24" s="57" t="e">
        <f t="shared" si="26"/>
        <v>#DIV/0!</v>
      </c>
      <c r="BZ24" s="57" t="e">
        <f t="shared" si="26"/>
        <v>#DIV/0!</v>
      </c>
      <c r="CA24" s="57" t="e">
        <f t="shared" si="26"/>
        <v>#DIV/0!</v>
      </c>
      <c r="CB24" s="57" t="e">
        <f t="shared" si="26"/>
        <v>#DIV/0!</v>
      </c>
      <c r="CC24" s="57" t="e">
        <f t="shared" si="26"/>
        <v>#DIV/0!</v>
      </c>
      <c r="CD24" s="57" t="e">
        <f t="shared" si="26"/>
        <v>#DIV/0!</v>
      </c>
      <c r="CE24" s="57" t="e">
        <f t="shared" si="26"/>
        <v>#DIV/0!</v>
      </c>
      <c r="CF24" s="57" t="e">
        <f t="shared" si="26"/>
        <v>#DIV/0!</v>
      </c>
      <c r="CG24" s="57" t="e">
        <f t="shared" si="26"/>
        <v>#DIV/0!</v>
      </c>
      <c r="CH24" s="57" t="e">
        <f t="shared" si="26"/>
        <v>#DIV/0!</v>
      </c>
      <c r="CI24" s="57" t="e">
        <f t="shared" si="26"/>
        <v>#DIV/0!</v>
      </c>
      <c r="CJ24" s="57" t="e">
        <f t="shared" si="26"/>
        <v>#DIV/0!</v>
      </c>
    </row>
    <row r="25" spans="1:89" s="16" customFormat="1" ht="369.6" customHeight="1" thickBot="1" x14ac:dyDescent="0.3">
      <c r="A25" s="282" t="s">
        <v>670</v>
      </c>
      <c r="B25" s="283"/>
      <c r="C25" s="283"/>
      <c r="D25" s="283"/>
      <c r="E25" s="283"/>
      <c r="F25" s="283"/>
      <c r="G25" s="283"/>
      <c r="H25" s="283"/>
      <c r="I25" s="283"/>
      <c r="J25" s="283"/>
      <c r="K25" s="283"/>
      <c r="L25" s="283"/>
      <c r="M25" s="283"/>
      <c r="N25" s="283"/>
      <c r="O25" s="283"/>
      <c r="P25" s="283"/>
      <c r="Q25" s="283"/>
      <c r="R25" s="283"/>
      <c r="S25" s="283"/>
      <c r="T25" s="283"/>
      <c r="U25" s="283"/>
      <c r="V25" s="283"/>
      <c r="W25" s="283"/>
      <c r="X25" s="283"/>
      <c r="Y25" s="283"/>
      <c r="Z25" s="283"/>
      <c r="AA25" s="283"/>
      <c r="AB25" s="283"/>
      <c r="AC25" s="283"/>
      <c r="AD25" s="283"/>
      <c r="AE25" s="283"/>
      <c r="AF25" s="283"/>
      <c r="AG25" s="283"/>
    </row>
    <row r="26" spans="1:89" s="63" customFormat="1" ht="15" thickBot="1" x14ac:dyDescent="0.3">
      <c r="A26" s="151" t="s">
        <v>600</v>
      </c>
      <c r="B26" s="152"/>
      <c r="C26" s="152"/>
      <c r="D26" s="152"/>
      <c r="E26" s="153">
        <f>POWER(E2/Y2,1/6)-1</f>
        <v>-2.7267935619165851E-2</v>
      </c>
    </row>
    <row r="27" spans="1:89" s="26" customFormat="1" x14ac:dyDescent="0.25">
      <c r="A27" s="20" t="s">
        <v>377</v>
      </c>
      <c r="B27" s="1">
        <v>43373</v>
      </c>
      <c r="C27" s="1">
        <v>43281</v>
      </c>
      <c r="D27" s="1">
        <v>43190</v>
      </c>
      <c r="E27" s="1">
        <v>43100</v>
      </c>
      <c r="F27" s="1">
        <v>43008</v>
      </c>
      <c r="G27" s="1">
        <v>42916</v>
      </c>
      <c r="H27" s="1">
        <v>42825</v>
      </c>
      <c r="I27" s="1">
        <v>42735</v>
      </c>
      <c r="J27" s="1">
        <v>42643</v>
      </c>
      <c r="K27" s="1">
        <v>42551</v>
      </c>
      <c r="L27" s="1">
        <v>42460</v>
      </c>
      <c r="M27" s="1">
        <v>42369</v>
      </c>
      <c r="N27" s="1">
        <v>42277</v>
      </c>
      <c r="O27" s="1">
        <v>42185</v>
      </c>
      <c r="P27" s="1">
        <v>42094</v>
      </c>
      <c r="Q27" s="1">
        <v>42004</v>
      </c>
      <c r="R27" s="1">
        <v>41912</v>
      </c>
      <c r="S27" s="1">
        <v>41820</v>
      </c>
      <c r="T27" s="1">
        <v>41729</v>
      </c>
      <c r="U27" s="1">
        <v>41639</v>
      </c>
      <c r="V27" s="1">
        <v>41547</v>
      </c>
      <c r="W27" s="1">
        <v>41455</v>
      </c>
      <c r="X27" s="1">
        <v>41364</v>
      </c>
      <c r="Y27" s="1">
        <v>41274</v>
      </c>
      <c r="Z27" s="1">
        <v>41182</v>
      </c>
      <c r="AA27" s="1">
        <v>41090</v>
      </c>
      <c r="AB27" s="1">
        <v>40999</v>
      </c>
      <c r="AC27" s="1">
        <v>40908</v>
      </c>
      <c r="AD27" s="1">
        <v>40816</v>
      </c>
      <c r="AE27" s="1">
        <v>40724</v>
      </c>
      <c r="AF27" s="1">
        <v>40633</v>
      </c>
      <c r="AG27" s="1">
        <v>40543</v>
      </c>
      <c r="AH27" s="1">
        <v>40451</v>
      </c>
      <c r="AI27" s="1">
        <v>40359</v>
      </c>
      <c r="AJ27" s="1">
        <v>40268</v>
      </c>
      <c r="AK27" s="1">
        <v>40178</v>
      </c>
      <c r="AL27" s="1">
        <v>40086</v>
      </c>
      <c r="AM27" s="1">
        <v>39994</v>
      </c>
      <c r="AN27" s="1">
        <v>39903</v>
      </c>
      <c r="AO27" s="1">
        <v>39813</v>
      </c>
      <c r="AP27" s="1">
        <v>39721</v>
      </c>
      <c r="AQ27" s="1">
        <v>39629</v>
      </c>
      <c r="AR27" s="1">
        <v>39538</v>
      </c>
      <c r="AS27" s="1">
        <v>39447</v>
      </c>
      <c r="AT27" s="1">
        <v>39355</v>
      </c>
      <c r="AU27" s="1">
        <v>39263</v>
      </c>
      <c r="AV27" s="1">
        <v>39172</v>
      </c>
      <c r="AW27" s="1">
        <v>39082</v>
      </c>
      <c r="AX27" s="1">
        <v>38990</v>
      </c>
      <c r="AY27" s="1">
        <v>38898</v>
      </c>
      <c r="AZ27" s="1">
        <v>38807</v>
      </c>
      <c r="BA27" s="1">
        <v>38717</v>
      </c>
      <c r="BB27" s="1">
        <v>38625</v>
      </c>
      <c r="BC27" s="1">
        <v>38533</v>
      </c>
      <c r="BD27" s="1">
        <v>38442</v>
      </c>
      <c r="BE27" s="1">
        <v>38352</v>
      </c>
      <c r="BF27" s="1">
        <v>38260</v>
      </c>
      <c r="BG27" s="1">
        <v>38168</v>
      </c>
      <c r="BH27" s="1">
        <v>38077</v>
      </c>
      <c r="BI27" s="1">
        <v>37986</v>
      </c>
      <c r="BJ27" s="1">
        <v>37894</v>
      </c>
      <c r="BK27" s="1">
        <v>37802</v>
      </c>
      <c r="BL27" s="1">
        <v>37711</v>
      </c>
      <c r="BM27" s="1">
        <v>37621</v>
      </c>
      <c r="BN27" s="1">
        <v>37529</v>
      </c>
      <c r="BO27" s="1">
        <v>37437</v>
      </c>
      <c r="BP27" s="1">
        <v>37346</v>
      </c>
      <c r="BQ27" s="1">
        <v>37256</v>
      </c>
      <c r="BR27" s="1">
        <v>37072</v>
      </c>
      <c r="BS27" s="1">
        <v>36891</v>
      </c>
      <c r="BT27" s="1">
        <v>36525</v>
      </c>
      <c r="BU27" s="1">
        <v>36160</v>
      </c>
      <c r="BV27" s="1">
        <v>25569</v>
      </c>
      <c r="BW27" s="1"/>
      <c r="BX27" s="1"/>
      <c r="BY27" s="1"/>
      <c r="BZ27" s="1"/>
      <c r="CA27" s="1"/>
      <c r="CB27" s="1"/>
      <c r="CC27" s="1"/>
      <c r="CD27" s="1"/>
      <c r="CE27" s="1"/>
      <c r="CF27" s="1"/>
      <c r="CG27" s="1"/>
      <c r="CH27" s="1"/>
      <c r="CI27" s="1"/>
      <c r="CJ27" s="1"/>
      <c r="CK27" s="1"/>
    </row>
    <row r="28" spans="1:89" s="26" customFormat="1" x14ac:dyDescent="0.25">
      <c r="A28" s="17" t="s">
        <v>373</v>
      </c>
      <c r="E28" s="26">
        <f>股权价值增加表!E15</f>
        <v>76559000000</v>
      </c>
      <c r="F28" s="26">
        <f>股权价值增加表!F15</f>
        <v>58365998796</v>
      </c>
      <c r="G28" s="26">
        <f>股权价值增加表!G15</f>
        <v>41020999132</v>
      </c>
      <c r="H28" s="26">
        <f>股权价值增加表!H15</f>
        <v>27138999356</v>
      </c>
      <c r="I28" s="26">
        <f>股权价值增加表!I15</f>
        <v>66762000000</v>
      </c>
      <c r="J28" s="26">
        <f>股权价值增加表!J15</f>
        <v>57463000000</v>
      </c>
      <c r="K28" s="26">
        <f>股权价值增加表!K15</f>
        <v>38267000000</v>
      </c>
      <c r="L28" s="26">
        <f>股权价值增加表!L15</f>
        <v>14850000000</v>
      </c>
      <c r="M28" s="26">
        <f>股权价值增加表!M15</f>
        <v>66267000000</v>
      </c>
      <c r="N28" s="26">
        <f>股权价值增加表!N15</f>
        <v>55629000000</v>
      </c>
      <c r="O28" s="26">
        <f>股权价值增加表!O15</f>
        <v>44820000000</v>
      </c>
      <c r="P28" s="26">
        <f>股权价值增加表!P15</f>
        <v>7308000000</v>
      </c>
      <c r="Q28" s="26">
        <f>股权价值增加表!Q15</f>
        <v>83793000000</v>
      </c>
      <c r="R28" s="26">
        <f>股权价值增加表!R15</f>
        <v>83834000000</v>
      </c>
      <c r="S28" s="26">
        <f>股权价值增加表!S15</f>
        <v>56515000000</v>
      </c>
      <c r="T28" s="26">
        <f>股权价值增加表!T15</f>
        <v>27073000000</v>
      </c>
      <c r="U28" s="26">
        <f>股权价值增加表!U15</f>
        <v>111985000000</v>
      </c>
      <c r="V28" s="26">
        <f>股权价值增加表!V15</f>
        <v>86790000000</v>
      </c>
      <c r="W28" s="26">
        <f>股权价值增加表!W15</f>
        <v>53263000000</v>
      </c>
      <c r="X28" s="26">
        <f>股权价值增加表!X15</f>
        <v>30195000000</v>
      </c>
      <c r="Y28" s="26">
        <f>股权价值增加表!Y15</f>
        <v>114565000000</v>
      </c>
      <c r="Z28" s="26">
        <f>股权价值增加表!Z15</f>
        <v>79195000000</v>
      </c>
      <c r="AA28" s="26">
        <f>股权价值增加表!AA15</f>
        <v>45956000000</v>
      </c>
      <c r="AB28" s="26">
        <f>股权价值增加表!AB15</f>
        <v>25175000000</v>
      </c>
      <c r="AC28" s="26">
        <f>股权价值增加表!AC15</f>
        <v>116914000000</v>
      </c>
      <c r="AD28" s="26">
        <f>股权价值增加表!AD15</f>
        <v>94834000000</v>
      </c>
      <c r="AE28" s="26">
        <f>股权价值增加表!AE15</f>
        <v>62766000000</v>
      </c>
      <c r="AF28" s="26">
        <f>股权价值增加表!AF15</f>
        <v>33874000000</v>
      </c>
      <c r="AG28" s="26">
        <f>股权价值增加表!AG15</f>
        <v>114488000000</v>
      </c>
      <c r="AH28" s="26">
        <f>股权价值增加表!AH15</f>
        <v>89036000000</v>
      </c>
      <c r="AI28" s="26">
        <f>股权价值增加表!AI15</f>
        <v>55197000000</v>
      </c>
      <c r="AJ28" s="26">
        <f>股权价值增加表!AJ15</f>
        <v>24335000000</v>
      </c>
      <c r="AK28" s="26">
        <f>股权价值增加表!AK15</f>
        <v>94413000000</v>
      </c>
      <c r="AL28" s="26">
        <f>股权价值增加表!AL15</f>
        <v>75560000000</v>
      </c>
      <c r="AM28" s="26">
        <f>股权价值增加表!AM15</f>
        <v>50631000000</v>
      </c>
      <c r="AN28" s="26">
        <f>股权价值增加表!AN15</f>
        <v>18700000000</v>
      </c>
      <c r="AO28" s="26">
        <f>股权价值增加表!AO15</f>
        <v>36310000000</v>
      </c>
      <c r="AP28" s="26">
        <f>股权价值增加表!AP15</f>
        <v>26185000000</v>
      </c>
      <c r="AQ28" s="26">
        <f>股权价值增加表!AQ15</f>
        <v>13269000000</v>
      </c>
      <c r="AR28" s="26">
        <f>股权价值增加表!AR15</f>
        <v>6278000000</v>
      </c>
      <c r="AS28" s="26">
        <f>股权价值增加表!AS15</f>
        <v>96361000000</v>
      </c>
      <c r="AT28" s="26">
        <f>股权价值增加表!AT15</f>
        <v>82168000000</v>
      </c>
      <c r="AU28" s="26">
        <f>股权价值增加表!AU15</f>
        <v>58957000000</v>
      </c>
      <c r="AV28" s="26">
        <f>股权价值增加表!AV15</f>
        <v>25458000000</v>
      </c>
      <c r="AW28" s="26">
        <f>股权价值增加表!AW15</f>
        <v>81952000000</v>
      </c>
      <c r="AX28" s="26">
        <f>股权价值增加表!AX15</f>
        <v>58272000000</v>
      </c>
      <c r="AY28" s="26">
        <f>股权价值增加表!AY15</f>
        <v>36748000000</v>
      </c>
      <c r="AZ28" s="26">
        <f>股权价值增加表!AZ15</f>
        <v>16035000000</v>
      </c>
      <c r="BA28" s="26">
        <f>股权价值增加表!BA15</f>
        <v>62092000000</v>
      </c>
      <c r="BB28" s="26">
        <f>股权价值增加表!BB15</f>
        <v>50344000000</v>
      </c>
      <c r="BC28" s="26">
        <f>股权价值增加表!BC15</f>
        <v>35928000000</v>
      </c>
      <c r="BD28" s="26">
        <f>股权价值增加表!BD15</f>
        <v>17373000000</v>
      </c>
      <c r="BE28" s="26">
        <f>股权价值增加表!BE15</f>
        <v>62072000000</v>
      </c>
      <c r="BF28" s="26">
        <f>股权价值增加表!BF15</f>
        <v>44413000000</v>
      </c>
      <c r="BG28" s="26">
        <f>股权价值增加表!BG15</f>
        <v>27535000000</v>
      </c>
      <c r="BH28" s="26">
        <f>股权价值增加表!BH15</f>
        <v>14286000000</v>
      </c>
      <c r="BI28" s="26">
        <f>股权价值增加表!BI15</f>
        <v>38873000000</v>
      </c>
      <c r="BJ28" s="26">
        <f>股权价值增加表!BJ15</f>
        <v>29361000000</v>
      </c>
      <c r="BK28" s="26">
        <f>股权价值增加表!BK15</f>
        <v>19380000000</v>
      </c>
      <c r="BL28" s="26">
        <f>股权价值增加表!BL15</f>
        <v>11279000000</v>
      </c>
      <c r="BM28" s="26">
        <f>股权价值增加表!BM15</f>
        <v>29308000000</v>
      </c>
      <c r="BN28" s="26">
        <f>股权价值增加表!BN15</f>
        <v>19884000000</v>
      </c>
      <c r="BO28" s="26">
        <f>股权价值增加表!BO15</f>
        <v>10794000000</v>
      </c>
      <c r="BP28" s="26">
        <f>股权价值增加表!BP15</f>
        <v>1864000000</v>
      </c>
      <c r="BQ28" s="26">
        <f>股权价值增加表!BQ15</f>
        <v>26941000000</v>
      </c>
      <c r="BR28" s="26">
        <f>股权价值增加表!BR15</f>
        <v>15787000000</v>
      </c>
      <c r="BS28" s="26">
        <f>股权价值增加表!BS15</f>
        <v>32400000000</v>
      </c>
      <c r="BT28" s="26">
        <f>股权价值增加表!BT15</f>
        <v>16189000000</v>
      </c>
      <c r="BU28" s="26">
        <f>股权价值增加表!BU15</f>
        <v>6641000000</v>
      </c>
      <c r="BV28" s="26">
        <f>股权价值增加表!BV15</f>
        <v>0</v>
      </c>
      <c r="BW28" s="26">
        <f>股权价值增加表!BW15</f>
        <v>0</v>
      </c>
      <c r="BX28" s="26">
        <f>股权价值增加表!BX15</f>
        <v>0</v>
      </c>
      <c r="BY28" s="26">
        <f>股权价值增加表!BY15</f>
        <v>0</v>
      </c>
      <c r="BZ28" s="26">
        <f>股权价值增加表!BZ15</f>
        <v>0</v>
      </c>
      <c r="CA28" s="26">
        <f>股权价值增加表!CA15</f>
        <v>0</v>
      </c>
      <c r="CB28" s="26">
        <f>股权价值增加表!CB15</f>
        <v>0</v>
      </c>
      <c r="CC28" s="26">
        <f>股权价值增加表!CC15</f>
        <v>0</v>
      </c>
      <c r="CD28" s="26">
        <f>股权价值增加表!CD15</f>
        <v>0</v>
      </c>
      <c r="CE28" s="26">
        <f>股权价值增加表!CE15</f>
        <v>0</v>
      </c>
      <c r="CF28" s="26">
        <f>股权价值增加表!CF15</f>
        <v>0</v>
      </c>
      <c r="CG28" s="26">
        <f>股权价值增加表!CG15</f>
        <v>0</v>
      </c>
      <c r="CH28" s="26">
        <f>股权价值增加表!CH15</f>
        <v>0</v>
      </c>
      <c r="CI28" s="26">
        <f>股权价值增加表!CI15</f>
        <v>0</v>
      </c>
      <c r="CJ28" s="26">
        <f>股权价值增加表!CJ15</f>
        <v>0</v>
      </c>
      <c r="CK28" s="26">
        <f>股权价值增加表!CK15</f>
        <v>0</v>
      </c>
    </row>
    <row r="29" spans="1:89" s="59" customFormat="1" x14ac:dyDescent="0.25">
      <c r="A29" s="146" t="s">
        <v>378</v>
      </c>
      <c r="E29" s="59">
        <f t="shared" ref="E29:AJ29" si="27">E28/E34</f>
        <v>0.79076805486696411</v>
      </c>
      <c r="F29" s="59">
        <f t="shared" si="27"/>
        <v>0.86182110460175065</v>
      </c>
      <c r="G29" s="59">
        <f t="shared" si="27"/>
        <v>0.84698091769056449</v>
      </c>
      <c r="H29" s="59">
        <f t="shared" si="27"/>
        <v>0.89917784516153709</v>
      </c>
      <c r="I29" s="59">
        <f t="shared" si="27"/>
        <v>0.62825362768900683</v>
      </c>
      <c r="J29" s="59">
        <f t="shared" si="27"/>
        <v>0.86032758414181343</v>
      </c>
      <c r="K29" s="59">
        <f t="shared" si="27"/>
        <v>0.82128600248959094</v>
      </c>
      <c r="L29" s="59">
        <f t="shared" si="27"/>
        <v>0.84336665152203549</v>
      </c>
      <c r="M29" s="59">
        <f t="shared" si="27"/>
        <v>0.88559095525739029</v>
      </c>
      <c r="N29" s="59">
        <f t="shared" si="27"/>
        <v>0.84547692868867408</v>
      </c>
      <c r="O29" s="59">
        <f t="shared" si="27"/>
        <v>0.88320491851735083</v>
      </c>
      <c r="P29" s="59">
        <f t="shared" si="27"/>
        <v>0.67491688215736978</v>
      </c>
      <c r="Q29" s="59">
        <f t="shared" si="27"/>
        <v>1.0459351166477351</v>
      </c>
      <c r="R29" s="59">
        <f t="shared" si="27"/>
        <v>0.96633047086623247</v>
      </c>
      <c r="S29" s="59">
        <f t="shared" si="27"/>
        <v>0.97636611785843852</v>
      </c>
      <c r="T29" s="59">
        <f t="shared" si="27"/>
        <v>1.0218540046803051</v>
      </c>
      <c r="U29" s="59">
        <f t="shared" si="27"/>
        <v>0.91849707189842689</v>
      </c>
      <c r="V29" s="59">
        <f t="shared" si="27"/>
        <v>0.96545970298681794</v>
      </c>
      <c r="W29" s="59">
        <f t="shared" si="27"/>
        <v>0.96401875079184085</v>
      </c>
      <c r="X29" s="59">
        <f t="shared" si="27"/>
        <v>1.0370230449565545</v>
      </c>
      <c r="Y29" s="59">
        <f t="shared" si="27"/>
        <v>0.97402652610100326</v>
      </c>
      <c r="Z29" s="59">
        <f t="shared" si="27"/>
        <v>0.97765570026541571</v>
      </c>
      <c r="AA29" s="59">
        <f t="shared" si="27"/>
        <v>0.98165118017729358</v>
      </c>
      <c r="AB29" s="59">
        <f t="shared" si="27"/>
        <v>0.99450896736983485</v>
      </c>
      <c r="AC29" s="59">
        <f t="shared" si="27"/>
        <v>1.0299885472645582</v>
      </c>
      <c r="AD29" s="59">
        <f t="shared" si="27"/>
        <v>0.95695257315842586</v>
      </c>
      <c r="AE29" s="59">
        <f t="shared" si="27"/>
        <v>0.95481927710843373</v>
      </c>
      <c r="AF29" s="59">
        <f t="shared" si="27"/>
        <v>0.96099180118584926</v>
      </c>
      <c r="AG29" s="59">
        <f t="shared" si="27"/>
        <v>0.96222958094501687</v>
      </c>
      <c r="AH29" s="59">
        <f t="shared" si="27"/>
        <v>0.96208331082176235</v>
      </c>
      <c r="AI29" s="59">
        <f t="shared" si="27"/>
        <v>0.96447667307356277</v>
      </c>
      <c r="AJ29" s="59">
        <f t="shared" si="27"/>
        <v>0.95315498805373855</v>
      </c>
      <c r="AK29" s="59">
        <f t="shared" ref="AK29:BP29" si="28">AK28/AK34</f>
        <v>0.9607314392705959</v>
      </c>
      <c r="AL29" s="59">
        <f t="shared" si="28"/>
        <v>0.97039748282283445</v>
      </c>
      <c r="AM29" s="59">
        <f t="shared" si="28"/>
        <v>0.96188992533769024</v>
      </c>
      <c r="AN29" s="59">
        <f t="shared" si="28"/>
        <v>0.97329932857960755</v>
      </c>
      <c r="AO29" s="59">
        <f t="shared" si="28"/>
        <v>0.89102107923731932</v>
      </c>
      <c r="AP29" s="59">
        <f t="shared" si="28"/>
        <v>0.81667342419611388</v>
      </c>
      <c r="AQ29" s="59">
        <f t="shared" si="28"/>
        <v>0.74120210032398615</v>
      </c>
      <c r="AR29" s="59">
        <f t="shared" si="28"/>
        <v>0.62449020192977223</v>
      </c>
      <c r="AS29" s="59">
        <f t="shared" si="28"/>
        <v>0.97426849736113075</v>
      </c>
      <c r="AT29" s="59">
        <f t="shared" si="28"/>
        <v>0.96939666359925436</v>
      </c>
      <c r="AU29" s="59">
        <f t="shared" si="28"/>
        <v>0.96846099512131023</v>
      </c>
      <c r="AV29" s="59">
        <f t="shared" si="28"/>
        <v>0.95588180077347651</v>
      </c>
      <c r="AW29" s="59">
        <f t="shared" si="28"/>
        <v>0.99947557777913287</v>
      </c>
      <c r="AX29" s="59">
        <f t="shared" si="28"/>
        <v>0.99953687027221738</v>
      </c>
      <c r="AY29" s="59">
        <f t="shared" si="28"/>
        <v>0.99501787068125203</v>
      </c>
      <c r="AZ29" s="59">
        <f t="shared" si="28"/>
        <v>0.98938730178318013</v>
      </c>
      <c r="BA29" s="59">
        <f t="shared" si="28"/>
        <v>0.98707574914553697</v>
      </c>
      <c r="BB29" s="59">
        <f t="shared" si="28"/>
        <v>1.0105178643115216</v>
      </c>
      <c r="BC29" s="59">
        <f t="shared" si="28"/>
        <v>1.0210879327005058</v>
      </c>
      <c r="BD29" s="59">
        <f t="shared" si="28"/>
        <v>0.99183603562457179</v>
      </c>
      <c r="BE29" s="59">
        <f t="shared" si="28"/>
        <v>0.98277390753641547</v>
      </c>
      <c r="BF29" s="59">
        <f t="shared" si="28"/>
        <v>0.98256675737262444</v>
      </c>
      <c r="BG29" s="59">
        <f t="shared" si="28"/>
        <v>0.98160493387045022</v>
      </c>
      <c r="BH29" s="59">
        <f t="shared" si="28"/>
        <v>0.99022665834892909</v>
      </c>
      <c r="BI29" s="59">
        <f t="shared" si="28"/>
        <v>0.9860987798381573</v>
      </c>
      <c r="BJ29" s="59">
        <f t="shared" si="28"/>
        <v>0.98665904966731632</v>
      </c>
      <c r="BK29" s="59">
        <f t="shared" si="28"/>
        <v>0.98270878758683633</v>
      </c>
      <c r="BL29" s="59">
        <f t="shared" si="28"/>
        <v>0.99383205568772581</v>
      </c>
      <c r="BM29" s="59">
        <f t="shared" si="28"/>
        <v>0.98306108073659138</v>
      </c>
      <c r="BN29" s="59">
        <f t="shared" si="28"/>
        <v>0.98309107089884307</v>
      </c>
      <c r="BO29" s="59">
        <f t="shared" si="28"/>
        <v>0.98306010928961751</v>
      </c>
      <c r="BP29" s="59">
        <f t="shared" si="28"/>
        <v>0.96680497925311204</v>
      </c>
      <c r="BQ29" s="59">
        <f t="shared" ref="BQ29:CK29" si="29">BQ28/BQ34</f>
        <v>0.9801360643213155</v>
      </c>
      <c r="BR29" s="59">
        <f t="shared" si="29"/>
        <v>0.9811684275947794</v>
      </c>
      <c r="BS29" s="59">
        <f t="shared" si="29"/>
        <v>0.99279914202543285</v>
      </c>
      <c r="BT29" s="59">
        <f t="shared" si="29"/>
        <v>0.94989145103561579</v>
      </c>
      <c r="BU29" s="59">
        <f t="shared" si="29"/>
        <v>0.87439104674127721</v>
      </c>
      <c r="BV29" s="59" t="e">
        <f t="shared" si="29"/>
        <v>#DIV/0!</v>
      </c>
      <c r="BW29" s="59" t="e">
        <f t="shared" si="29"/>
        <v>#DIV/0!</v>
      </c>
      <c r="BX29" s="59" t="e">
        <f t="shared" si="29"/>
        <v>#DIV/0!</v>
      </c>
      <c r="BY29" s="59" t="e">
        <f t="shared" si="29"/>
        <v>#DIV/0!</v>
      </c>
      <c r="BZ29" s="59" t="e">
        <f t="shared" si="29"/>
        <v>#DIV/0!</v>
      </c>
      <c r="CA29" s="59" t="e">
        <f t="shared" si="29"/>
        <v>#DIV/0!</v>
      </c>
      <c r="CB29" s="59" t="e">
        <f t="shared" si="29"/>
        <v>#DIV/0!</v>
      </c>
      <c r="CC29" s="59" t="e">
        <f t="shared" si="29"/>
        <v>#DIV/0!</v>
      </c>
      <c r="CD29" s="59" t="e">
        <f t="shared" si="29"/>
        <v>#DIV/0!</v>
      </c>
      <c r="CE29" s="59">
        <f t="shared" si="29"/>
        <v>0</v>
      </c>
      <c r="CF29" s="59">
        <f t="shared" si="29"/>
        <v>0</v>
      </c>
      <c r="CG29" s="59" t="e">
        <f t="shared" si="29"/>
        <v>#DIV/0!</v>
      </c>
      <c r="CH29" s="59" t="e">
        <f t="shared" si="29"/>
        <v>#DIV/0!</v>
      </c>
      <c r="CI29" s="59" t="e">
        <f t="shared" si="29"/>
        <v>#DIV/0!</v>
      </c>
      <c r="CJ29" s="59" t="e">
        <f t="shared" si="29"/>
        <v>#DIV/0!</v>
      </c>
      <c r="CK29" s="59" t="e">
        <f t="shared" si="29"/>
        <v>#DIV/0!</v>
      </c>
    </row>
    <row r="30" spans="1:89" s="26" customFormat="1" x14ac:dyDescent="0.25">
      <c r="A30" s="17" t="s">
        <v>374</v>
      </c>
      <c r="E30" s="26">
        <f>股权价值增加表!E20</f>
        <v>0</v>
      </c>
      <c r="F30" s="26">
        <f>股权价值增加表!F20</f>
        <v>0</v>
      </c>
      <c r="G30" s="26">
        <f>股权价值增加表!G20</f>
        <v>0</v>
      </c>
      <c r="H30" s="26">
        <f>股权价值增加表!H20</f>
        <v>0</v>
      </c>
      <c r="I30" s="26">
        <f>股权价值增加表!I20</f>
        <v>0</v>
      </c>
      <c r="J30" s="26">
        <f>股权价值增加表!J20</f>
        <v>0</v>
      </c>
      <c r="K30" s="26">
        <f>股权价值增加表!K20</f>
        <v>0</v>
      </c>
      <c r="L30" s="26">
        <f>股权价值增加表!L20</f>
        <v>0</v>
      </c>
      <c r="M30" s="26">
        <f>股权价值增加表!M20</f>
        <v>0</v>
      </c>
      <c r="N30" s="26">
        <f>股权价值增加表!N20</f>
        <v>0</v>
      </c>
      <c r="O30" s="26">
        <f>股权价值增加表!O20</f>
        <v>0</v>
      </c>
      <c r="P30" s="26">
        <f>股权价值增加表!P20</f>
        <v>0</v>
      </c>
      <c r="Q30" s="26">
        <f>股权价值增加表!Q20</f>
        <v>0</v>
      </c>
      <c r="R30" s="26">
        <f>股权价值增加表!R20</f>
        <v>0</v>
      </c>
      <c r="S30" s="26">
        <f>股权价值增加表!S20</f>
        <v>0</v>
      </c>
      <c r="T30" s="26">
        <f>股权价值增加表!T20</f>
        <v>0</v>
      </c>
      <c r="U30" s="26">
        <f>股权价值增加表!U20</f>
        <v>0</v>
      </c>
      <c r="V30" s="26">
        <f>股权价值增加表!V20</f>
        <v>0</v>
      </c>
      <c r="W30" s="26">
        <f>股权价值增加表!W20</f>
        <v>0</v>
      </c>
      <c r="X30" s="26">
        <f>股权价值增加表!X20</f>
        <v>0</v>
      </c>
      <c r="Y30" s="26">
        <f>股权价值增加表!Y20</f>
        <v>0</v>
      </c>
      <c r="Z30" s="26">
        <f>股权价值增加表!Z20</f>
        <v>0</v>
      </c>
      <c r="AA30" s="26">
        <f>股权价值增加表!AA20</f>
        <v>0</v>
      </c>
      <c r="AB30" s="26">
        <f>股权价值增加表!AB20</f>
        <v>0</v>
      </c>
      <c r="AC30" s="26">
        <f>股权价值增加表!AC20</f>
        <v>0</v>
      </c>
      <c r="AD30" s="26">
        <f>股权价值增加表!AD20</f>
        <v>0</v>
      </c>
      <c r="AE30" s="26">
        <f>股权价值增加表!AE20</f>
        <v>0</v>
      </c>
      <c r="AF30" s="26">
        <f>股权价值增加表!AF20</f>
        <v>0</v>
      </c>
      <c r="AG30" s="26">
        <f>股权价值增加表!AG20</f>
        <v>0</v>
      </c>
      <c r="AH30" s="26">
        <f>股权价值增加表!AH20</f>
        <v>0</v>
      </c>
      <c r="AI30" s="26">
        <f>股权价值增加表!AI20</f>
        <v>0</v>
      </c>
      <c r="AJ30" s="26">
        <f>股权价值增加表!AJ20</f>
        <v>0</v>
      </c>
      <c r="AK30" s="26">
        <f>股权价值增加表!AK20</f>
        <v>0</v>
      </c>
      <c r="AL30" s="26">
        <f>股权价值增加表!AL20</f>
        <v>0</v>
      </c>
      <c r="AM30" s="26">
        <f>股权价值增加表!AM20</f>
        <v>0</v>
      </c>
      <c r="AN30" s="26">
        <f>股权价值增加表!AN20</f>
        <v>463000000</v>
      </c>
      <c r="AO30" s="26">
        <f>股权价值增加表!AO20</f>
        <v>0</v>
      </c>
      <c r="AP30" s="26">
        <f>股权价值增加表!AP20</f>
        <v>0</v>
      </c>
      <c r="AQ30" s="26">
        <f>股权价值增加表!AQ20</f>
        <v>0</v>
      </c>
      <c r="AR30" s="26">
        <f>股权价值增加表!AR20</f>
        <v>0</v>
      </c>
      <c r="AS30" s="26">
        <f>股权价值增加表!AS20</f>
        <v>0</v>
      </c>
      <c r="AT30" s="26">
        <f>股权价值增加表!AT20</f>
        <v>0</v>
      </c>
      <c r="AU30" s="26">
        <f>股权价值增加表!AU20</f>
        <v>0</v>
      </c>
      <c r="AV30" s="26">
        <f>股权价值增加表!AV20</f>
        <v>0</v>
      </c>
      <c r="AW30" s="26">
        <f>股权价值增加表!AW20</f>
        <v>0</v>
      </c>
      <c r="AX30" s="26">
        <f>股权价值增加表!AX20</f>
        <v>0</v>
      </c>
      <c r="AY30" s="26">
        <f>股权价值增加表!AY20</f>
        <v>0</v>
      </c>
      <c r="AZ30" s="26">
        <f>股权价值增加表!AZ20</f>
        <v>0</v>
      </c>
      <c r="BA30" s="26">
        <f>股权价值增加表!BA20</f>
        <v>0</v>
      </c>
      <c r="BB30" s="26">
        <f>股权价值增加表!BB20</f>
        <v>0</v>
      </c>
      <c r="BC30" s="26">
        <f>股权价值增加表!BC20</f>
        <v>0</v>
      </c>
      <c r="BD30" s="26">
        <f>股权价值增加表!BD20</f>
        <v>0</v>
      </c>
      <c r="BE30" s="26">
        <f>股权价值增加表!BE20</f>
        <v>0</v>
      </c>
      <c r="BF30" s="26">
        <f>股权价值增加表!BF20</f>
        <v>0</v>
      </c>
      <c r="BG30" s="26">
        <f>股权价值增加表!BG20</f>
        <v>0</v>
      </c>
      <c r="BH30" s="26">
        <f>股权价值增加表!BH20</f>
        <v>0</v>
      </c>
      <c r="BI30" s="26">
        <f>股权价值增加表!BI20</f>
        <v>0</v>
      </c>
      <c r="BJ30" s="26">
        <f>股权价值增加表!BJ20</f>
        <v>0</v>
      </c>
      <c r="BK30" s="26">
        <f>股权价值增加表!BK20</f>
        <v>0</v>
      </c>
      <c r="BL30" s="26">
        <f>股权价值增加表!BL20</f>
        <v>0</v>
      </c>
      <c r="BM30" s="26">
        <f>股权价值增加表!BM20</f>
        <v>0</v>
      </c>
      <c r="BN30" s="26">
        <f>股权价值增加表!BN20</f>
        <v>0</v>
      </c>
      <c r="BO30" s="26">
        <f>股权价值增加表!BO20</f>
        <v>0</v>
      </c>
      <c r="BP30" s="26">
        <f>股权价值增加表!BP20</f>
        <v>0</v>
      </c>
      <c r="BQ30" s="26">
        <f>股权价值增加表!BQ20</f>
        <v>0</v>
      </c>
      <c r="BR30" s="26">
        <f>股权价值增加表!BR20</f>
        <v>0</v>
      </c>
      <c r="BS30" s="26">
        <f>股权价值增加表!BS20</f>
        <v>0</v>
      </c>
      <c r="BT30" s="26">
        <f>股权价值增加表!BT20</f>
        <v>0</v>
      </c>
      <c r="BU30" s="26">
        <f>股权价值增加表!BU20</f>
        <v>0</v>
      </c>
      <c r="BV30" s="26">
        <f>股权价值增加表!BV20</f>
        <v>0</v>
      </c>
      <c r="BW30" s="26">
        <f>股权价值增加表!BW20</f>
        <v>0</v>
      </c>
      <c r="BX30" s="26">
        <f>股权价值增加表!BX20</f>
        <v>0</v>
      </c>
      <c r="BY30" s="26">
        <f>股权价值增加表!BY20</f>
        <v>0</v>
      </c>
      <c r="BZ30" s="26">
        <f>股权价值增加表!BZ20</f>
        <v>0</v>
      </c>
      <c r="CA30" s="26">
        <f>股权价值增加表!CA20</f>
        <v>0</v>
      </c>
      <c r="CB30" s="26">
        <f>股权价值增加表!CB20</f>
        <v>0</v>
      </c>
      <c r="CC30" s="26">
        <f>股权价值增加表!CC20</f>
        <v>0</v>
      </c>
      <c r="CD30" s="26">
        <f>股权价值增加表!CD20</f>
        <v>0</v>
      </c>
      <c r="CE30" s="26">
        <f>股权价值增加表!CE20</f>
        <v>0</v>
      </c>
      <c r="CF30" s="26">
        <f>股权价值增加表!CF20</f>
        <v>0</v>
      </c>
      <c r="CG30" s="26">
        <f>股权价值增加表!CG20</f>
        <v>0</v>
      </c>
      <c r="CH30" s="26">
        <f>股权价值增加表!CH20</f>
        <v>0</v>
      </c>
      <c r="CI30" s="26">
        <f>股权价值增加表!CI20</f>
        <v>0</v>
      </c>
      <c r="CJ30" s="26">
        <f>股权价值增加表!CJ20</f>
        <v>0</v>
      </c>
    </row>
    <row r="31" spans="1:89" s="59" customFormat="1" x14ac:dyDescent="0.25">
      <c r="A31" s="146" t="s">
        <v>379</v>
      </c>
      <c r="E31" s="59">
        <f>E30/E34</f>
        <v>0</v>
      </c>
      <c r="F31" s="59">
        <f t="shared" ref="F31:BQ31" si="30">F30/F34</f>
        <v>0</v>
      </c>
      <c r="G31" s="59">
        <f t="shared" si="30"/>
        <v>0</v>
      </c>
      <c r="H31" s="59">
        <f t="shared" si="30"/>
        <v>0</v>
      </c>
      <c r="I31" s="59">
        <f t="shared" si="30"/>
        <v>0</v>
      </c>
      <c r="J31" s="59">
        <f t="shared" si="30"/>
        <v>0</v>
      </c>
      <c r="K31" s="59">
        <f t="shared" si="30"/>
        <v>0</v>
      </c>
      <c r="L31" s="59">
        <f t="shared" si="30"/>
        <v>0</v>
      </c>
      <c r="M31" s="59">
        <f t="shared" si="30"/>
        <v>0</v>
      </c>
      <c r="N31" s="59">
        <f t="shared" si="30"/>
        <v>0</v>
      </c>
      <c r="O31" s="59">
        <f t="shared" si="30"/>
        <v>0</v>
      </c>
      <c r="P31" s="59">
        <f t="shared" si="30"/>
        <v>0</v>
      </c>
      <c r="Q31" s="59">
        <f t="shared" si="30"/>
        <v>0</v>
      </c>
      <c r="R31" s="59">
        <f t="shared" si="30"/>
        <v>0</v>
      </c>
      <c r="S31" s="59">
        <f t="shared" si="30"/>
        <v>0</v>
      </c>
      <c r="T31" s="59">
        <f t="shared" si="30"/>
        <v>0</v>
      </c>
      <c r="U31" s="59">
        <f t="shared" si="30"/>
        <v>0</v>
      </c>
      <c r="V31" s="59">
        <f t="shared" si="30"/>
        <v>0</v>
      </c>
      <c r="W31" s="59">
        <f t="shared" si="30"/>
        <v>0</v>
      </c>
      <c r="X31" s="59">
        <f t="shared" si="30"/>
        <v>0</v>
      </c>
      <c r="Y31" s="59">
        <f t="shared" si="30"/>
        <v>0</v>
      </c>
      <c r="Z31" s="59">
        <f t="shared" si="30"/>
        <v>0</v>
      </c>
      <c r="AA31" s="59">
        <f t="shared" si="30"/>
        <v>0</v>
      </c>
      <c r="AB31" s="59">
        <f t="shared" si="30"/>
        <v>0</v>
      </c>
      <c r="AC31" s="59">
        <f t="shared" si="30"/>
        <v>0</v>
      </c>
      <c r="AD31" s="59">
        <f t="shared" si="30"/>
        <v>0</v>
      </c>
      <c r="AE31" s="59">
        <f t="shared" si="30"/>
        <v>0</v>
      </c>
      <c r="AF31" s="59">
        <f t="shared" si="30"/>
        <v>0</v>
      </c>
      <c r="AG31" s="59">
        <f t="shared" si="30"/>
        <v>0</v>
      </c>
      <c r="AH31" s="59">
        <f t="shared" si="30"/>
        <v>0</v>
      </c>
      <c r="AI31" s="59">
        <f t="shared" si="30"/>
        <v>0</v>
      </c>
      <c r="AJ31" s="59">
        <f t="shared" si="30"/>
        <v>0</v>
      </c>
      <c r="AK31" s="59">
        <f t="shared" si="30"/>
        <v>0</v>
      </c>
      <c r="AL31" s="59">
        <f t="shared" si="30"/>
        <v>0</v>
      </c>
      <c r="AM31" s="59">
        <f t="shared" si="30"/>
        <v>0</v>
      </c>
      <c r="AN31" s="59">
        <f t="shared" si="30"/>
        <v>2.4098266798521836E-2</v>
      </c>
      <c r="AO31" s="59">
        <f t="shared" si="30"/>
        <v>0</v>
      </c>
      <c r="AP31" s="59">
        <f t="shared" si="30"/>
        <v>0</v>
      </c>
      <c r="AQ31" s="59">
        <f t="shared" si="30"/>
        <v>0</v>
      </c>
      <c r="AR31" s="59">
        <f t="shared" si="30"/>
        <v>0</v>
      </c>
      <c r="AS31" s="59">
        <f t="shared" si="30"/>
        <v>0</v>
      </c>
      <c r="AT31" s="59">
        <f t="shared" si="30"/>
        <v>0</v>
      </c>
      <c r="AU31" s="59">
        <f t="shared" si="30"/>
        <v>0</v>
      </c>
      <c r="AV31" s="59">
        <f t="shared" si="30"/>
        <v>0</v>
      </c>
      <c r="AW31" s="59">
        <f t="shared" si="30"/>
        <v>0</v>
      </c>
      <c r="AX31" s="59">
        <f t="shared" si="30"/>
        <v>0</v>
      </c>
      <c r="AY31" s="59">
        <f t="shared" si="30"/>
        <v>0</v>
      </c>
      <c r="AZ31" s="59">
        <f t="shared" si="30"/>
        <v>0</v>
      </c>
      <c r="BA31" s="59">
        <f t="shared" si="30"/>
        <v>0</v>
      </c>
      <c r="BB31" s="59">
        <f t="shared" si="30"/>
        <v>0</v>
      </c>
      <c r="BC31" s="59">
        <f t="shared" si="30"/>
        <v>0</v>
      </c>
      <c r="BD31" s="59">
        <f t="shared" si="30"/>
        <v>0</v>
      </c>
      <c r="BE31" s="59">
        <f t="shared" si="30"/>
        <v>0</v>
      </c>
      <c r="BF31" s="59">
        <f t="shared" si="30"/>
        <v>0</v>
      </c>
      <c r="BG31" s="59">
        <f t="shared" si="30"/>
        <v>0</v>
      </c>
      <c r="BH31" s="59">
        <f t="shared" si="30"/>
        <v>0</v>
      </c>
      <c r="BI31" s="59">
        <f t="shared" si="30"/>
        <v>0</v>
      </c>
      <c r="BJ31" s="59">
        <f t="shared" si="30"/>
        <v>0</v>
      </c>
      <c r="BK31" s="59">
        <f t="shared" si="30"/>
        <v>0</v>
      </c>
      <c r="BL31" s="59">
        <f t="shared" si="30"/>
        <v>0</v>
      </c>
      <c r="BM31" s="59">
        <f t="shared" si="30"/>
        <v>0</v>
      </c>
      <c r="BN31" s="59">
        <f t="shared" si="30"/>
        <v>0</v>
      </c>
      <c r="BO31" s="59">
        <f t="shared" si="30"/>
        <v>0</v>
      </c>
      <c r="BP31" s="59">
        <f t="shared" si="30"/>
        <v>0</v>
      </c>
      <c r="BQ31" s="59">
        <f t="shared" si="30"/>
        <v>0</v>
      </c>
      <c r="BR31" s="59">
        <f t="shared" ref="BR31:CK31" si="31">BR30/BR34</f>
        <v>0</v>
      </c>
      <c r="BS31" s="59">
        <f t="shared" si="31"/>
        <v>0</v>
      </c>
      <c r="BT31" s="59">
        <f t="shared" si="31"/>
        <v>0</v>
      </c>
      <c r="BU31" s="59">
        <f t="shared" si="31"/>
        <v>0</v>
      </c>
      <c r="BV31" s="59" t="e">
        <f t="shared" si="31"/>
        <v>#DIV/0!</v>
      </c>
      <c r="BW31" s="59" t="e">
        <f t="shared" si="31"/>
        <v>#DIV/0!</v>
      </c>
      <c r="BX31" s="59" t="e">
        <f t="shared" si="31"/>
        <v>#DIV/0!</v>
      </c>
      <c r="BY31" s="59" t="e">
        <f t="shared" si="31"/>
        <v>#DIV/0!</v>
      </c>
      <c r="BZ31" s="59" t="e">
        <f t="shared" si="31"/>
        <v>#DIV/0!</v>
      </c>
      <c r="CA31" s="59" t="e">
        <f t="shared" si="31"/>
        <v>#DIV/0!</v>
      </c>
      <c r="CB31" s="59" t="e">
        <f t="shared" si="31"/>
        <v>#DIV/0!</v>
      </c>
      <c r="CC31" s="59" t="e">
        <f t="shared" si="31"/>
        <v>#DIV/0!</v>
      </c>
      <c r="CD31" s="59" t="e">
        <f t="shared" si="31"/>
        <v>#DIV/0!</v>
      </c>
      <c r="CE31" s="59">
        <f t="shared" si="31"/>
        <v>0</v>
      </c>
      <c r="CF31" s="59">
        <f t="shared" si="31"/>
        <v>0</v>
      </c>
      <c r="CG31" s="59" t="e">
        <f t="shared" si="31"/>
        <v>#DIV/0!</v>
      </c>
      <c r="CH31" s="59" t="e">
        <f t="shared" si="31"/>
        <v>#DIV/0!</v>
      </c>
      <c r="CI31" s="59" t="e">
        <f t="shared" si="31"/>
        <v>#DIV/0!</v>
      </c>
      <c r="CJ31" s="59" t="e">
        <f t="shared" si="31"/>
        <v>#DIV/0!</v>
      </c>
      <c r="CK31" s="59" t="e">
        <f t="shared" si="31"/>
        <v>#DIV/0!</v>
      </c>
    </row>
    <row r="32" spans="1:89" s="26" customFormat="1" x14ac:dyDescent="0.25">
      <c r="A32" s="17" t="s">
        <v>375</v>
      </c>
      <c r="E32" s="26">
        <f>股权价值增加表!E27</f>
        <v>20257000000</v>
      </c>
      <c r="F32" s="26">
        <f>股权价值增加表!F27</f>
        <v>9358031730</v>
      </c>
      <c r="G32" s="26">
        <f>股权价值增加表!G27</f>
        <v>7411023686</v>
      </c>
      <c r="H32" s="26">
        <f>股权价值增加表!H27</f>
        <v>3043015806</v>
      </c>
      <c r="I32" s="26">
        <f>股权价值增加表!I27</f>
        <v>39504000000</v>
      </c>
      <c r="J32" s="26">
        <f>股权价值增加表!J27</f>
        <v>9329000000</v>
      </c>
      <c r="K32" s="26">
        <f>股权价值增加表!K27</f>
        <v>8327000000</v>
      </c>
      <c r="L32" s="26">
        <f>股权价值增加表!L27</f>
        <v>2758000000</v>
      </c>
      <c r="M32" s="26">
        <f>股权价值增加表!M27</f>
        <v>8561000000</v>
      </c>
      <c r="N32" s="26">
        <f>股权价值增加表!N27</f>
        <v>10167000000</v>
      </c>
      <c r="O32" s="26">
        <f>股权价值增加表!O27</f>
        <v>5927000000</v>
      </c>
      <c r="P32" s="26">
        <f>股权价值增加表!P27</f>
        <v>3520000000</v>
      </c>
      <c r="Q32" s="26">
        <f>股权价值增加表!Q27</f>
        <v>-3680000000</v>
      </c>
      <c r="R32" s="26">
        <f>股权价值增加表!R27</f>
        <v>2921000000</v>
      </c>
      <c r="S32" s="26">
        <f>股权价值增加表!S27</f>
        <v>1368000000</v>
      </c>
      <c r="T32" s="26">
        <f>股权价值增加表!T27</f>
        <v>-579000000</v>
      </c>
      <c r="U32" s="26">
        <f>股权价值增加表!U27</f>
        <v>9937000000</v>
      </c>
      <c r="V32" s="26">
        <f>股权价值增加表!V27</f>
        <v>3105000000</v>
      </c>
      <c r="W32" s="26">
        <f>股权价值增加表!W27</f>
        <v>1988000000</v>
      </c>
      <c r="X32" s="26">
        <f>股权价值增加表!X27</f>
        <v>-1078000000</v>
      </c>
      <c r="Y32" s="26">
        <f>股权价值增加表!Y27</f>
        <v>3055000000</v>
      </c>
      <c r="Z32" s="26">
        <f>股权价值增加表!Z27</f>
        <v>1810000000</v>
      </c>
      <c r="AA32" s="26">
        <f>股权价值增加表!AA27</f>
        <v>859000000</v>
      </c>
      <c r="AB32" s="26">
        <f>股权价值增加表!AB27</f>
        <v>139000000</v>
      </c>
      <c r="AC32" s="26">
        <f>股权价值增加表!AC27</f>
        <v>-3404000000</v>
      </c>
      <c r="AD32" s="26">
        <f>股权价值增加表!AD27</f>
        <v>4266000000</v>
      </c>
      <c r="AE32" s="26">
        <f>股权价值增加表!AE27</f>
        <v>2970000000</v>
      </c>
      <c r="AF32" s="26">
        <f>股权价值增加表!AF27</f>
        <v>1375000000</v>
      </c>
      <c r="AG32" s="26">
        <f>股权价值增加表!AG27</f>
        <v>4494000000</v>
      </c>
      <c r="AH32" s="26">
        <f>股权价值增加表!AH27</f>
        <v>3509000000</v>
      </c>
      <c r="AI32" s="26">
        <f>股权价值增加表!AI27</f>
        <v>2033000000</v>
      </c>
      <c r="AJ32" s="26">
        <f>股权价值增加表!AJ27</f>
        <v>1196000000</v>
      </c>
      <c r="AK32" s="26">
        <f>股权价值增加表!AK27</f>
        <v>3859000000</v>
      </c>
      <c r="AL32" s="26">
        <f>股权价值增加表!AL27</f>
        <v>2305000000</v>
      </c>
      <c r="AM32" s="26">
        <f>股权价值增加表!AM27</f>
        <v>2006000000</v>
      </c>
      <c r="AN32" s="26">
        <f>股权价值增加表!AN27</f>
        <v>50000000</v>
      </c>
      <c r="AO32" s="26">
        <f>股权价值增加表!AO27</f>
        <v>4441000000</v>
      </c>
      <c r="AP32" s="26">
        <f>股权价值增加表!AP27</f>
        <v>5878000000</v>
      </c>
      <c r="AQ32" s="26">
        <f>股权价值增加表!AQ27</f>
        <v>4633000000</v>
      </c>
      <c r="AR32" s="26">
        <f>股权价值增加表!AR27</f>
        <v>3775000000</v>
      </c>
      <c r="AS32" s="26">
        <f>股权价值增加表!AS27</f>
        <v>2545000000</v>
      </c>
      <c r="AT32" s="26">
        <f>股权价值增加表!AT27</f>
        <v>2594000000</v>
      </c>
      <c r="AU32" s="26">
        <f>股权价值增加表!AU27</f>
        <v>1920000000</v>
      </c>
      <c r="AV32" s="26">
        <f>股权价值增加表!AV27</f>
        <v>1175000000</v>
      </c>
      <c r="AW32" s="26">
        <f>股权价值增加表!AW27</f>
        <v>43000000</v>
      </c>
      <c r="AX32" s="26">
        <f>股权价值增加表!AX27</f>
        <v>27000000</v>
      </c>
      <c r="AY32" s="26">
        <f>股权价值增加表!AY27</f>
        <v>184000000</v>
      </c>
      <c r="AZ32" s="26">
        <f>股权价值增加表!AZ27</f>
        <v>172000000</v>
      </c>
      <c r="BA32" s="26">
        <f>股权价值增加表!BA27</f>
        <v>813000000</v>
      </c>
      <c r="BB32" s="26">
        <f>股权价值增加表!BB27</f>
        <v>-524000000</v>
      </c>
      <c r="BC32" s="26">
        <f>股权价值增加表!BC27</f>
        <v>-742000000</v>
      </c>
      <c r="BD32" s="26">
        <f>股权价值增加表!BD27</f>
        <v>143000000</v>
      </c>
      <c r="BE32" s="26">
        <f>股权价值增加表!BE27</f>
        <v>1088000000</v>
      </c>
      <c r="BF32" s="26">
        <f>股权价值增加表!BF27</f>
        <v>788000000</v>
      </c>
      <c r="BG32" s="26">
        <f>股权价值增加表!BG27</f>
        <v>516000000</v>
      </c>
      <c r="BH32" s="26">
        <f>股权价值增加表!BH27</f>
        <v>141000000</v>
      </c>
      <c r="BI32" s="26">
        <f>股权价值增加表!BI27</f>
        <v>548000000</v>
      </c>
      <c r="BJ32" s="26">
        <f>股权价值增加表!BJ27</f>
        <v>397000000</v>
      </c>
      <c r="BK32" s="26">
        <f>股权价值增加表!BK27</f>
        <v>341000000</v>
      </c>
      <c r="BL32" s="26">
        <f>股权价值增加表!BL27</f>
        <v>70000000</v>
      </c>
      <c r="BM32" s="26">
        <f>股权价值增加表!BM27</f>
        <v>505000000</v>
      </c>
      <c r="BN32" s="26">
        <f>股权价值增加表!BN27</f>
        <v>342000000</v>
      </c>
      <c r="BO32" s="26">
        <f>股权价值增加表!BO27</f>
        <v>186000000</v>
      </c>
      <c r="BP32" s="26">
        <f>股权价值增加表!BP27</f>
        <v>64000000</v>
      </c>
      <c r="BQ32" s="26">
        <f>股权价值增加表!BQ27</f>
        <v>546000000</v>
      </c>
      <c r="BR32" s="26">
        <f>股权价值增加表!BR27</f>
        <v>303000000</v>
      </c>
      <c r="BS32" s="26">
        <f>股权价值增加表!BS27</f>
        <v>235000000</v>
      </c>
      <c r="BT32" s="26">
        <f>股权价值增加表!BT27</f>
        <v>854000000</v>
      </c>
      <c r="BU32" s="26">
        <f>股权价值增加表!BU27</f>
        <v>954000000</v>
      </c>
      <c r="BV32" s="26">
        <f>股权价值增加表!BV27</f>
        <v>0</v>
      </c>
      <c r="BW32" s="26">
        <f>股权价值增加表!BW27</f>
        <v>0</v>
      </c>
      <c r="BX32" s="26">
        <f>股权价值增加表!BX27</f>
        <v>0</v>
      </c>
      <c r="BY32" s="26">
        <f>股权价值增加表!BY27</f>
        <v>0</v>
      </c>
      <c r="BZ32" s="26">
        <f>股权价值增加表!BZ27</f>
        <v>0</v>
      </c>
      <c r="CA32" s="26">
        <f>股权价值增加表!CA27</f>
        <v>0</v>
      </c>
      <c r="CB32" s="26">
        <f>股权价值增加表!CB27</f>
        <v>0</v>
      </c>
      <c r="CC32" s="26">
        <f>股权价值增加表!CC27</f>
        <v>0</v>
      </c>
      <c r="CD32" s="26">
        <f>股权价值增加表!CD27</f>
        <v>0</v>
      </c>
      <c r="CE32" s="26">
        <f>股权价值增加表!CE27</f>
        <v>7729000</v>
      </c>
      <c r="CF32" s="26">
        <f>股权价值增加表!CF27</f>
        <v>2092581.44</v>
      </c>
      <c r="CG32" s="26">
        <f>股权价值增加表!CG27</f>
        <v>0</v>
      </c>
      <c r="CH32" s="26">
        <f>股权价值增加表!CH27</f>
        <v>0</v>
      </c>
      <c r="CI32" s="26">
        <f>股权价值增加表!CI27</f>
        <v>0</v>
      </c>
      <c r="CJ32" s="26">
        <f>股权价值增加表!CJ27</f>
        <v>0</v>
      </c>
      <c r="CK32" s="26">
        <f>股权价值增加表!CK27</f>
        <v>0</v>
      </c>
    </row>
    <row r="33" spans="1:89" s="59" customFormat="1" x14ac:dyDescent="0.25">
      <c r="A33" s="146" t="s">
        <v>380</v>
      </c>
      <c r="E33" s="59">
        <f>E32/E34</f>
        <v>0.20923194513303586</v>
      </c>
      <c r="F33" s="59">
        <f t="shared" ref="F33:BQ33" si="32">F32/F34</f>
        <v>0.13817889539824935</v>
      </c>
      <c r="G33" s="59">
        <f t="shared" si="32"/>
        <v>0.15301908230943551</v>
      </c>
      <c r="H33" s="59">
        <f t="shared" si="32"/>
        <v>0.10082215483846294</v>
      </c>
      <c r="I33" s="59">
        <f t="shared" si="32"/>
        <v>0.37174637231099317</v>
      </c>
      <c r="J33" s="59">
        <f t="shared" si="32"/>
        <v>0.1396724158581866</v>
      </c>
      <c r="K33" s="59">
        <f t="shared" si="32"/>
        <v>0.17871399751040906</v>
      </c>
      <c r="L33" s="59">
        <f t="shared" si="32"/>
        <v>0.15663334847796456</v>
      </c>
      <c r="M33" s="59">
        <f t="shared" si="32"/>
        <v>0.11440904474260973</v>
      </c>
      <c r="N33" s="59">
        <f t="shared" si="32"/>
        <v>0.15452307131132592</v>
      </c>
      <c r="O33" s="59">
        <f t="shared" si="32"/>
        <v>0.11679508148264922</v>
      </c>
      <c r="P33" s="59">
        <f t="shared" si="32"/>
        <v>0.32508311784263022</v>
      </c>
      <c r="Q33" s="59">
        <f t="shared" si="32"/>
        <v>-4.5935116647735072E-2</v>
      </c>
      <c r="R33" s="59">
        <f t="shared" si="32"/>
        <v>3.3669529133767508E-2</v>
      </c>
      <c r="S33" s="59">
        <f t="shared" si="32"/>
        <v>2.3633882141561424E-2</v>
      </c>
      <c r="T33" s="59">
        <f t="shared" si="32"/>
        <v>-2.1854004680304975E-2</v>
      </c>
      <c r="U33" s="59">
        <f t="shared" si="32"/>
        <v>8.1502928101573141E-2</v>
      </c>
      <c r="V33" s="59">
        <f t="shared" si="32"/>
        <v>3.4540297013182043E-2</v>
      </c>
      <c r="W33" s="59">
        <f t="shared" si="32"/>
        <v>3.5981249208159129E-2</v>
      </c>
      <c r="X33" s="59">
        <f t="shared" si="32"/>
        <v>-3.702304495655459E-2</v>
      </c>
      <c r="Y33" s="59">
        <f t="shared" si="32"/>
        <v>2.597347389899677E-2</v>
      </c>
      <c r="Z33" s="59">
        <f t="shared" si="32"/>
        <v>2.2344299734584284E-2</v>
      </c>
      <c r="AA33" s="59">
        <f t="shared" si="32"/>
        <v>1.8348819822706398E-2</v>
      </c>
      <c r="AB33" s="59">
        <f t="shared" si="32"/>
        <v>5.4910326301651257E-3</v>
      </c>
      <c r="AC33" s="59">
        <f t="shared" si="32"/>
        <v>-2.9988547264558189E-2</v>
      </c>
      <c r="AD33" s="59">
        <f t="shared" si="32"/>
        <v>4.3047426841574164E-2</v>
      </c>
      <c r="AE33" s="59">
        <f t="shared" si="32"/>
        <v>4.5180722891566265E-2</v>
      </c>
      <c r="AF33" s="59">
        <f t="shared" si="32"/>
        <v>3.9008198814150755E-2</v>
      </c>
      <c r="AG33" s="59">
        <f t="shared" si="32"/>
        <v>3.7770419054983108E-2</v>
      </c>
      <c r="AH33" s="59">
        <f t="shared" si="32"/>
        <v>3.7916689178237616E-2</v>
      </c>
      <c r="AI33" s="59">
        <f t="shared" si="32"/>
        <v>3.5523326926437185E-2</v>
      </c>
      <c r="AJ33" s="59">
        <f t="shared" si="32"/>
        <v>4.6845011946261408E-2</v>
      </c>
      <c r="AK33" s="59">
        <f t="shared" si="32"/>
        <v>3.9268560729404101E-2</v>
      </c>
      <c r="AL33" s="59">
        <f t="shared" si="32"/>
        <v>2.9602517177165607E-2</v>
      </c>
      <c r="AM33" s="59">
        <f t="shared" si="32"/>
        <v>3.8110074662309784E-2</v>
      </c>
      <c r="AN33" s="59">
        <f t="shared" si="32"/>
        <v>2.6024046218706084E-3</v>
      </c>
      <c r="AO33" s="59">
        <f t="shared" si="32"/>
        <v>0.10897892076268068</v>
      </c>
      <c r="AP33" s="59">
        <f t="shared" si="32"/>
        <v>0.18332657580388609</v>
      </c>
      <c r="AQ33" s="59">
        <f t="shared" si="32"/>
        <v>0.25879789967601385</v>
      </c>
      <c r="AR33" s="59">
        <f t="shared" si="32"/>
        <v>0.37550979807022777</v>
      </c>
      <c r="AS33" s="59">
        <f t="shared" si="32"/>
        <v>2.5731502638869228E-2</v>
      </c>
      <c r="AT33" s="59">
        <f t="shared" si="32"/>
        <v>3.0603336400745616E-2</v>
      </c>
      <c r="AU33" s="59">
        <f t="shared" si="32"/>
        <v>3.1539004878689818E-2</v>
      </c>
      <c r="AV33" s="59">
        <f t="shared" si="32"/>
        <v>4.4118199226523484E-2</v>
      </c>
      <c r="AW33" s="59">
        <f t="shared" si="32"/>
        <v>5.2442222086712599E-4</v>
      </c>
      <c r="AX33" s="59">
        <f t="shared" si="32"/>
        <v>4.6312972778263776E-4</v>
      </c>
      <c r="AY33" s="59">
        <f t="shared" si="32"/>
        <v>4.9821293187479691E-3</v>
      </c>
      <c r="AZ33" s="59">
        <f t="shared" si="32"/>
        <v>1.0612698216819892E-2</v>
      </c>
      <c r="BA33" s="59">
        <f t="shared" si="32"/>
        <v>1.2924250854463078E-2</v>
      </c>
      <c r="BB33" s="59">
        <f t="shared" si="32"/>
        <v>-1.0517864311521477E-2</v>
      </c>
      <c r="BC33" s="59">
        <f t="shared" si="32"/>
        <v>-2.1087932700505883E-2</v>
      </c>
      <c r="BD33" s="59">
        <f t="shared" si="32"/>
        <v>8.1639643754281791E-3</v>
      </c>
      <c r="BE33" s="59">
        <f t="shared" si="32"/>
        <v>1.7226092463584548E-2</v>
      </c>
      <c r="BF33" s="59">
        <f t="shared" si="32"/>
        <v>1.74332426273755E-2</v>
      </c>
      <c r="BG33" s="59">
        <f t="shared" si="32"/>
        <v>1.8395066129549748E-2</v>
      </c>
      <c r="BH33" s="59">
        <f t="shared" si="32"/>
        <v>9.7733416510709086E-3</v>
      </c>
      <c r="BI33" s="59">
        <f t="shared" si="32"/>
        <v>1.3901220161842674E-2</v>
      </c>
      <c r="BJ33" s="59">
        <f t="shared" si="32"/>
        <v>1.3340950332683649E-2</v>
      </c>
      <c r="BK33" s="59">
        <f t="shared" si="32"/>
        <v>1.7291212413163632E-2</v>
      </c>
      <c r="BL33" s="59">
        <f t="shared" si="32"/>
        <v>6.167944312274209E-3</v>
      </c>
      <c r="BM33" s="59">
        <f t="shared" si="32"/>
        <v>1.693891926340858E-2</v>
      </c>
      <c r="BN33" s="59">
        <f t="shared" si="32"/>
        <v>1.6908929101156926E-2</v>
      </c>
      <c r="BO33" s="59">
        <f t="shared" si="32"/>
        <v>1.6939890710382512E-2</v>
      </c>
      <c r="BP33" s="59">
        <f t="shared" si="32"/>
        <v>3.3195020746887967E-2</v>
      </c>
      <c r="BQ33" s="59">
        <f t="shared" si="32"/>
        <v>1.9863935678684469E-2</v>
      </c>
      <c r="BR33" s="59">
        <f t="shared" ref="BR33:CJ33" si="33">BR32/BR34</f>
        <v>1.8831572405220633E-2</v>
      </c>
      <c r="BS33" s="59">
        <f t="shared" si="33"/>
        <v>7.2008579745671828E-3</v>
      </c>
      <c r="BT33" s="59">
        <f t="shared" si="33"/>
        <v>5.0108548964384207E-2</v>
      </c>
      <c r="BU33" s="59">
        <f t="shared" si="33"/>
        <v>0.12560895325872284</v>
      </c>
      <c r="BV33" s="59" t="e">
        <f t="shared" si="33"/>
        <v>#DIV/0!</v>
      </c>
      <c r="BW33" s="59" t="e">
        <f t="shared" si="33"/>
        <v>#DIV/0!</v>
      </c>
      <c r="BX33" s="59" t="e">
        <f t="shared" si="33"/>
        <v>#DIV/0!</v>
      </c>
      <c r="BY33" s="59" t="e">
        <f t="shared" si="33"/>
        <v>#DIV/0!</v>
      </c>
      <c r="BZ33" s="59" t="e">
        <f t="shared" si="33"/>
        <v>#DIV/0!</v>
      </c>
      <c r="CA33" s="59" t="e">
        <f t="shared" si="33"/>
        <v>#DIV/0!</v>
      </c>
      <c r="CB33" s="59" t="e">
        <f t="shared" si="33"/>
        <v>#DIV/0!</v>
      </c>
      <c r="CC33" s="59" t="e">
        <f t="shared" si="33"/>
        <v>#DIV/0!</v>
      </c>
      <c r="CD33" s="59" t="e">
        <f t="shared" si="33"/>
        <v>#DIV/0!</v>
      </c>
      <c r="CE33" s="59">
        <f t="shared" si="33"/>
        <v>1</v>
      </c>
      <c r="CF33" s="59">
        <f t="shared" si="33"/>
        <v>1</v>
      </c>
      <c r="CG33" s="59" t="e">
        <f t="shared" si="33"/>
        <v>#DIV/0!</v>
      </c>
      <c r="CH33" s="59" t="e">
        <f t="shared" si="33"/>
        <v>#DIV/0!</v>
      </c>
      <c r="CI33" s="59" t="e">
        <f t="shared" si="33"/>
        <v>#DIV/0!</v>
      </c>
      <c r="CJ33" s="59" t="e">
        <f t="shared" si="33"/>
        <v>#DIV/0!</v>
      </c>
    </row>
    <row r="34" spans="1:89" s="58" customFormat="1" x14ac:dyDescent="0.25">
      <c r="A34" s="146" t="s">
        <v>376</v>
      </c>
      <c r="E34" s="58">
        <f>股权价值增加表!E31</f>
        <v>96816000000</v>
      </c>
      <c r="F34" s="58">
        <f>股权价值增加表!F31</f>
        <v>67724030526</v>
      </c>
      <c r="G34" s="58">
        <f>股权价值增加表!G31</f>
        <v>48432022818</v>
      </c>
      <c r="H34" s="58">
        <f>股权价值增加表!H31</f>
        <v>30182015162</v>
      </c>
      <c r="I34" s="58">
        <f>股权价值增加表!I31</f>
        <v>106266000000</v>
      </c>
      <c r="J34" s="58">
        <f>股权价值增加表!J31</f>
        <v>66792000000</v>
      </c>
      <c r="K34" s="58">
        <f>股权价值增加表!K31</f>
        <v>46594000000</v>
      </c>
      <c r="L34" s="58">
        <f>股权价值增加表!L31</f>
        <v>17608000000</v>
      </c>
      <c r="M34" s="58">
        <f>股权价值增加表!M31</f>
        <v>74828000000</v>
      </c>
      <c r="N34" s="58">
        <f>股权价值增加表!N31</f>
        <v>65796000000</v>
      </c>
      <c r="O34" s="58">
        <f>股权价值增加表!O31</f>
        <v>50747000000</v>
      </c>
      <c r="P34" s="58">
        <f>股权价值增加表!P31</f>
        <v>10828000000</v>
      </c>
      <c r="Q34" s="58">
        <f>股权价值增加表!Q31</f>
        <v>80113000000</v>
      </c>
      <c r="R34" s="58">
        <f>股权价值增加表!R31</f>
        <v>86755000000</v>
      </c>
      <c r="S34" s="58">
        <f>股权价值增加表!S31</f>
        <v>57883000000</v>
      </c>
      <c r="T34" s="58">
        <f>股权价值增加表!T31</f>
        <v>26494000000</v>
      </c>
      <c r="U34" s="58">
        <f>股权价值增加表!U31</f>
        <v>121922000000</v>
      </c>
      <c r="V34" s="58">
        <f>股权价值增加表!V31</f>
        <v>89895000000</v>
      </c>
      <c r="W34" s="58">
        <f>股权价值增加表!W31</f>
        <v>55251000000</v>
      </c>
      <c r="X34" s="58">
        <f>股权价值增加表!X31</f>
        <v>29117000000</v>
      </c>
      <c r="Y34" s="58">
        <f>股权价值增加表!Y31</f>
        <v>117620000000</v>
      </c>
      <c r="Z34" s="58">
        <f>股权价值增加表!Z31</f>
        <v>81005000000</v>
      </c>
      <c r="AA34" s="58">
        <f>股权价值增加表!AA31</f>
        <v>46815000000</v>
      </c>
      <c r="AB34" s="58">
        <f>股权价值增加表!AB31</f>
        <v>25314000000</v>
      </c>
      <c r="AC34" s="58">
        <f>股权价值增加表!AC31</f>
        <v>113510000000</v>
      </c>
      <c r="AD34" s="58">
        <f>股权价值增加表!AD31</f>
        <v>99100000000</v>
      </c>
      <c r="AE34" s="58">
        <f>股权价值增加表!AE31</f>
        <v>65736000000</v>
      </c>
      <c r="AF34" s="58">
        <f>股权价值增加表!AF31</f>
        <v>35249000000</v>
      </c>
      <c r="AG34" s="58">
        <f>股权价值增加表!AG31</f>
        <v>118982000000</v>
      </c>
      <c r="AH34" s="58">
        <f>股权价值增加表!AH31</f>
        <v>92545000000</v>
      </c>
      <c r="AI34" s="58">
        <f>股权价值增加表!AI31</f>
        <v>57230000000</v>
      </c>
      <c r="AJ34" s="58">
        <f>股权价值增加表!AJ31</f>
        <v>25531000000</v>
      </c>
      <c r="AK34" s="58">
        <f>股权价值增加表!AK31</f>
        <v>98272000000</v>
      </c>
      <c r="AL34" s="58">
        <f>股权价值增加表!AL31</f>
        <v>77865000000</v>
      </c>
      <c r="AM34" s="58">
        <f>股权价值增加表!AM31</f>
        <v>52637000000</v>
      </c>
      <c r="AN34" s="58">
        <f>股权价值增加表!AN31</f>
        <v>19213000000</v>
      </c>
      <c r="AO34" s="58">
        <f>股权价值增加表!AO31</f>
        <v>40751000000</v>
      </c>
      <c r="AP34" s="58">
        <f>股权价值增加表!AP31</f>
        <v>32063000000</v>
      </c>
      <c r="AQ34" s="58">
        <f>股权价值增加表!AQ31</f>
        <v>17902000000</v>
      </c>
      <c r="AR34" s="58">
        <f>股权价值增加表!AR31</f>
        <v>10053000000</v>
      </c>
      <c r="AS34" s="58">
        <f>股权价值增加表!AS31</f>
        <v>98906000000</v>
      </c>
      <c r="AT34" s="58">
        <f>股权价值增加表!AT31</f>
        <v>84762000000</v>
      </c>
      <c r="AU34" s="58">
        <f>股权价值增加表!AU31</f>
        <v>60877000000</v>
      </c>
      <c r="AV34" s="58">
        <f>股权价值增加表!AV31</f>
        <v>26633000000</v>
      </c>
      <c r="AW34" s="58">
        <f>股权价值增加表!AW31</f>
        <v>81995000000</v>
      </c>
      <c r="AX34" s="58">
        <f>股权价值增加表!AX31</f>
        <v>58299000000</v>
      </c>
      <c r="AY34" s="58">
        <f>股权价值增加表!AY31</f>
        <v>36932000000</v>
      </c>
      <c r="AZ34" s="58">
        <f>股权价值增加表!AZ31</f>
        <v>16207000000</v>
      </c>
      <c r="BA34" s="58">
        <f>股权价值增加表!BA31</f>
        <v>62905000000</v>
      </c>
      <c r="BB34" s="58">
        <f>股权价值增加表!BB31</f>
        <v>49820000000</v>
      </c>
      <c r="BC34" s="58">
        <f>股权价值增加表!BC31</f>
        <v>35186000000</v>
      </c>
      <c r="BD34" s="58">
        <f>股权价值增加表!BD31</f>
        <v>17516000000</v>
      </c>
      <c r="BE34" s="58">
        <f>股权价值增加表!BE31</f>
        <v>63160000000</v>
      </c>
      <c r="BF34" s="58">
        <f>股权价值增加表!BF31</f>
        <v>45201000000</v>
      </c>
      <c r="BG34" s="58">
        <f>股权价值增加表!BG31</f>
        <v>28051000000</v>
      </c>
      <c r="BH34" s="58">
        <f>股权价值增加表!BH31</f>
        <v>14427000000</v>
      </c>
      <c r="BI34" s="58">
        <f>股权价值增加表!BI31</f>
        <v>39421000000</v>
      </c>
      <c r="BJ34" s="58">
        <f>股权价值增加表!BJ31</f>
        <v>29758000000</v>
      </c>
      <c r="BK34" s="58">
        <f>股权价值增加表!BK31</f>
        <v>19721000000</v>
      </c>
      <c r="BL34" s="58">
        <f>股权价值增加表!BL31</f>
        <v>11349000000</v>
      </c>
      <c r="BM34" s="58">
        <f>股权价值增加表!BM31</f>
        <v>29813000000</v>
      </c>
      <c r="BN34" s="58">
        <f>股权价值增加表!BN31</f>
        <v>20226000000</v>
      </c>
      <c r="BO34" s="58">
        <f>股权价值增加表!BO31</f>
        <v>10980000000</v>
      </c>
      <c r="BP34" s="58">
        <f>股权价值增加表!BP31</f>
        <v>1928000000</v>
      </c>
      <c r="BQ34" s="58">
        <f>股权价值增加表!BQ31</f>
        <v>27487000000</v>
      </c>
      <c r="BR34" s="58">
        <f>股权价值增加表!BR31</f>
        <v>16090000000</v>
      </c>
      <c r="BS34" s="58">
        <f>股权价值增加表!BS31</f>
        <v>32635000000</v>
      </c>
      <c r="BT34" s="58">
        <f>股权价值增加表!BT31</f>
        <v>17043000000</v>
      </c>
      <c r="BU34" s="58">
        <f>股权价值增加表!BU31</f>
        <v>7595000000</v>
      </c>
      <c r="BV34" s="58">
        <f>股权价值增加表!BV31</f>
        <v>0</v>
      </c>
      <c r="BW34" s="58">
        <f>股权价值增加表!BW31</f>
        <v>0</v>
      </c>
      <c r="BX34" s="58">
        <f>股权价值增加表!BX31</f>
        <v>0</v>
      </c>
      <c r="BY34" s="58">
        <f>股权价值增加表!BY31</f>
        <v>0</v>
      </c>
      <c r="BZ34" s="58">
        <f>股权价值增加表!BZ31</f>
        <v>0</v>
      </c>
      <c r="CA34" s="58">
        <f>股权价值增加表!CA31</f>
        <v>0</v>
      </c>
      <c r="CB34" s="58">
        <f>股权价值增加表!CB31</f>
        <v>0</v>
      </c>
      <c r="CC34" s="58">
        <f>股权价值增加表!CC31</f>
        <v>0</v>
      </c>
      <c r="CD34" s="58">
        <f>股权价值增加表!CD31</f>
        <v>0</v>
      </c>
      <c r="CE34" s="58">
        <f>股权价值增加表!CE31</f>
        <v>7729000</v>
      </c>
      <c r="CF34" s="58">
        <f>股权价值增加表!CF31</f>
        <v>2092581.44</v>
      </c>
      <c r="CG34" s="58">
        <f>股权价值增加表!CG31</f>
        <v>0</v>
      </c>
      <c r="CH34" s="58">
        <f>股权价值增加表!CH31</f>
        <v>0</v>
      </c>
      <c r="CI34" s="58">
        <f>股权价值增加表!CI31</f>
        <v>0</v>
      </c>
      <c r="CJ34" s="58">
        <f>股权价值增加表!CJ31</f>
        <v>0</v>
      </c>
      <c r="CK34" s="58">
        <f>股权价值增加表!CK31</f>
        <v>0</v>
      </c>
    </row>
    <row r="35" spans="1:89" s="16" customFormat="1" ht="37.5" customHeight="1" x14ac:dyDescent="0.25">
      <c r="A35" s="282" t="s">
        <v>677</v>
      </c>
      <c r="B35" s="283"/>
      <c r="C35" s="283"/>
      <c r="D35" s="283"/>
      <c r="E35" s="283"/>
      <c r="F35" s="283"/>
      <c r="G35" s="283"/>
      <c r="H35" s="283"/>
      <c r="I35" s="283"/>
      <c r="J35" s="283"/>
      <c r="K35" s="283"/>
      <c r="L35" s="283"/>
      <c r="M35" s="283"/>
      <c r="N35" s="283"/>
      <c r="O35" s="283"/>
      <c r="P35" s="283"/>
      <c r="Q35" s="283"/>
      <c r="R35" s="283"/>
      <c r="S35" s="283"/>
      <c r="T35" s="283"/>
      <c r="U35" s="283"/>
      <c r="V35" s="283"/>
      <c r="W35" s="283"/>
      <c r="X35" s="283"/>
      <c r="Y35" s="283"/>
      <c r="Z35" s="283"/>
      <c r="AA35" s="283"/>
      <c r="AB35" s="283"/>
      <c r="AC35" s="283"/>
      <c r="AD35" s="283"/>
      <c r="AE35" s="283"/>
      <c r="AF35" s="283"/>
      <c r="AG35" s="283"/>
    </row>
    <row r="38" spans="1:89" x14ac:dyDescent="0.25">
      <c r="A38" s="20" t="s">
        <v>381</v>
      </c>
      <c r="B38" s="1">
        <v>43373</v>
      </c>
      <c r="C38" s="1">
        <v>43281</v>
      </c>
      <c r="D38" s="1">
        <v>43190</v>
      </c>
      <c r="E38" s="1">
        <v>43100</v>
      </c>
      <c r="F38" s="1">
        <v>43008</v>
      </c>
      <c r="G38" s="1">
        <v>42916</v>
      </c>
      <c r="H38" s="1">
        <v>42825</v>
      </c>
      <c r="I38" s="1">
        <v>42735</v>
      </c>
      <c r="J38" s="1">
        <v>42643</v>
      </c>
      <c r="K38" s="1">
        <v>42551</v>
      </c>
      <c r="L38" s="1">
        <v>42460</v>
      </c>
      <c r="M38" s="1">
        <v>42369</v>
      </c>
      <c r="N38" s="1">
        <v>42277</v>
      </c>
      <c r="O38" s="1">
        <v>42185</v>
      </c>
      <c r="P38" s="1">
        <v>42094</v>
      </c>
      <c r="Q38" s="1">
        <v>42004</v>
      </c>
      <c r="R38" s="1">
        <v>41912</v>
      </c>
      <c r="S38" s="1">
        <v>41820</v>
      </c>
      <c r="T38" s="1">
        <v>41729</v>
      </c>
      <c r="U38" s="1">
        <v>41639</v>
      </c>
      <c r="V38" s="1">
        <v>41547</v>
      </c>
      <c r="W38" s="1">
        <v>41455</v>
      </c>
      <c r="X38" s="1">
        <v>41364</v>
      </c>
      <c r="Y38" s="1">
        <v>41274</v>
      </c>
      <c r="Z38" s="1">
        <v>41182</v>
      </c>
      <c r="AA38" s="1">
        <v>41090</v>
      </c>
      <c r="AB38" s="1">
        <v>40999</v>
      </c>
      <c r="AC38" s="1">
        <v>40908</v>
      </c>
      <c r="AD38" s="1">
        <v>40816</v>
      </c>
      <c r="AE38" s="1">
        <v>40724</v>
      </c>
      <c r="AF38" s="1">
        <v>40633</v>
      </c>
      <c r="AG38" s="1">
        <v>40543</v>
      </c>
      <c r="AH38" s="1">
        <v>40451</v>
      </c>
      <c r="AI38" s="1">
        <v>40359</v>
      </c>
      <c r="AJ38" s="1">
        <v>40268</v>
      </c>
      <c r="AK38" s="1">
        <v>40178</v>
      </c>
      <c r="AL38" s="1">
        <v>40086</v>
      </c>
      <c r="AM38" s="1">
        <v>39994</v>
      </c>
      <c r="AN38" s="1">
        <v>39903</v>
      </c>
      <c r="AO38" s="1">
        <v>39813</v>
      </c>
      <c r="AP38" s="1">
        <v>39721</v>
      </c>
      <c r="AQ38" s="1">
        <v>39629</v>
      </c>
      <c r="AR38" s="1">
        <v>39538</v>
      </c>
      <c r="AS38" s="1">
        <v>39447</v>
      </c>
      <c r="AT38" s="1">
        <v>39355</v>
      </c>
      <c r="AU38" s="1">
        <v>39263</v>
      </c>
      <c r="AV38" s="1">
        <v>39172</v>
      </c>
      <c r="AW38" s="1">
        <v>39082</v>
      </c>
      <c r="AX38" s="1">
        <v>38990</v>
      </c>
      <c r="AY38" s="1">
        <v>38898</v>
      </c>
      <c r="AZ38" s="1">
        <v>38807</v>
      </c>
      <c r="BA38" s="1">
        <v>38717</v>
      </c>
      <c r="BB38" s="1">
        <v>38625</v>
      </c>
      <c r="BC38" s="1">
        <v>38533</v>
      </c>
      <c r="BD38" s="1">
        <v>38442</v>
      </c>
      <c r="BE38" s="1">
        <v>38352</v>
      </c>
      <c r="BF38" s="1">
        <v>38260</v>
      </c>
      <c r="BG38" s="1">
        <v>38168</v>
      </c>
      <c r="BH38" s="1">
        <v>38077</v>
      </c>
      <c r="BI38" s="1">
        <v>37986</v>
      </c>
      <c r="BJ38" s="1">
        <v>37894</v>
      </c>
      <c r="BK38" s="1">
        <v>37802</v>
      </c>
      <c r="BL38" s="1">
        <v>37711</v>
      </c>
      <c r="BM38" s="1">
        <v>37621</v>
      </c>
      <c r="BN38" s="1">
        <v>37529</v>
      </c>
      <c r="BO38" s="1">
        <v>37437</v>
      </c>
      <c r="BP38" s="1">
        <v>37346</v>
      </c>
      <c r="BQ38" s="1">
        <v>37256</v>
      </c>
      <c r="BR38" s="1">
        <v>37072</v>
      </c>
      <c r="BS38" s="1">
        <v>36891</v>
      </c>
      <c r="BT38" s="1">
        <v>36525</v>
      </c>
      <c r="BU38" s="1">
        <v>36160</v>
      </c>
      <c r="BV38" s="1">
        <v>25569</v>
      </c>
      <c r="BW38" s="1"/>
      <c r="BX38" s="1"/>
      <c r="BY38" s="1"/>
      <c r="BZ38" s="1"/>
      <c r="CA38" s="1"/>
      <c r="CB38" s="1"/>
      <c r="CC38" s="1"/>
      <c r="CD38" s="1"/>
      <c r="CE38" s="1"/>
      <c r="CF38" s="1"/>
      <c r="CG38" s="1"/>
      <c r="CH38" s="1"/>
      <c r="CI38" s="1"/>
      <c r="CJ38" s="1"/>
      <c r="CK38" s="1"/>
    </row>
    <row r="39" spans="1:89" x14ac:dyDescent="0.25">
      <c r="A39" s="17" t="s">
        <v>376</v>
      </c>
      <c r="E39" s="26">
        <f>股权价值增加表!E31</f>
        <v>96816000000</v>
      </c>
      <c r="F39" s="26">
        <f>股权价值增加表!F31</f>
        <v>67724030526</v>
      </c>
      <c r="G39" s="26">
        <f>股权价值增加表!G31</f>
        <v>48432022818</v>
      </c>
      <c r="H39" s="26">
        <f>股权价值增加表!H31</f>
        <v>30182015162</v>
      </c>
      <c r="I39" s="26">
        <f>股权价值增加表!I31</f>
        <v>106266000000</v>
      </c>
      <c r="J39" s="26">
        <f>股权价值增加表!J31</f>
        <v>66792000000</v>
      </c>
      <c r="K39" s="26">
        <f>股权价值增加表!K31</f>
        <v>46594000000</v>
      </c>
      <c r="L39" s="26">
        <f>股权价值增加表!L31</f>
        <v>17608000000</v>
      </c>
      <c r="M39" s="26">
        <f>股权价值增加表!M31</f>
        <v>74828000000</v>
      </c>
      <c r="N39" s="26">
        <f>股权价值增加表!N31</f>
        <v>65796000000</v>
      </c>
      <c r="O39" s="26">
        <f>股权价值增加表!O31</f>
        <v>50747000000</v>
      </c>
      <c r="P39" s="26">
        <f>股权价值增加表!P31</f>
        <v>10828000000</v>
      </c>
      <c r="Q39" s="26">
        <f>股权价值增加表!Q31</f>
        <v>80113000000</v>
      </c>
      <c r="R39" s="26">
        <f>股权价值增加表!R31</f>
        <v>86755000000</v>
      </c>
      <c r="S39" s="26">
        <f>股权价值增加表!S31</f>
        <v>57883000000</v>
      </c>
      <c r="T39" s="26">
        <f>股权价值增加表!T31</f>
        <v>26494000000</v>
      </c>
      <c r="U39" s="26">
        <f>股权价值增加表!U31</f>
        <v>121922000000</v>
      </c>
      <c r="V39" s="26">
        <f>股权价值增加表!V31</f>
        <v>89895000000</v>
      </c>
      <c r="W39" s="26">
        <f>股权价值增加表!W31</f>
        <v>55251000000</v>
      </c>
      <c r="X39" s="26">
        <f>股权价值增加表!X31</f>
        <v>29117000000</v>
      </c>
      <c r="Y39" s="26">
        <f>股权价值增加表!Y31</f>
        <v>117620000000</v>
      </c>
      <c r="Z39" s="26">
        <f>股权价值增加表!Z31</f>
        <v>81005000000</v>
      </c>
      <c r="AA39" s="26">
        <f>股权价值增加表!AA31</f>
        <v>46815000000</v>
      </c>
      <c r="AB39" s="26">
        <f>股权价值增加表!AB31</f>
        <v>25314000000</v>
      </c>
      <c r="AC39" s="26">
        <f>股权价值增加表!AC31</f>
        <v>113510000000</v>
      </c>
      <c r="AD39" s="26">
        <f>股权价值增加表!AD31</f>
        <v>99100000000</v>
      </c>
      <c r="AE39" s="26">
        <f>股权价值增加表!AE31</f>
        <v>65736000000</v>
      </c>
      <c r="AF39" s="26">
        <f>股权价值增加表!AF31</f>
        <v>35249000000</v>
      </c>
      <c r="AG39" s="26">
        <f>股权价值增加表!AG31</f>
        <v>118982000000</v>
      </c>
      <c r="AH39" s="26">
        <f>股权价值增加表!AH31</f>
        <v>92545000000</v>
      </c>
      <c r="AI39" s="26">
        <f>股权价值增加表!AI31</f>
        <v>57230000000</v>
      </c>
      <c r="AJ39" s="26">
        <f>股权价值增加表!AJ31</f>
        <v>25531000000</v>
      </c>
      <c r="AK39" s="26">
        <f>股权价值增加表!AK31</f>
        <v>98272000000</v>
      </c>
      <c r="AL39" s="26">
        <f>股权价值增加表!AL31</f>
        <v>77865000000</v>
      </c>
      <c r="AM39" s="26">
        <f>股权价值增加表!AM31</f>
        <v>52637000000</v>
      </c>
      <c r="AN39" s="26">
        <f>股权价值增加表!AN31</f>
        <v>19213000000</v>
      </c>
      <c r="AO39" s="26">
        <f>股权价值增加表!AO31</f>
        <v>40751000000</v>
      </c>
      <c r="AP39" s="26">
        <f>股权价值增加表!AP31</f>
        <v>32063000000</v>
      </c>
      <c r="AQ39" s="26">
        <f>股权价值增加表!AQ31</f>
        <v>17902000000</v>
      </c>
      <c r="AR39" s="26">
        <f>股权价值增加表!AR31</f>
        <v>10053000000</v>
      </c>
      <c r="AS39" s="26">
        <f>股权价值增加表!AS31</f>
        <v>98906000000</v>
      </c>
      <c r="AT39" s="26">
        <f>股权价值增加表!AT31</f>
        <v>84762000000</v>
      </c>
      <c r="AU39" s="26">
        <f>股权价值增加表!AU31</f>
        <v>60877000000</v>
      </c>
      <c r="AV39" s="26">
        <f>股权价值增加表!AV31</f>
        <v>26633000000</v>
      </c>
      <c r="AW39" s="26">
        <f>股权价值增加表!AW31</f>
        <v>81995000000</v>
      </c>
      <c r="AX39" s="26">
        <f>股权价值增加表!AX31</f>
        <v>58299000000</v>
      </c>
      <c r="AY39" s="26">
        <f>股权价值增加表!AY31</f>
        <v>36932000000</v>
      </c>
      <c r="AZ39" s="26">
        <f>股权价值增加表!AZ31</f>
        <v>16207000000</v>
      </c>
      <c r="BA39" s="26">
        <f>股权价值增加表!BA31</f>
        <v>62905000000</v>
      </c>
      <c r="BB39" s="26">
        <f>股权价值增加表!BB31</f>
        <v>49820000000</v>
      </c>
      <c r="BC39" s="26">
        <f>股权价值增加表!BC31</f>
        <v>35186000000</v>
      </c>
      <c r="BD39" s="26">
        <f>股权价值增加表!BD31</f>
        <v>17516000000</v>
      </c>
      <c r="BE39" s="26">
        <f>股权价值增加表!BE31</f>
        <v>63160000000</v>
      </c>
      <c r="BF39" s="26">
        <f>股权价值增加表!BF31</f>
        <v>45201000000</v>
      </c>
      <c r="BG39" s="26">
        <f>股权价值增加表!BG31</f>
        <v>28051000000</v>
      </c>
      <c r="BH39" s="26">
        <f>股权价值增加表!BH31</f>
        <v>14427000000</v>
      </c>
      <c r="BI39" s="26">
        <f>股权价值增加表!BI31</f>
        <v>39421000000</v>
      </c>
      <c r="BJ39" s="26">
        <f>股权价值增加表!BJ31</f>
        <v>29758000000</v>
      </c>
      <c r="BK39" s="26">
        <f>股权价值增加表!BK31</f>
        <v>19721000000</v>
      </c>
      <c r="BL39" s="26">
        <f>股权价值增加表!BL31</f>
        <v>11349000000</v>
      </c>
      <c r="BM39" s="26">
        <f>股权价值增加表!BM31</f>
        <v>29813000000</v>
      </c>
      <c r="BN39" s="26">
        <f>股权价值增加表!BN31</f>
        <v>20226000000</v>
      </c>
      <c r="BO39" s="26">
        <f>股权价值增加表!BO31</f>
        <v>10980000000</v>
      </c>
      <c r="BP39" s="26">
        <f>股权价值增加表!BP31</f>
        <v>1928000000</v>
      </c>
      <c r="BQ39" s="26">
        <f>股权价值增加表!BQ31</f>
        <v>27487000000</v>
      </c>
      <c r="BR39" s="26">
        <f>股权价值增加表!BR31</f>
        <v>16090000000</v>
      </c>
      <c r="BS39" s="26">
        <f>股权价值增加表!BS31</f>
        <v>32635000000</v>
      </c>
      <c r="BT39" s="26">
        <f>股权价值增加表!BT31</f>
        <v>17043000000</v>
      </c>
      <c r="BU39" s="26">
        <f>股权价值增加表!BU31</f>
        <v>7595000000</v>
      </c>
      <c r="BV39" s="26">
        <f>股权价值增加表!BV31</f>
        <v>0</v>
      </c>
      <c r="BW39" s="26">
        <f>股权价值增加表!BW31</f>
        <v>0</v>
      </c>
      <c r="BX39" s="26">
        <f>股权价值增加表!BX31</f>
        <v>0</v>
      </c>
      <c r="BY39" s="26">
        <f>股权价值增加表!BY31</f>
        <v>0</v>
      </c>
      <c r="BZ39" s="26">
        <f>股权价值增加表!BZ31</f>
        <v>0</v>
      </c>
      <c r="CA39" s="26">
        <f>股权价值增加表!CA31</f>
        <v>0</v>
      </c>
      <c r="CB39" s="26">
        <f>股权价值增加表!CB31</f>
        <v>0</v>
      </c>
      <c r="CC39" s="26">
        <f>股权价值增加表!CC31</f>
        <v>0</v>
      </c>
      <c r="CD39" s="26">
        <f>股权价值增加表!CD31</f>
        <v>0</v>
      </c>
      <c r="CE39" s="26">
        <f>股权价值增加表!CE31</f>
        <v>7729000</v>
      </c>
      <c r="CF39" s="26">
        <f>股权价值增加表!CF31</f>
        <v>2092581.44</v>
      </c>
      <c r="CG39" s="26">
        <f>股权价值增加表!CG31</f>
        <v>0</v>
      </c>
      <c r="CH39" s="26">
        <f>股权价值增加表!CH31</f>
        <v>0</v>
      </c>
      <c r="CI39" s="26">
        <f>股权价值增加表!CI31</f>
        <v>0</v>
      </c>
      <c r="CJ39" s="26">
        <f>股权价值增加表!CJ31</f>
        <v>0</v>
      </c>
      <c r="CK39" s="26"/>
    </row>
    <row r="40" spans="1:89" x14ac:dyDescent="0.25">
      <c r="A40" s="17" t="s">
        <v>382</v>
      </c>
      <c r="E40" s="26">
        <f>股权价值增加表!E38</f>
        <v>90002000000</v>
      </c>
      <c r="F40" s="26">
        <f>股权价值增加表!F38</f>
        <v>65933996112</v>
      </c>
      <c r="G40" s="26">
        <f>股权价值增加表!G38</f>
        <v>47142999509</v>
      </c>
      <c r="H40" s="26">
        <f>股权价值增加表!H38</f>
        <v>29354998348</v>
      </c>
      <c r="I40" s="26">
        <f>股权价值增加表!I38</f>
        <v>96437000000</v>
      </c>
      <c r="J40" s="26">
        <f>股权价值增加表!J38</f>
        <v>61345000000</v>
      </c>
      <c r="K40" s="26">
        <f>股权价值增加表!K38</f>
        <v>42310000000</v>
      </c>
      <c r="L40" s="26">
        <f>股权价值增加表!L38</f>
        <v>15782000000</v>
      </c>
      <c r="M40" s="26">
        <f>股权价值增加表!M38</f>
        <v>62833000000</v>
      </c>
      <c r="N40" s="26">
        <f>股权价值增加表!N38</f>
        <v>58066000000</v>
      </c>
      <c r="O40" s="26">
        <f>股权价值增加表!O38</f>
        <v>47602000000</v>
      </c>
      <c r="P40" s="26">
        <f>股权价值增加表!P38</f>
        <v>8419000000</v>
      </c>
      <c r="Q40" s="26">
        <f>股权价值增加表!Q38</f>
        <v>68716000000</v>
      </c>
      <c r="R40" s="26">
        <f>股权价值增加表!R38</f>
        <v>78216000000</v>
      </c>
      <c r="S40" s="26">
        <f>股权价值增加表!S38</f>
        <v>51344000000</v>
      </c>
      <c r="T40" s="26">
        <f>股权价值增加表!T38</f>
        <v>22306000000</v>
      </c>
      <c r="U40" s="26">
        <f>股权价值增加表!U38</f>
        <v>114080000000</v>
      </c>
      <c r="V40" s="26">
        <f>股权价值增加表!V38</f>
        <v>84432000000</v>
      </c>
      <c r="W40" s="26">
        <f>股权价值增加表!W38</f>
        <v>51959000000</v>
      </c>
      <c r="X40" s="26">
        <f>股权价值增加表!X38</f>
        <v>26606000000</v>
      </c>
      <c r="Y40" s="26">
        <f>股权价值增加表!Y38</f>
        <v>106547000000</v>
      </c>
      <c r="Z40" s="26">
        <f>股权价值增加表!Z38</f>
        <v>72721000000</v>
      </c>
      <c r="AA40" s="26">
        <f>股权价值增加表!AA38</f>
        <v>41282000000</v>
      </c>
      <c r="AB40" s="26">
        <f>股权价值增加表!AB38</f>
        <v>22701000000</v>
      </c>
      <c r="AC40" s="26">
        <f>股权价值增加表!AC38</f>
        <v>116364000000</v>
      </c>
      <c r="AD40" s="26">
        <f>股权价值增加表!AD38</f>
        <v>94154000000</v>
      </c>
      <c r="AE40" s="26">
        <f>股权价值增加表!AE38</f>
        <v>62250000000</v>
      </c>
      <c r="AF40" s="26">
        <f>股权价值增加表!AF38</f>
        <v>33375000000</v>
      </c>
      <c r="AG40" s="26">
        <f>股权价值增加表!AG38</f>
        <v>111475000000</v>
      </c>
      <c r="AH40" s="26">
        <f>股权价值增加表!AH38</f>
        <v>87260000000</v>
      </c>
      <c r="AI40" s="26">
        <f>股权价值增加表!AI38</f>
        <v>53581000000</v>
      </c>
      <c r="AJ40" s="26">
        <f>股权价值增加表!AJ38</f>
        <v>24098000000</v>
      </c>
      <c r="AK40" s="26">
        <f>股权价值增加表!AK38</f>
        <v>90979000000</v>
      </c>
      <c r="AL40" s="26">
        <f>股权价值增加表!AL38</f>
        <v>72130000000</v>
      </c>
      <c r="AM40" s="26">
        <f>股权价值增加表!AM38</f>
        <v>48756000000</v>
      </c>
      <c r="AN40" s="26">
        <f>股权价值增加表!AN38</f>
        <v>16932000000</v>
      </c>
      <c r="AO40" s="26">
        <f>股权价值增加表!AO38</f>
        <v>31582000000</v>
      </c>
      <c r="AP40" s="26">
        <f>股权价值增加表!AP38</f>
        <v>25357000000</v>
      </c>
      <c r="AQ40" s="26">
        <f>股权价值增加表!AQ38</f>
        <v>14244000000</v>
      </c>
      <c r="AR40" s="26">
        <f>股权价值增加表!AR38</f>
        <v>9288000000</v>
      </c>
      <c r="AS40" s="26">
        <f>股权价值增加表!AS38</f>
        <v>94016000000</v>
      </c>
      <c r="AT40" s="26">
        <f>股权价值增加表!AT38</f>
        <v>80674000000</v>
      </c>
      <c r="AU40" s="26">
        <f>股权价值增加表!AU38</f>
        <v>58181000000</v>
      </c>
      <c r="AV40" s="26">
        <f>股权价值增加表!AV38</f>
        <v>25176000000</v>
      </c>
      <c r="AW40" s="26">
        <f>股权价值增加表!AW38</f>
        <v>75266000000</v>
      </c>
      <c r="AX40" s="26">
        <f>股权价值增加表!AX38</f>
        <v>53072000000</v>
      </c>
      <c r="AY40" s="26">
        <f>股权价值增加表!AY38</f>
        <v>33410000000</v>
      </c>
      <c r="AZ40" s="26">
        <f>股权价值增加表!AZ38</f>
        <v>14601000000</v>
      </c>
      <c r="BA40" s="26">
        <f>股权价值增加表!BA38</f>
        <v>57639000000</v>
      </c>
      <c r="BB40" s="26">
        <f>股权价值增加表!BB38</f>
        <v>45904000000</v>
      </c>
      <c r="BC40" s="26">
        <f>股权价值增加表!BC38</f>
        <v>32334000000</v>
      </c>
      <c r="BD40" s="26">
        <f>股权价值增加表!BD38</f>
        <v>16144000000</v>
      </c>
      <c r="BE40" s="26">
        <f>股权价值增加表!BE38</f>
        <v>58829000000</v>
      </c>
      <c r="BF40" s="26">
        <f>股权价值增加表!BF38</f>
        <v>42040000000</v>
      </c>
      <c r="BG40" s="26">
        <f>股权价值增加表!BG38</f>
        <v>25957000000</v>
      </c>
      <c r="BH40" s="26">
        <f>股权价值增加表!BH38</f>
        <v>13265000000</v>
      </c>
      <c r="BI40" s="26">
        <f>股权价值增加表!BI38</f>
        <v>35292000000</v>
      </c>
      <c r="BJ40" s="26">
        <f>股权价值增加表!BJ38</f>
        <v>26373000000</v>
      </c>
      <c r="BK40" s="26">
        <f>股权价值增加表!BK38</f>
        <v>17487000000</v>
      </c>
      <c r="BL40" s="26">
        <f>股权价值增加表!BL38</f>
        <v>10181000000</v>
      </c>
      <c r="BM40" s="26">
        <f>股权价值增加表!BM38</f>
        <v>25486000000</v>
      </c>
      <c r="BN40" s="26">
        <f>股权价值增加表!BN38</f>
        <v>16617000000</v>
      </c>
      <c r="BO40" s="26">
        <f>股权价值增加表!BO38</f>
        <v>8528000000</v>
      </c>
      <c r="BP40" s="26">
        <f>股权价值增加表!BP38</f>
        <v>929000000</v>
      </c>
      <c r="BQ40" s="26">
        <f>股权价值增加表!BQ38</f>
        <v>23891000000</v>
      </c>
      <c r="BR40" s="26">
        <f>股权价值增加表!BR38</f>
        <v>13793000000</v>
      </c>
      <c r="BS40" s="26">
        <f>股权价值增加表!BS38</f>
        <v>27792000000</v>
      </c>
      <c r="BT40" s="26">
        <f>股权价值增加表!BT38</f>
        <v>8958000000</v>
      </c>
      <c r="BU40" s="26">
        <f>股权价值增加表!BU38</f>
        <v>-821000000</v>
      </c>
      <c r="BV40" s="26">
        <f>股权价值增加表!BV38</f>
        <v>0</v>
      </c>
      <c r="BW40" s="26">
        <f>股权价值增加表!BW38</f>
        <v>15086567.960000001</v>
      </c>
      <c r="BX40" s="26">
        <f>股权价值增加表!BX38</f>
        <v>9593131.2100000009</v>
      </c>
      <c r="BY40" s="26">
        <f>股权价值增加表!BY38</f>
        <v>42791521.079999998</v>
      </c>
      <c r="BZ40" s="26">
        <f>股权价值增加表!BZ38</f>
        <v>3834295.55</v>
      </c>
      <c r="CA40" s="26">
        <f>股权价值增加表!CA38</f>
        <v>-11835075.34</v>
      </c>
      <c r="CB40" s="26">
        <f>股权价值增加表!CB38</f>
        <v>-16252757.800000001</v>
      </c>
      <c r="CC40" s="26">
        <f>股权价值增加表!CC38</f>
        <v>-12407743.33</v>
      </c>
      <c r="CD40" s="26">
        <f>股权价值增加表!CD38</f>
        <v>0</v>
      </c>
      <c r="CE40" s="26">
        <f>股权价值增加表!CE38</f>
        <v>7729000</v>
      </c>
      <c r="CF40" s="26">
        <f>股权价值增加表!CF38</f>
        <v>2092581.44</v>
      </c>
      <c r="CG40" s="26">
        <f>股权价值增加表!CG38</f>
        <v>0</v>
      </c>
      <c r="CH40" s="26">
        <f>股权价值增加表!CH38</f>
        <v>0</v>
      </c>
      <c r="CI40" s="26">
        <f>股权价值增加表!CI38</f>
        <v>0</v>
      </c>
      <c r="CJ40" s="26">
        <f>股权价值增加表!CJ38</f>
        <v>0</v>
      </c>
      <c r="CK40" s="26"/>
    </row>
    <row r="41" spans="1:89" s="59" customFormat="1" x14ac:dyDescent="0.25">
      <c r="A41" s="59" t="s">
        <v>383</v>
      </c>
      <c r="E41" s="59">
        <f>1-E40/E39</f>
        <v>7.0380928772103779E-2</v>
      </c>
      <c r="F41" s="59">
        <f t="shared" ref="F41:BQ41" si="34">1-F40/F39</f>
        <v>2.6431303631770486E-2</v>
      </c>
      <c r="G41" s="59">
        <f t="shared" si="34"/>
        <v>2.661510368550879E-2</v>
      </c>
      <c r="H41" s="59">
        <f t="shared" si="34"/>
        <v>2.7400980668820241E-2</v>
      </c>
      <c r="I41" s="59">
        <f t="shared" si="34"/>
        <v>9.2494306739690946E-2</v>
      </c>
      <c r="J41" s="59">
        <f t="shared" si="34"/>
        <v>8.1551682836267791E-2</v>
      </c>
      <c r="K41" s="59">
        <f t="shared" si="34"/>
        <v>9.1943168648323859E-2</v>
      </c>
      <c r="L41" s="59">
        <f t="shared" si="34"/>
        <v>0.10370286233530213</v>
      </c>
      <c r="M41" s="59">
        <f t="shared" si="34"/>
        <v>0.16030095686106804</v>
      </c>
      <c r="N41" s="59">
        <f t="shared" si="34"/>
        <v>0.1174843455529212</v>
      </c>
      <c r="O41" s="59">
        <f t="shared" si="34"/>
        <v>6.1974106843754262E-2</v>
      </c>
      <c r="P41" s="59">
        <f t="shared" si="34"/>
        <v>0.22247875877355006</v>
      </c>
      <c r="Q41" s="59">
        <f t="shared" si="34"/>
        <v>0.14226155555278175</v>
      </c>
      <c r="R41" s="59">
        <f t="shared" si="34"/>
        <v>9.8426603653968048E-2</v>
      </c>
      <c r="S41" s="59">
        <f t="shared" si="34"/>
        <v>0.11296926558747822</v>
      </c>
      <c r="T41" s="59">
        <f t="shared" si="34"/>
        <v>0.15807352608137692</v>
      </c>
      <c r="U41" s="59">
        <f t="shared" si="34"/>
        <v>6.4319811026722018E-2</v>
      </c>
      <c r="V41" s="59">
        <f t="shared" si="34"/>
        <v>6.0770899382613042E-2</v>
      </c>
      <c r="W41" s="59">
        <f t="shared" si="34"/>
        <v>5.9582631988561285E-2</v>
      </c>
      <c r="X41" s="59">
        <f t="shared" si="34"/>
        <v>8.6238280042586823E-2</v>
      </c>
      <c r="Y41" s="59">
        <f t="shared" si="34"/>
        <v>9.414215269511983E-2</v>
      </c>
      <c r="Z41" s="59">
        <f t="shared" si="34"/>
        <v>0.10226529226590952</v>
      </c>
      <c r="AA41" s="59">
        <f t="shared" si="34"/>
        <v>0.11818861476022646</v>
      </c>
      <c r="AB41" s="59">
        <f t="shared" si="34"/>
        <v>0.10322351268073005</v>
      </c>
      <c r="AC41" s="59">
        <f t="shared" si="34"/>
        <v>-2.5143159193022679E-2</v>
      </c>
      <c r="AD41" s="59">
        <f t="shared" si="34"/>
        <v>4.9909182643794181E-2</v>
      </c>
      <c r="AE41" s="59">
        <f t="shared" si="34"/>
        <v>5.3030303030302983E-2</v>
      </c>
      <c r="AF41" s="59">
        <f t="shared" si="34"/>
        <v>5.3164628783795242E-2</v>
      </c>
      <c r="AG41" s="59">
        <f t="shared" si="34"/>
        <v>6.3093577179741511E-2</v>
      </c>
      <c r="AH41" s="59">
        <f t="shared" si="34"/>
        <v>5.7107353179534304E-2</v>
      </c>
      <c r="AI41" s="59">
        <f t="shared" si="34"/>
        <v>6.3760265594967724E-2</v>
      </c>
      <c r="AJ41" s="59">
        <f t="shared" si="34"/>
        <v>5.6127844581097541E-2</v>
      </c>
      <c r="AK41" s="59">
        <f t="shared" si="34"/>
        <v>7.421239010094427E-2</v>
      </c>
      <c r="AL41" s="59">
        <f t="shared" si="34"/>
        <v>7.3653117575290583E-2</v>
      </c>
      <c r="AM41" s="59">
        <f t="shared" si="34"/>
        <v>7.3731405665216521E-2</v>
      </c>
      <c r="AN41" s="59">
        <f t="shared" si="34"/>
        <v>0.11872169884973716</v>
      </c>
      <c r="AO41" s="59">
        <f t="shared" si="34"/>
        <v>0.22500061348187772</v>
      </c>
      <c r="AP41" s="59">
        <f t="shared" si="34"/>
        <v>0.20915073449146993</v>
      </c>
      <c r="AQ41" s="59">
        <f t="shared" si="34"/>
        <v>0.20433471120545188</v>
      </c>
      <c r="AR41" s="59">
        <f t="shared" si="34"/>
        <v>7.6096687555953446E-2</v>
      </c>
      <c r="AS41" s="59">
        <f t="shared" si="34"/>
        <v>4.9440883262896085E-2</v>
      </c>
      <c r="AT41" s="59">
        <f t="shared" si="34"/>
        <v>4.8229159293079471E-2</v>
      </c>
      <c r="AU41" s="59">
        <f t="shared" si="34"/>
        <v>4.4286019350493588E-2</v>
      </c>
      <c r="AV41" s="59">
        <f t="shared" si="34"/>
        <v>5.4706567040889165E-2</v>
      </c>
      <c r="AW41" s="59">
        <f t="shared" si="34"/>
        <v>8.2065979632904407E-2</v>
      </c>
      <c r="AX41" s="59">
        <f t="shared" si="34"/>
        <v>8.9658484708142527E-2</v>
      </c>
      <c r="AY41" s="59">
        <f t="shared" si="34"/>
        <v>9.536445359038237E-2</v>
      </c>
      <c r="AZ41" s="59">
        <f t="shared" si="34"/>
        <v>9.9092984512864857E-2</v>
      </c>
      <c r="BA41" s="59">
        <f t="shared" si="34"/>
        <v>8.3713536284873991E-2</v>
      </c>
      <c r="BB41" s="59">
        <f t="shared" si="34"/>
        <v>7.8602970694500174E-2</v>
      </c>
      <c r="BC41" s="59">
        <f t="shared" si="34"/>
        <v>8.1054965042914762E-2</v>
      </c>
      <c r="BD41" s="59">
        <f t="shared" si="34"/>
        <v>7.8328385476136075E-2</v>
      </c>
      <c r="BE41" s="59">
        <f t="shared" si="34"/>
        <v>6.8571880937302043E-2</v>
      </c>
      <c r="BF41" s="59">
        <f t="shared" si="34"/>
        <v>6.9932081148647129E-2</v>
      </c>
      <c r="BG41" s="59">
        <f t="shared" si="34"/>
        <v>7.4649745107126297E-2</v>
      </c>
      <c r="BH41" s="59">
        <f t="shared" si="34"/>
        <v>8.0543425521591439E-2</v>
      </c>
      <c r="BI41" s="59">
        <f t="shared" si="34"/>
        <v>0.10474112782527079</v>
      </c>
      <c r="BJ41" s="59">
        <f t="shared" si="34"/>
        <v>0.11375092412124466</v>
      </c>
      <c r="BK41" s="59">
        <f t="shared" si="34"/>
        <v>0.11328025962172306</v>
      </c>
      <c r="BL41" s="59">
        <f t="shared" si="34"/>
        <v>0.10291655652480391</v>
      </c>
      <c r="BM41" s="59">
        <f t="shared" si="34"/>
        <v>0.14513802703518597</v>
      </c>
      <c r="BN41" s="59">
        <f t="shared" si="34"/>
        <v>0.17843369919905072</v>
      </c>
      <c r="BO41" s="59">
        <f t="shared" si="34"/>
        <v>0.22331511839708562</v>
      </c>
      <c r="BP41" s="59">
        <f t="shared" si="34"/>
        <v>0.51815352697095429</v>
      </c>
      <c r="BQ41" s="59">
        <f t="shared" si="34"/>
        <v>0.13082548113653725</v>
      </c>
      <c r="BR41" s="59">
        <f t="shared" ref="BR41:CK41" si="35">1-BR40/BR39</f>
        <v>0.14275947793660659</v>
      </c>
      <c r="BS41" s="59">
        <f t="shared" si="35"/>
        <v>0.14839895817373983</v>
      </c>
      <c r="BT41" s="59">
        <f t="shared" si="35"/>
        <v>0.47438831191691599</v>
      </c>
      <c r="BU41" s="59">
        <f t="shared" si="35"/>
        <v>1.1080974325213957</v>
      </c>
      <c r="BV41" s="59" t="e">
        <f t="shared" si="35"/>
        <v>#DIV/0!</v>
      </c>
      <c r="BW41" s="59" t="e">
        <f t="shared" si="35"/>
        <v>#DIV/0!</v>
      </c>
      <c r="BX41" s="59" t="e">
        <f t="shared" si="35"/>
        <v>#DIV/0!</v>
      </c>
      <c r="BY41" s="59" t="e">
        <f t="shared" si="35"/>
        <v>#DIV/0!</v>
      </c>
      <c r="BZ41" s="59" t="e">
        <f t="shared" si="35"/>
        <v>#DIV/0!</v>
      </c>
      <c r="CA41" s="59" t="e">
        <f t="shared" si="35"/>
        <v>#DIV/0!</v>
      </c>
      <c r="CB41" s="59" t="e">
        <f t="shared" si="35"/>
        <v>#DIV/0!</v>
      </c>
      <c r="CC41" s="59" t="e">
        <f t="shared" si="35"/>
        <v>#DIV/0!</v>
      </c>
      <c r="CD41" s="59" t="e">
        <f t="shared" si="35"/>
        <v>#DIV/0!</v>
      </c>
      <c r="CE41" s="59">
        <f t="shared" si="35"/>
        <v>0</v>
      </c>
      <c r="CF41" s="59">
        <f t="shared" si="35"/>
        <v>0</v>
      </c>
      <c r="CG41" s="59" t="e">
        <f t="shared" si="35"/>
        <v>#DIV/0!</v>
      </c>
      <c r="CH41" s="59" t="e">
        <f t="shared" si="35"/>
        <v>#DIV/0!</v>
      </c>
      <c r="CI41" s="59" t="e">
        <f t="shared" si="35"/>
        <v>#DIV/0!</v>
      </c>
      <c r="CJ41" s="59" t="e">
        <f t="shared" si="35"/>
        <v>#DIV/0!</v>
      </c>
      <c r="CK41" s="59" t="e">
        <f t="shared" si="35"/>
        <v>#DIV/0!</v>
      </c>
    </row>
    <row r="42" spans="1:89" s="60" customFormat="1" x14ac:dyDescent="0.25">
      <c r="A42" s="21" t="s">
        <v>428</v>
      </c>
      <c r="E42" s="150">
        <f>E39/(E39-E40)</f>
        <v>14.208394481948929</v>
      </c>
      <c r="F42" s="29">
        <f t="shared" ref="F42:BQ42" si="36">F39/(F39-F40)</f>
        <v>37.833926541481567</v>
      </c>
      <c r="G42" s="29">
        <f t="shared" si="36"/>
        <v>37.572650920930712</v>
      </c>
      <c r="H42" s="29">
        <f t="shared" si="36"/>
        <v>36.495044176937377</v>
      </c>
      <c r="I42" s="29">
        <f t="shared" si="36"/>
        <v>10.811476243768441</v>
      </c>
      <c r="J42" s="29">
        <f t="shared" si="36"/>
        <v>12.262162658344042</v>
      </c>
      <c r="K42" s="29">
        <f t="shared" si="36"/>
        <v>10.876283846872083</v>
      </c>
      <c r="L42" s="29">
        <f t="shared" si="36"/>
        <v>9.642935377875137</v>
      </c>
      <c r="M42" s="29">
        <f t="shared" si="36"/>
        <v>6.238265944143393</v>
      </c>
      <c r="N42" s="29">
        <f t="shared" si="36"/>
        <v>8.5117723156532996</v>
      </c>
      <c r="O42" s="29">
        <f t="shared" si="36"/>
        <v>16.13577106518283</v>
      </c>
      <c r="P42" s="29">
        <f t="shared" si="36"/>
        <v>4.4948111249481109</v>
      </c>
      <c r="Q42" s="29">
        <f t="shared" si="36"/>
        <v>7.0293059577081687</v>
      </c>
      <c r="R42" s="29">
        <f t="shared" si="36"/>
        <v>10.159854783932545</v>
      </c>
      <c r="S42" s="29">
        <f t="shared" si="36"/>
        <v>8.8519651322832242</v>
      </c>
      <c r="T42" s="29">
        <f t="shared" si="36"/>
        <v>6.326170009551098</v>
      </c>
      <c r="U42" s="29">
        <f t="shared" si="36"/>
        <v>15.547309359857179</v>
      </c>
      <c r="V42" s="29">
        <f t="shared" si="36"/>
        <v>16.455244371224602</v>
      </c>
      <c r="W42" s="29">
        <f t="shared" si="36"/>
        <v>16.783414337788578</v>
      </c>
      <c r="X42" s="29">
        <f t="shared" si="36"/>
        <v>11.595778574273197</v>
      </c>
      <c r="Y42" s="29">
        <f t="shared" si="36"/>
        <v>10.622234263523888</v>
      </c>
      <c r="Z42" s="29">
        <f t="shared" si="36"/>
        <v>9.7784886528247217</v>
      </c>
      <c r="AA42" s="29">
        <f t="shared" si="36"/>
        <v>8.4610518705946145</v>
      </c>
      <c r="AB42" s="29">
        <f t="shared" si="36"/>
        <v>9.6877152698048228</v>
      </c>
      <c r="AC42" s="29">
        <f t="shared" si="36"/>
        <v>-39.772249474421862</v>
      </c>
      <c r="AD42" s="29">
        <f t="shared" si="36"/>
        <v>20.036393044884754</v>
      </c>
      <c r="AE42" s="29">
        <f t="shared" si="36"/>
        <v>18.857142857142858</v>
      </c>
      <c r="AF42" s="29">
        <f t="shared" si="36"/>
        <v>18.809498399146211</v>
      </c>
      <c r="AG42" s="29">
        <f t="shared" si="36"/>
        <v>15.849473824430531</v>
      </c>
      <c r="AH42" s="29">
        <f t="shared" si="36"/>
        <v>17.510879848628193</v>
      </c>
      <c r="AI42" s="29">
        <f t="shared" si="36"/>
        <v>15.683748972321183</v>
      </c>
      <c r="AJ42" s="29">
        <f t="shared" si="36"/>
        <v>17.816468946266575</v>
      </c>
      <c r="AK42" s="29">
        <f t="shared" si="36"/>
        <v>13.474838886603592</v>
      </c>
      <c r="AL42" s="29">
        <f t="shared" si="36"/>
        <v>13.577157802964255</v>
      </c>
      <c r="AM42" s="29">
        <f t="shared" si="36"/>
        <v>13.562741561453233</v>
      </c>
      <c r="AN42" s="29">
        <f t="shared" si="36"/>
        <v>8.4230600613765887</v>
      </c>
      <c r="AO42" s="29">
        <f t="shared" si="36"/>
        <v>4.4444323263169379</v>
      </c>
      <c r="AP42" s="29">
        <f t="shared" si="36"/>
        <v>4.7812406799880707</v>
      </c>
      <c r="AQ42" s="29">
        <f t="shared" si="36"/>
        <v>4.8939311098961182</v>
      </c>
      <c r="AR42" s="29">
        <f t="shared" si="36"/>
        <v>13.141176470588235</v>
      </c>
      <c r="AS42" s="29">
        <f t="shared" si="36"/>
        <v>20.226175869120656</v>
      </c>
      <c r="AT42" s="29">
        <f t="shared" si="36"/>
        <v>20.734344422700588</v>
      </c>
      <c r="AU42" s="29">
        <f t="shared" si="36"/>
        <v>22.580489614243323</v>
      </c>
      <c r="AV42" s="29">
        <f t="shared" si="36"/>
        <v>18.279341111873713</v>
      </c>
      <c r="AW42" s="29">
        <f t="shared" si="36"/>
        <v>12.185317283400208</v>
      </c>
      <c r="AX42" s="29">
        <f t="shared" si="36"/>
        <v>11.153434092213507</v>
      </c>
      <c r="AY42" s="29">
        <f t="shared" si="36"/>
        <v>10.486087450312322</v>
      </c>
      <c r="AZ42" s="29">
        <f t="shared" si="36"/>
        <v>10.091531755915318</v>
      </c>
      <c r="BA42" s="29">
        <f t="shared" si="36"/>
        <v>11.945499430307635</v>
      </c>
      <c r="BB42" s="29">
        <f t="shared" si="36"/>
        <v>12.722165474974464</v>
      </c>
      <c r="BC42" s="29">
        <f t="shared" si="36"/>
        <v>12.337307152875175</v>
      </c>
      <c r="BD42" s="29">
        <f t="shared" si="36"/>
        <v>12.766763848396501</v>
      </c>
      <c r="BE42" s="29">
        <f t="shared" si="36"/>
        <v>14.583237127684137</v>
      </c>
      <c r="BF42" s="29">
        <f t="shared" si="36"/>
        <v>14.299588737741221</v>
      </c>
      <c r="BG42" s="29">
        <f t="shared" si="36"/>
        <v>13.395893027698186</v>
      </c>
      <c r="BH42" s="29">
        <f t="shared" si="36"/>
        <v>12.41566265060241</v>
      </c>
      <c r="BI42" s="29">
        <f t="shared" si="36"/>
        <v>9.5473480261564543</v>
      </c>
      <c r="BJ42" s="29">
        <f t="shared" si="36"/>
        <v>8.791137370753324</v>
      </c>
      <c r="BK42" s="29">
        <f t="shared" si="36"/>
        <v>8.8276633840644578</v>
      </c>
      <c r="BL42" s="29">
        <f t="shared" si="36"/>
        <v>9.7166095890410951</v>
      </c>
      <c r="BM42" s="29">
        <f t="shared" si="36"/>
        <v>6.8899930667899234</v>
      </c>
      <c r="BN42" s="29">
        <f t="shared" si="36"/>
        <v>5.6043225270157935</v>
      </c>
      <c r="BO42" s="29">
        <f t="shared" si="36"/>
        <v>4.4779771615008155</v>
      </c>
      <c r="BP42" s="29">
        <f t="shared" si="36"/>
        <v>1.92992992992993</v>
      </c>
      <c r="BQ42" s="29">
        <f t="shared" si="36"/>
        <v>7.6437708565072304</v>
      </c>
      <c r="BR42" s="29">
        <f t="shared" ref="BR42:CK42" si="37">BR39/(BR39-BR40)</f>
        <v>7.0047888550282975</v>
      </c>
      <c r="BS42" s="29">
        <f t="shared" si="37"/>
        <v>6.7385917819533345</v>
      </c>
      <c r="BT42" s="29">
        <f t="shared" si="37"/>
        <v>2.1079777365491652</v>
      </c>
      <c r="BU42" s="29">
        <f t="shared" si="37"/>
        <v>0.90244771863117867</v>
      </c>
      <c r="BV42" s="29" t="e">
        <f t="shared" si="37"/>
        <v>#DIV/0!</v>
      </c>
      <c r="BW42" s="29">
        <f t="shared" si="37"/>
        <v>0</v>
      </c>
      <c r="BX42" s="29">
        <f t="shared" si="37"/>
        <v>0</v>
      </c>
      <c r="BY42" s="29">
        <f t="shared" si="37"/>
        <v>0</v>
      </c>
      <c r="BZ42" s="29">
        <f t="shared" si="37"/>
        <v>0</v>
      </c>
      <c r="CA42" s="29">
        <f t="shared" si="37"/>
        <v>0</v>
      </c>
      <c r="CB42" s="29">
        <f t="shared" si="37"/>
        <v>0</v>
      </c>
      <c r="CC42" s="29">
        <f t="shared" si="37"/>
        <v>0</v>
      </c>
      <c r="CD42" s="29" t="e">
        <f t="shared" si="37"/>
        <v>#DIV/0!</v>
      </c>
      <c r="CE42" s="29" t="e">
        <f t="shared" si="37"/>
        <v>#DIV/0!</v>
      </c>
      <c r="CF42" s="29" t="e">
        <f t="shared" si="37"/>
        <v>#DIV/0!</v>
      </c>
      <c r="CG42" s="29" t="e">
        <f t="shared" si="37"/>
        <v>#DIV/0!</v>
      </c>
      <c r="CH42" s="29" t="e">
        <f t="shared" si="37"/>
        <v>#DIV/0!</v>
      </c>
      <c r="CI42" s="29" t="e">
        <f t="shared" si="37"/>
        <v>#DIV/0!</v>
      </c>
      <c r="CJ42" s="29" t="e">
        <f t="shared" si="37"/>
        <v>#DIV/0!</v>
      </c>
      <c r="CK42" s="29" t="e">
        <f t="shared" si="37"/>
        <v>#DIV/0!</v>
      </c>
    </row>
    <row r="43" spans="1:89" s="16" customFormat="1" ht="106.2" customHeight="1" x14ac:dyDescent="0.25">
      <c r="A43" s="282" t="s">
        <v>699</v>
      </c>
      <c r="B43" s="283"/>
      <c r="C43" s="283"/>
      <c r="D43" s="283"/>
      <c r="E43" s="283"/>
      <c r="F43" s="283"/>
      <c r="G43" s="283"/>
      <c r="H43" s="283"/>
      <c r="I43" s="283"/>
      <c r="J43" s="283"/>
      <c r="K43" s="283"/>
      <c r="L43" s="283"/>
      <c r="M43" s="283"/>
      <c r="N43" s="283"/>
      <c r="O43" s="283"/>
      <c r="P43" s="283"/>
      <c r="Q43" s="283"/>
      <c r="R43" s="283"/>
      <c r="S43" s="283"/>
      <c r="T43" s="283"/>
      <c r="U43" s="283"/>
      <c r="V43" s="283"/>
      <c r="W43" s="283"/>
      <c r="X43" s="283"/>
      <c r="Y43" s="283"/>
      <c r="Z43" s="283"/>
      <c r="AA43" s="283"/>
      <c r="AB43" s="283"/>
      <c r="AC43" s="283"/>
      <c r="AD43" s="283"/>
      <c r="AE43" s="283"/>
      <c r="AF43" s="283"/>
      <c r="AG43" s="283"/>
    </row>
    <row r="45" spans="1:89" x14ac:dyDescent="0.25">
      <c r="B45" s="40"/>
      <c r="C45" s="40"/>
      <c r="D45" s="40"/>
      <c r="E45" s="40"/>
      <c r="F45" s="40"/>
      <c r="G45" s="40"/>
      <c r="H45" s="40"/>
      <c r="I45" s="40"/>
      <c r="J45" s="40"/>
      <c r="K45" s="40"/>
      <c r="L45" s="40"/>
      <c r="M45" s="40"/>
      <c r="N45" s="40"/>
      <c r="O45" s="40"/>
      <c r="P45" s="40"/>
      <c r="Q45" s="40"/>
      <c r="R45" s="40"/>
      <c r="S45" s="40"/>
      <c r="T45" s="40"/>
      <c r="U45" s="40"/>
      <c r="V45" s="40"/>
      <c r="W45" s="40"/>
      <c r="X45" s="40"/>
      <c r="Y45" s="40"/>
      <c r="Z45" s="40"/>
      <c r="AA45" s="40"/>
      <c r="AB45" s="40"/>
      <c r="AC45" s="40"/>
      <c r="AD45" s="40"/>
      <c r="AE45" s="40"/>
      <c r="AF45" s="40"/>
      <c r="AG45" s="40"/>
      <c r="AH45" s="40"/>
      <c r="AI45" s="40"/>
      <c r="AJ45" s="40"/>
      <c r="AK45" s="40"/>
      <c r="AL45" s="40"/>
      <c r="AM45" s="40"/>
      <c r="AN45" s="40"/>
      <c r="AO45" s="40"/>
      <c r="AP45" s="40"/>
      <c r="AQ45" s="40"/>
      <c r="AR45" s="40"/>
      <c r="AS45" s="40"/>
      <c r="AT45" s="40"/>
      <c r="AU45" s="40"/>
      <c r="AV45" s="40"/>
      <c r="AW45" s="40"/>
      <c r="AX45" s="40"/>
      <c r="AY45" s="40"/>
      <c r="AZ45" s="40"/>
      <c r="BA45" s="40"/>
      <c r="BB45" s="40"/>
      <c r="BC45" s="40"/>
      <c r="BD45" s="40"/>
      <c r="BE45" s="40"/>
      <c r="BF45" s="40"/>
      <c r="BG45" s="40"/>
      <c r="BH45" s="40"/>
      <c r="BI45" s="40"/>
      <c r="BJ45" s="40"/>
      <c r="BK45" s="40"/>
      <c r="BL45" s="40"/>
      <c r="BM45" s="40"/>
      <c r="BN45" s="40"/>
      <c r="BO45" s="40"/>
      <c r="BP45" s="40"/>
      <c r="BQ45" s="40"/>
      <c r="BR45" s="40"/>
      <c r="BS45" s="40"/>
      <c r="BT45" s="40"/>
      <c r="BU45" s="40"/>
      <c r="BV45" s="40"/>
      <c r="BW45" s="40"/>
      <c r="BX45" s="40"/>
      <c r="BY45" s="40"/>
      <c r="BZ45" s="40"/>
      <c r="CA45" s="40"/>
      <c r="CB45" s="40"/>
      <c r="CC45" s="40"/>
      <c r="CD45" s="40"/>
      <c r="CE45" s="40"/>
      <c r="CF45" s="40"/>
      <c r="CG45" s="40"/>
      <c r="CH45" s="40"/>
      <c r="CI45" s="40"/>
      <c r="CJ45" s="40"/>
      <c r="CK45" s="40"/>
    </row>
    <row r="46" spans="1:89" s="26" customFormat="1" x14ac:dyDescent="0.25">
      <c r="A46" s="20" t="s">
        <v>423</v>
      </c>
      <c r="B46" s="1">
        <v>43373</v>
      </c>
      <c r="C46" s="1">
        <v>43281</v>
      </c>
      <c r="D46" s="1">
        <v>43190</v>
      </c>
      <c r="E46" s="1">
        <v>43100</v>
      </c>
      <c r="F46" s="1">
        <v>43008</v>
      </c>
      <c r="G46" s="1">
        <v>42916</v>
      </c>
      <c r="H46" s="1">
        <v>42825</v>
      </c>
      <c r="I46" s="1">
        <v>42735</v>
      </c>
      <c r="J46" s="1">
        <v>42643</v>
      </c>
      <c r="K46" s="1">
        <v>42551</v>
      </c>
      <c r="L46" s="1">
        <v>42460</v>
      </c>
      <c r="M46" s="1">
        <v>42369</v>
      </c>
      <c r="N46" s="1">
        <v>42277</v>
      </c>
      <c r="O46" s="1">
        <v>42185</v>
      </c>
      <c r="P46" s="1">
        <v>42094</v>
      </c>
      <c r="Q46" s="1">
        <v>42004</v>
      </c>
      <c r="R46" s="1">
        <v>41912</v>
      </c>
      <c r="S46" s="1">
        <v>41820</v>
      </c>
      <c r="T46" s="1">
        <v>41729</v>
      </c>
      <c r="U46" s="1">
        <v>41639</v>
      </c>
      <c r="V46" s="1">
        <v>41547</v>
      </c>
      <c r="W46" s="1">
        <v>41455</v>
      </c>
      <c r="X46" s="1">
        <v>41364</v>
      </c>
      <c r="Y46" s="1">
        <v>41274</v>
      </c>
      <c r="Z46" s="1">
        <v>41182</v>
      </c>
      <c r="AA46" s="1">
        <v>41090</v>
      </c>
      <c r="AB46" s="1">
        <v>40999</v>
      </c>
      <c r="AC46" s="1">
        <v>40908</v>
      </c>
      <c r="AD46" s="1">
        <v>40816</v>
      </c>
      <c r="AE46" s="1">
        <v>40724</v>
      </c>
      <c r="AF46" s="1">
        <v>40633</v>
      </c>
      <c r="AG46" s="1">
        <v>40543</v>
      </c>
      <c r="AH46" s="1">
        <v>40451</v>
      </c>
      <c r="AI46" s="1">
        <v>40359</v>
      </c>
      <c r="AJ46" s="1">
        <v>40268</v>
      </c>
      <c r="AK46" s="1">
        <v>40178</v>
      </c>
      <c r="AL46" s="1">
        <v>40086</v>
      </c>
      <c r="AM46" s="1">
        <v>39994</v>
      </c>
      <c r="AN46" s="1">
        <v>39903</v>
      </c>
      <c r="AO46" s="1">
        <v>39813</v>
      </c>
      <c r="AP46" s="1">
        <v>39721</v>
      </c>
      <c r="AQ46" s="1">
        <v>39629</v>
      </c>
      <c r="AR46" s="1">
        <v>39538</v>
      </c>
      <c r="AS46" s="1">
        <v>39447</v>
      </c>
      <c r="AT46" s="1">
        <v>39355</v>
      </c>
      <c r="AU46" s="1">
        <v>39263</v>
      </c>
      <c r="AV46" s="1">
        <v>39172</v>
      </c>
      <c r="AW46" s="1">
        <v>39082</v>
      </c>
      <c r="AX46" s="1">
        <v>38990</v>
      </c>
      <c r="AY46" s="1">
        <v>38898</v>
      </c>
      <c r="AZ46" s="1">
        <v>38807</v>
      </c>
      <c r="BA46" s="1">
        <v>38717</v>
      </c>
      <c r="BB46" s="1">
        <v>38625</v>
      </c>
      <c r="BC46" s="1">
        <v>38533</v>
      </c>
      <c r="BD46" s="1">
        <v>38442</v>
      </c>
      <c r="BE46" s="1">
        <v>38352</v>
      </c>
      <c r="BF46" s="1">
        <v>38260</v>
      </c>
      <c r="BG46" s="1">
        <v>38168</v>
      </c>
      <c r="BH46" s="1">
        <v>38077</v>
      </c>
      <c r="BI46" s="1">
        <v>37986</v>
      </c>
      <c r="BJ46" s="1">
        <v>37894</v>
      </c>
      <c r="BK46" s="1">
        <v>37802</v>
      </c>
      <c r="BL46" s="1">
        <v>37711</v>
      </c>
      <c r="BM46" s="1">
        <v>37621</v>
      </c>
      <c r="BN46" s="1">
        <v>37529</v>
      </c>
      <c r="BO46" s="1">
        <v>37437</v>
      </c>
      <c r="BP46" s="1">
        <v>37346</v>
      </c>
      <c r="BQ46" s="1">
        <v>37256</v>
      </c>
      <c r="BR46" s="1">
        <v>37072</v>
      </c>
      <c r="BS46" s="1">
        <v>36891</v>
      </c>
      <c r="BT46" s="1">
        <v>36525</v>
      </c>
      <c r="BU46" s="1">
        <v>36160</v>
      </c>
      <c r="BV46" s="1">
        <v>25569</v>
      </c>
      <c r="BW46" s="1"/>
      <c r="BX46" s="1"/>
      <c r="BY46" s="1"/>
      <c r="BZ46" s="1"/>
      <c r="CA46" s="1"/>
      <c r="CB46" s="1"/>
      <c r="CC46" s="1"/>
      <c r="CD46" s="1"/>
      <c r="CE46" s="1"/>
      <c r="CF46" s="1"/>
      <c r="CG46" s="1"/>
      <c r="CH46" s="1"/>
      <c r="CI46" s="1"/>
      <c r="CJ46" s="1"/>
      <c r="CK46" s="1"/>
    </row>
    <row r="47" spans="1:89" s="26" customFormat="1" x14ac:dyDescent="0.25">
      <c r="A47" s="17" t="s">
        <v>424</v>
      </c>
      <c r="E47" s="26">
        <f>股权价值增加表!E42</f>
        <v>73723000000</v>
      </c>
      <c r="F47" s="26">
        <f>股权价值增加表!F42</f>
        <v>52937996112</v>
      </c>
      <c r="G47" s="26">
        <f>股权价值增加表!G42</f>
        <v>38227999509</v>
      </c>
      <c r="H47" s="26">
        <f>股权价值增加表!H42</f>
        <v>23057998348</v>
      </c>
      <c r="I47" s="26">
        <f>股权价值增加表!I42</f>
        <v>75730000000</v>
      </c>
      <c r="J47" s="26">
        <f>股权价值增加表!J42</f>
        <v>49480000000</v>
      </c>
      <c r="K47" s="26">
        <f>股权价值增加表!K42</f>
        <v>33931000000</v>
      </c>
      <c r="L47" s="26">
        <f>股权价值增加表!L42</f>
        <v>12601000000</v>
      </c>
      <c r="M47" s="26">
        <f>股权价值增加表!M42</f>
        <v>50220000000</v>
      </c>
      <c r="N47" s="26">
        <f>股权价值增加表!N42</f>
        <v>47602000000</v>
      </c>
      <c r="O47" s="26">
        <f>股权价值增加表!O42</f>
        <v>37928000000</v>
      </c>
      <c r="P47" s="26">
        <f>股权价值增加表!P42</f>
        <v>7469000000</v>
      </c>
      <c r="Q47" s="26">
        <f>股权价值增加表!Q42</f>
        <v>51145000000</v>
      </c>
      <c r="R47" s="26">
        <f>股权价值增加表!R42</f>
        <v>60592000000</v>
      </c>
      <c r="S47" s="26">
        <f>股权价值增加表!S42</f>
        <v>39436000000</v>
      </c>
      <c r="T47" s="26">
        <f>股权价值增加表!T42</f>
        <v>17488000000</v>
      </c>
      <c r="U47" s="26">
        <f>股权价值增加表!U42</f>
        <v>88475000000</v>
      </c>
      <c r="V47" s="26">
        <f>股权价值增加表!V42</f>
        <v>64330000000</v>
      </c>
      <c r="W47" s="26">
        <f>股权价值增加表!W42</f>
        <v>39491000000</v>
      </c>
      <c r="X47" s="26">
        <f>股权价值增加表!X42</f>
        <v>20431000000</v>
      </c>
      <c r="Y47" s="26">
        <f>股权价值增加表!Y42</f>
        <v>82851000000</v>
      </c>
      <c r="Z47" s="26">
        <f>股权价值增加表!Z42</f>
        <v>55969000000</v>
      </c>
      <c r="AA47" s="26">
        <f>股权价值增加表!AA42</f>
        <v>31945000000</v>
      </c>
      <c r="AB47" s="26">
        <f>股权价值增加表!AB42</f>
        <v>18264000000</v>
      </c>
      <c r="AC47" s="26">
        <f>股权价值增加表!AC42</f>
        <v>90590000000</v>
      </c>
      <c r="AD47" s="26">
        <f>股权价值增加表!AD42</f>
        <v>73882000000</v>
      </c>
      <c r="AE47" s="26">
        <f>股权价值增加表!AE42</f>
        <v>48707000000</v>
      </c>
      <c r="AF47" s="26">
        <f>股权价值增加表!AF42</f>
        <v>25637000000</v>
      </c>
      <c r="AG47" s="26">
        <f>股权价值增加表!AG42</f>
        <v>86140000000</v>
      </c>
      <c r="AH47" s="26">
        <f>股权价值增加表!AH42</f>
        <v>68112000000</v>
      </c>
      <c r="AI47" s="26">
        <f>股权价值增加表!AI42</f>
        <v>42557000000</v>
      </c>
      <c r="AJ47" s="26">
        <f>股权价值增加表!AJ42</f>
        <v>19440000000</v>
      </c>
      <c r="AK47" s="26">
        <f>股权价值增加表!AK42</f>
        <v>74903000000</v>
      </c>
      <c r="AL47" s="26">
        <f>股权价值增加表!AL42</f>
        <v>58048000000</v>
      </c>
      <c r="AM47" s="26">
        <f>股权价值增加表!AM42</f>
        <v>39638000000</v>
      </c>
      <c r="AN47" s="26">
        <f>股权价值增加表!AN42</f>
        <v>13882000000</v>
      </c>
      <c r="AO47" s="26">
        <f>股权价值增加表!AO42</f>
        <v>33471000000</v>
      </c>
      <c r="AP47" s="26">
        <f>股权价值增加表!AP42</f>
        <v>22679000000</v>
      </c>
      <c r="AQ47" s="26">
        <f>股权价值增加表!AQ42</f>
        <v>14143000000</v>
      </c>
      <c r="AR47" s="26">
        <f>股权价值增加表!AR42</f>
        <v>9098000000</v>
      </c>
      <c r="AS47" s="26">
        <f>股权价值增加表!AS42</f>
        <v>68258000000</v>
      </c>
      <c r="AT47" s="26">
        <f>股权价值增加表!AT42</f>
        <v>58560000000</v>
      </c>
      <c r="AU47" s="26">
        <f>股权价值增加表!AU42</f>
        <v>42074000000</v>
      </c>
      <c r="AV47" s="26">
        <f>股权价值增加表!AV42</f>
        <v>17383000000</v>
      </c>
      <c r="AW47" s="26">
        <f>股权价值增加表!AW42</f>
        <v>52747000000</v>
      </c>
      <c r="AX47" s="26">
        <f>股权价值增加表!AX42</f>
        <v>37733000000</v>
      </c>
      <c r="AY47" s="26">
        <f>股权价值增加表!AY42</f>
        <v>23446000000</v>
      </c>
      <c r="AZ47" s="26">
        <f>股权价值增加表!AZ42</f>
        <v>10445000000</v>
      </c>
      <c r="BA47" s="26">
        <f>股权价值增加表!BA42</f>
        <v>38736000000</v>
      </c>
      <c r="BB47" s="26">
        <f>股权价值增加表!BB42</f>
        <v>32977000000</v>
      </c>
      <c r="BC47" s="26">
        <f>股权价值增加表!BC42</f>
        <v>23166000000</v>
      </c>
      <c r="BD47" s="26">
        <f>股权价值增加表!BD42</f>
        <v>11515000000</v>
      </c>
      <c r="BE47" s="26">
        <f>股权价值增加表!BE42</f>
        <v>42769000000</v>
      </c>
      <c r="BF47" s="26">
        <f>股权价值增加表!BF42</f>
        <v>30724000000</v>
      </c>
      <c r="BG47" s="26">
        <f>股权价值增加表!BG42</f>
        <v>18803000000</v>
      </c>
      <c r="BH47" s="26">
        <f>股权价值增加表!BH42</f>
        <v>9809000000</v>
      </c>
      <c r="BI47" s="26">
        <f>股权价值增加表!BI42</f>
        <v>25931000000</v>
      </c>
      <c r="BJ47" s="26">
        <f>股权价值增加表!BJ42</f>
        <v>19378000000</v>
      </c>
      <c r="BK47" s="26">
        <f>股权价值增加表!BK42</f>
        <v>12725000000</v>
      </c>
      <c r="BL47" s="26">
        <f>股权价值增加表!BL42</f>
        <v>7393000000</v>
      </c>
      <c r="BM47" s="26">
        <f>股权价值增加表!BM42</f>
        <v>18677000000</v>
      </c>
      <c r="BN47" s="26">
        <f>股权价值增加表!BN42</f>
        <v>12118000000</v>
      </c>
      <c r="BO47" s="26">
        <f>股权价值增加表!BO42</f>
        <v>6354000000</v>
      </c>
      <c r="BP47" s="26">
        <f>股权价值增加表!BP42</f>
        <v>894000000</v>
      </c>
      <c r="BQ47" s="26">
        <f>股权价值增加表!BQ42</f>
        <v>16799000000</v>
      </c>
      <c r="BR47" s="26">
        <f>股权价值增加表!BR42</f>
        <v>10382000000</v>
      </c>
      <c r="BS47" s="26">
        <f>股权价值增加表!BS42</f>
        <v>19838000000</v>
      </c>
      <c r="BT47" s="26">
        <f>股权价值增加表!BT42</f>
        <v>7792000000</v>
      </c>
      <c r="BU47" s="26">
        <f>股权价值增加表!BU42</f>
        <v>815000000</v>
      </c>
      <c r="BV47" s="26">
        <f>股权价值增加表!BV42</f>
        <v>0</v>
      </c>
      <c r="BW47" s="26">
        <f>股权价值增加表!BW42</f>
        <v>-288342438.87</v>
      </c>
      <c r="BX47" s="26">
        <f>股权价值增加表!BX42</f>
        <v>-57060547.329999998</v>
      </c>
      <c r="BY47" s="26">
        <f>股权价值增加表!BY42</f>
        <v>-217786839.49000001</v>
      </c>
      <c r="BZ47" s="26">
        <f>股权价值增加表!BZ42</f>
        <v>-40798540.960000001</v>
      </c>
      <c r="CA47" s="26">
        <f>股权价值增加表!CA42</f>
        <v>-179937260.47</v>
      </c>
      <c r="CB47" s="26">
        <f>股权价值增加表!CB42</f>
        <v>-144282576.27000001</v>
      </c>
      <c r="CC47" s="26">
        <f>股权价值增加表!CC42</f>
        <v>-119252620.25</v>
      </c>
      <c r="CD47" s="26">
        <f>股权价值增加表!CD42</f>
        <v>0</v>
      </c>
      <c r="CE47" s="26">
        <f>股权价值增加表!CE42</f>
        <v>-20081000</v>
      </c>
      <c r="CF47" s="26">
        <f>股权价值增加表!CF42</f>
        <v>-14354563.84</v>
      </c>
      <c r="CG47" s="26">
        <f>股权价值增加表!CG42</f>
        <v>-4330000</v>
      </c>
      <c r="CH47" s="26">
        <f>股权价值增加表!CH42</f>
        <v>-4220000</v>
      </c>
      <c r="CI47" s="26">
        <f>股权价值增加表!CI42</f>
        <v>-12510000</v>
      </c>
      <c r="CJ47" s="26">
        <f>股权价值增加表!CJ42</f>
        <v>-3630000</v>
      </c>
    </row>
    <row r="48" spans="1:89" s="63" customFormat="1" x14ac:dyDescent="0.25">
      <c r="A48" s="63" t="s">
        <v>427</v>
      </c>
      <c r="E48" s="63">
        <f>股权价值增加表!E43</f>
        <v>3.1236004852145567E-2</v>
      </c>
      <c r="F48" s="63">
        <f>股权价值增加表!F43</f>
        <v>3.0337742871306136E-2</v>
      </c>
      <c r="G48" s="63">
        <f>股权价值增加表!G43</f>
        <v>3.2790175220892802E-2</v>
      </c>
      <c r="H48" s="63">
        <f>股权价值增加表!H43</f>
        <v>3.9605964337796402E-2</v>
      </c>
      <c r="I48" s="63">
        <f>股权价值增加表!I43</f>
        <v>3.9219829396590522E-2</v>
      </c>
      <c r="J48" s="63">
        <f>股权价值增加表!J43</f>
        <v>3.6277122611248984E-2</v>
      </c>
      <c r="K48" s="63">
        <f>股权价值增加表!K43</f>
        <v>3.8592161233820886E-2</v>
      </c>
      <c r="L48" s="63">
        <f>股权价值增加表!L43</f>
        <v>3.0452645061504628E-2</v>
      </c>
      <c r="M48" s="63">
        <f>股权价值增加表!M43</f>
        <v>2.4875141352916439E-2</v>
      </c>
      <c r="N48" s="63">
        <f>股权价值增加表!N43</f>
        <v>3.0974007002694495E-2</v>
      </c>
      <c r="O48" s="63">
        <f>股权价值增加表!O43</f>
        <v>3.6456541088582629E-2</v>
      </c>
      <c r="P48" s="63">
        <f>股权价值增加表!P43</f>
        <v>1.5617648842320085E-2</v>
      </c>
      <c r="Q48" s="63">
        <f>股权价值增加表!Q43</f>
        <v>1.8098569170894797E-2</v>
      </c>
      <c r="R48" s="63">
        <f>股权价值增加表!R43</f>
        <v>2.8639924978068186E-2</v>
      </c>
      <c r="S48" s="63">
        <f>股权价值增加表!S43</f>
        <v>2.9078907395227154E-2</v>
      </c>
      <c r="T48" s="63">
        <f>股权价值增加表!T43</f>
        <v>2.727960503225102E-2</v>
      </c>
      <c r="U48" s="63">
        <f>股权价值增加表!U43</f>
        <v>3.0717169083477443E-2</v>
      </c>
      <c r="V48" s="63">
        <f>股权价值增加表!V43</f>
        <v>3.0061815279421138E-2</v>
      </c>
      <c r="W48" s="63">
        <f>股权价值增加表!W43</f>
        <v>2.7904022203945045E-2</v>
      </c>
      <c r="X48" s="63">
        <f>股权价值增加表!X43</f>
        <v>2.9372989960766045E-2</v>
      </c>
      <c r="Y48" s="63">
        <f>股权价值增加表!Y43</f>
        <v>2.9737854198334916E-2</v>
      </c>
      <c r="Z48" s="63">
        <f>股权价值增加表!Z43</f>
        <v>2.7642206556214396E-2</v>
      </c>
      <c r="AA48" s="63">
        <f>股权价值增加表!AA43</f>
        <v>2.3696805511871769E-2</v>
      </c>
      <c r="AB48" s="63">
        <f>股权价值增加表!AB43</f>
        <v>2.7204277851839164E-2</v>
      </c>
      <c r="AC48" s="63">
        <f>股权价值增加表!AC43</f>
        <v>3.6153815147406912E-2</v>
      </c>
      <c r="AD48" s="63">
        <f>股权价值增加表!AD43</f>
        <v>3.9401589886843488E-2</v>
      </c>
      <c r="AE48" s="63">
        <f>股权价值增加表!AE43</f>
        <v>3.9494126194383722E-2</v>
      </c>
      <c r="AF48" s="63">
        <f>股权价值增加表!AF43</f>
        <v>4.3537994912047712E-2</v>
      </c>
      <c r="AG48" s="63">
        <f>股权价值增加表!AG43</f>
        <v>4.5024467091996478E-2</v>
      </c>
      <c r="AH48" s="63">
        <f>股权价值增加表!AH43</f>
        <v>4.7710108137868426E-2</v>
      </c>
      <c r="AI48" s="63">
        <f>股权价值增加表!AI43</f>
        <v>4.5441489424178583E-2</v>
      </c>
      <c r="AJ48" s="63">
        <f>股权价值增加表!AJ43</f>
        <v>4.4362393287221392E-2</v>
      </c>
      <c r="AK48" s="63">
        <f>股权价值增加表!AK43</f>
        <v>5.56878098393222E-2</v>
      </c>
      <c r="AL48" s="63">
        <f>股权价值增加表!AL43</f>
        <v>6.4970764946588946E-2</v>
      </c>
      <c r="AM48" s="63">
        <f>股权价值增加表!AM43</f>
        <v>7.4224989466785268E-2</v>
      </c>
      <c r="AN48" s="63">
        <f>股权价值增加表!AN43</f>
        <v>6.0730144147691234E-2</v>
      </c>
      <c r="AO48" s="63">
        <f>股权价值增加表!AO43</f>
        <v>2.3050049548895016E-2</v>
      </c>
      <c r="AP48" s="63">
        <f>股权价值增加表!AP43</f>
        <v>1.9765608590575013E-2</v>
      </c>
      <c r="AQ48" s="63">
        <f>股权价值增加表!AQ43</f>
        <v>1.9247859572145792E-2</v>
      </c>
      <c r="AR48" s="63">
        <f>股权价值增加表!AR43</f>
        <v>2.7402789072618294E-2</v>
      </c>
      <c r="AS48" s="63">
        <f>股权价值增加表!AS43</f>
        <v>5.6653024501947556E-2</v>
      </c>
      <c r="AT48" s="63">
        <f>股权价值增加表!AT43</f>
        <v>6.6909044375229945E-2</v>
      </c>
      <c r="AU48" s="63">
        <f>股权价值增加表!AU43</f>
        <v>7.4226840498915023E-2</v>
      </c>
      <c r="AV48" s="63">
        <f>股权价值增加表!AV43</f>
        <v>6.368239035184127E-2</v>
      </c>
      <c r="AW48" s="63">
        <f>股权价值增加表!AW43</f>
        <v>5.0495941427120397E-2</v>
      </c>
      <c r="AX48" s="63">
        <f>股权价值增加表!AX43</f>
        <v>4.9962990867549677E-2</v>
      </c>
      <c r="AY48" s="63">
        <f>股权价值增加表!AY43</f>
        <v>4.8644364589989796E-2</v>
      </c>
      <c r="AZ48" s="63">
        <f>股权价值增加表!AZ43</f>
        <v>4.6901872033552013E-2</v>
      </c>
      <c r="BA48" s="63">
        <f>股权价值增加表!BA43</f>
        <v>4.8473623946490803E-2</v>
      </c>
      <c r="BB48" s="63">
        <f>股权价值增加表!BB43</f>
        <v>5.7153503526924207E-2</v>
      </c>
      <c r="BC48" s="63">
        <f>股权价值增加表!BC43</f>
        <v>6.4484701376208084E-2</v>
      </c>
      <c r="BD48" s="63">
        <f>股权价值增加表!BD43</f>
        <v>6.8119971604353999E-2</v>
      </c>
      <c r="BE48" s="63">
        <f>股权价值增加表!BE43</f>
        <v>7.2412263473702748E-2</v>
      </c>
      <c r="BF48" s="63">
        <f>股权价值增加表!BF43</f>
        <v>7.3556063634948946E-2</v>
      </c>
      <c r="BG48" s="63">
        <f>股权价值增加表!BG43</f>
        <v>7.0765386193166205E-2</v>
      </c>
      <c r="BH48" s="63">
        <f>股权价值增加表!BH43</f>
        <v>7.9431532917645153E-2</v>
      </c>
      <c r="BI48" s="63">
        <f>股权价值增加表!BI43</f>
        <v>6.2156182659740981E-2</v>
      </c>
      <c r="BJ48" s="63">
        <f>股权价值增加表!BJ43</f>
        <v>6.4451111214586479E-2</v>
      </c>
      <c r="BK48" s="63">
        <f>股权价值增加表!BK43</f>
        <v>6.5309327557713431E-2</v>
      </c>
      <c r="BL48" s="63">
        <f>股权价值增加表!BL43</f>
        <v>7.5041362579806939E-2</v>
      </c>
      <c r="BM48" s="63">
        <f>股权价值增加表!BM43</f>
        <v>5.761234360733411E-2</v>
      </c>
      <c r="BN48" s="63">
        <f>股权价值增加表!BN43</f>
        <v>5.3576086620126182E-2</v>
      </c>
      <c r="BO48" s="63">
        <f>股权价值增加表!BO43</f>
        <v>4.5183036095229966E-2</v>
      </c>
      <c r="BP48" s="63">
        <f>股权价值增加表!BP43</f>
        <v>1.4191602508135566E-2</v>
      </c>
      <c r="BQ48" s="63">
        <f>股权价值增加表!BQ43</f>
        <v>5.5196864105773999E-2</v>
      </c>
      <c r="BR48" s="63">
        <f>股权价值增加表!BR43</f>
        <v>6.4760407699888972E-2</v>
      </c>
      <c r="BS48" s="63">
        <f>股权价值增加表!BS43</f>
        <v>6.1430889475183631E-2</v>
      </c>
      <c r="BT48" s="63">
        <f>股权价值增加表!BT43</f>
        <v>3.3724739987967815E-2</v>
      </c>
      <c r="BU48" s="63">
        <f>股权价值增加表!BU43</f>
        <v>4.2845126695405323E-3</v>
      </c>
      <c r="BV48" s="63" t="e">
        <f>股权价值增加表!BV43</f>
        <v>#DIV/0!</v>
      </c>
      <c r="BW48" s="63" t="e">
        <f>股权价值增加表!BW43</f>
        <v>#DIV/0!</v>
      </c>
      <c r="BX48" s="63" t="e">
        <f>股权价值增加表!BX43</f>
        <v>#DIV/0!</v>
      </c>
      <c r="BY48" s="63" t="e">
        <f>股权价值增加表!BY43</f>
        <v>#DIV/0!</v>
      </c>
      <c r="BZ48" s="63" t="e">
        <f>股权价值增加表!BZ43</f>
        <v>#DIV/0!</v>
      </c>
      <c r="CA48" s="63" t="e">
        <f>股权价值增加表!CA43</f>
        <v>#DIV/0!</v>
      </c>
      <c r="CB48" s="63" t="e">
        <f>股权价值增加表!CB43</f>
        <v>#DIV/0!</v>
      </c>
      <c r="CC48" s="63" t="e">
        <f>股权价值增加表!CC43</f>
        <v>#DIV/0!</v>
      </c>
      <c r="CD48" s="63" t="e">
        <f>股权价值增加表!CD43</f>
        <v>#DIV/0!</v>
      </c>
      <c r="CE48" s="63" t="e">
        <f>股权价值增加表!CE43</f>
        <v>#DIV/0!</v>
      </c>
      <c r="CF48" s="63" t="e">
        <f>股权价值增加表!CF43</f>
        <v>#DIV/0!</v>
      </c>
      <c r="CG48" s="63" t="e">
        <f>股权价值增加表!CG43</f>
        <v>#DIV/0!</v>
      </c>
      <c r="CH48" s="63" t="e">
        <f>股权价值增加表!CH43</f>
        <v>#DIV/0!</v>
      </c>
      <c r="CI48" s="63" t="e">
        <f>股权价值增加表!CI43</f>
        <v>#DIV/0!</v>
      </c>
      <c r="CJ48" s="63" t="e">
        <f>股权价值增加表!CJ43</f>
        <v>#DIV/0!</v>
      </c>
    </row>
    <row r="49" spans="1:88" s="59" customFormat="1" x14ac:dyDescent="0.25">
      <c r="A49" s="59" t="s">
        <v>425</v>
      </c>
      <c r="E49" s="59">
        <f>(E47-I47)/I47</f>
        <v>-2.6502046745015186E-2</v>
      </c>
      <c r="F49" s="59">
        <f t="shared" ref="F49:BQ49" si="38">(F47-J47)/J47</f>
        <v>6.9886744381568305E-2</v>
      </c>
      <c r="G49" s="59">
        <f t="shared" si="38"/>
        <v>0.12663934187026613</v>
      </c>
      <c r="H49" s="59">
        <f t="shared" si="38"/>
        <v>0.82985464232997386</v>
      </c>
      <c r="I49" s="59">
        <f t="shared" si="38"/>
        <v>0.50796495420151333</v>
      </c>
      <c r="J49" s="59">
        <f t="shared" si="38"/>
        <v>3.9452123860342005E-2</v>
      </c>
      <c r="K49" s="59">
        <f t="shared" si="38"/>
        <v>-0.10538388525627505</v>
      </c>
      <c r="L49" s="59">
        <f t="shared" si="38"/>
        <v>0.68710670772526439</v>
      </c>
      <c r="M49" s="59">
        <f t="shared" si="38"/>
        <v>-1.8085834392413725E-2</v>
      </c>
      <c r="N49" s="59">
        <f t="shared" si="38"/>
        <v>-0.21438473725904411</v>
      </c>
      <c r="O49" s="59">
        <f t="shared" si="38"/>
        <v>-3.8239172329850898E-2</v>
      </c>
      <c r="P49" s="59">
        <f t="shared" si="38"/>
        <v>-0.57290713632204937</v>
      </c>
      <c r="Q49" s="59">
        <f t="shared" si="38"/>
        <v>-0.42192709805029671</v>
      </c>
      <c r="R49" s="59">
        <f t="shared" si="38"/>
        <v>-5.8106637649619153E-2</v>
      </c>
      <c r="S49" s="59">
        <f t="shared" si="38"/>
        <v>-1.3927223924438479E-3</v>
      </c>
      <c r="T49" s="59">
        <f t="shared" si="38"/>
        <v>-0.14404581273554892</v>
      </c>
      <c r="U49" s="59">
        <f t="shared" si="38"/>
        <v>6.7880894618049276E-2</v>
      </c>
      <c r="V49" s="59">
        <f t="shared" si="38"/>
        <v>0.14938626739802391</v>
      </c>
      <c r="W49" s="59">
        <f t="shared" si="38"/>
        <v>0.23621850054781657</v>
      </c>
      <c r="X49" s="59">
        <f t="shared" si="38"/>
        <v>0.11864870784056067</v>
      </c>
      <c r="Y49" s="59">
        <f t="shared" si="38"/>
        <v>-8.5428855282039959E-2</v>
      </c>
      <c r="Z49" s="59">
        <f t="shared" si="38"/>
        <v>-0.24245418369832977</v>
      </c>
      <c r="AA49" s="59">
        <f t="shared" si="38"/>
        <v>-0.34413944607551278</v>
      </c>
      <c r="AB49" s="59">
        <f t="shared" si="38"/>
        <v>-0.28759215196785898</v>
      </c>
      <c r="AC49" s="59">
        <f t="shared" si="38"/>
        <v>5.1660088228465288E-2</v>
      </c>
      <c r="AD49" s="59">
        <f t="shared" si="38"/>
        <v>8.4713413201785298E-2</v>
      </c>
      <c r="AE49" s="59">
        <f t="shared" si="38"/>
        <v>0.14451206617007778</v>
      </c>
      <c r="AF49" s="59">
        <f t="shared" si="38"/>
        <v>0.31877572016460903</v>
      </c>
      <c r="AG49" s="59">
        <f t="shared" si="38"/>
        <v>0.15002069343016969</v>
      </c>
      <c r="AH49" s="59">
        <f t="shared" si="38"/>
        <v>0.17337375964718854</v>
      </c>
      <c r="AI49" s="59">
        <f t="shared" si="38"/>
        <v>7.3641455169282E-2</v>
      </c>
      <c r="AJ49" s="59">
        <f t="shared" si="38"/>
        <v>0.40037458579455409</v>
      </c>
      <c r="AK49" s="59">
        <f t="shared" si="38"/>
        <v>1.2378476890442474</v>
      </c>
      <c r="AL49" s="59">
        <f t="shared" si="38"/>
        <v>1.559548480973588</v>
      </c>
      <c r="AM49" s="59">
        <f t="shared" si="38"/>
        <v>1.8026585590044546</v>
      </c>
      <c r="AN49" s="59">
        <f t="shared" si="38"/>
        <v>0.52582985271488236</v>
      </c>
      <c r="AO49" s="59">
        <f t="shared" si="38"/>
        <v>-0.50963989568988255</v>
      </c>
      <c r="AP49" s="59">
        <f t="shared" si="38"/>
        <v>-0.61272199453551912</v>
      </c>
      <c r="AQ49" s="59">
        <f t="shared" si="38"/>
        <v>-0.66385416171507339</v>
      </c>
      <c r="AR49" s="59">
        <f t="shared" si="38"/>
        <v>-0.47661508370246791</v>
      </c>
      <c r="AS49" s="59">
        <f t="shared" si="38"/>
        <v>0.29406411739056248</v>
      </c>
      <c r="AT49" s="59">
        <f t="shared" si="38"/>
        <v>0.55195717276654388</v>
      </c>
      <c r="AU49" s="59">
        <f t="shared" si="38"/>
        <v>0.79450652563337032</v>
      </c>
      <c r="AV49" s="59">
        <f t="shared" si="38"/>
        <v>0.66424126376256587</v>
      </c>
      <c r="AW49" s="59">
        <f t="shared" si="38"/>
        <v>0.36170487401900042</v>
      </c>
      <c r="AX49" s="59">
        <f t="shared" si="38"/>
        <v>0.14422173029687357</v>
      </c>
      <c r="AY49" s="59">
        <f t="shared" si="38"/>
        <v>1.2086678753345421E-2</v>
      </c>
      <c r="AZ49" s="59">
        <f t="shared" si="38"/>
        <v>-9.2922275293095963E-2</v>
      </c>
      <c r="BA49" s="59">
        <f t="shared" si="38"/>
        <v>-9.4297271388154968E-2</v>
      </c>
      <c r="BB49" s="59">
        <f t="shared" si="38"/>
        <v>7.3330295534435624E-2</v>
      </c>
      <c r="BC49" s="59">
        <f t="shared" si="38"/>
        <v>0.23203744083390948</v>
      </c>
      <c r="BD49" s="59">
        <f t="shared" si="38"/>
        <v>0.17392190845142216</v>
      </c>
      <c r="BE49" s="59">
        <f t="shared" si="38"/>
        <v>0.6493386294396668</v>
      </c>
      <c r="BF49" s="59">
        <f t="shared" si="38"/>
        <v>0.58550934048921455</v>
      </c>
      <c r="BG49" s="59">
        <f t="shared" si="38"/>
        <v>0.4776424361493124</v>
      </c>
      <c r="BH49" s="59">
        <f t="shared" si="38"/>
        <v>0.32679561747599079</v>
      </c>
      <c r="BI49" s="59">
        <f t="shared" si="38"/>
        <v>0.38839214006532097</v>
      </c>
      <c r="BJ49" s="59">
        <f t="shared" si="38"/>
        <v>0.59910876382241296</v>
      </c>
      <c r="BK49" s="59">
        <f t="shared" si="38"/>
        <v>1.0026754800125905</v>
      </c>
      <c r="BL49" s="59">
        <f t="shared" si="38"/>
        <v>7.2695749440715884</v>
      </c>
      <c r="BM49" s="59">
        <f t="shared" si="38"/>
        <v>0.11179236859336865</v>
      </c>
      <c r="BN49" s="59">
        <f t="shared" si="38"/>
        <v>0.16721248314390291</v>
      </c>
      <c r="BO49" s="59">
        <f t="shared" si="38"/>
        <v>-0.67970561548543196</v>
      </c>
      <c r="BP49" s="59">
        <f t="shared" si="38"/>
        <v>-0.88526694045174537</v>
      </c>
      <c r="BQ49" s="59">
        <f t="shared" si="38"/>
        <v>19.612269938650307</v>
      </c>
      <c r="BR49" s="59" t="e">
        <f t="shared" ref="BR49:CJ49" si="39">(BR47-BV47)/BV47</f>
        <v>#DIV/0!</v>
      </c>
      <c r="BS49" s="59">
        <f t="shared" si="39"/>
        <v>-69.800139437483281</v>
      </c>
      <c r="BT49" s="59">
        <f t="shared" si="39"/>
        <v>-137.55669923627423</v>
      </c>
      <c r="BU49" s="59">
        <f t="shared" si="39"/>
        <v>-4.742191226561336</v>
      </c>
      <c r="BV49" s="59">
        <f t="shared" si="39"/>
        <v>-1</v>
      </c>
      <c r="BW49" s="59">
        <f t="shared" si="39"/>
        <v>0.602460980659833</v>
      </c>
      <c r="BX49" s="59">
        <f t="shared" si="39"/>
        <v>-0.60452225899251344</v>
      </c>
      <c r="BY49" s="59">
        <f t="shared" si="39"/>
        <v>0.82626460561985016</v>
      </c>
      <c r="BZ49" s="59" t="e">
        <f t="shared" si="39"/>
        <v>#DIV/0!</v>
      </c>
      <c r="CA49" s="59">
        <f t="shared" si="39"/>
        <v>7.9605727040486034</v>
      </c>
      <c r="CB49" s="59">
        <f t="shared" si="39"/>
        <v>9.0513382279123302</v>
      </c>
      <c r="CC49" s="59">
        <f t="shared" si="39"/>
        <v>26.541020842956119</v>
      </c>
      <c r="CD49" s="59">
        <f t="shared" si="39"/>
        <v>-1</v>
      </c>
      <c r="CE49" s="59">
        <f t="shared" si="39"/>
        <v>0.60519584332533971</v>
      </c>
      <c r="CF49" s="59">
        <f t="shared" si="39"/>
        <v>2.9544253002754819</v>
      </c>
      <c r="CG49" s="59" t="e">
        <f t="shared" si="39"/>
        <v>#DIV/0!</v>
      </c>
      <c r="CH49" s="59" t="e">
        <f t="shared" si="39"/>
        <v>#DIV/0!</v>
      </c>
      <c r="CI49" s="59" t="e">
        <f t="shared" si="39"/>
        <v>#DIV/0!</v>
      </c>
      <c r="CJ49" s="59" t="e">
        <f t="shared" si="39"/>
        <v>#DIV/0!</v>
      </c>
    </row>
    <row r="50" spans="1:88" s="26" customFormat="1" x14ac:dyDescent="0.25">
      <c r="A50" s="17" t="s">
        <v>426</v>
      </c>
      <c r="E50" s="26">
        <f>股权价值增加表!E47</f>
        <v>5397400000</v>
      </c>
      <c r="F50" s="26">
        <f>股权价值增加表!F47</f>
        <v>-14696003888</v>
      </c>
      <c r="G50" s="26">
        <f>股权价值增加表!G47</f>
        <v>-29438080491</v>
      </c>
      <c r="H50" s="26">
        <f>股权价值增加表!H47</f>
        <v>-45230561652</v>
      </c>
      <c r="I50" s="26">
        <f>股权价值增加表!I47</f>
        <v>9128000000</v>
      </c>
      <c r="J50" s="26">
        <f>股权价值增加表!J47</f>
        <v>-15600160000</v>
      </c>
      <c r="K50" s="26">
        <f>股权价值增加表!K47</f>
        <v>-30867640000</v>
      </c>
      <c r="L50" s="26">
        <f>股权价值增加表!L47</f>
        <v>-51119400000</v>
      </c>
      <c r="M50" s="26">
        <f>股权价值增加表!M47</f>
        <v>-12629840000</v>
      </c>
      <c r="N50" s="26">
        <f>股权价值增加表!N47</f>
        <v>-15239680000</v>
      </c>
      <c r="O50" s="26">
        <f>股权价值增加表!O47</f>
        <v>-25145440000</v>
      </c>
      <c r="P50" s="26">
        <f>股权价值增加表!P47</f>
        <v>-54455320000</v>
      </c>
      <c r="Q50" s="26">
        <f>股权价值增加表!Q47</f>
        <v>-622600000</v>
      </c>
      <c r="R50" s="26">
        <f>股权价值增加表!R47</f>
        <v>8513600000</v>
      </c>
      <c r="S50" s="26">
        <f>股权价值增加表!S47</f>
        <v>-12013680000</v>
      </c>
      <c r="T50" s="26">
        <f>股权价值增加表!T47</f>
        <v>-33796720000</v>
      </c>
      <c r="U50" s="26">
        <f>股权价值增加表!U47</f>
        <v>38614200000</v>
      </c>
      <c r="V50" s="26">
        <f>股权价值增加表!V47</f>
        <v>16335120000</v>
      </c>
      <c r="W50" s="26">
        <f>股权价值增加表!W47</f>
        <v>-7499160000</v>
      </c>
      <c r="X50" s="26">
        <f>股权价值增加表!X47</f>
        <v>-26610040000</v>
      </c>
      <c r="Y50" s="26">
        <f>股权价值增加表!Y47</f>
        <v>38802920000</v>
      </c>
      <c r="Z50" s="26">
        <f>股权价值增加表!Z47</f>
        <v>13551240000</v>
      </c>
      <c r="AA50" s="26">
        <f>股权价值增加表!AA47</f>
        <v>-9592680000</v>
      </c>
      <c r="AB50" s="26">
        <f>股权价值增加表!AB47</f>
        <v>-23772560000</v>
      </c>
      <c r="AC50" s="26">
        <f>股权价值增加表!AC47</f>
        <v>49828000000</v>
      </c>
      <c r="AD50" s="26">
        <f>股权价值增加表!AD47</f>
        <v>33812160000</v>
      </c>
      <c r="AE50" s="26">
        <f>股权价值增加表!AE47</f>
        <v>9617800000</v>
      </c>
      <c r="AF50" s="26">
        <f>股权价值增加表!AF47</f>
        <v>-12671320000</v>
      </c>
      <c r="AG50" s="26">
        <f>股权价值增加表!AG47</f>
        <v>49925440000</v>
      </c>
      <c r="AH50" s="26">
        <f>股权价值增加表!AH47</f>
        <v>33231840000</v>
      </c>
      <c r="AI50" s="26">
        <f>股权价值增加表!AI47</f>
        <v>8326360000</v>
      </c>
      <c r="AJ50" s="26">
        <f>股权价值增加表!AJ47</f>
        <v>-13916240000</v>
      </c>
      <c r="AK50" s="26">
        <f>股权价值增加表!AK47</f>
        <v>42856200000</v>
      </c>
      <c r="AL50" s="26">
        <f>股权价值增加表!AL47</f>
        <v>27028000000</v>
      </c>
      <c r="AM50" s="26">
        <f>股权价值增加表!AM47</f>
        <v>9497200000</v>
      </c>
      <c r="AN50" s="26">
        <f>股权价值增加表!AN47</f>
        <v>-15148400000</v>
      </c>
      <c r="AO50" s="26">
        <f>股权价值增加表!AO47</f>
        <v>5395320000</v>
      </c>
      <c r="AP50" s="26">
        <f>股权价值增加表!AP47</f>
        <v>-4066280000</v>
      </c>
      <c r="AQ50" s="26">
        <f>股权价值增加表!AQ47</f>
        <v>-12360920000</v>
      </c>
      <c r="AR50" s="26">
        <f>股权价值增加表!AR47</f>
        <v>-18128560000</v>
      </c>
      <c r="AS50" s="26">
        <f>股权价值增加表!AS47</f>
        <v>42150240000</v>
      </c>
      <c r="AT50" s="26">
        <f>股权价值增加表!AT47</f>
        <v>33191200000</v>
      </c>
      <c r="AU50" s="26">
        <f>股权价值增加表!AU47</f>
        <v>17512160000</v>
      </c>
      <c r="AV50" s="26">
        <f>股权价值增加表!AV47</f>
        <v>-6632280000</v>
      </c>
      <c r="AW50" s="26">
        <f>股权价值增加表!AW47</f>
        <v>30598200000</v>
      </c>
      <c r="AX50" s="26">
        <f>股权价值增加表!AX47</f>
        <v>17164280000</v>
      </c>
      <c r="AY50" s="26">
        <f>股权价值增加表!AY47</f>
        <v>3555760000</v>
      </c>
      <c r="AZ50" s="26">
        <f>股权价值增加表!AZ47</f>
        <v>-9891480000</v>
      </c>
      <c r="BA50" s="26">
        <f>股权价值增加表!BA47</f>
        <v>19135520000</v>
      </c>
      <c r="BB50" s="26">
        <f>股权价值增加表!BB47</f>
        <v>14438680000</v>
      </c>
      <c r="BC50" s="26">
        <f>股权价值增加表!BC47</f>
        <v>5026400000</v>
      </c>
      <c r="BD50" s="26">
        <f>股权价值增加表!BD47</f>
        <v>-6741160000</v>
      </c>
      <c r="BE50" s="26">
        <f>股权价值增加表!BE47</f>
        <v>25363720000</v>
      </c>
      <c r="BF50" s="26">
        <f>股权价值增加表!BF47</f>
        <v>14121840000</v>
      </c>
      <c r="BG50" s="26">
        <f>股权价值增加表!BG47</f>
        <v>2788120000</v>
      </c>
      <c r="BH50" s="26">
        <f>股权价值增加表!BH47</f>
        <v>-5996040000</v>
      </c>
      <c r="BI50" s="26">
        <f>股权价值增加表!BI47</f>
        <v>10809160000</v>
      </c>
      <c r="BJ50" s="26">
        <f>股权价值增加表!BJ47</f>
        <v>4660000000</v>
      </c>
      <c r="BK50" s="26">
        <f>股权价值增加表!BK47</f>
        <v>-1739400000</v>
      </c>
      <c r="BL50" s="26">
        <f>股权价值增加表!BL47</f>
        <v>-6772200000</v>
      </c>
      <c r="BM50" s="26">
        <f>股权价值增加表!BM47</f>
        <v>4610920000</v>
      </c>
      <c r="BN50" s="26">
        <f>股权价值增加表!BN47</f>
        <v>-1495520000</v>
      </c>
      <c r="BO50" s="26">
        <f>股权价值增加表!BO47</f>
        <v>-6904160000</v>
      </c>
      <c r="BP50" s="26">
        <f>股权价值增加表!BP47</f>
        <v>-12119280000</v>
      </c>
      <c r="BQ50" s="26">
        <f>股权价值增加表!BQ47</f>
        <v>3803240000</v>
      </c>
      <c r="BR50" s="26">
        <f>股权价值增加表!BR47</f>
        <v>-1729200000</v>
      </c>
      <c r="BS50" s="26">
        <f>股权价值增加表!BS47</f>
        <v>8310640000</v>
      </c>
      <c r="BT50" s="26">
        <f>股权价值增加表!BT47</f>
        <v>7792000000</v>
      </c>
      <c r="BU50" s="26">
        <f>股权价值增加表!BU47</f>
        <v>815000000</v>
      </c>
      <c r="BV50" s="26">
        <f>股权价值增加表!BV47</f>
        <v>0</v>
      </c>
      <c r="BW50" s="26">
        <f>股权价值增加表!BW47</f>
        <v>-481982388.18599999</v>
      </c>
      <c r="BX50" s="26">
        <f>股权价值增加表!BX47</f>
        <v>-224236423.546</v>
      </c>
      <c r="BY50" s="26">
        <f>股权价值增加表!BY47</f>
        <v>-358986056.90359998</v>
      </c>
      <c r="BZ50" s="26">
        <f>股权价值增加表!BZ47</f>
        <v>-189968023.31680003</v>
      </c>
      <c r="CA50" s="26">
        <f>股权价值增加表!CA47</f>
        <v>-211328042.74439999</v>
      </c>
      <c r="CB50" s="26">
        <f>股权价值增加表!CB47</f>
        <v>-165479246.60680002</v>
      </c>
      <c r="CC50" s="26">
        <f>股权价值增加表!CC47</f>
        <v>-137330018.646</v>
      </c>
      <c r="CD50" s="26">
        <f>股权价值增加表!CD47</f>
        <v>0</v>
      </c>
      <c r="CE50" s="26">
        <f>股权价值增加表!CE47</f>
        <v>-106460040</v>
      </c>
      <c r="CF50" s="26">
        <f>股权价值增加表!CF47</f>
        <v>-94692832.060800001</v>
      </c>
      <c r="CG50" s="26">
        <f>股权价值增加表!CG47</f>
        <v>-43745192.029600002</v>
      </c>
      <c r="CH50" s="26">
        <f>股权价值增加表!CH47</f>
        <v>-4220000</v>
      </c>
      <c r="CI50" s="26">
        <f>股权价值增加表!CI47</f>
        <v>-12510000</v>
      </c>
      <c r="CJ50" s="26">
        <f>股权价值增加表!CJ47</f>
        <v>-3630000</v>
      </c>
    </row>
    <row r="51" spans="1:88" s="16" customFormat="1" ht="73.2" customHeight="1" x14ac:dyDescent="0.25">
      <c r="A51" s="282" t="s">
        <v>684</v>
      </c>
      <c r="B51" s="283"/>
      <c r="C51" s="283"/>
      <c r="D51" s="283"/>
      <c r="E51" s="283"/>
      <c r="F51" s="283"/>
      <c r="G51" s="283"/>
      <c r="H51" s="283"/>
      <c r="I51" s="283"/>
      <c r="J51" s="283"/>
      <c r="K51" s="283"/>
      <c r="L51" s="283"/>
      <c r="M51" s="283"/>
      <c r="N51" s="283"/>
      <c r="O51" s="283"/>
      <c r="P51" s="283"/>
      <c r="Q51" s="283"/>
      <c r="R51" s="283"/>
      <c r="S51" s="283"/>
      <c r="T51" s="283"/>
      <c r="U51" s="283"/>
      <c r="V51" s="283"/>
      <c r="W51" s="283"/>
      <c r="X51" s="283"/>
      <c r="Y51" s="283"/>
      <c r="Z51" s="283"/>
      <c r="AA51" s="283"/>
      <c r="AB51" s="283"/>
      <c r="AC51" s="283"/>
      <c r="AD51" s="283"/>
      <c r="AE51" s="283"/>
      <c r="AF51" s="283"/>
      <c r="AG51" s="283"/>
    </row>
    <row r="53" spans="1:88" x14ac:dyDescent="0.25">
      <c r="A53" s="20" t="s">
        <v>671</v>
      </c>
      <c r="E53" s="1">
        <f>E1</f>
        <v>43100</v>
      </c>
      <c r="F53" s="1">
        <f t="shared" ref="F53:AC53" si="40">F1</f>
        <v>43008</v>
      </c>
      <c r="G53" s="1">
        <f t="shared" si="40"/>
        <v>42916</v>
      </c>
      <c r="H53" s="1">
        <f t="shared" si="40"/>
        <v>42825</v>
      </c>
      <c r="I53" s="1">
        <f t="shared" si="40"/>
        <v>42735</v>
      </c>
      <c r="J53" s="1">
        <f t="shared" si="40"/>
        <v>42643</v>
      </c>
      <c r="K53" s="1">
        <f t="shared" si="40"/>
        <v>42551</v>
      </c>
      <c r="L53" s="1">
        <f t="shared" si="40"/>
        <v>42460</v>
      </c>
      <c r="M53" s="1">
        <f t="shared" si="40"/>
        <v>42369</v>
      </c>
      <c r="N53" s="1">
        <f t="shared" si="40"/>
        <v>42277</v>
      </c>
      <c r="O53" s="1">
        <f t="shared" si="40"/>
        <v>42185</v>
      </c>
      <c r="P53" s="1">
        <f t="shared" si="40"/>
        <v>42094</v>
      </c>
      <c r="Q53" s="1">
        <f t="shared" si="40"/>
        <v>42004</v>
      </c>
      <c r="R53" s="1">
        <f t="shared" si="40"/>
        <v>41912</v>
      </c>
      <c r="S53" s="1">
        <f t="shared" si="40"/>
        <v>41820</v>
      </c>
      <c r="T53" s="1">
        <f t="shared" si="40"/>
        <v>41729</v>
      </c>
      <c r="U53" s="1">
        <f t="shared" si="40"/>
        <v>41639</v>
      </c>
      <c r="V53" s="1">
        <f t="shared" si="40"/>
        <v>41547</v>
      </c>
      <c r="W53" s="1">
        <f t="shared" si="40"/>
        <v>41455</v>
      </c>
      <c r="X53" s="1">
        <f t="shared" si="40"/>
        <v>41364</v>
      </c>
      <c r="Y53" s="1">
        <f t="shared" si="40"/>
        <v>41274</v>
      </c>
      <c r="Z53" s="1">
        <f t="shared" si="40"/>
        <v>41182</v>
      </c>
      <c r="AA53" s="1">
        <f t="shared" si="40"/>
        <v>41090</v>
      </c>
      <c r="AB53" s="1">
        <f t="shared" si="40"/>
        <v>40999</v>
      </c>
      <c r="AC53" s="1">
        <f t="shared" si="40"/>
        <v>40908</v>
      </c>
    </row>
    <row r="54" spans="1:88" x14ac:dyDescent="0.25">
      <c r="A54" s="17" t="s">
        <v>672</v>
      </c>
      <c r="E54" s="193">
        <f>E39</f>
        <v>96816000000</v>
      </c>
      <c r="F54" s="193">
        <f t="shared" ref="F54:AC54" si="41">F39</f>
        <v>67724030526</v>
      </c>
      <c r="G54" s="193">
        <f t="shared" si="41"/>
        <v>48432022818</v>
      </c>
      <c r="H54" s="193">
        <f t="shared" si="41"/>
        <v>30182015162</v>
      </c>
      <c r="I54" s="193">
        <f t="shared" si="41"/>
        <v>106266000000</v>
      </c>
      <c r="J54" s="193">
        <f t="shared" si="41"/>
        <v>66792000000</v>
      </c>
      <c r="K54" s="193">
        <f t="shared" si="41"/>
        <v>46594000000</v>
      </c>
      <c r="L54" s="193">
        <f t="shared" si="41"/>
        <v>17608000000</v>
      </c>
      <c r="M54" s="193">
        <f t="shared" si="41"/>
        <v>74828000000</v>
      </c>
      <c r="N54" s="193">
        <f t="shared" si="41"/>
        <v>65796000000</v>
      </c>
      <c r="O54" s="193">
        <f t="shared" si="41"/>
        <v>50747000000</v>
      </c>
      <c r="P54" s="193">
        <f t="shared" si="41"/>
        <v>10828000000</v>
      </c>
      <c r="Q54" s="193">
        <f t="shared" si="41"/>
        <v>80113000000</v>
      </c>
      <c r="R54" s="193">
        <f t="shared" si="41"/>
        <v>86755000000</v>
      </c>
      <c r="S54" s="193">
        <f t="shared" si="41"/>
        <v>57883000000</v>
      </c>
      <c r="T54" s="193">
        <f t="shared" si="41"/>
        <v>26494000000</v>
      </c>
      <c r="U54" s="193">
        <f t="shared" si="41"/>
        <v>121922000000</v>
      </c>
      <c r="V54" s="193">
        <f t="shared" si="41"/>
        <v>89895000000</v>
      </c>
      <c r="W54" s="193">
        <f t="shared" si="41"/>
        <v>55251000000</v>
      </c>
      <c r="X54" s="193">
        <f t="shared" si="41"/>
        <v>29117000000</v>
      </c>
      <c r="Y54" s="193">
        <f t="shared" si="41"/>
        <v>117620000000</v>
      </c>
      <c r="Z54" s="193">
        <f t="shared" si="41"/>
        <v>81005000000</v>
      </c>
      <c r="AA54" s="193">
        <f t="shared" si="41"/>
        <v>46815000000</v>
      </c>
      <c r="AB54" s="193">
        <f t="shared" si="41"/>
        <v>25314000000</v>
      </c>
      <c r="AC54" s="193">
        <f t="shared" si="41"/>
        <v>113510000000</v>
      </c>
    </row>
    <row r="55" spans="1:88" s="63" customFormat="1" x14ac:dyDescent="0.25">
      <c r="A55" s="63" t="s">
        <v>673</v>
      </c>
      <c r="E55" s="63">
        <f>E54/E2</f>
        <v>4.1020374181263988E-2</v>
      </c>
      <c r="F55" s="63">
        <f t="shared" ref="F55:AC55" si="42">F54/F2</f>
        <v>3.8811333544991132E-2</v>
      </c>
      <c r="G55" s="63">
        <f t="shared" si="42"/>
        <v>4.1542705213507551E-2</v>
      </c>
      <c r="H55" s="63">
        <f t="shared" si="42"/>
        <v>5.1842653386810038E-2</v>
      </c>
      <c r="I55" s="63">
        <f t="shared" si="42"/>
        <v>5.5034126378688611E-2</v>
      </c>
      <c r="J55" s="63">
        <f t="shared" si="42"/>
        <v>4.8969716520827454E-2</v>
      </c>
      <c r="K55" s="63">
        <f t="shared" si="42"/>
        <v>5.2994699847592183E-2</v>
      </c>
      <c r="L55" s="63">
        <f t="shared" si="42"/>
        <v>4.2552985814060272E-2</v>
      </c>
      <c r="M55" s="63">
        <f t="shared" si="42"/>
        <v>3.7064059680526312E-2</v>
      </c>
      <c r="N55" s="63">
        <f t="shared" si="42"/>
        <v>4.2812607973389503E-2</v>
      </c>
      <c r="O55" s="63">
        <f t="shared" si="42"/>
        <v>4.8778213737141494E-2</v>
      </c>
      <c r="P55" s="63">
        <f t="shared" si="42"/>
        <v>2.2641304279641436E-2</v>
      </c>
      <c r="Q55" s="63">
        <f t="shared" si="42"/>
        <v>2.8349411907085637E-2</v>
      </c>
      <c r="R55" s="63">
        <f t="shared" si="42"/>
        <v>4.1006348882233715E-2</v>
      </c>
      <c r="S55" s="63">
        <f t="shared" si="42"/>
        <v>4.2681164336087166E-2</v>
      </c>
      <c r="T55" s="63">
        <f t="shared" si="42"/>
        <v>4.132810245450929E-2</v>
      </c>
      <c r="U55" s="63">
        <f t="shared" si="42"/>
        <v>4.2329456784354187E-2</v>
      </c>
      <c r="V55" s="63">
        <f t="shared" si="42"/>
        <v>4.200850123649251E-2</v>
      </c>
      <c r="W55" s="63">
        <f t="shared" si="42"/>
        <v>3.9039911138997942E-2</v>
      </c>
      <c r="X55" s="63">
        <f t="shared" si="42"/>
        <v>4.186057210550756E-2</v>
      </c>
      <c r="Y55" s="63">
        <f t="shared" si="42"/>
        <v>4.2217552121376359E-2</v>
      </c>
      <c r="Z55" s="63">
        <f t="shared" si="42"/>
        <v>4.0007092177565207E-2</v>
      </c>
      <c r="AA55" s="63">
        <f t="shared" si="42"/>
        <v>3.4727373612091939E-2</v>
      </c>
      <c r="AB55" s="63">
        <f t="shared" si="42"/>
        <v>3.7705272094911112E-2</v>
      </c>
      <c r="AC55" s="63">
        <f t="shared" si="42"/>
        <v>4.5301021717431937E-2</v>
      </c>
    </row>
    <row r="56" spans="1:88" x14ac:dyDescent="0.25">
      <c r="A56" s="17" t="s">
        <v>674</v>
      </c>
      <c r="E56" s="193">
        <f>E23</f>
        <v>62711485933.64592</v>
      </c>
      <c r="F56" s="193">
        <f t="shared" ref="F56:AC56" si="43">F23</f>
        <v>46861698054.629272</v>
      </c>
      <c r="G56" s="193">
        <f t="shared" si="43"/>
        <v>33263703010.187378</v>
      </c>
      <c r="H56" s="193">
        <f t="shared" si="43"/>
        <v>21317357776.640984</v>
      </c>
      <c r="I56" s="193">
        <f t="shared" si="43"/>
        <v>52426830573.327667</v>
      </c>
      <c r="J56" s="193">
        <f t="shared" si="43"/>
        <v>46348834297.823784</v>
      </c>
      <c r="K56" s="193">
        <f t="shared" si="43"/>
        <v>30688668801.701725</v>
      </c>
      <c r="L56" s="193">
        <f t="shared" si="43"/>
        <v>11856852743.631987</v>
      </c>
      <c r="M56" s="193">
        <f t="shared" si="43"/>
        <v>52964664109.623924</v>
      </c>
      <c r="N56" s="193">
        <f t="shared" si="43"/>
        <v>45604168670.133987</v>
      </c>
      <c r="O56" s="193">
        <f t="shared" si="43"/>
        <v>35711376832.906181</v>
      </c>
      <c r="P56" s="193">
        <f t="shared" si="43"/>
        <v>6483365245.2785368</v>
      </c>
      <c r="Q56" s="193">
        <f t="shared" si="43"/>
        <v>62366741151.987885</v>
      </c>
      <c r="R56" s="193">
        <f t="shared" si="43"/>
        <v>64944125600.90007</v>
      </c>
      <c r="S56" s="193">
        <f t="shared" si="43"/>
        <v>43407711514.490494</v>
      </c>
      <c r="T56" s="193">
        <f t="shared" si="43"/>
        <v>21225348516.094322</v>
      </c>
      <c r="U56" s="193">
        <f t="shared" si="43"/>
        <v>86850218048.737732</v>
      </c>
      <c r="V56" s="193">
        <f t="shared" si="43"/>
        <v>66126595366.685616</v>
      </c>
      <c r="W56" s="193">
        <f t="shared" si="43"/>
        <v>40482094208.895477</v>
      </c>
      <c r="X56" s="193">
        <f t="shared" si="43"/>
        <v>23187027174.321579</v>
      </c>
      <c r="Y56" s="193">
        <f t="shared" si="43"/>
        <v>89085800773.367615</v>
      </c>
      <c r="Z56" s="193">
        <f t="shared" si="43"/>
        <v>60951650211.080704</v>
      </c>
      <c r="AA56" s="193">
        <f t="shared" si="43"/>
        <v>35561853107.892059</v>
      </c>
      <c r="AB56" s="193">
        <f t="shared" si="43"/>
        <v>20254446940.663406</v>
      </c>
      <c r="AC56" s="193">
        <f t="shared" si="43"/>
        <v>91018177958.818878</v>
      </c>
    </row>
    <row r="57" spans="1:88" s="63" customFormat="1" x14ac:dyDescent="0.25">
      <c r="A57" s="63" t="s">
        <v>675</v>
      </c>
      <c r="E57" s="63">
        <f>E56/E2</f>
        <v>2.6570490605491128E-2</v>
      </c>
      <c r="F57" s="63">
        <f t="shared" ref="F57:AC57" si="44">F56/F2</f>
        <v>2.6855533841634468E-2</v>
      </c>
      <c r="G57" s="63">
        <f t="shared" si="44"/>
        <v>2.8532035790755809E-2</v>
      </c>
      <c r="H57" s="63">
        <f t="shared" si="44"/>
        <v>3.6616123357078909E-2</v>
      </c>
      <c r="I57" s="63">
        <f t="shared" si="44"/>
        <v>2.7151344921297598E-2</v>
      </c>
      <c r="J57" s="63">
        <f t="shared" si="44"/>
        <v>3.3981454015978491E-2</v>
      </c>
      <c r="K57" s="63">
        <f t="shared" si="44"/>
        <v>3.4904425287984493E-2</v>
      </c>
      <c r="L57" s="63">
        <f t="shared" si="44"/>
        <v>2.8654275704178417E-2</v>
      </c>
      <c r="M57" s="63">
        <f t="shared" si="44"/>
        <v>2.6234637722752592E-2</v>
      </c>
      <c r="N57" s="63">
        <f t="shared" si="44"/>
        <v>2.967404394228795E-2</v>
      </c>
      <c r="O57" s="63">
        <f t="shared" si="44"/>
        <v>3.4325914280708233E-2</v>
      </c>
      <c r="P57" s="63">
        <f t="shared" si="44"/>
        <v>1.3556690549907968E-2</v>
      </c>
      <c r="Q57" s="63">
        <f t="shared" si="44"/>
        <v>2.2069582142976708E-2</v>
      </c>
      <c r="R57" s="63">
        <f t="shared" si="44"/>
        <v>3.0697037314761279E-2</v>
      </c>
      <c r="S57" s="63">
        <f t="shared" si="44"/>
        <v>3.2007526710837925E-2</v>
      </c>
      <c r="T57" s="63">
        <f t="shared" si="44"/>
        <v>3.3109510761146412E-2</v>
      </c>
      <c r="U57" s="63">
        <f t="shared" si="44"/>
        <v>3.0153069598643247E-2</v>
      </c>
      <c r="V57" s="63">
        <f t="shared" si="44"/>
        <v>3.0901375640763697E-2</v>
      </c>
      <c r="W57" s="63">
        <f t="shared" si="44"/>
        <v>2.8604321381256854E-2</v>
      </c>
      <c r="X57" s="63">
        <f t="shared" si="44"/>
        <v>3.3335241369064524E-2</v>
      </c>
      <c r="Y57" s="63">
        <f t="shared" si="44"/>
        <v>3.1975722134196548E-2</v>
      </c>
      <c r="Z57" s="63">
        <f t="shared" si="44"/>
        <v>3.0103058926849179E-2</v>
      </c>
      <c r="AA57" s="63">
        <f t="shared" si="44"/>
        <v>2.6379787658145901E-2</v>
      </c>
      <c r="AB57" s="63">
        <f t="shared" si="44"/>
        <v>3.0169054002909604E-2</v>
      </c>
      <c r="AC57" s="63">
        <f t="shared" si="44"/>
        <v>3.6324697880306039E-2</v>
      </c>
    </row>
    <row r="58" spans="1:88" ht="93" customHeight="1" x14ac:dyDescent="0.25">
      <c r="A58" s="278" t="s">
        <v>676</v>
      </c>
      <c r="B58" s="284"/>
      <c r="C58" s="284"/>
      <c r="D58" s="284"/>
      <c r="E58" s="284"/>
      <c r="F58" s="284"/>
      <c r="G58" s="284"/>
      <c r="H58" s="284"/>
      <c r="I58" s="284"/>
      <c r="J58" s="284"/>
      <c r="K58" s="284"/>
      <c r="L58" s="284"/>
      <c r="M58" s="284"/>
      <c r="N58" s="284"/>
      <c r="O58" s="284"/>
      <c r="P58" s="284"/>
      <c r="Q58" s="284"/>
      <c r="R58" s="284"/>
      <c r="S58" s="284"/>
      <c r="T58" s="284"/>
      <c r="U58" s="284"/>
      <c r="V58" s="284"/>
      <c r="W58" s="284"/>
      <c r="X58" s="284"/>
      <c r="Y58" s="284"/>
      <c r="Z58" s="284"/>
      <c r="AA58" s="284"/>
      <c r="AB58" s="284"/>
      <c r="AC58" s="284"/>
    </row>
    <row r="60" spans="1:88" s="225" customFormat="1" x14ac:dyDescent="0.25">
      <c r="A60" s="227" t="s">
        <v>678</v>
      </c>
      <c r="B60" s="223"/>
      <c r="C60" s="223"/>
      <c r="D60" s="223"/>
      <c r="E60" s="228">
        <f>E53</f>
        <v>43100</v>
      </c>
      <c r="F60" s="228">
        <f t="shared" ref="F60:AC60" si="45">F53</f>
        <v>43008</v>
      </c>
      <c r="G60" s="228">
        <f t="shared" si="45"/>
        <v>42916</v>
      </c>
      <c r="H60" s="228">
        <f t="shared" si="45"/>
        <v>42825</v>
      </c>
      <c r="I60" s="228">
        <f t="shared" si="45"/>
        <v>42735</v>
      </c>
      <c r="J60" s="228">
        <f t="shared" si="45"/>
        <v>42643</v>
      </c>
      <c r="K60" s="228">
        <f t="shared" si="45"/>
        <v>42551</v>
      </c>
      <c r="L60" s="228">
        <f t="shared" si="45"/>
        <v>42460</v>
      </c>
      <c r="M60" s="228">
        <f t="shared" si="45"/>
        <v>42369</v>
      </c>
      <c r="N60" s="228">
        <f t="shared" si="45"/>
        <v>42277</v>
      </c>
      <c r="O60" s="228">
        <f t="shared" si="45"/>
        <v>42185</v>
      </c>
      <c r="P60" s="228">
        <f t="shared" si="45"/>
        <v>42094</v>
      </c>
      <c r="Q60" s="228">
        <f t="shared" si="45"/>
        <v>42004</v>
      </c>
      <c r="R60" s="228">
        <f t="shared" si="45"/>
        <v>41912</v>
      </c>
      <c r="S60" s="228">
        <f t="shared" si="45"/>
        <v>41820</v>
      </c>
      <c r="T60" s="228">
        <f t="shared" si="45"/>
        <v>41729</v>
      </c>
      <c r="U60" s="228">
        <f t="shared" si="45"/>
        <v>41639</v>
      </c>
      <c r="V60" s="228">
        <f t="shared" si="45"/>
        <v>41547</v>
      </c>
      <c r="W60" s="228">
        <f t="shared" si="45"/>
        <v>41455</v>
      </c>
      <c r="X60" s="228">
        <f t="shared" si="45"/>
        <v>41364</v>
      </c>
      <c r="Y60" s="228">
        <f t="shared" si="45"/>
        <v>41274</v>
      </c>
      <c r="Z60" s="228">
        <f t="shared" si="45"/>
        <v>41182</v>
      </c>
      <c r="AA60" s="228">
        <f t="shared" si="45"/>
        <v>41090</v>
      </c>
      <c r="AB60" s="228">
        <f t="shared" si="45"/>
        <v>40999</v>
      </c>
      <c r="AC60" s="228">
        <f t="shared" si="45"/>
        <v>40908</v>
      </c>
    </row>
    <row r="61" spans="1:88" s="193" customFormat="1" x14ac:dyDescent="0.25">
      <c r="A61" s="89" t="s">
        <v>679</v>
      </c>
      <c r="B61" s="89"/>
      <c r="C61" s="89"/>
      <c r="D61" s="89"/>
      <c r="E61" s="89">
        <f>股权价值增加表!E38</f>
        <v>90002000000</v>
      </c>
      <c r="F61" s="89">
        <f>股权价值增加表!F38</f>
        <v>65933996112</v>
      </c>
      <c r="G61" s="89">
        <f>股权价值增加表!G38</f>
        <v>47142999509</v>
      </c>
      <c r="H61" s="89">
        <f>股权价值增加表!H38</f>
        <v>29354998348</v>
      </c>
      <c r="I61" s="89">
        <f>股权价值增加表!I38</f>
        <v>96437000000</v>
      </c>
      <c r="J61" s="89">
        <f>股权价值增加表!J38</f>
        <v>61345000000</v>
      </c>
      <c r="K61" s="89">
        <f>股权价值增加表!K38</f>
        <v>42310000000</v>
      </c>
      <c r="L61" s="89">
        <f>股权价值增加表!L38</f>
        <v>15782000000</v>
      </c>
      <c r="M61" s="89">
        <f>股权价值增加表!M38</f>
        <v>62833000000</v>
      </c>
      <c r="N61" s="89">
        <f>股权价值增加表!N38</f>
        <v>58066000000</v>
      </c>
      <c r="O61" s="89">
        <f>股权价值增加表!O38</f>
        <v>47602000000</v>
      </c>
      <c r="P61" s="89">
        <f>股权价值增加表!P38</f>
        <v>8419000000</v>
      </c>
      <c r="Q61" s="89">
        <f>股权价值增加表!Q38</f>
        <v>68716000000</v>
      </c>
      <c r="R61" s="89">
        <f>股权价值增加表!R38</f>
        <v>78216000000</v>
      </c>
      <c r="S61" s="89">
        <f>股权价值增加表!S38</f>
        <v>51344000000</v>
      </c>
      <c r="T61" s="89">
        <f>股权价值增加表!T38</f>
        <v>22306000000</v>
      </c>
      <c r="U61" s="89">
        <f>股权价值增加表!U38</f>
        <v>114080000000</v>
      </c>
      <c r="V61" s="89">
        <f>股权价值增加表!V38</f>
        <v>84432000000</v>
      </c>
      <c r="W61" s="89">
        <f>股权价值增加表!W38</f>
        <v>51959000000</v>
      </c>
      <c r="X61" s="89">
        <f>股权价值增加表!X38</f>
        <v>26606000000</v>
      </c>
      <c r="Y61" s="89">
        <f>股权价值增加表!Y38</f>
        <v>106547000000</v>
      </c>
      <c r="Z61" s="89">
        <f>股权价值增加表!Z38</f>
        <v>72721000000</v>
      </c>
      <c r="AA61" s="89">
        <f>股权价值增加表!AA38</f>
        <v>41282000000</v>
      </c>
      <c r="AB61" s="89">
        <f>股权价值增加表!AB38</f>
        <v>22701000000</v>
      </c>
      <c r="AC61" s="89">
        <f>股权价值增加表!AC38</f>
        <v>116364000000</v>
      </c>
    </row>
    <row r="62" spans="1:88" s="193" customFormat="1" x14ac:dyDescent="0.25">
      <c r="A62" s="89" t="s">
        <v>680</v>
      </c>
      <c r="B62" s="89"/>
      <c r="C62" s="89"/>
      <c r="D62" s="89"/>
      <c r="E62" s="89">
        <f>股权价值增加表!E40</f>
        <v>16279000000</v>
      </c>
      <c r="F62" s="89">
        <f>股权价值增加表!F40</f>
        <v>12996000000</v>
      </c>
      <c r="G62" s="89">
        <f>股权价值增加表!G40</f>
        <v>8915000000</v>
      </c>
      <c r="H62" s="89">
        <f>股权价值增加表!H40</f>
        <v>6297000000</v>
      </c>
      <c r="I62" s="89">
        <f>股权价值增加表!I40</f>
        <v>20707000000</v>
      </c>
      <c r="J62" s="89">
        <f>股权价值增加表!J40</f>
        <v>11865000000</v>
      </c>
      <c r="K62" s="89">
        <f>股权价值增加表!K40</f>
        <v>8379000000</v>
      </c>
      <c r="L62" s="89">
        <f>股权价值增加表!L40</f>
        <v>3181000000</v>
      </c>
      <c r="M62" s="89">
        <f>股权价值增加表!M40</f>
        <v>12613000000</v>
      </c>
      <c r="N62" s="89">
        <f>股权价值增加表!N40</f>
        <v>10464000000</v>
      </c>
      <c r="O62" s="89">
        <f>股权价值增加表!O40</f>
        <v>9674000000</v>
      </c>
      <c r="P62" s="89">
        <f>股权价值增加表!P40</f>
        <v>950000000</v>
      </c>
      <c r="Q62" s="89">
        <f>股权价值增加表!Q40</f>
        <v>17571000000</v>
      </c>
      <c r="R62" s="89">
        <f>股权价值增加表!R40</f>
        <v>17624000000</v>
      </c>
      <c r="S62" s="89">
        <f>股权价值增加表!S40</f>
        <v>11908000000</v>
      </c>
      <c r="T62" s="89">
        <f>股权价值增加表!T40</f>
        <v>4818000000</v>
      </c>
      <c r="U62" s="89">
        <f>股权价值增加表!U40</f>
        <v>25605000000</v>
      </c>
      <c r="V62" s="89">
        <f>股权价值增加表!V40</f>
        <v>20102000000</v>
      </c>
      <c r="W62" s="89">
        <f>股权价值增加表!W40</f>
        <v>12468000000</v>
      </c>
      <c r="X62" s="89">
        <f>股权价值增加表!X40</f>
        <v>6175000000</v>
      </c>
      <c r="Y62" s="89">
        <f>股权价值增加表!Y40</f>
        <v>23696000000</v>
      </c>
      <c r="Z62" s="89">
        <f>股权价值增加表!Z40</f>
        <v>16752000000</v>
      </c>
      <c r="AA62" s="89">
        <f>股权价值增加表!AA40</f>
        <v>9337000000</v>
      </c>
      <c r="AB62" s="89">
        <f>股权价值增加表!AB40</f>
        <v>4437000000</v>
      </c>
      <c r="AC62" s="89">
        <f>股权价值增加表!AC40</f>
        <v>25774000000</v>
      </c>
    </row>
    <row r="63" spans="1:88" x14ac:dyDescent="0.25">
      <c r="A63" s="184" t="s">
        <v>681</v>
      </c>
      <c r="B63" s="64"/>
      <c r="C63" s="64"/>
      <c r="D63" s="64"/>
      <c r="E63" s="64">
        <f>股权价值增加表!E42</f>
        <v>73723000000</v>
      </c>
      <c r="F63" s="64">
        <f>股权价值增加表!F42</f>
        <v>52937996112</v>
      </c>
      <c r="G63" s="64">
        <f>股权价值增加表!G42</f>
        <v>38227999509</v>
      </c>
      <c r="H63" s="64">
        <f>股权价值增加表!H42</f>
        <v>23057998348</v>
      </c>
      <c r="I63" s="64">
        <f>股权价值增加表!I42</f>
        <v>75730000000</v>
      </c>
      <c r="J63" s="64">
        <f>股权价值增加表!J42</f>
        <v>49480000000</v>
      </c>
      <c r="K63" s="64">
        <f>股权价值增加表!K42</f>
        <v>33931000000</v>
      </c>
      <c r="L63" s="64">
        <f>股权价值增加表!L42</f>
        <v>12601000000</v>
      </c>
      <c r="M63" s="64">
        <f>股权价值增加表!M42</f>
        <v>50220000000</v>
      </c>
      <c r="N63" s="64">
        <f>股权价值增加表!N42</f>
        <v>47602000000</v>
      </c>
      <c r="O63" s="64">
        <f>股权价值增加表!O42</f>
        <v>37928000000</v>
      </c>
      <c r="P63" s="64">
        <f>股权价值增加表!P42</f>
        <v>7469000000</v>
      </c>
      <c r="Q63" s="64">
        <f>股权价值增加表!Q42</f>
        <v>51145000000</v>
      </c>
      <c r="R63" s="64">
        <f>股权价值增加表!R42</f>
        <v>60592000000</v>
      </c>
      <c r="S63" s="64">
        <f>股权价值增加表!S42</f>
        <v>39436000000</v>
      </c>
      <c r="T63" s="64">
        <f>股权价值增加表!T42</f>
        <v>17488000000</v>
      </c>
      <c r="U63" s="64">
        <f>股权价值增加表!U42</f>
        <v>88475000000</v>
      </c>
      <c r="V63" s="64">
        <f>股权价值增加表!V42</f>
        <v>64330000000</v>
      </c>
      <c r="W63" s="64">
        <f>股权价值增加表!W42</f>
        <v>39491000000</v>
      </c>
      <c r="X63" s="64">
        <f>股权价值增加表!X42</f>
        <v>20431000000</v>
      </c>
      <c r="Y63" s="64">
        <f>股权价值增加表!Y42</f>
        <v>82851000000</v>
      </c>
      <c r="Z63" s="64">
        <f>股权价值增加表!Z42</f>
        <v>55969000000</v>
      </c>
      <c r="AA63" s="64">
        <f>股权价值增加表!AA42</f>
        <v>31945000000</v>
      </c>
      <c r="AB63" s="64">
        <f>股权价值增加表!AB42</f>
        <v>18264000000</v>
      </c>
      <c r="AC63" s="64">
        <f>股权价值增加表!AC42</f>
        <v>90590000000</v>
      </c>
    </row>
    <row r="64" spans="1:88" s="63" customFormat="1" x14ac:dyDescent="0.25">
      <c r="A64" s="214" t="s">
        <v>682</v>
      </c>
      <c r="B64" s="214"/>
      <c r="C64" s="214"/>
      <c r="D64" s="214"/>
      <c r="E64" s="214">
        <f>1-E63/E61</f>
        <v>0.18087375836092534</v>
      </c>
      <c r="F64" s="214">
        <f t="shared" ref="F64:AC64" si="46">1-F63/F61</f>
        <v>0.19710620872916762</v>
      </c>
      <c r="G64" s="214">
        <f t="shared" si="46"/>
        <v>0.189105489528685</v>
      </c>
      <c r="H64" s="214">
        <f t="shared" si="46"/>
        <v>0.21451202024778937</v>
      </c>
      <c r="I64" s="214">
        <f t="shared" si="46"/>
        <v>0.2147204910978151</v>
      </c>
      <c r="J64" s="214">
        <f t="shared" si="46"/>
        <v>0.1934142961936588</v>
      </c>
      <c r="K64" s="214">
        <f t="shared" si="46"/>
        <v>0.19803828882060981</v>
      </c>
      <c r="L64" s="214">
        <f t="shared" si="46"/>
        <v>0.20155873780255984</v>
      </c>
      <c r="M64" s="214">
        <f t="shared" si="46"/>
        <v>0.20073846545605012</v>
      </c>
      <c r="N64" s="214">
        <f t="shared" si="46"/>
        <v>0.18020872799917331</v>
      </c>
      <c r="O64" s="214">
        <f t="shared" si="46"/>
        <v>0.20322675517835387</v>
      </c>
      <c r="P64" s="214">
        <f t="shared" si="46"/>
        <v>0.11284000475115807</v>
      </c>
      <c r="Q64" s="214">
        <f t="shared" si="46"/>
        <v>0.25570463938529597</v>
      </c>
      <c r="R64" s="214">
        <f t="shared" si="46"/>
        <v>0.22532474174082029</v>
      </c>
      <c r="S64" s="214">
        <f t="shared" si="46"/>
        <v>0.23192583359301966</v>
      </c>
      <c r="T64" s="214">
        <f t="shared" si="46"/>
        <v>0.21599569622523085</v>
      </c>
      <c r="U64" s="214">
        <f t="shared" si="46"/>
        <v>0.2244477559607293</v>
      </c>
      <c r="V64" s="214">
        <f t="shared" si="46"/>
        <v>0.23808508622323288</v>
      </c>
      <c r="W64" s="214">
        <f t="shared" si="46"/>
        <v>0.2399584287611386</v>
      </c>
      <c r="X64" s="214">
        <f t="shared" si="46"/>
        <v>0.23209050590092462</v>
      </c>
      <c r="Y64" s="214">
        <f t="shared" si="46"/>
        <v>0.22239950444404821</v>
      </c>
      <c r="Z64" s="214">
        <f t="shared" si="46"/>
        <v>0.23035986853866142</v>
      </c>
      <c r="AA64" s="214">
        <f t="shared" si="46"/>
        <v>0.22617605736156199</v>
      </c>
      <c r="AB64" s="214">
        <f t="shared" si="46"/>
        <v>0.19545394476014277</v>
      </c>
      <c r="AC64" s="214">
        <f t="shared" si="46"/>
        <v>0.22149462032931144</v>
      </c>
    </row>
    <row r="65" spans="1:29" ht="42.6" customHeight="1" x14ac:dyDescent="0.25">
      <c r="A65" s="280" t="s">
        <v>683</v>
      </c>
      <c r="B65" s="280"/>
      <c r="C65" s="280"/>
      <c r="D65" s="280"/>
      <c r="E65" s="280"/>
      <c r="F65" s="280"/>
      <c r="G65" s="280"/>
      <c r="H65" s="280"/>
      <c r="I65" s="280"/>
      <c r="J65" s="280"/>
      <c r="K65" s="280"/>
      <c r="L65" s="280"/>
      <c r="M65" s="280"/>
      <c r="N65" s="280"/>
      <c r="O65" s="280"/>
      <c r="P65" s="280"/>
      <c r="Q65" s="280"/>
      <c r="R65" s="280"/>
      <c r="S65" s="280"/>
      <c r="T65" s="280"/>
      <c r="U65" s="280"/>
      <c r="V65" s="280"/>
      <c r="W65" s="280"/>
      <c r="X65" s="280"/>
      <c r="Y65" s="280"/>
      <c r="Z65" s="280"/>
      <c r="AA65" s="280"/>
      <c r="AB65" s="280"/>
      <c r="AC65" s="280"/>
    </row>
    <row r="68" spans="1:29" ht="55.8" customHeight="1" x14ac:dyDescent="0.25">
      <c r="A68" s="278" t="s">
        <v>735</v>
      </c>
      <c r="B68" s="277"/>
      <c r="C68" s="277"/>
      <c r="D68" s="277"/>
      <c r="E68" s="277"/>
      <c r="F68" s="277"/>
      <c r="G68" s="277"/>
      <c r="H68" s="277"/>
      <c r="I68" s="277"/>
      <c r="J68" s="277"/>
      <c r="K68" s="277"/>
      <c r="L68" s="277"/>
      <c r="M68" s="277"/>
      <c r="N68" s="277"/>
      <c r="O68" s="277"/>
      <c r="P68" s="277"/>
      <c r="Q68" s="277"/>
      <c r="R68" s="277"/>
      <c r="S68" s="277"/>
      <c r="T68" s="277"/>
      <c r="U68" s="277"/>
      <c r="V68" s="277"/>
      <c r="W68" s="277"/>
      <c r="X68" s="277"/>
      <c r="Y68" s="277"/>
      <c r="Z68" s="277"/>
      <c r="AA68" s="277"/>
      <c r="AB68" s="277"/>
      <c r="AC68" s="277"/>
    </row>
    <row r="69" spans="1:29" x14ac:dyDescent="0.25">
      <c r="A69" s="285" t="s">
        <v>703</v>
      </c>
      <c r="B69" s="285"/>
      <c r="C69" s="285"/>
      <c r="D69" s="285"/>
      <c r="E69" s="285"/>
      <c r="F69" s="257"/>
      <c r="G69" s="257"/>
      <c r="H69" s="257"/>
      <c r="I69" s="257" t="s">
        <v>707</v>
      </c>
      <c r="J69" s="257"/>
      <c r="K69" s="257"/>
      <c r="L69" s="257"/>
      <c r="M69" s="257" t="s">
        <v>708</v>
      </c>
    </row>
    <row r="70" spans="1:29" ht="57.6" x14ac:dyDescent="0.25">
      <c r="A70" s="286" t="s">
        <v>704</v>
      </c>
      <c r="B70" s="65"/>
      <c r="C70" s="65"/>
      <c r="D70" s="65"/>
      <c r="E70" s="65" t="s">
        <v>705</v>
      </c>
      <c r="F70" s="65"/>
      <c r="G70" s="65"/>
      <c r="H70" s="65"/>
      <c r="I70" s="258" t="s">
        <v>709</v>
      </c>
      <c r="J70" s="259"/>
      <c r="K70" s="259"/>
      <c r="L70" s="259"/>
      <c r="M70" s="258" t="s">
        <v>710</v>
      </c>
    </row>
    <row r="71" spans="1:29" ht="54.6" customHeight="1" x14ac:dyDescent="0.25">
      <c r="A71" s="286"/>
      <c r="B71" s="65"/>
      <c r="C71" s="65"/>
      <c r="D71" s="65"/>
      <c r="E71" s="65" t="s">
        <v>706</v>
      </c>
      <c r="F71" s="65"/>
      <c r="G71" s="65"/>
      <c r="H71" s="65"/>
      <c r="I71" s="258" t="s">
        <v>711</v>
      </c>
      <c r="J71" s="259"/>
      <c r="K71" s="259"/>
      <c r="L71" s="259"/>
      <c r="M71" s="258" t="s">
        <v>712</v>
      </c>
    </row>
    <row r="72" spans="1:29" ht="57.6" x14ac:dyDescent="0.25">
      <c r="A72" s="286" t="s">
        <v>720</v>
      </c>
      <c r="B72" s="65"/>
      <c r="C72" s="65"/>
      <c r="D72" s="65"/>
      <c r="E72" s="65" t="s">
        <v>713</v>
      </c>
      <c r="F72" s="65"/>
      <c r="G72" s="65"/>
      <c r="H72" s="65"/>
      <c r="I72" s="258" t="s">
        <v>721</v>
      </c>
      <c r="J72" s="259"/>
      <c r="K72" s="259"/>
      <c r="L72" s="259"/>
      <c r="M72" s="258" t="s">
        <v>722</v>
      </c>
    </row>
    <row r="73" spans="1:29" ht="43.2" x14ac:dyDescent="0.25">
      <c r="A73" s="286"/>
      <c r="B73" s="65"/>
      <c r="C73" s="65"/>
      <c r="D73" s="65"/>
      <c r="E73" s="65" t="s">
        <v>714</v>
      </c>
      <c r="F73" s="65"/>
      <c r="G73" s="65"/>
      <c r="H73" s="65"/>
      <c r="I73" s="258" t="s">
        <v>723</v>
      </c>
      <c r="J73" s="259"/>
      <c r="K73" s="259"/>
      <c r="L73" s="259"/>
      <c r="M73" s="258" t="s">
        <v>724</v>
      </c>
    </row>
    <row r="74" spans="1:29" ht="57.6" x14ac:dyDescent="0.25">
      <c r="A74" s="286"/>
      <c r="B74" s="65"/>
      <c r="C74" s="65"/>
      <c r="D74" s="65"/>
      <c r="E74" s="65" t="s">
        <v>715</v>
      </c>
      <c r="F74" s="65"/>
      <c r="G74" s="65"/>
      <c r="H74" s="65"/>
      <c r="I74" s="258" t="s">
        <v>725</v>
      </c>
      <c r="J74" s="259"/>
      <c r="K74" s="259"/>
      <c r="L74" s="259"/>
      <c r="M74" s="258" t="s">
        <v>726</v>
      </c>
    </row>
    <row r="75" spans="1:29" ht="72" x14ac:dyDescent="0.25">
      <c r="A75" s="286"/>
      <c r="B75" s="65"/>
      <c r="C75" s="65"/>
      <c r="D75" s="65"/>
      <c r="E75" s="65" t="s">
        <v>716</v>
      </c>
      <c r="F75" s="65"/>
      <c r="G75" s="65"/>
      <c r="H75" s="65"/>
      <c r="I75" s="258" t="s">
        <v>727</v>
      </c>
      <c r="J75" s="259"/>
      <c r="K75" s="259"/>
      <c r="L75" s="259"/>
      <c r="M75" s="258" t="s">
        <v>728</v>
      </c>
    </row>
    <row r="76" spans="1:29" x14ac:dyDescent="0.25">
      <c r="A76" s="286"/>
      <c r="B76" s="65"/>
      <c r="C76" s="65"/>
      <c r="D76" s="65"/>
      <c r="E76" s="65" t="s">
        <v>717</v>
      </c>
      <c r="F76" s="65"/>
      <c r="G76" s="65"/>
      <c r="H76" s="65"/>
      <c r="I76" s="258" t="s">
        <v>729</v>
      </c>
      <c r="J76" s="259"/>
      <c r="K76" s="259"/>
      <c r="L76" s="259"/>
      <c r="M76" s="258" t="s">
        <v>730</v>
      </c>
    </row>
    <row r="77" spans="1:29" ht="43.2" x14ac:dyDescent="0.25">
      <c r="A77" s="286"/>
      <c r="B77" s="65"/>
      <c r="C77" s="65"/>
      <c r="D77" s="65"/>
      <c r="E77" s="65" t="s">
        <v>718</v>
      </c>
      <c r="F77" s="65"/>
      <c r="G77" s="65"/>
      <c r="H77" s="65"/>
      <c r="I77" s="258" t="s">
        <v>731</v>
      </c>
      <c r="J77" s="259"/>
      <c r="K77" s="259"/>
      <c r="L77" s="259"/>
      <c r="M77" s="258" t="s">
        <v>732</v>
      </c>
    </row>
    <row r="78" spans="1:29" ht="57.6" x14ac:dyDescent="0.25">
      <c r="A78" s="286"/>
      <c r="B78" s="65"/>
      <c r="C78" s="65"/>
      <c r="D78" s="65"/>
      <c r="E78" s="65" t="s">
        <v>719</v>
      </c>
      <c r="F78" s="65"/>
      <c r="G78" s="65"/>
      <c r="H78" s="65"/>
      <c r="I78" s="258" t="s">
        <v>733</v>
      </c>
      <c r="J78" s="259"/>
      <c r="K78" s="259"/>
      <c r="L78" s="259"/>
      <c r="M78" s="258" t="s">
        <v>734</v>
      </c>
    </row>
  </sheetData>
  <mergeCells count="10">
    <mergeCell ref="A65:AC65"/>
    <mergeCell ref="A69:E69"/>
    <mergeCell ref="A70:A71"/>
    <mergeCell ref="A72:A78"/>
    <mergeCell ref="A68:AC68"/>
    <mergeCell ref="A25:AG25"/>
    <mergeCell ref="A35:AG35"/>
    <mergeCell ref="A43:AG43"/>
    <mergeCell ref="A51:AG51"/>
    <mergeCell ref="A58:AC58"/>
  </mergeCells>
  <phoneticPr fontId="1" type="noConversion"/>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股东权益回报率分析表"/>
  <dimension ref="A1:CK102"/>
  <sheetViews>
    <sheetView workbookViewId="0">
      <selection activeCell="A15" sqref="A15:AG15"/>
    </sheetView>
  </sheetViews>
  <sheetFormatPr defaultRowHeight="14.4" x14ac:dyDescent="0.25"/>
  <cols>
    <col min="1" max="1" width="50.6640625" style="17" bestFit="1" customWidth="1"/>
    <col min="2" max="4" width="11.6640625" hidden="1" customWidth="1"/>
    <col min="5" max="5" width="23.77734375" bestFit="1" customWidth="1"/>
    <col min="6" max="8" width="23.77734375" hidden="1" customWidth="1"/>
    <col min="9" max="9" width="23.77734375" bestFit="1" customWidth="1"/>
    <col min="10" max="12" width="23.77734375" hidden="1" customWidth="1"/>
    <col min="13" max="13" width="23.77734375" bestFit="1" customWidth="1"/>
    <col min="14" max="16" width="23.77734375" hidden="1" customWidth="1"/>
    <col min="17" max="17" width="23.77734375" bestFit="1" customWidth="1"/>
    <col min="18" max="19" width="23.77734375" hidden="1" customWidth="1"/>
    <col min="20" max="20" width="21.5546875" hidden="1" customWidth="1"/>
    <col min="21" max="21" width="23.77734375" bestFit="1" customWidth="1"/>
    <col min="22" max="23" width="23.77734375" hidden="1" customWidth="1"/>
    <col min="24" max="24" width="21.5546875" hidden="1" customWidth="1"/>
    <col min="25" max="25" width="23.77734375" bestFit="1" customWidth="1"/>
    <col min="26" max="27" width="23.77734375" hidden="1" customWidth="1"/>
    <col min="28" max="28" width="22.6640625" hidden="1" customWidth="1"/>
    <col min="29" max="29" width="23.77734375" bestFit="1" customWidth="1"/>
    <col min="30" max="31" width="23.77734375" hidden="1" customWidth="1"/>
    <col min="32" max="32" width="21.5546875" hidden="1" customWidth="1"/>
    <col min="33" max="33" width="23.77734375" bestFit="1" customWidth="1"/>
    <col min="34" max="34" width="23.77734375" hidden="1" customWidth="1"/>
    <col min="35" max="36" width="21.5546875" hidden="1" customWidth="1"/>
    <col min="37" max="37" width="23.77734375" bestFit="1" customWidth="1"/>
    <col min="38" max="40" width="21.5546875" hidden="1" customWidth="1"/>
    <col min="41" max="41" width="23.77734375" bestFit="1" customWidth="1"/>
    <col min="42" max="42" width="23.77734375" hidden="1" customWidth="1"/>
    <col min="43" max="44" width="21.5546875" hidden="1" customWidth="1"/>
    <col min="45" max="45" width="23.77734375" bestFit="1" customWidth="1"/>
    <col min="46" max="48" width="21.5546875" hidden="1" customWidth="1"/>
    <col min="49" max="49" width="23.77734375" bestFit="1" customWidth="1"/>
    <col min="50" max="52" width="21.5546875" hidden="1" customWidth="1"/>
    <col min="53" max="53" width="21.5546875" bestFit="1" customWidth="1"/>
    <col min="54" max="56" width="21.5546875" hidden="1" customWidth="1"/>
    <col min="57" max="57" width="21.5546875" bestFit="1" customWidth="1"/>
    <col min="58" max="60" width="21.5546875" hidden="1" customWidth="1"/>
    <col min="61" max="61" width="21.5546875" bestFit="1" customWidth="1"/>
    <col min="62" max="64" width="21.5546875" hidden="1" customWidth="1"/>
    <col min="65" max="65" width="21.5546875" bestFit="1" customWidth="1"/>
    <col min="66" max="68" width="21.5546875" hidden="1" customWidth="1"/>
    <col min="69" max="69" width="21.5546875" bestFit="1" customWidth="1"/>
    <col min="70" max="70" width="21.5546875" hidden="1" customWidth="1"/>
    <col min="71" max="73" width="21.5546875" bestFit="1" customWidth="1"/>
    <col min="74" max="74" width="19.33203125" hidden="1" customWidth="1"/>
    <col min="75" max="78" width="19.33203125" bestFit="1" customWidth="1"/>
    <col min="79" max="81" width="18.33203125" bestFit="1" customWidth="1"/>
    <col min="82" max="82" width="9.33203125" bestFit="1" customWidth="1"/>
    <col min="83" max="84" width="19.33203125" bestFit="1" customWidth="1"/>
    <col min="85" max="87" width="17.21875" bestFit="1" customWidth="1"/>
    <col min="88" max="89" width="16.109375" bestFit="1" customWidth="1"/>
  </cols>
  <sheetData>
    <row r="1" spans="1:89" s="26" customFormat="1" x14ac:dyDescent="0.25">
      <c r="A1" s="17">
        <v>600028</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37529</v>
      </c>
      <c r="BO1" s="1">
        <v>37437</v>
      </c>
      <c r="BP1" s="1">
        <v>37346</v>
      </c>
      <c r="BQ1" s="1">
        <v>37256</v>
      </c>
      <c r="BR1" s="1">
        <v>37072</v>
      </c>
      <c r="BS1" s="1">
        <v>36891</v>
      </c>
      <c r="BT1" s="1">
        <v>36525</v>
      </c>
      <c r="BU1" s="1">
        <v>36160</v>
      </c>
      <c r="BV1" s="1">
        <v>25569</v>
      </c>
      <c r="BW1" s="1"/>
      <c r="BX1" s="1"/>
      <c r="BY1" s="1"/>
      <c r="BZ1" s="1"/>
      <c r="CA1" s="1"/>
      <c r="CB1" s="1"/>
      <c r="CC1" s="1"/>
      <c r="CD1" s="1"/>
      <c r="CE1" s="1"/>
      <c r="CF1" s="1"/>
      <c r="CG1" s="1"/>
      <c r="CH1" s="1"/>
      <c r="CI1" s="1"/>
      <c r="CJ1" s="1"/>
      <c r="CK1" s="1"/>
    </row>
    <row r="2" spans="1:89" s="26" customFormat="1" x14ac:dyDescent="0.25">
      <c r="A2" s="17" t="s">
        <v>424</v>
      </c>
      <c r="E2" s="26">
        <f>股权价值增加表!E42</f>
        <v>73723000000</v>
      </c>
      <c r="F2" s="26">
        <f>股权价值增加表!F42</f>
        <v>52937996112</v>
      </c>
      <c r="G2" s="26">
        <f>股权价值增加表!G42</f>
        <v>38227999509</v>
      </c>
      <c r="H2" s="26">
        <f>股权价值增加表!H42</f>
        <v>23057998348</v>
      </c>
      <c r="I2" s="26">
        <f>股权价值增加表!I42</f>
        <v>75730000000</v>
      </c>
      <c r="J2" s="26">
        <f>股权价值增加表!J42</f>
        <v>49480000000</v>
      </c>
      <c r="K2" s="26">
        <f>股权价值增加表!K42</f>
        <v>33931000000</v>
      </c>
      <c r="L2" s="26">
        <f>股权价值增加表!L42</f>
        <v>12601000000</v>
      </c>
      <c r="M2" s="26">
        <f>股权价值增加表!M42</f>
        <v>50220000000</v>
      </c>
      <c r="N2" s="26">
        <f>股权价值增加表!N42</f>
        <v>47602000000</v>
      </c>
      <c r="O2" s="26">
        <f>股权价值增加表!O42</f>
        <v>37928000000</v>
      </c>
      <c r="P2" s="26">
        <f>股权价值增加表!P42</f>
        <v>7469000000</v>
      </c>
      <c r="Q2" s="26">
        <f>股权价值增加表!Q42</f>
        <v>51145000000</v>
      </c>
      <c r="R2" s="26">
        <f>股权价值增加表!R42</f>
        <v>60592000000</v>
      </c>
      <c r="S2" s="26">
        <f>股权价值增加表!S42</f>
        <v>39436000000</v>
      </c>
      <c r="T2" s="26">
        <f>股权价值增加表!T42</f>
        <v>17488000000</v>
      </c>
      <c r="U2" s="26">
        <f>股权价值增加表!U42</f>
        <v>88475000000</v>
      </c>
      <c r="V2" s="26">
        <f>股权价值增加表!V42</f>
        <v>64330000000</v>
      </c>
      <c r="W2" s="26">
        <f>股权价值增加表!W42</f>
        <v>39491000000</v>
      </c>
      <c r="X2" s="26">
        <f>股权价值增加表!X42</f>
        <v>20431000000</v>
      </c>
      <c r="Y2" s="26">
        <f>股权价值增加表!Y42</f>
        <v>82851000000</v>
      </c>
      <c r="Z2" s="26">
        <f>股权价值增加表!Z42</f>
        <v>55969000000</v>
      </c>
      <c r="AA2" s="26">
        <f>股权价值增加表!AA42</f>
        <v>31945000000</v>
      </c>
      <c r="AB2" s="26">
        <f>股权价值增加表!AB42</f>
        <v>18264000000</v>
      </c>
      <c r="AC2" s="26">
        <f>股权价值增加表!AC42</f>
        <v>90590000000</v>
      </c>
      <c r="AD2" s="26">
        <f>股权价值增加表!AD42</f>
        <v>73882000000</v>
      </c>
      <c r="AE2" s="26">
        <f>股权价值增加表!AE42</f>
        <v>48707000000</v>
      </c>
      <c r="AF2" s="26">
        <f>股权价值增加表!AF42</f>
        <v>25637000000</v>
      </c>
      <c r="AG2" s="26">
        <f>股权价值增加表!AG42</f>
        <v>86140000000</v>
      </c>
      <c r="AH2" s="26">
        <f>股权价值增加表!AH42</f>
        <v>68112000000</v>
      </c>
      <c r="AI2" s="26">
        <f>股权价值增加表!AI42</f>
        <v>42557000000</v>
      </c>
      <c r="AJ2" s="26">
        <f>股权价值增加表!AJ42</f>
        <v>19440000000</v>
      </c>
      <c r="AK2" s="26">
        <f>股权价值增加表!AK42</f>
        <v>74903000000</v>
      </c>
      <c r="AL2" s="26">
        <f>股权价值增加表!AL42</f>
        <v>58048000000</v>
      </c>
      <c r="AM2" s="26">
        <f>股权价值增加表!AM42</f>
        <v>39638000000</v>
      </c>
      <c r="AN2" s="26">
        <f>股权价值增加表!AN42</f>
        <v>13882000000</v>
      </c>
      <c r="AO2" s="26">
        <f>股权价值增加表!AO42</f>
        <v>33471000000</v>
      </c>
      <c r="AP2" s="26">
        <f>股权价值增加表!AP42</f>
        <v>22679000000</v>
      </c>
      <c r="AQ2" s="26">
        <f>股权价值增加表!AQ42</f>
        <v>14143000000</v>
      </c>
      <c r="AR2" s="26">
        <f>股权价值增加表!AR42</f>
        <v>9098000000</v>
      </c>
      <c r="AS2" s="26">
        <f>股权价值增加表!AS42</f>
        <v>68258000000</v>
      </c>
      <c r="AT2" s="26">
        <f>股权价值增加表!AT42</f>
        <v>58560000000</v>
      </c>
      <c r="AU2" s="26">
        <f>股权价值增加表!AU42</f>
        <v>42074000000</v>
      </c>
      <c r="AV2" s="26">
        <f>股权价值增加表!AV42</f>
        <v>17383000000</v>
      </c>
      <c r="AW2" s="26">
        <f>股权价值增加表!AW42</f>
        <v>52747000000</v>
      </c>
      <c r="AX2" s="26">
        <f>股权价值增加表!AX42</f>
        <v>37733000000</v>
      </c>
      <c r="AY2" s="26">
        <f>股权价值增加表!AY42</f>
        <v>23446000000</v>
      </c>
      <c r="AZ2" s="26">
        <f>股权价值增加表!AZ42</f>
        <v>10445000000</v>
      </c>
      <c r="BA2" s="26">
        <f>股权价值增加表!BA42</f>
        <v>38736000000</v>
      </c>
      <c r="BB2" s="26">
        <f>股权价值增加表!BB42</f>
        <v>32977000000</v>
      </c>
      <c r="BC2" s="26">
        <f>股权价值增加表!BC42</f>
        <v>23166000000</v>
      </c>
      <c r="BD2" s="26">
        <f>股权价值增加表!BD42</f>
        <v>11515000000</v>
      </c>
      <c r="BE2" s="26">
        <f>股权价值增加表!BE42</f>
        <v>42769000000</v>
      </c>
      <c r="BF2" s="26">
        <f>股权价值增加表!BF42</f>
        <v>30724000000</v>
      </c>
      <c r="BG2" s="26">
        <f>股权价值增加表!BG42</f>
        <v>18803000000</v>
      </c>
      <c r="BH2" s="26">
        <f>股权价值增加表!BH42</f>
        <v>9809000000</v>
      </c>
      <c r="BI2" s="26">
        <f>股权价值增加表!BI42</f>
        <v>25931000000</v>
      </c>
      <c r="BJ2" s="26">
        <f>股权价值增加表!BJ42</f>
        <v>19378000000</v>
      </c>
      <c r="BK2" s="26">
        <f>股权价值增加表!BK42</f>
        <v>12725000000</v>
      </c>
      <c r="BL2" s="26">
        <f>股权价值增加表!BL42</f>
        <v>7393000000</v>
      </c>
      <c r="BM2" s="26">
        <f>股权价值增加表!BM42</f>
        <v>18677000000</v>
      </c>
      <c r="BN2" s="26">
        <f>股权价值增加表!BN42</f>
        <v>12118000000</v>
      </c>
      <c r="BO2" s="26">
        <f>股权价值增加表!BO42</f>
        <v>6354000000</v>
      </c>
      <c r="BP2" s="26">
        <f>股权价值增加表!BP42</f>
        <v>894000000</v>
      </c>
      <c r="BQ2" s="26">
        <f>股权价值增加表!BQ42</f>
        <v>16799000000</v>
      </c>
      <c r="BR2" s="26">
        <f>股权价值增加表!BR42</f>
        <v>10382000000</v>
      </c>
      <c r="BS2" s="26">
        <f>股权价值增加表!BS42</f>
        <v>19838000000</v>
      </c>
      <c r="BT2" s="26">
        <f>股权价值增加表!BT42</f>
        <v>7792000000</v>
      </c>
      <c r="BU2" s="26">
        <f>股权价值增加表!BU42</f>
        <v>815000000</v>
      </c>
      <c r="BV2" s="26">
        <f>股权价值增加表!BV42</f>
        <v>0</v>
      </c>
      <c r="BW2" s="26">
        <f>股权价值增加表!BW42</f>
        <v>-288342438.87</v>
      </c>
      <c r="BX2" s="26">
        <f>股权价值增加表!BX42</f>
        <v>-57060547.329999998</v>
      </c>
      <c r="BY2" s="26">
        <f>股权价值增加表!BY42</f>
        <v>-217786839.49000001</v>
      </c>
      <c r="BZ2" s="26">
        <f>股权价值增加表!BZ42</f>
        <v>-40798540.960000001</v>
      </c>
      <c r="CA2" s="26">
        <f>股权价值增加表!CA42</f>
        <v>-179937260.47</v>
      </c>
      <c r="CB2" s="26">
        <f>股权价值增加表!CB42</f>
        <v>-144282576.27000001</v>
      </c>
      <c r="CC2" s="26">
        <f>股权价值增加表!CC42</f>
        <v>-119252620.25</v>
      </c>
      <c r="CD2" s="26">
        <f>股权价值增加表!CD42</f>
        <v>0</v>
      </c>
      <c r="CE2" s="26">
        <f>股权价值增加表!CE42</f>
        <v>-20081000</v>
      </c>
      <c r="CF2" s="26">
        <f>股权价值增加表!CF42</f>
        <v>-14354563.84</v>
      </c>
      <c r="CG2" s="26">
        <f>股权价值增加表!CG42</f>
        <v>-4330000</v>
      </c>
      <c r="CH2" s="26">
        <f>股权价值增加表!CH42</f>
        <v>-4220000</v>
      </c>
      <c r="CI2" s="26">
        <f>股权价值增加表!CI42</f>
        <v>-12510000</v>
      </c>
      <c r="CJ2" s="26">
        <f>股权价值增加表!CJ42</f>
        <v>-3630000</v>
      </c>
      <c r="CK2" s="26">
        <f>股权价值增加表!CK42</f>
        <v>0</v>
      </c>
    </row>
    <row r="3" spans="1:89" s="26" customFormat="1" x14ac:dyDescent="0.25">
      <c r="A3" s="17" t="s">
        <v>429</v>
      </c>
      <c r="E3" s="26">
        <f>资产资本表!E107</f>
        <v>854070000000</v>
      </c>
      <c r="F3" s="26">
        <f>资产资本表!F107</f>
        <v>845425000000</v>
      </c>
      <c r="G3" s="26">
        <f>资产资本表!G107</f>
        <v>845826000000</v>
      </c>
      <c r="H3" s="26">
        <f>资产资本表!H107</f>
        <v>853607000000</v>
      </c>
      <c r="I3" s="26">
        <f>资产资本表!I107</f>
        <v>832525000000</v>
      </c>
      <c r="J3" s="26">
        <f>资产资本表!J107</f>
        <v>813502000000</v>
      </c>
      <c r="K3" s="26">
        <f>资产资本表!K107</f>
        <v>809983000000</v>
      </c>
      <c r="L3" s="26">
        <f>资产资本表!L107</f>
        <v>796505000000</v>
      </c>
      <c r="M3" s="26">
        <f>资产资本表!M107</f>
        <v>785623000000</v>
      </c>
      <c r="N3" s="26">
        <f>资产资本表!N107</f>
        <v>785521000000</v>
      </c>
      <c r="O3" s="26">
        <f>资产资本表!O107</f>
        <v>788418000000</v>
      </c>
      <c r="P3" s="26">
        <f>资产资本表!P107</f>
        <v>774054000000</v>
      </c>
      <c r="Q3" s="26">
        <f>资产资本表!Q107</f>
        <v>647095000000</v>
      </c>
      <c r="R3" s="26">
        <f>资产资本表!R107</f>
        <v>650980000000</v>
      </c>
      <c r="S3" s="26">
        <f>资产资本表!S107</f>
        <v>643121000000</v>
      </c>
      <c r="T3" s="26">
        <f>资产资本表!T107</f>
        <v>641059000000</v>
      </c>
      <c r="U3" s="26">
        <f>资产资本表!U107</f>
        <v>623260000000</v>
      </c>
      <c r="V3" s="26">
        <f>资产资本表!V107</f>
        <v>599936000000</v>
      </c>
      <c r="W3" s="26">
        <f>资产资本表!W107</f>
        <v>587377000000</v>
      </c>
      <c r="X3" s="26">
        <f>资产资本表!X107</f>
        <v>588013000000</v>
      </c>
      <c r="Y3" s="26">
        <f>资产资本表!Y107</f>
        <v>550601000000</v>
      </c>
      <c r="Z3" s="26">
        <f>资产资本表!Z107</f>
        <v>530222000000</v>
      </c>
      <c r="AA3" s="26">
        <f>资产资本表!AA107</f>
        <v>519221000000</v>
      </c>
      <c r="AB3" s="26">
        <f>资产资本表!AB107</f>
        <v>525457000000</v>
      </c>
      <c r="AC3" s="26">
        <f>资产资本表!AC107</f>
        <v>509525000000</v>
      </c>
      <c r="AD3" s="26">
        <f>资产资本表!AD107</f>
        <v>500873000000</v>
      </c>
      <c r="AE3" s="26">
        <f>资产资本表!AE107</f>
        <v>488615000000</v>
      </c>
      <c r="AF3" s="26">
        <f>资产资本表!AF107</f>
        <v>478854000000</v>
      </c>
      <c r="AG3" s="26">
        <f>资产资本表!AG107</f>
        <v>452682000000</v>
      </c>
      <c r="AH3" s="26">
        <f>资产资本表!AH107</f>
        <v>436002000000</v>
      </c>
      <c r="AI3" s="26">
        <f>资产资本表!AI107</f>
        <v>427883000000</v>
      </c>
      <c r="AJ3" s="26">
        <f>资产资本表!AJ107</f>
        <v>416953000000</v>
      </c>
      <c r="AK3" s="26">
        <f>资产资本表!AK107</f>
        <v>400585000000</v>
      </c>
      <c r="AL3" s="26">
        <f>资产资本表!AL107</f>
        <v>387750000000</v>
      </c>
      <c r="AM3" s="26">
        <f>资产资本表!AM107</f>
        <v>376760000000</v>
      </c>
      <c r="AN3" s="26">
        <f>资产资本表!AN107</f>
        <v>362880000000</v>
      </c>
      <c r="AO3" s="26">
        <f>资产资本表!AO107</f>
        <v>350946000000</v>
      </c>
      <c r="AP3" s="26">
        <f>资产资本表!AP107</f>
        <v>334316000000</v>
      </c>
      <c r="AQ3" s="26">
        <f>资产资本表!AQ107</f>
        <v>331299000000</v>
      </c>
      <c r="AR3" s="26">
        <f>资产资本表!AR107</f>
        <v>340332000000</v>
      </c>
      <c r="AS3" s="26">
        <f>资产资本表!AS107</f>
        <v>326347000000</v>
      </c>
      <c r="AT3" s="26">
        <f>资产资本表!AT107</f>
        <v>317110000000</v>
      </c>
      <c r="AU3" s="26">
        <f>资产资本表!AU107</f>
        <v>307023000000</v>
      </c>
      <c r="AV3" s="26">
        <f>资产资本表!AV107</f>
        <v>300191000000</v>
      </c>
      <c r="AW3" s="26">
        <f>资产资本表!AW107</f>
        <v>276860000000</v>
      </c>
      <c r="AX3" s="26">
        <f>资产资本表!AX107</f>
        <v>257109000000</v>
      </c>
      <c r="AY3" s="26">
        <f>资产资本表!AY107</f>
        <v>248628000000</v>
      </c>
      <c r="AZ3" s="26">
        <f>资产资本表!AZ107</f>
        <v>254206000000</v>
      </c>
      <c r="BA3" s="26">
        <f>资产资本表!BA107</f>
        <v>245006000000</v>
      </c>
      <c r="BB3" s="26">
        <f>资产资本表!BB107</f>
        <v>231729000000</v>
      </c>
      <c r="BC3" s="26">
        <f>资产资本表!BC107</f>
        <v>226745000000</v>
      </c>
      <c r="BD3" s="26">
        <f>资产资本表!BD107</f>
        <v>228202000000</v>
      </c>
      <c r="BE3" s="26">
        <f>资产资本表!BE107</f>
        <v>217566000000</v>
      </c>
      <c r="BF3" s="26">
        <f>资产资本表!BF107</f>
        <v>207527000000</v>
      </c>
      <c r="BG3" s="26">
        <f>资产资本表!BG107</f>
        <v>200186000000</v>
      </c>
      <c r="BH3" s="26">
        <f>资产资本表!BH107</f>
        <v>197563000000</v>
      </c>
      <c r="BI3" s="26">
        <f>资产资本表!BI107</f>
        <v>189023000000</v>
      </c>
      <c r="BJ3" s="26">
        <f>资产资本表!BJ107</f>
        <v>183975000000</v>
      </c>
      <c r="BK3" s="26">
        <f>资产资本表!BK107</f>
        <v>180805000000</v>
      </c>
      <c r="BL3" s="26">
        <f>资产资本表!BL107</f>
        <v>177065000000</v>
      </c>
      <c r="BM3" s="26">
        <f>资产资本表!BM107</f>
        <v>175826000000</v>
      </c>
      <c r="BN3" s="26">
        <f>资产资本表!BN107</f>
        <v>170169000000</v>
      </c>
      <c r="BO3" s="26">
        <f>资产资本表!BO107</f>
        <v>165727000000</v>
      </c>
      <c r="BP3" s="26">
        <f>资产资本表!BP107</f>
        <v>162666000000</v>
      </c>
      <c r="BQ3" s="26">
        <f>资产资本表!BQ107</f>
        <v>162447000000</v>
      </c>
      <c r="BR3" s="26">
        <f>资产资本表!BR107</f>
        <v>151390000000</v>
      </c>
      <c r="BS3" s="26">
        <f>资产资本表!BS107</f>
        <v>144092000000</v>
      </c>
      <c r="BT3" s="26">
        <f>资产资本表!BT107</f>
        <v>0</v>
      </c>
      <c r="BU3" s="26">
        <f>资产资本表!BU107</f>
        <v>3191216198.9499998</v>
      </c>
      <c r="BV3" s="26">
        <f>资产资本表!BV107</f>
        <v>2850312166.9000001</v>
      </c>
      <c r="BW3" s="26">
        <f>资产资本表!BW107</f>
        <v>2420499366.4499998</v>
      </c>
      <c r="BX3" s="26">
        <f>资产资本表!BX107</f>
        <v>2089698452.7</v>
      </c>
      <c r="BY3" s="26">
        <f>资产资本表!BY107</f>
        <v>1764990217.6700001</v>
      </c>
      <c r="BZ3" s="26">
        <f>资产资本表!BZ107</f>
        <v>1864618529.46</v>
      </c>
      <c r="CA3" s="26">
        <f>资产资本表!CA107</f>
        <v>392384778.43000001</v>
      </c>
      <c r="CB3" s="26">
        <f>资产资本表!CB107</f>
        <v>264958379.21000001</v>
      </c>
      <c r="CC3" s="26">
        <f>资产资本表!CC107</f>
        <v>225967479.94999999</v>
      </c>
      <c r="CD3" s="26">
        <f>资产资本表!CD107</f>
        <v>0</v>
      </c>
      <c r="CE3" s="26">
        <f>资产资本表!CE107</f>
        <v>1079738000</v>
      </c>
      <c r="CF3" s="26">
        <f>资产资本表!CF107</f>
        <v>1004228352.76</v>
      </c>
      <c r="CG3" s="26">
        <f>资产资本表!CG107</f>
        <v>492689900.37</v>
      </c>
      <c r="CH3" s="26">
        <f>资产资本表!CH107</f>
        <v>203800000</v>
      </c>
      <c r="CI3" s="26">
        <f>资产资本表!CI107</f>
        <v>162870000</v>
      </c>
      <c r="CJ3" s="26">
        <f>资产资本表!CJ107</f>
        <v>92660000</v>
      </c>
      <c r="CK3" s="26">
        <f>资产资本表!CK107</f>
        <v>75420000</v>
      </c>
    </row>
    <row r="4" spans="1:89" s="59" customFormat="1" x14ac:dyDescent="0.25">
      <c r="A4" s="146" t="s">
        <v>430</v>
      </c>
      <c r="E4" s="59">
        <f>E2/E3</f>
        <v>8.6319622513377117E-2</v>
      </c>
      <c r="F4" s="59">
        <f t="shared" ref="F4:BQ4" si="0">F2/F3</f>
        <v>6.2617022340243078E-2</v>
      </c>
      <c r="G4" s="59">
        <f t="shared" si="0"/>
        <v>4.519605629171957E-2</v>
      </c>
      <c r="H4" s="59">
        <f t="shared" si="0"/>
        <v>2.7012428843718479E-2</v>
      </c>
      <c r="I4" s="59">
        <f t="shared" si="0"/>
        <v>9.0964235308249E-2</v>
      </c>
      <c r="J4" s="59">
        <f t="shared" si="0"/>
        <v>6.0823452185735254E-2</v>
      </c>
      <c r="K4" s="59">
        <f t="shared" si="0"/>
        <v>4.1891002650672915E-2</v>
      </c>
      <c r="L4" s="59">
        <f t="shared" si="0"/>
        <v>1.5820365220557311E-2</v>
      </c>
      <c r="M4" s="59">
        <f t="shared" si="0"/>
        <v>6.3923790418559542E-2</v>
      </c>
      <c r="N4" s="59">
        <f t="shared" si="0"/>
        <v>6.0599271057043672E-2</v>
      </c>
      <c r="O4" s="59">
        <f t="shared" si="0"/>
        <v>4.8106461293374835E-2</v>
      </c>
      <c r="P4" s="59">
        <f t="shared" si="0"/>
        <v>9.6491976012009501E-3</v>
      </c>
      <c r="Q4" s="59">
        <f t="shared" si="0"/>
        <v>7.903785379271977E-2</v>
      </c>
      <c r="R4" s="59">
        <f t="shared" si="0"/>
        <v>9.3078128360318285E-2</v>
      </c>
      <c r="S4" s="59">
        <f t="shared" si="0"/>
        <v>6.1319720550254149E-2</v>
      </c>
      <c r="T4" s="59">
        <f t="shared" si="0"/>
        <v>2.7279860356067071E-2</v>
      </c>
      <c r="U4" s="59">
        <f t="shared" si="0"/>
        <v>0.14195520328594807</v>
      </c>
      <c r="V4" s="59">
        <f t="shared" si="0"/>
        <v>0.10722810433112866</v>
      </c>
      <c r="W4" s="59">
        <f t="shared" si="0"/>
        <v>6.7232799377571817E-2</v>
      </c>
      <c r="X4" s="59">
        <f t="shared" si="0"/>
        <v>3.4745830449326803E-2</v>
      </c>
      <c r="Y4" s="59">
        <f t="shared" si="0"/>
        <v>0.15047375504221749</v>
      </c>
      <c r="Z4" s="59">
        <f t="shared" si="0"/>
        <v>0.10555767206943506</v>
      </c>
      <c r="AA4" s="59">
        <f t="shared" si="0"/>
        <v>6.1524861282575241E-2</v>
      </c>
      <c r="AB4" s="59">
        <f t="shared" si="0"/>
        <v>3.475831514281854E-2</v>
      </c>
      <c r="AC4" s="59">
        <f t="shared" si="0"/>
        <v>0.17779304253962022</v>
      </c>
      <c r="AD4" s="59">
        <f t="shared" si="0"/>
        <v>0.14750645373178431</v>
      </c>
      <c r="AE4" s="59">
        <f t="shared" si="0"/>
        <v>9.9683800128935865E-2</v>
      </c>
      <c r="AF4" s="59">
        <f t="shared" si="0"/>
        <v>5.3538239212787199E-2</v>
      </c>
      <c r="AG4" s="59">
        <f t="shared" si="0"/>
        <v>0.19028810511573246</v>
      </c>
      <c r="AH4" s="59">
        <f t="shared" si="0"/>
        <v>0.15621946688317945</v>
      </c>
      <c r="AI4" s="59">
        <f t="shared" si="0"/>
        <v>9.945943166706786E-2</v>
      </c>
      <c r="AJ4" s="59">
        <f t="shared" si="0"/>
        <v>4.6623960014677911E-2</v>
      </c>
      <c r="AK4" s="59">
        <f t="shared" si="0"/>
        <v>0.18698403584757292</v>
      </c>
      <c r="AL4" s="59">
        <f t="shared" si="0"/>
        <v>0.14970470664087684</v>
      </c>
      <c r="AM4" s="59">
        <f t="shared" si="0"/>
        <v>0.10520755918887355</v>
      </c>
      <c r="AN4" s="59">
        <f t="shared" si="0"/>
        <v>3.8255070546737213E-2</v>
      </c>
      <c r="AO4" s="59">
        <f t="shared" si="0"/>
        <v>9.5373647227778635E-2</v>
      </c>
      <c r="AP4" s="59">
        <f t="shared" si="0"/>
        <v>6.7837016475430431E-2</v>
      </c>
      <c r="AQ4" s="59">
        <f t="shared" si="0"/>
        <v>4.2689534227389761E-2</v>
      </c>
      <c r="AR4" s="59">
        <f t="shared" si="0"/>
        <v>2.6732719814769108E-2</v>
      </c>
      <c r="AS4" s="59">
        <f t="shared" si="0"/>
        <v>0.20915773700999243</v>
      </c>
      <c r="AT4" s="59">
        <f t="shared" si="0"/>
        <v>0.18466778089621899</v>
      </c>
      <c r="AU4" s="59">
        <f t="shared" si="0"/>
        <v>0.13703859319985798</v>
      </c>
      <c r="AV4" s="59">
        <f t="shared" si="0"/>
        <v>5.7906466216508821E-2</v>
      </c>
      <c r="AW4" s="59">
        <f t="shared" si="0"/>
        <v>0.19051867369789785</v>
      </c>
      <c r="AX4" s="59">
        <f t="shared" si="0"/>
        <v>0.14675876768218926</v>
      </c>
      <c r="AY4" s="59">
        <f t="shared" si="0"/>
        <v>9.4301526778962946E-2</v>
      </c>
      <c r="AZ4" s="59">
        <f t="shared" si="0"/>
        <v>4.1088723318883108E-2</v>
      </c>
      <c r="BA4" s="59">
        <f t="shared" si="0"/>
        <v>0.1581022505571292</v>
      </c>
      <c r="BB4" s="59">
        <f t="shared" si="0"/>
        <v>0.14230847239663572</v>
      </c>
      <c r="BC4" s="59">
        <f t="shared" si="0"/>
        <v>0.10216763324439349</v>
      </c>
      <c r="BD4" s="59">
        <f t="shared" si="0"/>
        <v>5.0459680458541115E-2</v>
      </c>
      <c r="BE4" s="59">
        <f t="shared" si="0"/>
        <v>0.19657942877103959</v>
      </c>
      <c r="BF4" s="59">
        <f t="shared" si="0"/>
        <v>0.14804820577563402</v>
      </c>
      <c r="BG4" s="59">
        <f t="shared" si="0"/>
        <v>9.3927647288022137E-2</v>
      </c>
      <c r="BH4" s="59">
        <f t="shared" si="0"/>
        <v>4.9649985068054243E-2</v>
      </c>
      <c r="BI4" s="59">
        <f t="shared" si="0"/>
        <v>0.13718436380757898</v>
      </c>
      <c r="BJ4" s="59">
        <f t="shared" si="0"/>
        <v>0.10532952846854192</v>
      </c>
      <c r="BK4" s="59">
        <f t="shared" si="0"/>
        <v>7.0379690827134203E-2</v>
      </c>
      <c r="BL4" s="59">
        <f t="shared" si="0"/>
        <v>4.1753028548838E-2</v>
      </c>
      <c r="BM4" s="59">
        <f t="shared" si="0"/>
        <v>0.10622433542251999</v>
      </c>
      <c r="BN4" s="59">
        <f t="shared" si="0"/>
        <v>7.1211560272435054E-2</v>
      </c>
      <c r="BO4" s="59">
        <f t="shared" si="0"/>
        <v>3.8340161832411131E-2</v>
      </c>
      <c r="BP4" s="59">
        <f t="shared" si="0"/>
        <v>5.4959241636236217E-3</v>
      </c>
      <c r="BQ4" s="59">
        <f t="shared" si="0"/>
        <v>0.10341218982191115</v>
      </c>
      <c r="BR4" s="59">
        <f t="shared" ref="BR4:CJ4" si="1">BR2/BR3</f>
        <v>6.8577845300217974E-2</v>
      </c>
      <c r="BS4" s="59">
        <f t="shared" si="1"/>
        <v>0.13767592926741248</v>
      </c>
      <c r="BT4" s="59" t="e">
        <f t="shared" si="1"/>
        <v>#DIV/0!</v>
      </c>
      <c r="BU4" s="59">
        <f t="shared" si="1"/>
        <v>0.25538852562485675</v>
      </c>
      <c r="BV4" s="59">
        <f t="shared" si="1"/>
        <v>0</v>
      </c>
      <c r="BW4" s="59">
        <f t="shared" si="1"/>
        <v>-0.11912518667290314</v>
      </c>
      <c r="BX4" s="59">
        <f t="shared" si="1"/>
        <v>-2.7305636971819917E-2</v>
      </c>
      <c r="BY4" s="59">
        <f t="shared" si="1"/>
        <v>-0.12339266093922316</v>
      </c>
      <c r="BZ4" s="59">
        <f t="shared" si="1"/>
        <v>-2.1880368727117284E-2</v>
      </c>
      <c r="CA4" s="59">
        <f t="shared" si="1"/>
        <v>-0.45857349816157594</v>
      </c>
      <c r="CB4" s="59">
        <f t="shared" si="1"/>
        <v>-0.54454807845742792</v>
      </c>
      <c r="CC4" s="59">
        <f t="shared" si="1"/>
        <v>-0.52774240026214003</v>
      </c>
      <c r="CD4" s="59" t="e">
        <f t="shared" si="1"/>
        <v>#DIV/0!</v>
      </c>
      <c r="CE4" s="59">
        <f t="shared" si="1"/>
        <v>-1.8598030262897112E-2</v>
      </c>
      <c r="CF4" s="59">
        <f t="shared" si="1"/>
        <v>-1.4294123244527224E-2</v>
      </c>
      <c r="CG4" s="59">
        <f t="shared" si="1"/>
        <v>-8.7884894672049466E-3</v>
      </c>
      <c r="CH4" s="59">
        <f t="shared" si="1"/>
        <v>-2.0706575073601571E-2</v>
      </c>
      <c r="CI4" s="59">
        <f t="shared" si="1"/>
        <v>-7.6809725547983057E-2</v>
      </c>
      <c r="CJ4" s="59">
        <f t="shared" si="1"/>
        <v>-3.9175480250377724E-2</v>
      </c>
    </row>
    <row r="5" spans="1:89" s="26" customFormat="1" x14ac:dyDescent="0.25">
      <c r="A5" s="20" t="s">
        <v>426</v>
      </c>
      <c r="E5" s="26">
        <f>股权价值增加表!E47</f>
        <v>5397400000</v>
      </c>
      <c r="F5" s="26">
        <f>股权价值增加表!F47</f>
        <v>-14696003888</v>
      </c>
      <c r="G5" s="26">
        <f>股权价值增加表!G47</f>
        <v>-29438080491</v>
      </c>
      <c r="H5" s="26">
        <f>股权价值增加表!H47</f>
        <v>-45230561652</v>
      </c>
      <c r="I5" s="26">
        <f>股权价值增加表!I47</f>
        <v>9128000000</v>
      </c>
      <c r="J5" s="26">
        <f>股权价值增加表!J47</f>
        <v>-15600160000</v>
      </c>
      <c r="K5" s="26">
        <f>股权价值增加表!K47</f>
        <v>-30867640000</v>
      </c>
      <c r="L5" s="26">
        <f>股权价值增加表!L47</f>
        <v>-51119400000</v>
      </c>
      <c r="M5" s="26">
        <f>股权价值增加表!M47</f>
        <v>-12629840000</v>
      </c>
      <c r="N5" s="26">
        <f>股权价值增加表!N47</f>
        <v>-15239680000</v>
      </c>
      <c r="O5" s="26">
        <f>股权价值增加表!O47</f>
        <v>-25145440000</v>
      </c>
      <c r="P5" s="26">
        <f>股权价值增加表!P47</f>
        <v>-54455320000</v>
      </c>
      <c r="Q5" s="26">
        <f>股权价值增加表!Q47</f>
        <v>-622600000</v>
      </c>
      <c r="R5" s="26">
        <f>股权价值增加表!R47</f>
        <v>8513600000</v>
      </c>
      <c r="S5" s="26">
        <f>股权价值增加表!S47</f>
        <v>-12013680000</v>
      </c>
      <c r="T5" s="26">
        <f>股权价值增加表!T47</f>
        <v>-33796720000</v>
      </c>
      <c r="U5" s="26">
        <f>股权价值增加表!U47</f>
        <v>38614200000</v>
      </c>
      <c r="V5" s="26">
        <f>股权价值增加表!V47</f>
        <v>16335120000</v>
      </c>
      <c r="W5" s="26">
        <f>股权价值增加表!W47</f>
        <v>-7499160000</v>
      </c>
      <c r="X5" s="26">
        <f>股权价值增加表!X47</f>
        <v>-26610040000</v>
      </c>
      <c r="Y5" s="26">
        <f>股权价值增加表!Y47</f>
        <v>38802920000</v>
      </c>
      <c r="Z5" s="26">
        <f>股权价值增加表!Z47</f>
        <v>13551240000</v>
      </c>
      <c r="AA5" s="26">
        <f>股权价值增加表!AA47</f>
        <v>-9592680000</v>
      </c>
      <c r="AB5" s="26">
        <f>股权价值增加表!AB47</f>
        <v>-23772560000</v>
      </c>
      <c r="AC5" s="26">
        <f>股权价值增加表!AC47</f>
        <v>49828000000</v>
      </c>
      <c r="AD5" s="26">
        <f>股权价值增加表!AD47</f>
        <v>33812160000</v>
      </c>
      <c r="AE5" s="26">
        <f>股权价值增加表!AE47</f>
        <v>9617800000</v>
      </c>
      <c r="AF5" s="26">
        <f>股权价值增加表!AF47</f>
        <v>-12671320000</v>
      </c>
      <c r="AG5" s="26">
        <f>股权价值增加表!AG47</f>
        <v>49925440000</v>
      </c>
      <c r="AH5" s="26">
        <f>股权价值增加表!AH47</f>
        <v>33231840000</v>
      </c>
      <c r="AI5" s="26">
        <f>股权价值增加表!AI47</f>
        <v>8326360000</v>
      </c>
      <c r="AJ5" s="26">
        <f>股权价值增加表!AJ47</f>
        <v>-13916240000</v>
      </c>
      <c r="AK5" s="26">
        <f>股权价值增加表!AK47</f>
        <v>42856200000</v>
      </c>
      <c r="AL5" s="26">
        <f>股权价值增加表!AL47</f>
        <v>27028000000</v>
      </c>
      <c r="AM5" s="26">
        <f>股权价值增加表!AM47</f>
        <v>9497200000</v>
      </c>
      <c r="AN5" s="26">
        <f>股权价值增加表!AN47</f>
        <v>-15148400000</v>
      </c>
      <c r="AO5" s="26">
        <f>股权价值增加表!AO47</f>
        <v>5395320000</v>
      </c>
      <c r="AP5" s="26">
        <f>股权价值增加表!AP47</f>
        <v>-4066280000</v>
      </c>
      <c r="AQ5" s="26">
        <f>股权价值增加表!AQ47</f>
        <v>-12360920000</v>
      </c>
      <c r="AR5" s="26">
        <f>股权价值增加表!AR47</f>
        <v>-18128560000</v>
      </c>
      <c r="AS5" s="26">
        <f>股权价值增加表!AS47</f>
        <v>42150240000</v>
      </c>
      <c r="AT5" s="26">
        <f>股权价值增加表!AT47</f>
        <v>33191200000</v>
      </c>
      <c r="AU5" s="26">
        <f>股权价值增加表!AU47</f>
        <v>17512160000</v>
      </c>
      <c r="AV5" s="26">
        <f>股权价值增加表!AV47</f>
        <v>-6632280000</v>
      </c>
      <c r="AW5" s="26">
        <f>股权价值增加表!AW47</f>
        <v>30598200000</v>
      </c>
      <c r="AX5" s="26">
        <f>股权价值增加表!AX47</f>
        <v>17164280000</v>
      </c>
      <c r="AY5" s="26">
        <f>股权价值增加表!AY47</f>
        <v>3555760000</v>
      </c>
      <c r="AZ5" s="26">
        <f>股权价值增加表!AZ47</f>
        <v>-9891480000</v>
      </c>
      <c r="BA5" s="26">
        <f>股权价值增加表!BA47</f>
        <v>19135520000</v>
      </c>
      <c r="BB5" s="26">
        <f>股权价值增加表!BB47</f>
        <v>14438680000</v>
      </c>
      <c r="BC5" s="26">
        <f>股权价值增加表!BC47</f>
        <v>5026400000</v>
      </c>
      <c r="BD5" s="26">
        <f>股权价值增加表!BD47</f>
        <v>-6741160000</v>
      </c>
      <c r="BE5" s="26">
        <f>股权价值增加表!BE47</f>
        <v>25363720000</v>
      </c>
      <c r="BF5" s="26">
        <f>股权价值增加表!BF47</f>
        <v>14121840000</v>
      </c>
      <c r="BG5" s="26">
        <f>股权价值增加表!BG47</f>
        <v>2788120000</v>
      </c>
      <c r="BH5" s="26">
        <f>股权价值增加表!BH47</f>
        <v>-5996040000</v>
      </c>
      <c r="BI5" s="26">
        <f>股权价值增加表!BI47</f>
        <v>10809160000</v>
      </c>
      <c r="BJ5" s="26">
        <f>股权价值增加表!BJ47</f>
        <v>4660000000</v>
      </c>
      <c r="BK5" s="26">
        <f>股权价值增加表!BK47</f>
        <v>-1739400000</v>
      </c>
      <c r="BL5" s="26">
        <f>股权价值增加表!BL47</f>
        <v>-6772200000</v>
      </c>
      <c r="BM5" s="26">
        <f>股权价值增加表!BM47</f>
        <v>4610920000</v>
      </c>
      <c r="BN5" s="26">
        <f>股权价值增加表!BN47</f>
        <v>-1495520000</v>
      </c>
      <c r="BO5" s="26">
        <f>股权价值增加表!BO47</f>
        <v>-6904160000</v>
      </c>
      <c r="BP5" s="26">
        <f>股权价值增加表!BP47</f>
        <v>-12119280000</v>
      </c>
      <c r="BQ5" s="26">
        <f>股权价值增加表!BQ47</f>
        <v>3803240000</v>
      </c>
      <c r="BR5" s="26">
        <f>股权价值增加表!BR47</f>
        <v>-1729200000</v>
      </c>
      <c r="BS5" s="26">
        <f>股权价值增加表!BS47</f>
        <v>8310640000</v>
      </c>
      <c r="BT5" s="26">
        <f>股权价值增加表!BT47</f>
        <v>7792000000</v>
      </c>
      <c r="BU5" s="26">
        <f>股权价值增加表!BU47</f>
        <v>815000000</v>
      </c>
      <c r="BV5" s="26">
        <f>股权价值增加表!BV47</f>
        <v>0</v>
      </c>
      <c r="BW5" s="26">
        <f>股权价值增加表!BW47</f>
        <v>-481982388.18599999</v>
      </c>
      <c r="BX5" s="26">
        <f>股权价值增加表!BX47</f>
        <v>-224236423.546</v>
      </c>
      <c r="BY5" s="26">
        <f>股权价值增加表!BY47</f>
        <v>-358986056.90359998</v>
      </c>
      <c r="BZ5" s="26">
        <f>股权价值增加表!BZ47</f>
        <v>-189968023.31680003</v>
      </c>
      <c r="CA5" s="26">
        <f>股权价值增加表!CA47</f>
        <v>-211328042.74439999</v>
      </c>
      <c r="CB5" s="26">
        <f>股权价值增加表!CB47</f>
        <v>-165479246.60680002</v>
      </c>
      <c r="CC5" s="26">
        <f>股权价值增加表!CC47</f>
        <v>-137330018.646</v>
      </c>
      <c r="CD5" s="26">
        <f>股权价值增加表!CD47</f>
        <v>0</v>
      </c>
      <c r="CE5" s="26">
        <f>股权价值增加表!CE47</f>
        <v>-106460040</v>
      </c>
      <c r="CF5" s="26">
        <f>股权价值增加表!CF47</f>
        <v>-94692832.060800001</v>
      </c>
      <c r="CG5" s="26">
        <f>股权价值增加表!CG47</f>
        <v>-43745192.029600002</v>
      </c>
      <c r="CH5" s="26">
        <f>股权价值增加表!CH47</f>
        <v>-4220000</v>
      </c>
      <c r="CI5" s="26">
        <f>股权价值增加表!CI47</f>
        <v>-12510000</v>
      </c>
      <c r="CJ5" s="26">
        <f>股权价值增加表!CJ47</f>
        <v>-3630000</v>
      </c>
      <c r="CK5" s="26">
        <f>股权价值增加表!CK47</f>
        <v>0</v>
      </c>
    </row>
    <row r="6" spans="1:89" s="158" customFormat="1" x14ac:dyDescent="0.25">
      <c r="A6" s="158" t="s">
        <v>437</v>
      </c>
      <c r="E6" s="158">
        <f>股权价值增加表!E31/股权价值增加表!E4</f>
        <v>4.1020374181263988E-2</v>
      </c>
      <c r="F6" s="158">
        <f>股权价值增加表!F31/股权价值增加表!F4</f>
        <v>3.8811333544991132E-2</v>
      </c>
      <c r="G6" s="158">
        <f>股权价值增加表!G31/股权价值增加表!G4</f>
        <v>4.1542705213507551E-2</v>
      </c>
      <c r="H6" s="158">
        <f>股权价值增加表!H31/股权价值增加表!H4</f>
        <v>5.1842653386810038E-2</v>
      </c>
      <c r="I6" s="158">
        <f>股权价值增加表!I31/股权价值增加表!I4</f>
        <v>5.5034126378688611E-2</v>
      </c>
      <c r="J6" s="158">
        <f>股权价值增加表!J31/股权价值增加表!J4</f>
        <v>4.8969716520827454E-2</v>
      </c>
      <c r="K6" s="158">
        <f>股权价值增加表!K31/股权价值增加表!K4</f>
        <v>5.2994699847592183E-2</v>
      </c>
      <c r="L6" s="158">
        <f>股权价值增加表!L31/股权价值增加表!L4</f>
        <v>4.2552985814060272E-2</v>
      </c>
      <c r="M6" s="158">
        <f>股权价值增加表!M31/股权价值增加表!M4</f>
        <v>3.7064059680526312E-2</v>
      </c>
      <c r="N6" s="158">
        <f>股权价值增加表!N31/股权价值增加表!N4</f>
        <v>4.2812607973389503E-2</v>
      </c>
      <c r="O6" s="158">
        <f>股权价值增加表!O31/股权价值增加表!O4</f>
        <v>4.8778213737141494E-2</v>
      </c>
      <c r="P6" s="158">
        <f>股权价值增加表!P31/股权价值增加表!P4</f>
        <v>2.2641304279641436E-2</v>
      </c>
      <c r="Q6" s="158">
        <f>股权价值增加表!Q31/股权价值增加表!Q4</f>
        <v>2.8349411907085637E-2</v>
      </c>
      <c r="R6" s="158">
        <f>股权价值增加表!R31/股权价值增加表!R4</f>
        <v>4.1006348882233715E-2</v>
      </c>
      <c r="S6" s="158">
        <f>股权价值增加表!S31/股权价值增加表!S4</f>
        <v>4.2681164336087166E-2</v>
      </c>
      <c r="T6" s="158">
        <f>股权价值增加表!T31/股权价值增加表!T4</f>
        <v>4.132810245450929E-2</v>
      </c>
      <c r="U6" s="158">
        <f>股权价值增加表!U31/股权价值增加表!U4</f>
        <v>4.2329456784354187E-2</v>
      </c>
      <c r="V6" s="158">
        <f>股权价值增加表!V31/股权价值增加表!V4</f>
        <v>4.200850123649251E-2</v>
      </c>
      <c r="W6" s="158">
        <f>股权价值增加表!W31/股权价值增加表!W4</f>
        <v>3.9039911138997942E-2</v>
      </c>
      <c r="X6" s="158">
        <f>股权价值增加表!X31/股权价值增加表!X4</f>
        <v>4.186057210550756E-2</v>
      </c>
      <c r="Y6" s="158">
        <f>股权价值增加表!Y31/股权价值增加表!Y4</f>
        <v>4.2217552121376359E-2</v>
      </c>
      <c r="Z6" s="158">
        <f>股权价值增加表!Z31/股权价值增加表!Z4</f>
        <v>4.0007092177565207E-2</v>
      </c>
      <c r="AA6" s="158">
        <f>股权价值增加表!AA31/股权价值增加表!AA4</f>
        <v>3.4727373612091939E-2</v>
      </c>
      <c r="AB6" s="158">
        <f>股权价值增加表!AB31/股权价值增加表!AB4</f>
        <v>3.7705272094911112E-2</v>
      </c>
      <c r="AC6" s="158">
        <f>股权价值增加表!AC31/股权价值增加表!AC4</f>
        <v>4.5301021717431937E-2</v>
      </c>
      <c r="AD6" s="158">
        <f>股权价值增加表!AD31/股权价值增加表!AD4</f>
        <v>5.2850458268403532E-2</v>
      </c>
      <c r="AE6" s="158">
        <f>股权价值增加表!AE31/股权价值增加表!AE4</f>
        <v>5.3302110158991688E-2</v>
      </c>
      <c r="AF6" s="158">
        <f>股权价值增加表!AF31/股权价值增加表!AF4</f>
        <v>5.9861558788265781E-2</v>
      </c>
      <c r="AG6" s="158">
        <f>股权价值增加表!AG31/股权价值增加表!AG4</f>
        <v>6.2190633196423553E-2</v>
      </c>
      <c r="AH6" s="158">
        <f>股权价值增加表!AH31/股权价值增加表!AH4</f>
        <v>6.4824582417474658E-2</v>
      </c>
      <c r="AI6" s="158">
        <f>股权价值增加表!AI31/股权价值增加表!AI4</f>
        <v>6.1109017076996508E-2</v>
      </c>
      <c r="AJ6" s="158">
        <f>股权价值增加表!AJ31/股权价值增加表!AJ4</f>
        <v>5.8262153447327644E-2</v>
      </c>
      <c r="AK6" s="158">
        <f>股权价值增加表!AK31/股权价值增加表!AK4</f>
        <v>7.3061859318450148E-2</v>
      </c>
      <c r="AL6" s="158">
        <f>股权价值增加表!AL31/股权价值增加表!AL4</f>
        <v>8.7151126870282328E-2</v>
      </c>
      <c r="AM6" s="158">
        <f>股权价值增加表!AM31/股权价值增加表!AM4</f>
        <v>9.8566546509994857E-2</v>
      </c>
      <c r="AN6" s="158">
        <f>股权价值增加表!AN31/股权价值增加表!AN4</f>
        <v>8.4051884419362594E-2</v>
      </c>
      <c r="AO6" s="158">
        <f>股权价值增加表!AO31/股权价值增加表!AO4</f>
        <v>2.8063474923576252E-2</v>
      </c>
      <c r="AP6" s="158">
        <f>股权价值增加表!AP31/股权价值增加表!AP4</f>
        <v>2.7944120474430383E-2</v>
      </c>
      <c r="AQ6" s="158">
        <f>股权价值增加表!AQ31/股权价值增加表!AQ4</f>
        <v>2.4363655664325384E-2</v>
      </c>
      <c r="AR6" s="158">
        <f>股权价值增加表!AR31/股权价值增加表!AR4</f>
        <v>3.0279208457576579E-2</v>
      </c>
      <c r="AS6" s="158">
        <f>股权价值增加表!AS31/股权价值增加表!AS4</f>
        <v>8.2090363640739919E-2</v>
      </c>
      <c r="AT6" s="158">
        <f>股权价值增加表!AT31/股权价值增加表!AT4</f>
        <v>9.6846728472220631E-2</v>
      </c>
      <c r="AU6" s="158">
        <f>股权价值增加表!AU31/股权价值增加表!AU4</f>
        <v>0.10739904380502091</v>
      </c>
      <c r="AV6" s="158">
        <f>股权价值增加表!AV31/股权价值增加表!AV4</f>
        <v>9.7569642883310617E-2</v>
      </c>
      <c r="AW6" s="158">
        <f>股权价值增加表!AW31/股权价值增加表!AW4</f>
        <v>7.8495738474543331E-2</v>
      </c>
      <c r="AX6" s="158">
        <f>股权价值增加表!AX31/股权价值增加表!AX4</f>
        <v>7.7194826930996177E-2</v>
      </c>
      <c r="AY6" s="158">
        <f>股权价值增加表!AY31/股权价值增加表!AY4</f>
        <v>7.6624314298281287E-2</v>
      </c>
      <c r="AZ6" s="158">
        <f>股权价值增加表!AZ31/股权价值增加表!AZ4</f>
        <v>7.2775360464124222E-2</v>
      </c>
      <c r="BA6" s="158">
        <f>股权价值增加表!BA31/股权价值增加表!BA4</f>
        <v>7.8718332154946405E-2</v>
      </c>
      <c r="BB6" s="158">
        <f>股权价值增加表!BB31/股权价值增加表!BB4</f>
        <v>8.6344650687186955E-2</v>
      </c>
      <c r="BC6" s="158">
        <f>股权价值增加表!BC31/股权价值增加表!BC4</f>
        <v>9.7943481940052549E-2</v>
      </c>
      <c r="BD6" s="158">
        <f>股权价值增加表!BD31/股权价值增加表!BD4</f>
        <v>0.10362044486512068</v>
      </c>
      <c r="BE6" s="158">
        <f>股权价值增加表!BE31/股权价值增加表!BE4</f>
        <v>0.10693629874439584</v>
      </c>
      <c r="BF6" s="158">
        <f>股权价值增加表!BF31/股权价值增加表!BF4</f>
        <v>0.10821532457893918</v>
      </c>
      <c r="BG6" s="158">
        <f>股权价值增加表!BG31/股权价值增加表!BG4</f>
        <v>0.10557037962583127</v>
      </c>
      <c r="BH6" s="158">
        <f>股权价值增加表!BH31/股权价值增加表!BH4</f>
        <v>0.11682727346343834</v>
      </c>
      <c r="BI6" s="158">
        <f>股权价值增加表!BI31/股权价值增加表!BI4</f>
        <v>9.4491491906584749E-2</v>
      </c>
      <c r="BJ6" s="158">
        <f>股权价值增加表!BJ31/股权价值增加表!BJ4</f>
        <v>9.8974928657429267E-2</v>
      </c>
      <c r="BK6" s="158">
        <f>股权价值增加表!BK31/股权价值增加表!BK4</f>
        <v>0.10121534371439422</v>
      </c>
      <c r="BL6" s="158">
        <f>股权价值增加表!BL31/股权价值增加表!BL4</f>
        <v>0.11519605355312174</v>
      </c>
      <c r="BM6" s="158">
        <f>股权价值增加表!BM31/股权价值增加表!BM4</f>
        <v>9.1963206080497489E-2</v>
      </c>
      <c r="BN6" s="158">
        <f>股权价值增加表!BN31/股权价值增加表!BN4</f>
        <v>8.942316619728273E-2</v>
      </c>
      <c r="BO6" s="158">
        <f>股权价值增加表!BO31/股权价值增加表!BO4</f>
        <v>7.8078334328867655E-2</v>
      </c>
      <c r="BP6" s="158">
        <f>股权价值增加表!BP31/股权价值增加表!BP4</f>
        <v>3.0605603619334867E-2</v>
      </c>
      <c r="BQ6" s="158">
        <f>股权价值增加表!BQ31/股权价值增加表!BQ4</f>
        <v>9.0314673711257218E-2</v>
      </c>
      <c r="BR6" s="158">
        <f>股权价值增加表!BR31/股权价值增加表!BR4</f>
        <v>0.1003655326421897</v>
      </c>
      <c r="BS6" s="158">
        <f>股权价值增加表!BS31/股权价值增加表!BS4</f>
        <v>0.1010584271611361</v>
      </c>
      <c r="BT6" s="158">
        <f>股权价值增加表!BT31/股权价值增加表!BT4</f>
        <v>7.3764212476249424E-2</v>
      </c>
      <c r="BU6" s="158">
        <f>股权价值增加表!BU31/股权价值增加表!BU4</f>
        <v>3.9927452423509618E-2</v>
      </c>
      <c r="BV6" s="158" t="e">
        <f>股权价值增加表!BV31/股权价值增加表!BV4</f>
        <v>#DIV/0!</v>
      </c>
      <c r="BW6" s="158" t="e">
        <f>股权价值增加表!BW31/股权价值增加表!BW4</f>
        <v>#DIV/0!</v>
      </c>
      <c r="BX6" s="158" t="e">
        <f>股权价值增加表!BX31/股权价值增加表!BX4</f>
        <v>#DIV/0!</v>
      </c>
      <c r="BY6" s="158" t="e">
        <f>股权价值增加表!BY31/股权价值增加表!BY4</f>
        <v>#DIV/0!</v>
      </c>
      <c r="BZ6" s="158" t="e">
        <f>股权价值增加表!BZ31/股权价值增加表!BZ4</f>
        <v>#DIV/0!</v>
      </c>
      <c r="CA6" s="158" t="e">
        <f>股权价值增加表!CA31/股权价值增加表!CA4</f>
        <v>#DIV/0!</v>
      </c>
      <c r="CB6" s="158" t="e">
        <f>股权价值增加表!CB31/股权价值增加表!CB4</f>
        <v>#DIV/0!</v>
      </c>
      <c r="CC6" s="158" t="e">
        <f>股权价值增加表!CC31/股权价值增加表!CC4</f>
        <v>#DIV/0!</v>
      </c>
      <c r="CD6" s="158" t="e">
        <f>股权价值增加表!CD31/股权价值增加表!CD4</f>
        <v>#DIV/0!</v>
      </c>
      <c r="CE6" s="158" t="e">
        <f>股权价值增加表!CE31/股权价值增加表!CE4</f>
        <v>#DIV/0!</v>
      </c>
      <c r="CF6" s="158" t="e">
        <f>股权价值增加表!CF31/股权价值增加表!CF4</f>
        <v>#DIV/0!</v>
      </c>
      <c r="CG6" s="158" t="e">
        <f>股权价值增加表!CG31/股权价值增加表!CG4</f>
        <v>#DIV/0!</v>
      </c>
      <c r="CH6" s="158" t="e">
        <f>股权价值增加表!CH31/股权价值增加表!CH4</f>
        <v>#DIV/0!</v>
      </c>
      <c r="CI6" s="158" t="e">
        <f>股权价值增加表!CI31/股权价值增加表!CI4</f>
        <v>#DIV/0!</v>
      </c>
      <c r="CJ6" s="158" t="e">
        <f>股权价值增加表!CJ31/股权价值增加表!CJ4</f>
        <v>#DIV/0!</v>
      </c>
    </row>
    <row r="7" spans="1:89" s="61" customFormat="1" x14ac:dyDescent="0.25">
      <c r="A7" s="243" t="s">
        <v>431</v>
      </c>
      <c r="E7" s="61">
        <f>股权价值增加表!E4/资产资本表!E70</f>
        <v>2.1498965674606971</v>
      </c>
      <c r="F7" s="61">
        <f>股权价值增加表!F4/资产资本表!F70</f>
        <v>1.6004400635790064</v>
      </c>
      <c r="G7" s="61">
        <f>股权价值增加表!G4/资产资本表!G70</f>
        <v>1.0513862472798567</v>
      </c>
      <c r="H7" s="61">
        <f>股权价值增加表!H4/资产资本表!H70</f>
        <v>0.52999482008205934</v>
      </c>
      <c r="I7" s="61">
        <f>股权价值增加表!I4/资产资本表!I70</f>
        <v>1.7866381803024007</v>
      </c>
      <c r="J7" s="61">
        <f>股权价值增加表!J4/资产资本表!J70</f>
        <v>1.2755136393816688</v>
      </c>
      <c r="K7" s="61">
        <f>股权价值增加表!K4/资产资本表!K70</f>
        <v>0.81073330413333644</v>
      </c>
      <c r="L7" s="61">
        <f>股权价值增加表!L4/资产资本表!L70</f>
        <v>0.38003107917474871</v>
      </c>
      <c r="M7" s="61">
        <f>股权价值增加表!M4/资产资本表!M70</f>
        <v>1.855191989958042</v>
      </c>
      <c r="N7" s="61">
        <f>股权价值增加表!N4/资产资本表!N70</f>
        <v>1.4201254130536027</v>
      </c>
      <c r="O7" s="61">
        <f>股权价值增加表!O4/资产资本表!O70</f>
        <v>0.93844584300393019</v>
      </c>
      <c r="P7" s="61">
        <f>股权价值增加表!P4/资产资本表!P70</f>
        <v>0.42754524957669321</v>
      </c>
      <c r="Q7" s="61">
        <f>股权价值增加表!Q4/资产资本表!Q70</f>
        <v>2.7763042198947017</v>
      </c>
      <c r="R7" s="61">
        <f>股权价值增加表!R4/资产资本表!R70</f>
        <v>2.0559454014862411</v>
      </c>
      <c r="S7" s="61">
        <f>股权价值增加表!S4/资产资本表!S70</f>
        <v>1.3358707718797436</v>
      </c>
      <c r="T7" s="61">
        <f>股权价值增加表!T4/资产资本表!T70</f>
        <v>0.63016069926000484</v>
      </c>
      <c r="U7" s="61">
        <f>股权价值增加表!U4/资产资本表!U70</f>
        <v>2.9786450076371245</v>
      </c>
      <c r="V7" s="61">
        <f>股权价值增加表!V4/资产资本表!V70</f>
        <v>2.2445891941219043</v>
      </c>
      <c r="W7" s="61">
        <f>股权价值增加表!W4/资产资本表!W70</f>
        <v>1.5310578055881008</v>
      </c>
      <c r="X7" s="61">
        <f>股权价值增加表!X4/资产资本表!X70</f>
        <v>0.75296418940934884</v>
      </c>
      <c r="Y7" s="61">
        <f>股权价值增加表!Y4/资产资本表!Y70</f>
        <v>3.2619619927853964</v>
      </c>
      <c r="Z7" s="61">
        <f>股权价值增加表!Z4/资产资本表!Z70</f>
        <v>2.4353575397760898</v>
      </c>
      <c r="AA7" s="61">
        <f>股权价值增加表!AA4/资产资本表!AA70</f>
        <v>1.593070278063365</v>
      </c>
      <c r="AB7" s="61">
        <f>股权价值增加表!AB4/资产资本表!AB70</f>
        <v>0.79051264721327996</v>
      </c>
      <c r="AC7" s="61">
        <f>股权价值增加表!AC4/资产资本表!AC70</f>
        <v>3.2703922878935798</v>
      </c>
      <c r="AD7" s="61">
        <f>股权价值增加表!AD4/资产资本表!AD70</f>
        <v>2.4994761382994888</v>
      </c>
      <c r="AE7" s="61">
        <f>股权价值增加表!AE4/资产资本表!AE70</f>
        <v>1.6544215496887744</v>
      </c>
      <c r="AF7" s="61">
        <f>股权价值增加表!AF4/资产资本表!AF70</f>
        <v>0.80718574366004114</v>
      </c>
      <c r="AG7" s="61">
        <f>股权价值增加表!AG4/资产资本表!AG70</f>
        <v>2.8111341472553275</v>
      </c>
      <c r="AH7" s="61">
        <f>股权价值增加表!AH4/资产资本表!AH70</f>
        <v>2.1136209191355548</v>
      </c>
      <c r="AI7" s="61">
        <f>股权价值增加表!AI4/资产资本表!AI70</f>
        <v>1.3971073948652157</v>
      </c>
      <c r="AJ7" s="61">
        <f>股权价值增加表!AJ4/资产资本表!AJ70</f>
        <v>0.6686426466840919</v>
      </c>
      <c r="AK7" s="61">
        <f>股权价值增加表!AK4/资产资本表!AK70</f>
        <v>2.125976212115225</v>
      </c>
      <c r="AL7" s="61">
        <f>股权价值增加表!AL4/资产资本表!AL70</f>
        <v>1.4444302534811422</v>
      </c>
      <c r="AM7" s="61">
        <f>股权价值增加表!AM4/资产资本表!AM70</f>
        <v>0.89795564912091907</v>
      </c>
      <c r="AN7" s="61">
        <f>股权价值增加表!AN4/资产资本表!AN70</f>
        <v>0.40243342071488558</v>
      </c>
      <c r="AO7" s="61">
        <f>股权价值增加表!AO4/资产资本表!AO70</f>
        <v>2.4727134951042995</v>
      </c>
      <c r="AP7" s="61">
        <f>股权价值增加表!AP4/资产资本表!AP70</f>
        <v>1.8864369857045384</v>
      </c>
      <c r="AQ7" s="61">
        <f>股权价值增加表!AQ4/资产资本表!AQ70</f>
        <v>1.2996428906226509</v>
      </c>
      <c r="AR7" s="61">
        <f>股权价值增加表!AR4/资产资本表!AR70</f>
        <v>0.60183481582052811</v>
      </c>
      <c r="AS7" s="61">
        <f>股权价值增加表!AS4/资产资本表!AS70</f>
        <v>2.335795446834827</v>
      </c>
      <c r="AT7" s="61">
        <f>股权价值增加表!AT4/资产资本表!AT70</f>
        <v>1.8415755752175149</v>
      </c>
      <c r="AU7" s="61">
        <f>股权价值增加表!AU4/资产资本表!AU70</f>
        <v>1.190911898613968</v>
      </c>
      <c r="AV7" s="61">
        <f>股权价值增加表!AV4/资产资本表!AV70</f>
        <v>0.58721256671549993</v>
      </c>
      <c r="AW7" s="61">
        <f>股权价值增加表!AW4/资产资本表!AW70</f>
        <v>2.3239979976639411</v>
      </c>
      <c r="AX7" s="61">
        <f>股权价值增加表!AX4/资产资本表!AX70</f>
        <v>1.6933161434977579</v>
      </c>
      <c r="AY7" s="61">
        <f>股权价值增加表!AY4/资产资本表!AY70</f>
        <v>1.1023772602727193</v>
      </c>
      <c r="AZ7" s="61">
        <f>股权价值增加表!AZ4/资产资本表!AZ70</f>
        <v>0.53134267819862813</v>
      </c>
      <c r="BA7" s="61">
        <f>股权价值增加表!BA4/资产资本表!BA70</f>
        <v>2.016108889533637</v>
      </c>
      <c r="BB7" s="61">
        <f>股权价值增加表!BB4/资产资本表!BB70</f>
        <v>1.4719996326315063</v>
      </c>
      <c r="BC7" s="61">
        <f>股权价值增加表!BC4/资产资本表!BC70</f>
        <v>0.92804240731794896</v>
      </c>
      <c r="BD7" s="61">
        <f>股权价值增加表!BD4/资产资本表!BD70</f>
        <v>0.44598052924570614</v>
      </c>
      <c r="BE7" s="61">
        <f>股权价值增加表!BE4/资产资本表!BE70</f>
        <v>1.6444586749822505</v>
      </c>
      <c r="BF7" s="61">
        <f>股权价值增加表!BF4/资产资本表!BF70</f>
        <v>1.2377211671521404</v>
      </c>
      <c r="BG7" s="61">
        <f>股权价值增加表!BG4/资产资本表!BG70</f>
        <v>0.81168704216230747</v>
      </c>
      <c r="BH7" s="61">
        <f>股权价值增加表!BH4/资产资本表!BH70</f>
        <v>0.39061560944132701</v>
      </c>
      <c r="BI7" s="61">
        <f>股权价值增加表!BI4/资产资本表!BI70</f>
        <v>1.3917918539054082</v>
      </c>
      <c r="BJ7" s="61">
        <f>股权价值增加表!BJ4/资产资本表!BJ70</f>
        <v>1.0261186516455125</v>
      </c>
      <c r="BK7" s="61">
        <f>股权价值增加表!BK4/资产资本表!BK70</f>
        <v>0.65682318477091994</v>
      </c>
      <c r="BL7" s="61">
        <f>股权价值增加表!BL4/资产资本表!BL70</f>
        <v>0.33217907911418015</v>
      </c>
      <c r="BM7" s="61">
        <f>股权价值增加表!BM4/资产资本表!BM70</f>
        <v>1.1211814141693615</v>
      </c>
      <c r="BN7" s="61">
        <f>股权价值增加表!BN4/资产资本表!BN70</f>
        <v>0.79416793946735487</v>
      </c>
      <c r="BO7" s="61">
        <f>股权价值增加表!BO4/资产资本表!BO70</f>
        <v>0.48479207388332146</v>
      </c>
      <c r="BP7" s="61">
        <f>股权价值增加表!BP4/资产资本表!BP70</f>
        <v>0.21818792666918352</v>
      </c>
      <c r="BQ7" s="61">
        <f>股权价值增加表!BQ4/资产资本表!BQ70</f>
        <v>1.0556278159890951</v>
      </c>
      <c r="BR7" s="61">
        <f>股权价值增加表!BR4/资产资本表!BR70</f>
        <v>0.52810957893280452</v>
      </c>
      <c r="BS7" s="61">
        <f>股权价值增加表!BS4/资产资本表!BS70</f>
        <v>1.1579770220456405</v>
      </c>
      <c r="BT7" s="61" t="e">
        <f>股权价值增加表!BT4/资产资本表!BT70</f>
        <v>#DIV/0!</v>
      </c>
      <c r="BU7" s="61" t="e">
        <f>股权价值增加表!BU4/资产资本表!BU70</f>
        <v>#DIV/0!</v>
      </c>
      <c r="BV7" s="61" t="e">
        <f>股权价值增加表!BV4/资产资本表!BV70</f>
        <v>#DIV/0!</v>
      </c>
      <c r="BW7" s="61" t="e">
        <f>股权价值增加表!BW4/资产资本表!BW70</f>
        <v>#DIV/0!</v>
      </c>
      <c r="BX7" s="61" t="e">
        <f>股权价值增加表!BX4/资产资本表!BX70</f>
        <v>#DIV/0!</v>
      </c>
      <c r="BY7" s="61" t="e">
        <f>股权价值增加表!BY4/资产资本表!BY70</f>
        <v>#DIV/0!</v>
      </c>
      <c r="BZ7" s="61" t="e">
        <f>股权价值增加表!BZ4/资产资本表!BZ70</f>
        <v>#DIV/0!</v>
      </c>
      <c r="CA7" s="61" t="e">
        <f>股权价值增加表!CA4/资产资本表!CA70</f>
        <v>#DIV/0!</v>
      </c>
      <c r="CB7" s="61" t="e">
        <f>股权价值增加表!CB4/资产资本表!CB70</f>
        <v>#DIV/0!</v>
      </c>
      <c r="CC7" s="61" t="e">
        <f>股权价值增加表!CC4/资产资本表!CC70</f>
        <v>#DIV/0!</v>
      </c>
      <c r="CD7" s="61" t="e">
        <f>股权价值增加表!CD4/资产资本表!CD70</f>
        <v>#DIV/0!</v>
      </c>
      <c r="CE7" s="61" t="e">
        <f>股权价值增加表!CE4/资产资本表!CE70</f>
        <v>#DIV/0!</v>
      </c>
      <c r="CF7" s="61" t="e">
        <f>股权价值增加表!CF4/资产资本表!CF70</f>
        <v>#DIV/0!</v>
      </c>
      <c r="CG7" s="61" t="e">
        <f>股权价值增加表!CG4/资产资本表!CG70</f>
        <v>#DIV/0!</v>
      </c>
      <c r="CH7" s="61" t="e">
        <f>股权价值增加表!CH4/资产资本表!CH70</f>
        <v>#DIV/0!</v>
      </c>
      <c r="CI7" s="61" t="e">
        <f>股权价值增加表!CI4/资产资本表!CI70</f>
        <v>#DIV/0!</v>
      </c>
      <c r="CJ7" s="61" t="e">
        <f>股权价值增加表!CJ4/资产资本表!CJ70</f>
        <v>#DIV/0!</v>
      </c>
    </row>
    <row r="8" spans="1:89" s="63" customFormat="1" x14ac:dyDescent="0.25">
      <c r="A8" s="20" t="s">
        <v>438</v>
      </c>
      <c r="E8" s="63">
        <f>股权价值增加表!E31/资产资本表!E70</f>
        <v>8.8189561648252854E-2</v>
      </c>
      <c r="F8" s="63">
        <f>股权价值增加表!F31/资产资本表!F70</f>
        <v>6.2115213126331635E-2</v>
      </c>
      <c r="G8" s="63">
        <f>股权价值增加表!G31/资产资本表!G70</f>
        <v>4.3677428936283035E-2</v>
      </c>
      <c r="H8" s="63">
        <f>股权价值增加表!H31/资产资本表!H70</f>
        <v>2.7476337754318951E-2</v>
      </c>
      <c r="I8" s="63">
        <f>股权价值增加表!I31/资产资本表!I70</f>
        <v>9.8326071407752569E-2</v>
      </c>
      <c r="J8" s="63">
        <f>股权价值增加表!J31/资产资本表!J70</f>
        <v>6.2461541338969258E-2</v>
      </c>
      <c r="K8" s="63">
        <f>股权价值增加表!K31/资产资本表!K70</f>
        <v>4.296456810899283E-2</v>
      </c>
      <c r="L8" s="63">
        <f>股权价值增加表!L31/资产资本表!L70</f>
        <v>1.61714571210251E-2</v>
      </c>
      <c r="M8" s="63">
        <f>股权价值增加表!M31/资产资本表!M70</f>
        <v>6.8760946634639247E-2</v>
      </c>
      <c r="N8" s="63">
        <f>股权价值增加表!N31/资产资本表!N70</f>
        <v>6.0799272582111728E-2</v>
      </c>
      <c r="O8" s="63">
        <f>股权价值增加表!O31/资产资本表!O70</f>
        <v>4.5775711910777638E-2</v>
      </c>
      <c r="P8" s="63">
        <f>股权价值增加表!P31/资产资本表!P70</f>
        <v>9.6801820889811496E-3</v>
      </c>
      <c r="Q8" s="63">
        <f>股权价值增加表!Q31/资产资本表!Q70</f>
        <v>7.870659190917495E-2</v>
      </c>
      <c r="R8" s="63">
        <f>股权价值增加表!R31/资产资本表!R70</f>
        <v>8.4306814416168871E-2</v>
      </c>
      <c r="S8" s="63">
        <f>股权价值增加表!S31/资产资本表!S70</f>
        <v>5.7016519946374938E-2</v>
      </c>
      <c r="T8" s="63">
        <f>股权价值增加表!T31/资产资本表!T70</f>
        <v>2.6043345941822699E-2</v>
      </c>
      <c r="U8" s="63">
        <f>股权价值增加表!U31/资产资本表!U70</f>
        <v>0.12608442512670801</v>
      </c>
      <c r="V8" s="63">
        <f>股权价值增加表!V31/资产资本表!V70</f>
        <v>9.429182793668775E-2</v>
      </c>
      <c r="W8" s="63">
        <f>股权价值增加表!W31/资产资本表!W70</f>
        <v>5.9772360678828636E-2</v>
      </c>
      <c r="X8" s="63">
        <f>股权价值增加表!X31/资产资本表!X70</f>
        <v>3.1519511743635098E-2</v>
      </c>
      <c r="Y8" s="63">
        <f>股权价值增加表!Y31/资产资本表!Y70</f>
        <v>0.13771205044836618</v>
      </c>
      <c r="Z8" s="63">
        <f>股权价值增加表!Z31/资产资本表!Z70</f>
        <v>9.7431573579150443E-2</v>
      </c>
      <c r="AA8" s="63">
        <f>股权价值增加表!AA31/资产资本表!AA70</f>
        <v>5.532314673662566E-2</v>
      </c>
      <c r="AB8" s="63">
        <f>股权价值增加表!AB31/资产资本表!AB70</f>
        <v>2.9806494457645199E-2</v>
      </c>
      <c r="AC8" s="63">
        <f>股权价值增加表!AC31/资产资本表!AC70</f>
        <v>0.14815211205838899</v>
      </c>
      <c r="AD8" s="63">
        <f>股权价值增加表!AD31/资产资本表!AD70</f>
        <v>0.13209845934006756</v>
      </c>
      <c r="AE8" s="63">
        <f>股权价值增加表!AE31/资产资本表!AE70</f>
        <v>8.8184159690920805E-2</v>
      </c>
      <c r="AF8" s="63">
        <f>股权价值增加表!AF31/资产资本表!AF70</f>
        <v>4.8319396847155589E-2</v>
      </c>
      <c r="AG8" s="63">
        <f>股权价值增加表!AG31/资产资本表!AG70</f>
        <v>0.17482621261789696</v>
      </c>
      <c r="AH8" s="63">
        <f>股权价值增加表!AH31/资产资本表!AH70</f>
        <v>0.13701459347180131</v>
      </c>
      <c r="AI8" s="63">
        <f>股权价值增加表!AI31/资产资本表!AI70</f>
        <v>8.5375859651216565E-2</v>
      </c>
      <c r="AJ8" s="63">
        <f>股权价值增加表!AJ31/资产资本表!AJ70</f>
        <v>3.8956560482535846E-2</v>
      </c>
      <c r="AK8" s="63">
        <f>股权价值增加表!AK31/资产资本表!AK70</f>
        <v>0.1553277749239341</v>
      </c>
      <c r="AL8" s="63">
        <f>股权价值增加表!AL31/资产资本表!AL70</f>
        <v>0.12588372427640906</v>
      </c>
      <c r="AM8" s="63">
        <f>股权价值增加表!AM31/资产资本表!AM70</f>
        <v>8.8508387252989679E-2</v>
      </c>
      <c r="AN8" s="63">
        <f>股权价值增加表!AN31/资产资本表!AN70</f>
        <v>3.3825287364416284E-2</v>
      </c>
      <c r="AO8" s="63">
        <f>股权价值增加表!AO31/资产资本表!AO70</f>
        <v>6.9392933163048107E-2</v>
      </c>
      <c r="AP8" s="63">
        <f>股权价值增加表!AP31/资产资本表!AP70</f>
        <v>5.2714822395948935E-2</v>
      </c>
      <c r="AQ8" s="63">
        <f>股权价值增加表!AQ31/资产资本表!AQ70</f>
        <v>3.166405187371877E-2</v>
      </c>
      <c r="AR8" s="63">
        <f>股权价值增加表!AR31/资产资本表!AR70</f>
        <v>1.8223081845256978E-2</v>
      </c>
      <c r="AS8" s="63">
        <f>股权价值增加表!AS31/资产资本表!AS70</f>
        <v>0.19174629762105552</v>
      </c>
      <c r="AT8" s="63">
        <f>股权价值增加表!AT31/资产资本表!AT70</f>
        <v>0.17835056969416418</v>
      </c>
      <c r="AU8" s="63">
        <f>股权价值增加表!AU31/资产资本表!AU70</f>
        <v>0.12790279916716216</v>
      </c>
      <c r="AV8" s="63">
        <f>股权价值增加表!AV31/资产资本表!AV70</f>
        <v>5.729412043102354E-2</v>
      </c>
      <c r="AW8" s="63">
        <f>股权价值增加表!AW31/资产资本表!AW70</f>
        <v>0.1824239390399911</v>
      </c>
      <c r="AX8" s="63">
        <f>股权价值增加表!AX31/资产资本表!AX70</f>
        <v>0.13071524663677131</v>
      </c>
      <c r="AY8" s="63">
        <f>股权价值增加表!AY31/资产资本表!AY70</f>
        <v>8.4468901666415075E-2</v>
      </c>
      <c r="AZ8" s="63">
        <f>股权价值增加表!AZ31/资产资本表!AZ70</f>
        <v>3.8668654935878316E-2</v>
      </c>
      <c r="BA8" s="63">
        <f>股权价值增加表!BA31/资产资本表!BA70</f>
        <v>0.158704729226849</v>
      </c>
      <c r="BB8" s="63">
        <f>股权价值增加表!BB31/资产资本表!BB70</f>
        <v>0.12709929409123494</v>
      </c>
      <c r="BC8" s="63">
        <f>股权价值增加表!BC31/资产资本表!BC70</f>
        <v>9.089570476074843E-2</v>
      </c>
      <c r="BD8" s="63">
        <f>股权价值增加表!BD31/资产资本表!BD70</f>
        <v>4.6212700841622038E-2</v>
      </c>
      <c r="BE8" s="63">
        <f>股权价值增加表!BE31/资产资本表!BE70</f>
        <v>0.17585232414071528</v>
      </c>
      <c r="BF8" s="63">
        <f>股权价值增加表!BF31/资产资本表!BF70</f>
        <v>0.13394039784159231</v>
      </c>
      <c r="BG8" s="63">
        <f>股权价值增加表!BG31/资产资本表!BG70</f>
        <v>8.5690109178442914E-2</v>
      </c>
      <c r="BH8" s="63">
        <f>股权价值增加表!BH31/资产资本表!BH70</f>
        <v>4.5634556623289538E-2</v>
      </c>
      <c r="BI8" s="63">
        <f>股权价值增加表!BI31/资产资本表!BI70</f>
        <v>0.13151248869895346</v>
      </c>
      <c r="BJ8" s="63">
        <f>股权价值增加表!BJ31/资产资本表!BJ70</f>
        <v>0.10156002034067213</v>
      </c>
      <c r="BK8" s="63">
        <f>股权价值增加表!BK31/资产资本表!BK70</f>
        <v>6.648058440617173E-2</v>
      </c>
      <c r="BL8" s="63">
        <f>股权价值增加表!BL31/资产资本表!BL70</f>
        <v>3.8265718986863755E-2</v>
      </c>
      <c r="BM8" s="63">
        <f>股权价值增加表!BM31/资产资本表!BM70</f>
        <v>0.1031074374448806</v>
      </c>
      <c r="BN8" s="63">
        <f>股权价值增加表!BN31/资产资本表!BN70</f>
        <v>7.101701163954284E-2</v>
      </c>
      <c r="BO8" s="63">
        <f>股权价值增加表!BO31/资产资本表!BO70</f>
        <v>3.7851757624647077E-2</v>
      </c>
      <c r="BP8" s="63">
        <f>股权价值增加表!BP31/资产资本表!BP70</f>
        <v>6.6777731981615346E-3</v>
      </c>
      <c r="BQ8" s="63">
        <f>股权价值增加表!BQ31/资产资本表!BQ70</f>
        <v>9.5338681761582195E-2</v>
      </c>
      <c r="BR8" s="63">
        <f>股权价值增加表!BR31/资产资本表!BR70</f>
        <v>5.3003999183033453E-2</v>
      </c>
      <c r="BS8" s="63">
        <f>股权价值增加表!BS31/资产资本表!BS70</f>
        <v>0.11702333653666863</v>
      </c>
      <c r="BT8" s="63" t="e">
        <f>股权价值增加表!BT31/资产资本表!BT70</f>
        <v>#DIV/0!</v>
      </c>
      <c r="BU8" s="63" t="e">
        <f>股权价值增加表!BU31/资产资本表!BU70</f>
        <v>#DIV/0!</v>
      </c>
      <c r="BV8" s="63" t="e">
        <f>股权价值增加表!BV31/资产资本表!BV70</f>
        <v>#DIV/0!</v>
      </c>
      <c r="BW8" s="63" t="e">
        <f>股权价值增加表!BW31/资产资本表!BW70</f>
        <v>#DIV/0!</v>
      </c>
      <c r="BX8" s="63" t="e">
        <f>股权价值增加表!BX31/资产资本表!BX70</f>
        <v>#DIV/0!</v>
      </c>
      <c r="BY8" s="63" t="e">
        <f>股权价值增加表!BY31/资产资本表!BY70</f>
        <v>#DIV/0!</v>
      </c>
      <c r="BZ8" s="63" t="e">
        <f>股权价值增加表!BZ31/资产资本表!BZ70</f>
        <v>#DIV/0!</v>
      </c>
      <c r="CA8" s="63" t="e">
        <f>股权价值增加表!CA31/资产资本表!CA70</f>
        <v>#DIV/0!</v>
      </c>
      <c r="CB8" s="63" t="e">
        <f>股权价值增加表!CB31/资产资本表!CB70</f>
        <v>#DIV/0!</v>
      </c>
      <c r="CC8" s="63" t="e">
        <f>股权价值增加表!CC31/资产资本表!CC70</f>
        <v>#DIV/0!</v>
      </c>
      <c r="CD8" s="63" t="e">
        <f>股权价值增加表!CD31/资产资本表!CD70</f>
        <v>#DIV/0!</v>
      </c>
      <c r="CE8" s="63" t="e">
        <f>股权价值增加表!CE31/资产资本表!CE70</f>
        <v>#DIV/0!</v>
      </c>
      <c r="CF8" s="63" t="e">
        <f>股权价值增加表!CF31/资产资本表!CF70</f>
        <v>#DIV/0!</v>
      </c>
      <c r="CG8" s="63" t="e">
        <f>股权价值增加表!CG31/资产资本表!CG70</f>
        <v>#DIV/0!</v>
      </c>
      <c r="CH8" s="63" t="e">
        <f>股权价值增加表!CH31/资产资本表!CH70</f>
        <v>#DIV/0!</v>
      </c>
      <c r="CI8" s="63" t="e">
        <f>股权价值增加表!CI31/资产资本表!CI70</f>
        <v>#DIV/0!</v>
      </c>
      <c r="CJ8" s="63" t="e">
        <f>股权价值增加表!CJ31/资产资本表!CJ70</f>
        <v>#DIV/0!</v>
      </c>
    </row>
    <row r="9" spans="1:89" s="158" customFormat="1" x14ac:dyDescent="0.25">
      <c r="A9" s="158" t="s">
        <v>432</v>
      </c>
      <c r="E9" s="158">
        <f>股权价值增加表!E38/股权价值增加表!E31</f>
        <v>0.92961907122789622</v>
      </c>
      <c r="F9" s="158">
        <f>股权价值增加表!F38/股权价值增加表!F31</f>
        <v>0.97356869636822951</v>
      </c>
      <c r="G9" s="158">
        <f>股权价值增加表!G38/股权价值增加表!G31</f>
        <v>0.97338489631449121</v>
      </c>
      <c r="H9" s="158">
        <f>股权价值增加表!H38/股权价值增加表!H31</f>
        <v>0.97259901933117976</v>
      </c>
      <c r="I9" s="158">
        <f>股权价值增加表!I38/股权价值增加表!I31</f>
        <v>0.90750569326030905</v>
      </c>
      <c r="J9" s="158">
        <f>股权价值增加表!J38/股权价值增加表!J31</f>
        <v>0.91844831716373221</v>
      </c>
      <c r="K9" s="158">
        <f>股权价值增加表!K38/股权价值增加表!K31</f>
        <v>0.90805683135167614</v>
      </c>
      <c r="L9" s="158">
        <f>股权价值增加表!L38/股权价值增加表!L31</f>
        <v>0.89629713766469787</v>
      </c>
      <c r="M9" s="158">
        <f>股权价值增加表!M38/股权价值增加表!M31</f>
        <v>0.83969904313893196</v>
      </c>
      <c r="N9" s="158">
        <f>股权价值增加表!N38/股权价值增加表!N31</f>
        <v>0.8825156544470788</v>
      </c>
      <c r="O9" s="158">
        <f>股权价值增加表!O38/股权价值增加表!O31</f>
        <v>0.93802589315624574</v>
      </c>
      <c r="P9" s="158">
        <f>股权价值增加表!P38/股权价值增加表!P31</f>
        <v>0.77752124122644994</v>
      </c>
      <c r="Q9" s="158">
        <f>股权价值增加表!Q38/股权价值增加表!Q31</f>
        <v>0.85773844444721825</v>
      </c>
      <c r="R9" s="158">
        <f>股权价值增加表!R38/股权价值增加表!R31</f>
        <v>0.90157339634603195</v>
      </c>
      <c r="S9" s="158">
        <f>股权价值增加表!S38/股权价值增加表!S31</f>
        <v>0.88703073441252178</v>
      </c>
      <c r="T9" s="158">
        <f>股权价值增加表!T38/股权价值增加表!T31</f>
        <v>0.84192647391862308</v>
      </c>
      <c r="U9" s="158">
        <f>股权价值增加表!U38/股权价值增加表!U31</f>
        <v>0.93568018897327798</v>
      </c>
      <c r="V9" s="158">
        <f>股权价值增加表!V38/股权价值增加表!V31</f>
        <v>0.93922910061738696</v>
      </c>
      <c r="W9" s="158">
        <f>股权价值增加表!W38/股权价值增加表!W31</f>
        <v>0.94041736801143871</v>
      </c>
      <c r="X9" s="158">
        <f>股权价值增加表!X38/股权价值增加表!X31</f>
        <v>0.91376171995741318</v>
      </c>
      <c r="Y9" s="158">
        <f>股权价值增加表!Y38/股权价值增加表!Y31</f>
        <v>0.90585784730488017</v>
      </c>
      <c r="Z9" s="158">
        <f>股权价值增加表!Z38/股权价值增加表!Z31</f>
        <v>0.89773470773409048</v>
      </c>
      <c r="AA9" s="158">
        <f>股权价值增加表!AA38/股权价值增加表!AA31</f>
        <v>0.88181138523977354</v>
      </c>
      <c r="AB9" s="158">
        <f>股权价值增加表!AB38/股权价值增加表!AB31</f>
        <v>0.89677648731926995</v>
      </c>
      <c r="AC9" s="158">
        <f>股权价值增加表!AC38/股权价值增加表!AC31</f>
        <v>1.0251431591930227</v>
      </c>
      <c r="AD9" s="158">
        <f>股权价值增加表!AD38/股权价值增加表!AD31</f>
        <v>0.95009081735620582</v>
      </c>
      <c r="AE9" s="158">
        <f>股权价值增加表!AE38/股权价值增加表!AE31</f>
        <v>0.94696969696969702</v>
      </c>
      <c r="AF9" s="158">
        <f>股权价值增加表!AF38/股权价值增加表!AF31</f>
        <v>0.94683537121620476</v>
      </c>
      <c r="AG9" s="158">
        <f>股权价值增加表!AG38/股权价值增加表!AG31</f>
        <v>0.93690642282025849</v>
      </c>
      <c r="AH9" s="158">
        <f>股权价值增加表!AH38/股权价值增加表!AH31</f>
        <v>0.9428926468204657</v>
      </c>
      <c r="AI9" s="158">
        <f>股权价值增加表!AI38/股权价值增加表!AI31</f>
        <v>0.93623973440503228</v>
      </c>
      <c r="AJ9" s="158">
        <f>股权价值增加表!AJ38/股权价值增加表!AJ31</f>
        <v>0.94387215541890246</v>
      </c>
      <c r="AK9" s="158">
        <f>股权价值增加表!AK38/股权价值增加表!AK31</f>
        <v>0.92578760989905573</v>
      </c>
      <c r="AL9" s="158">
        <f>股权价值增加表!AL38/股权价值增加表!AL31</f>
        <v>0.92634688242470942</v>
      </c>
      <c r="AM9" s="158">
        <f>股权价值增加表!AM38/股权价值增加表!AM31</f>
        <v>0.92626859433478348</v>
      </c>
      <c r="AN9" s="158">
        <f>股权价值增加表!AN38/股权价值增加表!AN31</f>
        <v>0.88127830115026284</v>
      </c>
      <c r="AO9" s="158">
        <f>股权价值增加表!AO38/股权价值增加表!AO31</f>
        <v>0.77499938651812228</v>
      </c>
      <c r="AP9" s="158">
        <f>股权价值增加表!AP38/股权价值增加表!AP31</f>
        <v>0.79084926550853007</v>
      </c>
      <c r="AQ9" s="158">
        <f>股权价值增加表!AQ38/股权价值增加表!AQ31</f>
        <v>0.79566528879454812</v>
      </c>
      <c r="AR9" s="158">
        <f>股权价值增加表!AR38/股权价值增加表!AR31</f>
        <v>0.92390331244404655</v>
      </c>
      <c r="AS9" s="158">
        <f>股权价值增加表!AS38/股权价值增加表!AS31</f>
        <v>0.95055911673710392</v>
      </c>
      <c r="AT9" s="158">
        <f>股权价值增加表!AT38/股权价值增加表!AT31</f>
        <v>0.95177084070692053</v>
      </c>
      <c r="AU9" s="158">
        <f>股权价值增加表!AU38/股权价值增加表!AU31</f>
        <v>0.95571398064950641</v>
      </c>
      <c r="AV9" s="158">
        <f>股权价值增加表!AV38/股权价值增加表!AV31</f>
        <v>0.94529343295911084</v>
      </c>
      <c r="AW9" s="158">
        <f>股权价值增加表!AW38/股权价值增加表!AW31</f>
        <v>0.91793402036709559</v>
      </c>
      <c r="AX9" s="158">
        <f>股权价值增加表!AX38/股权价值增加表!AX31</f>
        <v>0.91034151529185747</v>
      </c>
      <c r="AY9" s="158">
        <f>股权价值增加表!AY38/股权价值增加表!AY31</f>
        <v>0.90463554640961763</v>
      </c>
      <c r="AZ9" s="158">
        <f>股权价值增加表!AZ38/股权价值增加表!AZ31</f>
        <v>0.90090701548713514</v>
      </c>
      <c r="BA9" s="158">
        <f>股权价值增加表!BA38/股权价值增加表!BA31</f>
        <v>0.91628646371512601</v>
      </c>
      <c r="BB9" s="158">
        <f>股权价值增加表!BB38/股权价值增加表!BB31</f>
        <v>0.92139702930549983</v>
      </c>
      <c r="BC9" s="158">
        <f>股权价值增加表!BC38/股权价值增加表!BC31</f>
        <v>0.91894503495708524</v>
      </c>
      <c r="BD9" s="158">
        <f>股权价值增加表!BD38/股权价值增加表!BD31</f>
        <v>0.92167161452386392</v>
      </c>
      <c r="BE9" s="158">
        <f>股权价值增加表!BE38/股权价值增加表!BE31</f>
        <v>0.93142811906269796</v>
      </c>
      <c r="BF9" s="158">
        <f>股权价值增加表!BF38/股权价值增加表!BF31</f>
        <v>0.93006791885135287</v>
      </c>
      <c r="BG9" s="158">
        <f>股权价值增加表!BG38/股权价值增加表!BG31</f>
        <v>0.9253502548928737</v>
      </c>
      <c r="BH9" s="158">
        <f>股权价值增加表!BH38/股权价值增加表!BH31</f>
        <v>0.91945657447840856</v>
      </c>
      <c r="BI9" s="158">
        <f>股权价值增加表!BI38/股权价值增加表!BI31</f>
        <v>0.89525887217472921</v>
      </c>
      <c r="BJ9" s="158">
        <f>股权价值增加表!BJ38/股权价值增加表!BJ31</f>
        <v>0.88624907587875534</v>
      </c>
      <c r="BK9" s="158">
        <f>股权价值增加表!BK38/股权价值增加表!BK31</f>
        <v>0.88671974037827694</v>
      </c>
      <c r="BL9" s="158">
        <f>股权价值增加表!BL38/股权价值增加表!BL31</f>
        <v>0.89708344347519609</v>
      </c>
      <c r="BM9" s="158">
        <f>股权价值增加表!BM38/股权价值增加表!BM31</f>
        <v>0.85486197296481403</v>
      </c>
      <c r="BN9" s="158">
        <f>股权价值增加表!BN38/股权价值增加表!BN31</f>
        <v>0.82156630080094928</v>
      </c>
      <c r="BO9" s="158">
        <f>股权价值增加表!BO38/股权价值增加表!BO31</f>
        <v>0.77668488160291438</v>
      </c>
      <c r="BP9" s="158">
        <f>股权价值增加表!BP38/股权价值增加表!BP31</f>
        <v>0.48184647302904565</v>
      </c>
      <c r="BQ9" s="158">
        <f>股权价值增加表!BQ38/股权价值增加表!BQ31</f>
        <v>0.86917451886346275</v>
      </c>
      <c r="BR9" s="158">
        <f>股权价值增加表!BR38/股权价值增加表!BR31</f>
        <v>0.85724052206339341</v>
      </c>
      <c r="BS9" s="158">
        <f>股权价值增加表!BS38/股权价值增加表!BS31</f>
        <v>0.85160104182626017</v>
      </c>
      <c r="BT9" s="158">
        <f>股权价值增加表!BT38/股权价值增加表!BT31</f>
        <v>0.52561168808308401</v>
      </c>
      <c r="BU9" s="158">
        <f>股权价值增加表!BU38/股权价值增加表!BU31</f>
        <v>-0.10809743252139566</v>
      </c>
      <c r="BV9" s="158" t="e">
        <f>股权价值增加表!BV38/股权价值增加表!BV31</f>
        <v>#DIV/0!</v>
      </c>
      <c r="BW9" s="158" t="e">
        <f>股权价值增加表!BW38/股权价值增加表!BW31</f>
        <v>#DIV/0!</v>
      </c>
      <c r="BX9" s="158" t="e">
        <f>股权价值增加表!BX38/股权价值增加表!BX31</f>
        <v>#DIV/0!</v>
      </c>
      <c r="BY9" s="158" t="e">
        <f>股权价值增加表!BY38/股权价值增加表!BY31</f>
        <v>#DIV/0!</v>
      </c>
      <c r="BZ9" s="158" t="e">
        <f>股权价值增加表!BZ38/股权价值增加表!BZ31</f>
        <v>#DIV/0!</v>
      </c>
      <c r="CA9" s="158" t="e">
        <f>股权价值增加表!CA38/股权价值增加表!CA31</f>
        <v>#DIV/0!</v>
      </c>
      <c r="CB9" s="158" t="e">
        <f>股权价值增加表!CB38/股权价值增加表!CB31</f>
        <v>#DIV/0!</v>
      </c>
      <c r="CC9" s="158" t="e">
        <f>股权价值增加表!CC38/股权价值增加表!CC31</f>
        <v>#DIV/0!</v>
      </c>
      <c r="CD9" s="158" t="e">
        <f>股权价值增加表!CD38/股权价值增加表!CD31</f>
        <v>#DIV/0!</v>
      </c>
      <c r="CE9" s="158">
        <f>股权价值增加表!CE38/股权价值增加表!CE31</f>
        <v>1</v>
      </c>
      <c r="CF9" s="158">
        <f>股权价值增加表!CF38/股权价值增加表!CF31</f>
        <v>1</v>
      </c>
      <c r="CG9" s="158" t="e">
        <f>股权价值增加表!CG38/股权价值增加表!CG31</f>
        <v>#DIV/0!</v>
      </c>
      <c r="CH9" s="158" t="e">
        <f>股权价值增加表!CH38/股权价值增加表!CH31</f>
        <v>#DIV/0!</v>
      </c>
      <c r="CI9" s="158" t="e">
        <f>股权价值增加表!CI38/股权价值增加表!CI31</f>
        <v>#DIV/0!</v>
      </c>
      <c r="CJ9" s="158" t="e">
        <f>股权价值增加表!CJ38/股权价值增加表!CJ31</f>
        <v>#DIV/0!</v>
      </c>
    </row>
    <row r="10" spans="1:89" s="61" customFormat="1" x14ac:dyDescent="0.25">
      <c r="A10" s="243" t="s">
        <v>433</v>
      </c>
      <c r="E10" s="61">
        <f>资产资本表!E70/资产资本表!E107</f>
        <v>1.2853946397836242</v>
      </c>
      <c r="F10" s="61">
        <f>资产资本表!F70/资产资本表!F107</f>
        <v>1.2896436703433185</v>
      </c>
      <c r="G10" s="61">
        <f>资产资本表!G70/资产资本表!G107</f>
        <v>1.310975306978031</v>
      </c>
      <c r="H10" s="61">
        <f>资产资本表!H70/资产资本表!H107</f>
        <v>1.2868603467403619</v>
      </c>
      <c r="I10" s="61">
        <f>资产资本表!I70/资产资本表!I107</f>
        <v>1.298160415603135</v>
      </c>
      <c r="J10" s="61">
        <f>资产资本表!J70/资产资本表!J107</f>
        <v>1.3144774075540073</v>
      </c>
      <c r="K10" s="61">
        <f>资产资本表!K70/资产资本表!K107</f>
        <v>1.3388861247705199</v>
      </c>
      <c r="L10" s="61">
        <f>资产资本表!L70/资产资本表!L107</f>
        <v>1.3670121342615551</v>
      </c>
      <c r="M10" s="61">
        <f>资产资本表!M70/资产资本表!M107</f>
        <v>1.3851860243399188</v>
      </c>
      <c r="N10" s="61">
        <f>资产资本表!N70/资产资本表!N107</f>
        <v>1.3776639962521688</v>
      </c>
      <c r="O10" s="61">
        <f>资产资本表!O70/资产资本表!O107</f>
        <v>1.406108181193225</v>
      </c>
      <c r="P10" s="61">
        <f>资产资本表!P70/资产资本表!P107</f>
        <v>1.4450852266120968</v>
      </c>
      <c r="Q10" s="61">
        <f>资产资本表!Q70/资产资本表!Q107</f>
        <v>1.5729823287152582</v>
      </c>
      <c r="R10" s="61">
        <f>资产资本表!R70/资产资本表!R107</f>
        <v>1.5807536329841163</v>
      </c>
      <c r="S10" s="61">
        <f>资产资本表!S70/资产资本表!S107</f>
        <v>1.5785474273115012</v>
      </c>
      <c r="T10" s="61">
        <f>资产资本表!T70/资产资本表!T107</f>
        <v>1.5869116571173636</v>
      </c>
      <c r="U10" s="61">
        <f>资产资本表!U70/资产资本表!U107</f>
        <v>1.5514985720245162</v>
      </c>
      <c r="V10" s="61">
        <f>资产资本表!V70/资产资本表!V107</f>
        <v>1.5891195060806487</v>
      </c>
      <c r="W10" s="61">
        <f>资产资本表!W70/资产资本表!W107</f>
        <v>1.57370309017888</v>
      </c>
      <c r="X10" s="61">
        <f>资产资本表!X70/资产资本表!X107</f>
        <v>1.5710145864122051</v>
      </c>
      <c r="Y10" s="61">
        <f>资产资本表!Y70/资产资本表!Y107</f>
        <v>1.5512158532222062</v>
      </c>
      <c r="Z10" s="61">
        <f>资产资本表!Z70/资产资本表!Z107</f>
        <v>1.5680299949832335</v>
      </c>
      <c r="AA10" s="61">
        <f>资产资本表!AA70/资产资本表!AA107</f>
        <v>1.6297684415691969</v>
      </c>
      <c r="AB10" s="61">
        <f>资产资本表!AB70/资产资本表!AB107</f>
        <v>1.6162654603516557</v>
      </c>
      <c r="AC10" s="61">
        <f>资产资本表!AC70/资产资本表!AC107</f>
        <v>1.5036985427604141</v>
      </c>
      <c r="AD10" s="61">
        <f>资产资本表!AD70/资产资本表!AD107</f>
        <v>1.4977808745929606</v>
      </c>
      <c r="AE10" s="61">
        <f>资产资本表!AE70/资产资本表!AE107</f>
        <v>1.5256183293595162</v>
      </c>
      <c r="AF10" s="61">
        <f>资产资本表!AF70/资产资本表!AF107</f>
        <v>1.5234288530533315</v>
      </c>
      <c r="AG10" s="61">
        <f>资产资本表!AG70/资产资本表!AG107</f>
        <v>1.5034240371828347</v>
      </c>
      <c r="AH10" s="61">
        <f>资产资本表!AH70/资产资本表!AH107</f>
        <v>1.5491649120875592</v>
      </c>
      <c r="AI10" s="61">
        <f>资产资本表!AI70/资产资本表!AI107</f>
        <v>1.5666198470142538</v>
      </c>
      <c r="AJ10" s="61">
        <f>资产资本表!AJ70/资产资本表!AJ107</f>
        <v>1.5718102519948292</v>
      </c>
      <c r="AK10" s="61">
        <f>资产资本表!AK70/资产资本表!AK107</f>
        <v>1.5793776601719984</v>
      </c>
      <c r="AL10" s="61">
        <f>资产资本表!AL70/资产资本表!AL107</f>
        <v>1.5952211476466795</v>
      </c>
      <c r="AM10" s="61">
        <f>资产资本表!AM70/资产资本表!AM107</f>
        <v>1.5784902855929503</v>
      </c>
      <c r="AN10" s="61">
        <f>资产资本表!AN70/资产资本表!AN107</f>
        <v>1.5652750220458553</v>
      </c>
      <c r="AO10" s="61">
        <f>资产资本表!AO70/资产资本表!AO107</f>
        <v>1.6733343591321741</v>
      </c>
      <c r="AP10" s="61">
        <f>资产资本表!AP70/资产资本表!AP107</f>
        <v>1.8193415810191556</v>
      </c>
      <c r="AQ10" s="61">
        <f>资产资本表!AQ70/资产资本表!AQ107</f>
        <v>1.7065339768607815</v>
      </c>
      <c r="AR10" s="61">
        <f>资产资本表!AR70/资产资本表!AR107</f>
        <v>1.6209554200016454</v>
      </c>
      <c r="AS10" s="61">
        <f>资产资本表!AS70/资产资本表!AS107</f>
        <v>1.5805783414586314</v>
      </c>
      <c r="AT10" s="61">
        <f>资产资本表!AT70/资产资本表!AT107</f>
        <v>1.4987070732553374</v>
      </c>
      <c r="AU10" s="61">
        <f>资产资本表!AU70/资产资本表!AU107</f>
        <v>1.5502519355227458</v>
      </c>
      <c r="AV10" s="61">
        <f>资产资本表!AV70/资产资本表!AV107</f>
        <v>1.5485041190442086</v>
      </c>
      <c r="AW10" s="61">
        <f>资产资本表!AW70/资产资本表!AW107</f>
        <v>1.6234739579570903</v>
      </c>
      <c r="AX10" s="61">
        <f>资产资本表!AX70/资产资本表!AX107</f>
        <v>1.7346728430354441</v>
      </c>
      <c r="AY10" s="61">
        <f>资产资本表!AY70/资产资本表!AY107</f>
        <v>1.7585549495632029</v>
      </c>
      <c r="AZ10" s="61">
        <f>资产资本表!AZ70/资产资本表!AZ107</f>
        <v>1.6487612408833781</v>
      </c>
      <c r="BA10" s="61">
        <f>资产资本表!BA70/资产资本表!BA107</f>
        <v>1.6177767075092038</v>
      </c>
      <c r="BB10" s="61">
        <f>资产资本表!BB70/资产资本表!BB107</f>
        <v>1.6915319187499192</v>
      </c>
      <c r="BC10" s="61">
        <f>资产资本表!BC70/资产资本表!BC107</f>
        <v>1.7072173587069175</v>
      </c>
      <c r="BD10" s="61">
        <f>资产资本表!BD70/资产资本表!BD107</f>
        <v>1.6609407454798819</v>
      </c>
      <c r="BE10" s="61">
        <f>资产资本表!BE70/资产资本表!BE107</f>
        <v>1.6508323910905196</v>
      </c>
      <c r="BF10" s="61">
        <f>资产资本表!BF70/资产资本表!BF107</f>
        <v>1.6261546690310176</v>
      </c>
      <c r="BG10" s="61">
        <f>资产资本表!BG70/资产资本表!BG107</f>
        <v>1.6352492182270488</v>
      </c>
      <c r="BH10" s="61">
        <f>资产资本表!BH70/资产资本表!BH107</f>
        <v>1.6002085410729743</v>
      </c>
      <c r="BI10" s="61">
        <f>资产资本表!BI70/资产资本表!BI107</f>
        <v>1.585791147109082</v>
      </c>
      <c r="BJ10" s="61">
        <f>资产资本表!BJ70/资产资本表!BJ107</f>
        <v>1.592656610952575</v>
      </c>
      <c r="BK10" s="61">
        <f>资产资本表!BK70/资产资本表!BK107</f>
        <v>1.6406791847570588</v>
      </c>
      <c r="BL10" s="61">
        <f>资产资本表!BL70/资产资本表!BL107</f>
        <v>1.6750007059554402</v>
      </c>
      <c r="BM10" s="61">
        <f>资产资本表!BM70/资产资本表!BM107</f>
        <v>1.6444951258630691</v>
      </c>
      <c r="BN10" s="61">
        <f>资产资本表!BN70/资产资本表!BN107</f>
        <v>1.6736597147541561</v>
      </c>
      <c r="BO10" s="61">
        <f>资产资本表!BO70/资产资本表!BO107</f>
        <v>1.7503424306238573</v>
      </c>
      <c r="BP10" s="61">
        <f>资产资本表!BP70/资产资本表!BP107</f>
        <v>1.774919159504752</v>
      </c>
      <c r="BQ10" s="61">
        <f>资产资本表!BQ70/资产资本表!BQ107</f>
        <v>1.7747880847291733</v>
      </c>
      <c r="BR10" s="61">
        <f>资产资本表!BR70/资产资本表!BR107</f>
        <v>2.0051654666754741</v>
      </c>
      <c r="BS10" s="61">
        <f>资产资本表!BS70/资产资本表!BS107</f>
        <v>1.9354023818116204</v>
      </c>
      <c r="BT10" s="61" t="e">
        <f>资产资本表!BT70/资产资本表!BT107</f>
        <v>#DIV/0!</v>
      </c>
      <c r="BU10" s="61">
        <f>资产资本表!BU70/资产资本表!BU107</f>
        <v>0</v>
      </c>
      <c r="BV10" s="61">
        <f>资产资本表!BV70/资产资本表!BV107</f>
        <v>0</v>
      </c>
      <c r="BW10" s="61">
        <f>资产资本表!BW70/资产资本表!BW107</f>
        <v>0</v>
      </c>
      <c r="BX10" s="61">
        <f>资产资本表!BX70/资产资本表!BX107</f>
        <v>0</v>
      </c>
      <c r="BY10" s="61">
        <f>资产资本表!BY70/资产资本表!BY107</f>
        <v>0</v>
      </c>
      <c r="BZ10" s="61">
        <f>资产资本表!BZ70/资产资本表!BZ107</f>
        <v>0</v>
      </c>
      <c r="CA10" s="61">
        <f>资产资本表!CA70/资产资本表!CA107</f>
        <v>0</v>
      </c>
      <c r="CB10" s="61">
        <f>资产资本表!CB70/资产资本表!CB107</f>
        <v>0</v>
      </c>
      <c r="CC10" s="61">
        <f>资产资本表!CC70/资产资本表!CC107</f>
        <v>0</v>
      </c>
      <c r="CD10" s="61" t="e">
        <f>资产资本表!CD70/资产资本表!CD107</f>
        <v>#DIV/0!</v>
      </c>
      <c r="CE10" s="61">
        <f>资产资本表!CE70/资产资本表!CE107</f>
        <v>0</v>
      </c>
      <c r="CF10" s="61">
        <f>资产资本表!CF70/资产资本表!CF107</f>
        <v>0</v>
      </c>
      <c r="CG10" s="61">
        <f>资产资本表!CG70/资产资本表!CG107</f>
        <v>0</v>
      </c>
      <c r="CH10" s="61">
        <f>资产资本表!CH70/资产资本表!CH107</f>
        <v>0</v>
      </c>
      <c r="CI10" s="61">
        <f>资产资本表!CI70/资产资本表!CI107</f>
        <v>0</v>
      </c>
      <c r="CJ10" s="61">
        <f>资产资本表!CJ70/资产资本表!CJ107</f>
        <v>0</v>
      </c>
    </row>
    <row r="11" spans="1:89" s="28" customFormat="1" x14ac:dyDescent="0.25">
      <c r="A11" s="20" t="s">
        <v>439</v>
      </c>
      <c r="E11" s="28">
        <f>E9*E10</f>
        <v>1.194927371196969</v>
      </c>
      <c r="F11" s="28">
        <f t="shared" ref="F11:BQ11" si="2">F9*F10</f>
        <v>1.2555567069156834</v>
      </c>
      <c r="G11" s="28">
        <f t="shared" si="2"/>
        <v>1.2760835632536689</v>
      </c>
      <c r="H11" s="28">
        <f t="shared" si="2"/>
        <v>1.251599111255858</v>
      </c>
      <c r="I11" s="28">
        <f t="shared" si="2"/>
        <v>1.178087967925014</v>
      </c>
      <c r="J11" s="28">
        <f t="shared" si="2"/>
        <v>1.2072795629177233</v>
      </c>
      <c r="K11" s="28">
        <f t="shared" si="2"/>
        <v>1.2157846919998432</v>
      </c>
      <c r="L11" s="28">
        <f t="shared" si="2"/>
        <v>1.2252490630915416</v>
      </c>
      <c r="M11" s="28">
        <f t="shared" si="2"/>
        <v>1.1631393792076512</v>
      </c>
      <c r="N11" s="28">
        <f t="shared" si="2"/>
        <v>1.2158100432606607</v>
      </c>
      <c r="O11" s="28">
        <f t="shared" si="2"/>
        <v>1.318965882538079</v>
      </c>
      <c r="P11" s="28">
        <f t="shared" si="2"/>
        <v>1.1235844590734432</v>
      </c>
      <c r="Q11" s="28">
        <f t="shared" si="2"/>
        <v>1.3492074157751885</v>
      </c>
      <c r="R11" s="28">
        <f t="shared" si="2"/>
        <v>1.4251654216758187</v>
      </c>
      <c r="S11" s="28">
        <f t="shared" si="2"/>
        <v>1.4002200837531178</v>
      </c>
      <c r="T11" s="28">
        <f t="shared" si="2"/>
        <v>1.3360629358971809</v>
      </c>
      <c r="U11" s="28">
        <f t="shared" si="2"/>
        <v>1.4517064770636703</v>
      </c>
      <c r="V11" s="28">
        <f t="shared" si="2"/>
        <v>1.4925472844696739</v>
      </c>
      <c r="W11" s="28">
        <f t="shared" si="2"/>
        <v>1.4799377180974902</v>
      </c>
      <c r="X11" s="28">
        <f t="shared" si="2"/>
        <v>1.4355329905582006</v>
      </c>
      <c r="Y11" s="28">
        <f t="shared" si="2"/>
        <v>1.4051810535050706</v>
      </c>
      <c r="Z11" s="28">
        <f t="shared" si="2"/>
        <v>1.4076749492645604</v>
      </c>
      <c r="AA11" s="28">
        <f t="shared" si="2"/>
        <v>1.4371483670802003</v>
      </c>
      <c r="AB11" s="28">
        <f t="shared" si="2"/>
        <v>1.4494288621096205</v>
      </c>
      <c r="AC11" s="28">
        <f t="shared" si="2"/>
        <v>1.5415062745993555</v>
      </c>
      <c r="AD11" s="28">
        <f t="shared" si="2"/>
        <v>1.4230278553625189</v>
      </c>
      <c r="AE11" s="28">
        <f t="shared" si="2"/>
        <v>1.4447143270449965</v>
      </c>
      <c r="AF11" s="28">
        <f t="shared" si="2"/>
        <v>1.4424363236022282</v>
      </c>
      <c r="AG11" s="28">
        <f t="shared" si="2"/>
        <v>1.408567636658961</v>
      </c>
      <c r="AH11" s="28">
        <f t="shared" si="2"/>
        <v>1.4606962043196328</v>
      </c>
      <c r="AI11" s="28">
        <f t="shared" si="2"/>
        <v>1.4667317494822774</v>
      </c>
      <c r="AJ11" s="28">
        <f t="shared" si="2"/>
        <v>1.4835879304598876</v>
      </c>
      <c r="AK11" s="28">
        <f t="shared" si="2"/>
        <v>1.4621682691385975</v>
      </c>
      <c r="AL11" s="28">
        <f t="shared" si="2"/>
        <v>1.4777281369004687</v>
      </c>
      <c r="AM11" s="28">
        <f t="shared" si="2"/>
        <v>1.4621059780072931</v>
      </c>
      <c r="AN11" s="28">
        <f t="shared" si="2"/>
        <v>1.3794429122615115</v>
      </c>
      <c r="AO11" s="28">
        <f t="shared" si="2"/>
        <v>1.2968331017671302</v>
      </c>
      <c r="AP11" s="28">
        <f t="shared" si="2"/>
        <v>1.438824953058127</v>
      </c>
      <c r="AQ11" s="28">
        <f t="shared" si="2"/>
        <v>1.3578298495366423</v>
      </c>
      <c r="AR11" s="28">
        <f t="shared" si="2"/>
        <v>1.497606081863651</v>
      </c>
      <c r="AS11" s="28">
        <f t="shared" si="2"/>
        <v>1.5024331521907133</v>
      </c>
      <c r="AT11" s="28">
        <f t="shared" si="2"/>
        <v>1.4264256910856408</v>
      </c>
      <c r="AU11" s="28">
        <f t="shared" si="2"/>
        <v>1.4815974483080454</v>
      </c>
      <c r="AV11" s="28">
        <f t="shared" si="2"/>
        <v>1.4637907746426235</v>
      </c>
      <c r="AW11" s="28">
        <f t="shared" si="2"/>
        <v>1.4902419771888329</v>
      </c>
      <c r="AX11" s="28">
        <f t="shared" si="2"/>
        <v>1.5791447044645206</v>
      </c>
      <c r="AY11" s="28">
        <f t="shared" si="2"/>
        <v>1.5908513176894457</v>
      </c>
      <c r="AZ11" s="28">
        <f t="shared" si="2"/>
        <v>1.4853805687751096</v>
      </c>
      <c r="BA11" s="28">
        <f t="shared" si="2"/>
        <v>1.482346898404308</v>
      </c>
      <c r="BB11" s="28">
        <f t="shared" si="2"/>
        <v>1.5585724849116076</v>
      </c>
      <c r="BC11" s="28">
        <f t="shared" si="2"/>
        <v>1.568838915376271</v>
      </c>
      <c r="BD11" s="28">
        <f t="shared" si="2"/>
        <v>1.5308419385149128</v>
      </c>
      <c r="BE11" s="28">
        <f t="shared" si="2"/>
        <v>1.5376317089212188</v>
      </c>
      <c r="BF11" s="28">
        <f t="shared" si="2"/>
        <v>1.5124342887560891</v>
      </c>
      <c r="BG11" s="28">
        <f t="shared" si="2"/>
        <v>1.513178280899772</v>
      </c>
      <c r="BH11" s="28">
        <f t="shared" si="2"/>
        <v>1.4713222636260488</v>
      </c>
      <c r="BI11" s="28">
        <f t="shared" si="2"/>
        <v>1.4196935938655468</v>
      </c>
      <c r="BJ11" s="28">
        <f t="shared" si="2"/>
        <v>1.41149044964891</v>
      </c>
      <c r="BK11" s="28">
        <f t="shared" si="2"/>
        <v>1.4548226207518222</v>
      </c>
      <c r="BL11" s="28">
        <f t="shared" si="2"/>
        <v>1.5026154011218906</v>
      </c>
      <c r="BM11" s="28">
        <f t="shared" si="2"/>
        <v>1.4058163478263235</v>
      </c>
      <c r="BN11" s="28">
        <f t="shared" si="2"/>
        <v>1.375022420650144</v>
      </c>
      <c r="BO11" s="28">
        <f t="shared" si="2"/>
        <v>1.3594645034936479</v>
      </c>
      <c r="BP11" s="28">
        <f t="shared" si="2"/>
        <v>0.85523853691904284</v>
      </c>
      <c r="BQ11" s="28">
        <f t="shared" si="2"/>
        <v>1.5426005796290858</v>
      </c>
      <c r="BR11" s="28">
        <f t="shared" ref="BR11:CJ11" si="3">BR9*BR10</f>
        <v>1.7189090914763714</v>
      </c>
      <c r="BS11" s="28">
        <f t="shared" si="3"/>
        <v>1.6481906847038013</v>
      </c>
      <c r="BT11" s="28" t="e">
        <f t="shared" si="3"/>
        <v>#DIV/0!</v>
      </c>
      <c r="BU11" s="28">
        <f t="shared" si="3"/>
        <v>0</v>
      </c>
      <c r="BV11" s="28" t="e">
        <f t="shared" si="3"/>
        <v>#DIV/0!</v>
      </c>
      <c r="BW11" s="28" t="e">
        <f t="shared" si="3"/>
        <v>#DIV/0!</v>
      </c>
      <c r="BX11" s="28" t="e">
        <f t="shared" si="3"/>
        <v>#DIV/0!</v>
      </c>
      <c r="BY11" s="28" t="e">
        <f t="shared" si="3"/>
        <v>#DIV/0!</v>
      </c>
      <c r="BZ11" s="28" t="e">
        <f t="shared" si="3"/>
        <v>#DIV/0!</v>
      </c>
      <c r="CA11" s="28" t="e">
        <f t="shared" si="3"/>
        <v>#DIV/0!</v>
      </c>
      <c r="CB11" s="28" t="e">
        <f t="shared" si="3"/>
        <v>#DIV/0!</v>
      </c>
      <c r="CC11" s="28" t="e">
        <f t="shared" si="3"/>
        <v>#DIV/0!</v>
      </c>
      <c r="CD11" s="28" t="e">
        <f t="shared" si="3"/>
        <v>#DIV/0!</v>
      </c>
      <c r="CE11" s="28">
        <f t="shared" si="3"/>
        <v>0</v>
      </c>
      <c r="CF11" s="28">
        <f t="shared" si="3"/>
        <v>0</v>
      </c>
      <c r="CG11" s="28" t="e">
        <f t="shared" si="3"/>
        <v>#DIV/0!</v>
      </c>
      <c r="CH11" s="28" t="e">
        <f t="shared" si="3"/>
        <v>#DIV/0!</v>
      </c>
      <c r="CI11" s="28" t="e">
        <f t="shared" si="3"/>
        <v>#DIV/0!</v>
      </c>
      <c r="CJ11" s="28" t="e">
        <f t="shared" si="3"/>
        <v>#DIV/0!</v>
      </c>
    </row>
    <row r="12" spans="1:89" s="158" customFormat="1" x14ac:dyDescent="0.25">
      <c r="A12" s="158" t="s">
        <v>434</v>
      </c>
      <c r="E12" s="158">
        <f>E2/股权价值增加表!E38</f>
        <v>0.81912624163907466</v>
      </c>
      <c r="F12" s="158">
        <f>F2/股权价值增加表!F38</f>
        <v>0.80289379127083238</v>
      </c>
      <c r="G12" s="158">
        <f>G2/股权价值增加表!G38</f>
        <v>0.810894510471315</v>
      </c>
      <c r="H12" s="158">
        <f>H2/股权价值增加表!H38</f>
        <v>0.78548797975221063</v>
      </c>
      <c r="I12" s="158">
        <f>I2/股权价值增加表!I38</f>
        <v>0.7852795089021849</v>
      </c>
      <c r="J12" s="158">
        <f>J2/股权价值增加表!J38</f>
        <v>0.8065857038063412</v>
      </c>
      <c r="K12" s="158">
        <f>K2/股权价值增加表!K38</f>
        <v>0.80196171117939019</v>
      </c>
      <c r="L12" s="158">
        <f>L2/股权价值增加表!L38</f>
        <v>0.79844126219744016</v>
      </c>
      <c r="M12" s="158">
        <f>M2/股权价值增加表!M38</f>
        <v>0.79926153454394988</v>
      </c>
      <c r="N12" s="158">
        <f>N2/股权价值增加表!N38</f>
        <v>0.81979127200082669</v>
      </c>
      <c r="O12" s="158">
        <f>O2/股权价值增加表!O38</f>
        <v>0.79677324482164613</v>
      </c>
      <c r="P12" s="158">
        <f>P2/股权价值增加表!P38</f>
        <v>0.88715999524884193</v>
      </c>
      <c r="Q12" s="158">
        <f>Q2/股权价值增加表!Q38</f>
        <v>0.74429536061470403</v>
      </c>
      <c r="R12" s="158">
        <f>R2/股权价值增加表!R38</f>
        <v>0.77467525825917971</v>
      </c>
      <c r="S12" s="158">
        <f>S2/股权价值增加表!S38</f>
        <v>0.76807416640698034</v>
      </c>
      <c r="T12" s="158">
        <f>T2/股权价值增加表!T38</f>
        <v>0.78400430377476915</v>
      </c>
      <c r="U12" s="158">
        <f>U2/股权价值增加表!U38</f>
        <v>0.7755522440392707</v>
      </c>
      <c r="V12" s="158">
        <f>V2/股权价值增加表!V38</f>
        <v>0.76191491377676712</v>
      </c>
      <c r="W12" s="158">
        <f>W2/股权价值增加表!W38</f>
        <v>0.7600415712388614</v>
      </c>
      <c r="X12" s="158">
        <f>X2/股权价值增加表!X38</f>
        <v>0.76790949409907538</v>
      </c>
      <c r="Y12" s="158">
        <f>Y2/股权价值增加表!Y38</f>
        <v>0.77760049555595179</v>
      </c>
      <c r="Z12" s="158">
        <f>Z2/股权价值增加表!Z38</f>
        <v>0.76964013146133858</v>
      </c>
      <c r="AA12" s="158">
        <f>AA2/股权价值增加表!AA38</f>
        <v>0.77382394263843801</v>
      </c>
      <c r="AB12" s="158">
        <f>AB2/股权价值增加表!AB38</f>
        <v>0.80454605523985723</v>
      </c>
      <c r="AC12" s="158">
        <f>AC2/股权价值增加表!AC38</f>
        <v>0.77850537967068856</v>
      </c>
      <c r="AD12" s="158">
        <f>AD2/股权价值增加表!AD38</f>
        <v>0.78469316226607477</v>
      </c>
      <c r="AE12" s="158">
        <f>AE2/股权价值增加表!AE38</f>
        <v>0.78244176706827306</v>
      </c>
      <c r="AF12" s="158">
        <f>AF2/股权价值增加表!AF38</f>
        <v>0.76814981273408245</v>
      </c>
      <c r="AG12" s="158">
        <f>AG2/股权价值增加表!AG38</f>
        <v>0.77272931150482171</v>
      </c>
      <c r="AH12" s="158">
        <f>AH2/股权价值增加表!AH38</f>
        <v>0.78056383222553294</v>
      </c>
      <c r="AI12" s="158">
        <f>AI2/股权价值增加表!AI38</f>
        <v>0.79425542636382296</v>
      </c>
      <c r="AJ12" s="158">
        <f>AJ2/股权价值增加表!AJ38</f>
        <v>0.80670595070130302</v>
      </c>
      <c r="AK12" s="158">
        <f>AK2/股权价值增加表!AK38</f>
        <v>0.82329988239044172</v>
      </c>
      <c r="AL12" s="158">
        <f>AL2/股权价值增加表!AL38</f>
        <v>0.80476916678219879</v>
      </c>
      <c r="AM12" s="158">
        <f>AM2/股权价值增加表!AM38</f>
        <v>0.81298711953400604</v>
      </c>
      <c r="AN12" s="158">
        <f>AN2/股权价值增加表!AN38</f>
        <v>0.81986770611859205</v>
      </c>
      <c r="AO12" s="158">
        <f>AO2/股权价值增加表!AO38</f>
        <v>1.0598125514533596</v>
      </c>
      <c r="AP12" s="158">
        <f>AP2/股权价值增加表!AP38</f>
        <v>0.89438813739795719</v>
      </c>
      <c r="AQ12" s="158">
        <f>AQ2/股权价值增加表!AQ38</f>
        <v>0.99290929514181414</v>
      </c>
      <c r="AR12" s="158">
        <f>AR2/股权价值增加表!AR38</f>
        <v>0.97954349698535748</v>
      </c>
      <c r="AS12" s="158">
        <f>AS2/股权价值增加表!AS38</f>
        <v>0.72602535738597684</v>
      </c>
      <c r="AT12" s="158">
        <f>AT2/股权价值增加表!AT38</f>
        <v>0.72588442373007411</v>
      </c>
      <c r="AU12" s="158">
        <f>AU2/股权价值增加表!AU38</f>
        <v>0.72315704439593687</v>
      </c>
      <c r="AV12" s="158">
        <f>AV2/股权价值增加表!AV38</f>
        <v>0.69045916746107405</v>
      </c>
      <c r="AW12" s="158">
        <f>AW2/股权价值增加表!AW38</f>
        <v>0.7008078016634337</v>
      </c>
      <c r="AX12" s="158">
        <f>AX2/股权价值增加表!AX38</f>
        <v>0.71097753994573409</v>
      </c>
      <c r="AY12" s="158">
        <f>AY2/股权价值增加表!AY38</f>
        <v>0.70176593834181378</v>
      </c>
      <c r="AZ12" s="158">
        <f>AZ2/股权价值增加表!AZ38</f>
        <v>0.71536196150948561</v>
      </c>
      <c r="BA12" s="158">
        <f>BA2/股权价值增加表!BA38</f>
        <v>0.67204496955186588</v>
      </c>
      <c r="BB12" s="158">
        <f>BB2/股权价值增加表!BB38</f>
        <v>0.7183905542000697</v>
      </c>
      <c r="BC12" s="158">
        <f>BC2/股权价值增加表!BC38</f>
        <v>0.71645945444423831</v>
      </c>
      <c r="BD12" s="158">
        <f>BD2/股权价值增加表!BD38</f>
        <v>0.71326808721506441</v>
      </c>
      <c r="BE12" s="158">
        <f>BE2/股权价值增加表!BE38</f>
        <v>0.72700538849886964</v>
      </c>
      <c r="BF12" s="158">
        <f>BF2/股权价值增加表!BF38</f>
        <v>0.73082778306374885</v>
      </c>
      <c r="BG12" s="158">
        <f>BG2/股权价值增加表!BG38</f>
        <v>0.72439033786647145</v>
      </c>
      <c r="BH12" s="158">
        <f>BH2/股权价值增加表!BH38</f>
        <v>0.73946475687900493</v>
      </c>
      <c r="BI12" s="158">
        <f>BI2/股权价值增加表!BI38</f>
        <v>0.73475575201178733</v>
      </c>
      <c r="BJ12" s="158">
        <f>BJ2/股权价值增加表!BJ38</f>
        <v>0.73476661737382931</v>
      </c>
      <c r="BK12" s="158">
        <f>BK2/股权价值增加表!BK38</f>
        <v>0.72768342197060676</v>
      </c>
      <c r="BL12" s="158">
        <f>BL2/股权价值增加表!BL38</f>
        <v>0.72615656615263724</v>
      </c>
      <c r="BM12" s="158">
        <f>BM2/股权价值增加表!BM38</f>
        <v>0.73283371262654007</v>
      </c>
      <c r="BN12" s="158">
        <f>BN2/股权价值增加表!BN38</f>
        <v>0.72925317445989046</v>
      </c>
      <c r="BO12" s="158">
        <f>BO2/股权价值增加表!BO38</f>
        <v>0.74507504690431525</v>
      </c>
      <c r="BP12" s="158">
        <f>BP2/股权价值增加表!BP38</f>
        <v>0.96232508073196987</v>
      </c>
      <c r="BQ12" s="158">
        <f>BQ2/股权价值增加表!BQ38</f>
        <v>0.70315181449081243</v>
      </c>
      <c r="BR12" s="158">
        <f>BR2/股权价值增加表!BR38</f>
        <v>0.75270064525483937</v>
      </c>
      <c r="BS12" s="158">
        <f>BS2/股权价值增加表!BS38</f>
        <v>0.7138025331030512</v>
      </c>
      <c r="BT12" s="158">
        <f>BT2/股权价值增加表!BT38</f>
        <v>0.86983701719133732</v>
      </c>
      <c r="BU12" s="158">
        <f>BU2/股权价值增加表!BU38</f>
        <v>-0.99269183922046289</v>
      </c>
      <c r="BV12" s="158" t="e">
        <f>BV2/股权价值增加表!BV38</f>
        <v>#DIV/0!</v>
      </c>
      <c r="BW12" s="158">
        <f>BW2/股权价值增加表!BW38</f>
        <v>-19.112527092609866</v>
      </c>
      <c r="BX12" s="158">
        <f>BX2/股权价值增加表!BX38</f>
        <v>-5.948062846312304</v>
      </c>
      <c r="BY12" s="158">
        <f>BY2/股权价值增加表!BY38</f>
        <v>-5.0894858138564683</v>
      </c>
      <c r="BZ12" s="158">
        <f>BZ2/股权价值增加表!BZ38</f>
        <v>-10.640426755835241</v>
      </c>
      <c r="CA12" s="158">
        <f>CA2/股权价值增加表!CA38</f>
        <v>15.20372750495731</v>
      </c>
      <c r="CB12" s="158">
        <f>CB2/股权价值增加表!CB38</f>
        <v>8.8774211764848925</v>
      </c>
      <c r="CC12" s="158">
        <f>CC2/股权价值增加表!CC38</f>
        <v>9.6111449985966146</v>
      </c>
      <c r="CD12" s="158" t="e">
        <f>CD2/股权价值增加表!CD38</f>
        <v>#DIV/0!</v>
      </c>
      <c r="CE12" s="158">
        <f>CE2/股权价值增加表!CE38</f>
        <v>-2.5981368870487773</v>
      </c>
      <c r="CF12" s="158">
        <f>CF2/股权价值增加表!CF38</f>
        <v>-6.859739633359264</v>
      </c>
      <c r="CG12" s="158" t="e">
        <f>CG2/股权价值增加表!CG38</f>
        <v>#DIV/0!</v>
      </c>
      <c r="CH12" s="158" t="e">
        <f>CH2/股权价值增加表!CH38</f>
        <v>#DIV/0!</v>
      </c>
      <c r="CI12" s="158" t="e">
        <f>CI2/股权价值增加表!CI38</f>
        <v>#DIV/0!</v>
      </c>
      <c r="CJ12" s="158" t="e">
        <f>CJ2/股权价值增加表!CJ38</f>
        <v>#DIV/0!</v>
      </c>
    </row>
    <row r="13" spans="1:89" s="63" customFormat="1" x14ac:dyDescent="0.25">
      <c r="A13" s="17" t="s">
        <v>435</v>
      </c>
      <c r="E13" s="63">
        <f>1-E2/股权价值增加表!E38</f>
        <v>0.18087375836092534</v>
      </c>
      <c r="F13" s="63">
        <f>1-F2/股权价值增加表!F38</f>
        <v>0.19710620872916762</v>
      </c>
      <c r="G13" s="63">
        <f>1-G2/股权价值增加表!G38</f>
        <v>0.189105489528685</v>
      </c>
      <c r="H13" s="63">
        <f>1-H2/股权价值增加表!H38</f>
        <v>0.21451202024778937</v>
      </c>
      <c r="I13" s="63">
        <f>1-I2/股权价值增加表!I38</f>
        <v>0.2147204910978151</v>
      </c>
      <c r="J13" s="63">
        <f>1-J2/股权价值增加表!J38</f>
        <v>0.1934142961936588</v>
      </c>
      <c r="K13" s="63">
        <f>1-K2/股权价值增加表!K38</f>
        <v>0.19803828882060981</v>
      </c>
      <c r="L13" s="63">
        <f>1-L2/股权价值增加表!L38</f>
        <v>0.20155873780255984</v>
      </c>
      <c r="M13" s="63">
        <f>1-M2/股权价值增加表!M38</f>
        <v>0.20073846545605012</v>
      </c>
      <c r="N13" s="63">
        <f>1-N2/股权价值增加表!N38</f>
        <v>0.18020872799917331</v>
      </c>
      <c r="O13" s="63">
        <f>1-O2/股权价值增加表!O38</f>
        <v>0.20322675517835387</v>
      </c>
      <c r="P13" s="63">
        <f>1-P2/股权价值增加表!P38</f>
        <v>0.11284000475115807</v>
      </c>
      <c r="Q13" s="63">
        <f>1-Q2/股权价值增加表!Q38</f>
        <v>0.25570463938529597</v>
      </c>
      <c r="R13" s="63">
        <f>1-R2/股权价值增加表!R38</f>
        <v>0.22532474174082029</v>
      </c>
      <c r="S13" s="63">
        <f>1-S2/股权价值增加表!S38</f>
        <v>0.23192583359301966</v>
      </c>
      <c r="T13" s="63">
        <f>1-T2/股权价值增加表!T38</f>
        <v>0.21599569622523085</v>
      </c>
      <c r="U13" s="63">
        <f>1-U2/股权价值增加表!U38</f>
        <v>0.2244477559607293</v>
      </c>
      <c r="V13" s="63">
        <f>1-V2/股权价值增加表!V38</f>
        <v>0.23808508622323288</v>
      </c>
      <c r="W13" s="63">
        <f>1-W2/股权价值增加表!W38</f>
        <v>0.2399584287611386</v>
      </c>
      <c r="X13" s="63">
        <f>1-X2/股权价值增加表!X38</f>
        <v>0.23209050590092462</v>
      </c>
      <c r="Y13" s="63">
        <f>1-Y2/股权价值增加表!Y38</f>
        <v>0.22239950444404821</v>
      </c>
      <c r="Z13" s="63">
        <f>1-Z2/股权价值增加表!Z38</f>
        <v>0.23035986853866142</v>
      </c>
      <c r="AA13" s="63">
        <f>1-AA2/股权价值增加表!AA38</f>
        <v>0.22617605736156199</v>
      </c>
      <c r="AB13" s="63">
        <f>1-AB2/股权价值增加表!AB38</f>
        <v>0.19545394476014277</v>
      </c>
      <c r="AC13" s="63">
        <f>1-AC2/股权价值增加表!AC38</f>
        <v>0.22149462032931144</v>
      </c>
      <c r="AD13" s="63">
        <f>1-AD2/股权价值增加表!AD38</f>
        <v>0.21530683773392523</v>
      </c>
      <c r="AE13" s="63">
        <f>1-AE2/股权价值增加表!AE38</f>
        <v>0.21755823293172694</v>
      </c>
      <c r="AF13" s="63">
        <f>1-AF2/股权价值增加表!AF38</f>
        <v>0.23185018726591755</v>
      </c>
      <c r="AG13" s="63">
        <f>1-AG2/股权价值增加表!AG38</f>
        <v>0.22727068849517829</v>
      </c>
      <c r="AH13" s="63">
        <f>1-AH2/股权价值增加表!AH38</f>
        <v>0.21943616777446706</v>
      </c>
      <c r="AI13" s="63">
        <f>1-AI2/股权价值增加表!AI38</f>
        <v>0.20574457363617704</v>
      </c>
      <c r="AJ13" s="63">
        <f>1-AJ2/股权价值增加表!AJ38</f>
        <v>0.19329404929869698</v>
      </c>
      <c r="AK13" s="63">
        <f>1-AK2/股权价值增加表!AK38</f>
        <v>0.17670011760955828</v>
      </c>
      <c r="AL13" s="63">
        <f>1-AL2/股权价值增加表!AL38</f>
        <v>0.19523083321780121</v>
      </c>
      <c r="AM13" s="63">
        <f>1-AM2/股权价值增加表!AM38</f>
        <v>0.18701288046599396</v>
      </c>
      <c r="AN13" s="63">
        <f>1-AN2/股权价值增加表!AN38</f>
        <v>0.18013229388140795</v>
      </c>
      <c r="AO13" s="63">
        <f>1-AO2/股权价值增加表!AO38</f>
        <v>-5.9812551453359619E-2</v>
      </c>
      <c r="AP13" s="63">
        <f>1-AP2/股权价值增加表!AP38</f>
        <v>0.10561186260204281</v>
      </c>
      <c r="AQ13" s="63">
        <f>1-AQ2/股权价值增加表!AQ38</f>
        <v>7.0907048581858589E-3</v>
      </c>
      <c r="AR13" s="63">
        <f>1-AR2/股权价值增加表!AR38</f>
        <v>2.0456503014642524E-2</v>
      </c>
      <c r="AS13" s="63">
        <f>1-AS2/股权价值增加表!AS38</f>
        <v>0.27397464261402316</v>
      </c>
      <c r="AT13" s="63">
        <f>1-AT2/股权价值增加表!AT38</f>
        <v>0.27411557626992589</v>
      </c>
      <c r="AU13" s="63">
        <f>1-AU2/股权价值增加表!AU38</f>
        <v>0.27684295560406313</v>
      </c>
      <c r="AV13" s="63">
        <f>1-AV2/股权价值增加表!AV38</f>
        <v>0.30954083253892595</v>
      </c>
      <c r="AW13" s="63">
        <f>1-AW2/股权价值增加表!AW38</f>
        <v>0.2991921983365663</v>
      </c>
      <c r="AX13" s="63">
        <f>1-AX2/股权价值增加表!AX38</f>
        <v>0.28902246005426591</v>
      </c>
      <c r="AY13" s="63">
        <f>1-AY2/股权价值增加表!AY38</f>
        <v>0.29823406165818622</v>
      </c>
      <c r="AZ13" s="63">
        <f>1-AZ2/股权价值增加表!AZ38</f>
        <v>0.28463803849051439</v>
      </c>
      <c r="BA13" s="63">
        <f>1-BA2/股权价值增加表!BA38</f>
        <v>0.32795503044813412</v>
      </c>
      <c r="BB13" s="63">
        <f>1-BB2/股权价值增加表!BB38</f>
        <v>0.2816094457999303</v>
      </c>
      <c r="BC13" s="63">
        <f>1-BC2/股权价值增加表!BC38</f>
        <v>0.28354054555576169</v>
      </c>
      <c r="BD13" s="63">
        <f>1-BD2/股权价值增加表!BD38</f>
        <v>0.28673191278493559</v>
      </c>
      <c r="BE13" s="63">
        <f>1-BE2/股权价值增加表!BE38</f>
        <v>0.27299461150113036</v>
      </c>
      <c r="BF13" s="63">
        <f>1-BF2/股权价值增加表!BF38</f>
        <v>0.26917221693625115</v>
      </c>
      <c r="BG13" s="63">
        <f>1-BG2/股权价值增加表!BG38</f>
        <v>0.27560966213352855</v>
      </c>
      <c r="BH13" s="63">
        <f>1-BH2/股权价值增加表!BH38</f>
        <v>0.26053524312099507</v>
      </c>
      <c r="BI13" s="63">
        <f>1-BI2/股权价值增加表!BI38</f>
        <v>0.26524424798821267</v>
      </c>
      <c r="BJ13" s="63">
        <f>1-BJ2/股权价值增加表!BJ38</f>
        <v>0.26523338262617069</v>
      </c>
      <c r="BK13" s="63">
        <f>1-BK2/股权价值增加表!BK38</f>
        <v>0.27231657802939324</v>
      </c>
      <c r="BL13" s="63">
        <f>1-BL2/股权价值增加表!BL38</f>
        <v>0.27384343384736276</v>
      </c>
      <c r="BM13" s="63">
        <f>1-BM2/股权价值增加表!BM38</f>
        <v>0.26716628737345993</v>
      </c>
      <c r="BN13" s="63">
        <f>1-BN2/股权价值增加表!BN38</f>
        <v>0.27074682554010954</v>
      </c>
      <c r="BO13" s="63">
        <f>1-BO2/股权价值增加表!BO38</f>
        <v>0.25492495309568475</v>
      </c>
      <c r="BP13" s="63">
        <f>1-BP2/股权价值增加表!BP38</f>
        <v>3.7674919268030127E-2</v>
      </c>
      <c r="BQ13" s="63">
        <f>1-BQ2/股权价值增加表!BQ38</f>
        <v>0.29684818550918757</v>
      </c>
      <c r="BR13" s="63">
        <f>1-BR2/股权价值增加表!BR38</f>
        <v>0.24729935474516063</v>
      </c>
      <c r="BS13" s="63">
        <f>1-BS2/股权价值增加表!BS38</f>
        <v>0.2861974668969488</v>
      </c>
      <c r="BT13" s="63">
        <f>1-BT2/股权价值增加表!BT38</f>
        <v>0.13016298280866268</v>
      </c>
      <c r="BU13" s="63">
        <f>1-BU2/股权价值增加表!BU38</f>
        <v>1.9926918392204629</v>
      </c>
      <c r="BV13" s="63" t="e">
        <f>1-BV2/股权价值增加表!BV38</f>
        <v>#DIV/0!</v>
      </c>
      <c r="BW13" s="63">
        <f>1-BW2/股权价值增加表!BW38</f>
        <v>20.112527092609866</v>
      </c>
      <c r="BX13" s="63">
        <f>1-BX2/股权价值增加表!BX38</f>
        <v>6.948062846312304</v>
      </c>
      <c r="BY13" s="63">
        <f>1-BY2/股权价值增加表!BY38</f>
        <v>6.0894858138564683</v>
      </c>
      <c r="BZ13" s="63">
        <f>1-BZ2/股权价值增加表!BZ38</f>
        <v>11.640426755835241</v>
      </c>
      <c r="CA13" s="63">
        <f>1-CA2/股权价值增加表!CA38</f>
        <v>-14.20372750495731</v>
      </c>
      <c r="CB13" s="63">
        <f>1-CB2/股权价值增加表!CB38</f>
        <v>-7.8774211764848925</v>
      </c>
      <c r="CC13" s="63">
        <f>1-CC2/股权价值增加表!CC38</f>
        <v>-8.6111449985966146</v>
      </c>
      <c r="CD13" s="63" t="e">
        <f>1-CD2/股权价值增加表!CD38</f>
        <v>#DIV/0!</v>
      </c>
      <c r="CE13" s="63">
        <f>1-CE2/股权价值增加表!CE38</f>
        <v>3.5981368870487773</v>
      </c>
      <c r="CF13" s="63">
        <f>1-CF2/股权价值增加表!CF38</f>
        <v>7.859739633359264</v>
      </c>
      <c r="CG13" s="63" t="e">
        <f>1-CG2/股权价值增加表!CG38</f>
        <v>#DIV/0!</v>
      </c>
      <c r="CH13" s="63" t="e">
        <f>1-CH2/股权价值增加表!CH38</f>
        <v>#DIV/0!</v>
      </c>
      <c r="CI13" s="63" t="e">
        <f>1-CI2/股权价值增加表!CI38</f>
        <v>#DIV/0!</v>
      </c>
      <c r="CJ13" s="63" t="e">
        <f>1-CJ2/股权价值增加表!CJ38</f>
        <v>#DIV/0!</v>
      </c>
    </row>
    <row r="14" spans="1:89" s="59" customFormat="1" x14ac:dyDescent="0.25">
      <c r="A14" s="146" t="s">
        <v>436</v>
      </c>
      <c r="E14" s="59">
        <f>E6*E7*E9*E10*E12</f>
        <v>8.6319622513377117E-2</v>
      </c>
      <c r="F14" s="59">
        <f t="shared" ref="F14:BQ14" si="4">F6*F7*F9*F10*F12</f>
        <v>6.2617022340243078E-2</v>
      </c>
      <c r="G14" s="59">
        <f t="shared" si="4"/>
        <v>4.5196056291719584E-2</v>
      </c>
      <c r="H14" s="59">
        <f t="shared" si="4"/>
        <v>2.7012428843718482E-2</v>
      </c>
      <c r="I14" s="59">
        <f t="shared" si="4"/>
        <v>9.0964235308249E-2</v>
      </c>
      <c r="J14" s="59">
        <f t="shared" si="4"/>
        <v>6.0823452185735254E-2</v>
      </c>
      <c r="K14" s="59">
        <f t="shared" si="4"/>
        <v>4.1891002650672915E-2</v>
      </c>
      <c r="L14" s="59">
        <f t="shared" si="4"/>
        <v>1.5820365220557308E-2</v>
      </c>
      <c r="M14" s="59">
        <f t="shared" si="4"/>
        <v>6.3923790418559542E-2</v>
      </c>
      <c r="N14" s="59">
        <f t="shared" si="4"/>
        <v>6.0599271057043672E-2</v>
      </c>
      <c r="O14" s="59">
        <f t="shared" si="4"/>
        <v>4.8106461293374841E-2</v>
      </c>
      <c r="P14" s="59">
        <f t="shared" si="4"/>
        <v>9.6491976012009501E-3</v>
      </c>
      <c r="Q14" s="59">
        <f t="shared" si="4"/>
        <v>7.903785379271977E-2</v>
      </c>
      <c r="R14" s="59">
        <f t="shared" si="4"/>
        <v>9.3078128360318299E-2</v>
      </c>
      <c r="S14" s="59">
        <f t="shared" si="4"/>
        <v>6.1319720550254149E-2</v>
      </c>
      <c r="T14" s="59">
        <f t="shared" si="4"/>
        <v>2.7279860356067068E-2</v>
      </c>
      <c r="U14" s="59">
        <f t="shared" si="4"/>
        <v>0.14195520328594807</v>
      </c>
      <c r="V14" s="59">
        <f t="shared" si="4"/>
        <v>0.10722810433112864</v>
      </c>
      <c r="W14" s="59">
        <f t="shared" si="4"/>
        <v>6.7232799377571831E-2</v>
      </c>
      <c r="X14" s="59">
        <f t="shared" si="4"/>
        <v>3.4745830449326796E-2</v>
      </c>
      <c r="Y14" s="59">
        <f t="shared" si="4"/>
        <v>0.15047375504221749</v>
      </c>
      <c r="Z14" s="59">
        <f t="shared" si="4"/>
        <v>0.10555767206943507</v>
      </c>
      <c r="AA14" s="59">
        <f t="shared" si="4"/>
        <v>6.1524861282575241E-2</v>
      </c>
      <c r="AB14" s="59">
        <f t="shared" si="4"/>
        <v>3.4758315142818533E-2</v>
      </c>
      <c r="AC14" s="59">
        <f t="shared" si="4"/>
        <v>0.17779304253962028</v>
      </c>
      <c r="AD14" s="59">
        <f t="shared" si="4"/>
        <v>0.14750645373178428</v>
      </c>
      <c r="AE14" s="59">
        <f t="shared" si="4"/>
        <v>9.9683800128935879E-2</v>
      </c>
      <c r="AF14" s="59">
        <f t="shared" si="4"/>
        <v>5.3538239212787213E-2</v>
      </c>
      <c r="AG14" s="59">
        <f t="shared" si="4"/>
        <v>0.19028810511573246</v>
      </c>
      <c r="AH14" s="59">
        <f t="shared" si="4"/>
        <v>0.15621946688317945</v>
      </c>
      <c r="AI14" s="59">
        <f t="shared" si="4"/>
        <v>9.945943166706786E-2</v>
      </c>
      <c r="AJ14" s="59">
        <f t="shared" si="4"/>
        <v>4.6623960014677918E-2</v>
      </c>
      <c r="AK14" s="59">
        <f t="shared" si="4"/>
        <v>0.18698403584757292</v>
      </c>
      <c r="AL14" s="59">
        <f t="shared" si="4"/>
        <v>0.14970470664087687</v>
      </c>
      <c r="AM14" s="59">
        <f t="shared" si="4"/>
        <v>0.10520755918887356</v>
      </c>
      <c r="AN14" s="59">
        <f t="shared" si="4"/>
        <v>3.8255070546737213E-2</v>
      </c>
      <c r="AO14" s="59">
        <f t="shared" si="4"/>
        <v>9.5373647227778621E-2</v>
      </c>
      <c r="AP14" s="59">
        <f t="shared" si="4"/>
        <v>6.7837016475430417E-2</v>
      </c>
      <c r="AQ14" s="59">
        <f t="shared" si="4"/>
        <v>4.2689534227389754E-2</v>
      </c>
      <c r="AR14" s="59">
        <f t="shared" si="4"/>
        <v>2.6732719814769108E-2</v>
      </c>
      <c r="AS14" s="59">
        <f t="shared" si="4"/>
        <v>0.20915773700999243</v>
      </c>
      <c r="AT14" s="59">
        <f t="shared" si="4"/>
        <v>0.18466778089621899</v>
      </c>
      <c r="AU14" s="59">
        <f t="shared" si="4"/>
        <v>0.13703859319985801</v>
      </c>
      <c r="AV14" s="59">
        <f t="shared" si="4"/>
        <v>5.7906466216508821E-2</v>
      </c>
      <c r="AW14" s="59">
        <f t="shared" si="4"/>
        <v>0.19051867369789785</v>
      </c>
      <c r="AX14" s="59">
        <f t="shared" si="4"/>
        <v>0.14675876768218926</v>
      </c>
      <c r="AY14" s="59">
        <f t="shared" si="4"/>
        <v>9.4301526778962932E-2</v>
      </c>
      <c r="AZ14" s="59">
        <f t="shared" si="4"/>
        <v>4.1088723318883108E-2</v>
      </c>
      <c r="BA14" s="59">
        <f t="shared" si="4"/>
        <v>0.1581022505571292</v>
      </c>
      <c r="BB14" s="59">
        <f t="shared" si="4"/>
        <v>0.14230847239663572</v>
      </c>
      <c r="BC14" s="59">
        <f t="shared" si="4"/>
        <v>0.1021676332443935</v>
      </c>
      <c r="BD14" s="59">
        <f t="shared" si="4"/>
        <v>5.0459680458541122E-2</v>
      </c>
      <c r="BE14" s="59">
        <f t="shared" si="4"/>
        <v>0.19657942877103962</v>
      </c>
      <c r="BF14" s="59">
        <f t="shared" si="4"/>
        <v>0.14804820577563402</v>
      </c>
      <c r="BG14" s="59">
        <f t="shared" si="4"/>
        <v>9.3927647288022137E-2</v>
      </c>
      <c r="BH14" s="59">
        <f t="shared" si="4"/>
        <v>4.964998506805425E-2</v>
      </c>
      <c r="BI14" s="59">
        <f t="shared" si="4"/>
        <v>0.13718436380757895</v>
      </c>
      <c r="BJ14" s="59">
        <f t="shared" si="4"/>
        <v>0.10532952846854192</v>
      </c>
      <c r="BK14" s="59">
        <f t="shared" si="4"/>
        <v>7.0379690827134203E-2</v>
      </c>
      <c r="BL14" s="59">
        <f t="shared" si="4"/>
        <v>4.1753028548838007E-2</v>
      </c>
      <c r="BM14" s="59">
        <f t="shared" si="4"/>
        <v>0.10622433542251999</v>
      </c>
      <c r="BN14" s="59">
        <f t="shared" si="4"/>
        <v>7.121156027243504E-2</v>
      </c>
      <c r="BO14" s="59">
        <f t="shared" si="4"/>
        <v>3.8340161832411145E-2</v>
      </c>
      <c r="BP14" s="59">
        <f t="shared" si="4"/>
        <v>5.4959241636236217E-3</v>
      </c>
      <c r="BQ14" s="59">
        <f t="shared" si="4"/>
        <v>0.10341218982191115</v>
      </c>
      <c r="BR14" s="59">
        <f t="shared" ref="BR14:CJ14" si="5">BR6*BR7*BR9*BR10*BR12</f>
        <v>6.8577845300217988E-2</v>
      </c>
      <c r="BS14" s="59">
        <f t="shared" si="5"/>
        <v>0.13767592926741251</v>
      </c>
      <c r="BT14" s="59" t="e">
        <f t="shared" si="5"/>
        <v>#DIV/0!</v>
      </c>
      <c r="BU14" s="59" t="e">
        <f t="shared" si="5"/>
        <v>#DIV/0!</v>
      </c>
      <c r="BV14" s="59" t="e">
        <f t="shared" si="5"/>
        <v>#DIV/0!</v>
      </c>
      <c r="BW14" s="59" t="e">
        <f t="shared" si="5"/>
        <v>#DIV/0!</v>
      </c>
      <c r="BX14" s="59" t="e">
        <f t="shared" si="5"/>
        <v>#DIV/0!</v>
      </c>
      <c r="BY14" s="59" t="e">
        <f t="shared" si="5"/>
        <v>#DIV/0!</v>
      </c>
      <c r="BZ14" s="59" t="e">
        <f t="shared" si="5"/>
        <v>#DIV/0!</v>
      </c>
      <c r="CA14" s="59" t="e">
        <f t="shared" si="5"/>
        <v>#DIV/0!</v>
      </c>
      <c r="CB14" s="59" t="e">
        <f t="shared" si="5"/>
        <v>#DIV/0!</v>
      </c>
      <c r="CC14" s="59" t="e">
        <f t="shared" si="5"/>
        <v>#DIV/0!</v>
      </c>
      <c r="CD14" s="59" t="e">
        <f t="shared" si="5"/>
        <v>#DIV/0!</v>
      </c>
      <c r="CE14" s="59" t="e">
        <f t="shared" si="5"/>
        <v>#DIV/0!</v>
      </c>
      <c r="CF14" s="59" t="e">
        <f t="shared" si="5"/>
        <v>#DIV/0!</v>
      </c>
      <c r="CG14" s="59" t="e">
        <f t="shared" si="5"/>
        <v>#DIV/0!</v>
      </c>
      <c r="CH14" s="59" t="e">
        <f t="shared" si="5"/>
        <v>#DIV/0!</v>
      </c>
      <c r="CI14" s="59" t="e">
        <f t="shared" si="5"/>
        <v>#DIV/0!</v>
      </c>
      <c r="CJ14" s="59" t="e">
        <f t="shared" si="5"/>
        <v>#DIV/0!</v>
      </c>
    </row>
    <row r="15" spans="1:89" s="16" customFormat="1" ht="195" customHeight="1" x14ac:dyDescent="0.25">
      <c r="A15" s="278" t="s">
        <v>698</v>
      </c>
      <c r="B15" s="277"/>
      <c r="C15" s="277"/>
      <c r="D15" s="277"/>
      <c r="E15" s="277"/>
      <c r="F15" s="277"/>
      <c r="G15" s="277"/>
      <c r="H15" s="277"/>
      <c r="I15" s="277"/>
      <c r="J15" s="277"/>
      <c r="K15" s="277"/>
      <c r="L15" s="277"/>
      <c r="M15" s="277"/>
      <c r="N15" s="277"/>
      <c r="O15" s="277"/>
      <c r="P15" s="277"/>
      <c r="Q15" s="277"/>
      <c r="R15" s="277"/>
      <c r="S15" s="277"/>
      <c r="T15" s="277"/>
      <c r="U15" s="277"/>
      <c r="V15" s="277"/>
      <c r="W15" s="277"/>
      <c r="X15" s="277"/>
      <c r="Y15" s="277"/>
      <c r="Z15" s="277"/>
      <c r="AA15" s="277"/>
      <c r="AB15" s="277"/>
      <c r="AC15" s="277"/>
      <c r="AD15" s="277"/>
      <c r="AE15" s="277"/>
      <c r="AF15" s="277"/>
      <c r="AG15" s="277"/>
    </row>
    <row r="17" spans="1:89" ht="15" thickBot="1" x14ac:dyDescent="0.3"/>
    <row r="18" spans="1:89" s="250" customFormat="1" x14ac:dyDescent="0.25">
      <c r="A18" s="249" t="s">
        <v>440</v>
      </c>
      <c r="B18" s="1">
        <v>43373</v>
      </c>
      <c r="C18" s="1">
        <v>43281</v>
      </c>
      <c r="D18" s="1">
        <v>43190</v>
      </c>
      <c r="E18" s="1">
        <v>43100</v>
      </c>
      <c r="F18" s="1">
        <v>43008</v>
      </c>
      <c r="G18" s="1">
        <v>42916</v>
      </c>
      <c r="H18" s="1">
        <v>42825</v>
      </c>
      <c r="I18" s="1">
        <v>42735</v>
      </c>
      <c r="J18" s="1">
        <v>42643</v>
      </c>
      <c r="K18" s="1">
        <v>42551</v>
      </c>
      <c r="L18" s="1">
        <v>42460</v>
      </c>
      <c r="M18" s="1">
        <v>42369</v>
      </c>
      <c r="N18" s="1">
        <v>42277</v>
      </c>
      <c r="O18" s="1">
        <v>42185</v>
      </c>
      <c r="P18" s="1">
        <v>42094</v>
      </c>
      <c r="Q18" s="1">
        <v>42004</v>
      </c>
      <c r="R18" s="1">
        <v>41912</v>
      </c>
      <c r="S18" s="1">
        <v>41820</v>
      </c>
      <c r="T18" s="1">
        <v>41729</v>
      </c>
      <c r="U18" s="1">
        <v>41639</v>
      </c>
      <c r="V18" s="1">
        <v>41547</v>
      </c>
      <c r="W18" s="1">
        <v>41455</v>
      </c>
      <c r="X18" s="1">
        <v>41364</v>
      </c>
      <c r="Y18" s="1">
        <v>41274</v>
      </c>
      <c r="Z18" s="1">
        <v>41182</v>
      </c>
      <c r="AA18" s="1">
        <v>41090</v>
      </c>
      <c r="AB18" s="1">
        <v>40999</v>
      </c>
      <c r="AC18" s="1">
        <v>40908</v>
      </c>
      <c r="AD18" s="1">
        <v>40816</v>
      </c>
      <c r="AE18" s="1">
        <v>40724</v>
      </c>
      <c r="AF18" s="1">
        <v>40633</v>
      </c>
      <c r="AG18" s="1">
        <v>40543</v>
      </c>
      <c r="AH18" s="1">
        <v>40451</v>
      </c>
      <c r="AI18" s="1">
        <v>40359</v>
      </c>
      <c r="AJ18" s="1">
        <v>40268</v>
      </c>
      <c r="AK18" s="1">
        <v>40178</v>
      </c>
      <c r="AL18" s="1">
        <v>40086</v>
      </c>
      <c r="AM18" s="1">
        <v>39994</v>
      </c>
      <c r="AN18" s="1">
        <v>39903</v>
      </c>
      <c r="AO18" s="1">
        <v>39813</v>
      </c>
      <c r="AP18" s="1">
        <v>39721</v>
      </c>
      <c r="AQ18" s="1">
        <v>39629</v>
      </c>
      <c r="AR18" s="1">
        <v>39538</v>
      </c>
      <c r="AS18" s="1">
        <v>39447</v>
      </c>
      <c r="AT18" s="1">
        <v>39355</v>
      </c>
      <c r="AU18" s="1">
        <v>39263</v>
      </c>
      <c r="AV18" s="1">
        <v>39172</v>
      </c>
      <c r="AW18" s="1">
        <v>39082</v>
      </c>
      <c r="AX18" s="1">
        <v>38990</v>
      </c>
      <c r="AY18" s="1">
        <v>38898</v>
      </c>
      <c r="AZ18" s="1">
        <v>38807</v>
      </c>
      <c r="BA18" s="1">
        <v>38717</v>
      </c>
      <c r="BB18" s="1">
        <v>38625</v>
      </c>
      <c r="BC18" s="1">
        <v>38533</v>
      </c>
      <c r="BD18" s="1">
        <v>38442</v>
      </c>
      <c r="BE18" s="1">
        <v>38352</v>
      </c>
      <c r="BF18" s="1">
        <v>38260</v>
      </c>
      <c r="BG18" s="1">
        <v>38168</v>
      </c>
      <c r="BH18" s="1">
        <v>38077</v>
      </c>
      <c r="BI18" s="1">
        <v>37986</v>
      </c>
      <c r="BJ18" s="1">
        <v>37894</v>
      </c>
      <c r="BK18" s="1">
        <v>37802</v>
      </c>
      <c r="BL18" s="1">
        <v>37711</v>
      </c>
      <c r="BM18" s="1">
        <v>37621</v>
      </c>
      <c r="BN18" s="1">
        <v>37529</v>
      </c>
      <c r="BO18" s="1">
        <v>37437</v>
      </c>
      <c r="BP18" s="1">
        <v>37346</v>
      </c>
      <c r="BQ18" s="1">
        <v>37256</v>
      </c>
      <c r="BR18" s="1">
        <v>37072</v>
      </c>
      <c r="BS18" s="1">
        <v>36891</v>
      </c>
      <c r="BT18" s="1">
        <v>36525</v>
      </c>
      <c r="BU18" s="1">
        <v>36160</v>
      </c>
      <c r="BV18" s="1">
        <v>25569</v>
      </c>
      <c r="BW18" s="1"/>
      <c r="BX18" s="1"/>
      <c r="BY18" s="1"/>
      <c r="BZ18" s="1"/>
      <c r="CA18" s="1"/>
      <c r="CB18" s="1"/>
      <c r="CC18" s="1"/>
      <c r="CD18" s="1"/>
      <c r="CE18" s="1"/>
      <c r="CF18" s="1"/>
      <c r="CG18" s="1"/>
      <c r="CH18" s="1"/>
      <c r="CI18" s="1"/>
      <c r="CJ18" s="1"/>
      <c r="CK18" s="1"/>
    </row>
    <row r="19" spans="1:89" s="116" customFormat="1" x14ac:dyDescent="0.25">
      <c r="A19" s="159" t="s">
        <v>446</v>
      </c>
      <c r="B19" s="76">
        <v>43373</v>
      </c>
      <c r="C19" s="76">
        <v>43281</v>
      </c>
      <c r="D19" s="76">
        <v>43190</v>
      </c>
      <c r="E19" s="76">
        <f>股权价值增加表!E4</f>
        <v>2360193000000</v>
      </c>
      <c r="F19" s="76">
        <f>股权价值增加表!F4</f>
        <v>1744955000000</v>
      </c>
      <c r="G19" s="76">
        <f>股权价值增加表!G4</f>
        <v>1165837000000</v>
      </c>
      <c r="H19" s="76">
        <f>股权价值增加表!H4</f>
        <v>582185000000</v>
      </c>
      <c r="I19" s="76">
        <f>股权价值增加表!I4</f>
        <v>1930911000000</v>
      </c>
      <c r="J19" s="76">
        <f>股权价值增加表!J4</f>
        <v>1363945000000</v>
      </c>
      <c r="K19" s="76">
        <f>股权价值增加表!K4</f>
        <v>879220000000</v>
      </c>
      <c r="L19" s="76">
        <f>股权价值增加表!L4</f>
        <v>413790000000</v>
      </c>
      <c r="M19" s="76">
        <f>股权价值增加表!M4</f>
        <v>2018883000000</v>
      </c>
      <c r="N19" s="76">
        <f>股权价值增加表!N4</f>
        <v>1536837000000</v>
      </c>
      <c r="O19" s="76">
        <f>股权价值增加表!O4</f>
        <v>1040362000000</v>
      </c>
      <c r="P19" s="76">
        <f>股权价值增加表!P4</f>
        <v>478241000000</v>
      </c>
      <c r="Q19" s="76">
        <f>股权价值增加表!Q4</f>
        <v>2825914000000</v>
      </c>
      <c r="R19" s="76">
        <f>股权价值增加表!R4</f>
        <v>2115648000000</v>
      </c>
      <c r="S19" s="76">
        <f>股权价值增加表!S4</f>
        <v>1356172000000</v>
      </c>
      <c r="T19" s="76">
        <f>股权价值增加表!T4</f>
        <v>641065000000</v>
      </c>
      <c r="U19" s="76">
        <f>股权价值增加表!U4</f>
        <v>2880311000000</v>
      </c>
      <c r="V19" s="76">
        <f>股权价值增加表!V4</f>
        <v>2139924000000</v>
      </c>
      <c r="W19" s="76">
        <f>股权价值增加表!W4</f>
        <v>1415244000000</v>
      </c>
      <c r="X19" s="76">
        <f>股权价值增加表!X4</f>
        <v>695571000000</v>
      </c>
      <c r="Y19" s="76">
        <f>股权价值增加表!Y4</f>
        <v>2786045000000</v>
      </c>
      <c r="Z19" s="76">
        <f>股权价值增加表!Z4</f>
        <v>2024766000000</v>
      </c>
      <c r="AA19" s="76">
        <f>股权价值增加表!AA4</f>
        <v>1348072000000</v>
      </c>
      <c r="AB19" s="76">
        <f>股权价值增加表!AB4</f>
        <v>671365000000</v>
      </c>
      <c r="AC19" s="76">
        <f>股权价值增加表!AC4</f>
        <v>2505683000000</v>
      </c>
      <c r="AD19" s="76">
        <f>股权价值增加表!AD4</f>
        <v>1875102000000</v>
      </c>
      <c r="AE19" s="76">
        <f>股权价值增加表!AE4</f>
        <v>1233272000000</v>
      </c>
      <c r="AF19" s="76">
        <f>股权价值增加表!AF4</f>
        <v>588842000000</v>
      </c>
      <c r="AG19" s="76">
        <f>股权价值增加表!AG4</f>
        <v>1913182000000</v>
      </c>
      <c r="AH19" s="76">
        <f>股权价值增加表!AH4</f>
        <v>1427622000000</v>
      </c>
      <c r="AI19" s="76">
        <f>股权价值增加表!AI4</f>
        <v>936523000000</v>
      </c>
      <c r="AJ19" s="76">
        <f>股权价值增加表!AJ4</f>
        <v>438209000000</v>
      </c>
      <c r="AK19" s="76">
        <f>股权价值增加表!AK4</f>
        <v>1345052000000</v>
      </c>
      <c r="AL19" s="76">
        <f>股权价值增加表!AL4</f>
        <v>893448000000</v>
      </c>
      <c r="AM19" s="76">
        <f>股权价值增加表!AM4</f>
        <v>534025000000</v>
      </c>
      <c r="AN19" s="76">
        <f>股权价值增加表!AN4</f>
        <v>228585000000</v>
      </c>
      <c r="AO19" s="76">
        <f>股权价值增加表!AO4</f>
        <v>1452101000000</v>
      </c>
      <c r="AP19" s="76">
        <f>股权价值增加表!AP4</f>
        <v>1147397000000</v>
      </c>
      <c r="AQ19" s="76">
        <f>股权价值增加表!AQ4</f>
        <v>734783000000</v>
      </c>
      <c r="AR19" s="76">
        <f>股权价值增加表!AR4</f>
        <v>332010000000</v>
      </c>
      <c r="AS19" s="76">
        <f>股权价值增加表!AS4</f>
        <v>1204843000000</v>
      </c>
      <c r="AT19" s="76">
        <f>股权价值增加表!AT4</f>
        <v>875218000000</v>
      </c>
      <c r="AU19" s="76">
        <f>股权价值增加表!AU4</f>
        <v>566830000000</v>
      </c>
      <c r="AV19" s="76">
        <f>股权价值增加表!AV4</f>
        <v>272964000000</v>
      </c>
      <c r="AW19" s="76">
        <f>股权价值增加表!AW4</f>
        <v>1044579000000</v>
      </c>
      <c r="AX19" s="76">
        <f>股权价值增加表!AX4</f>
        <v>755219000000</v>
      </c>
      <c r="AY19" s="76">
        <f>股权价值增加表!AY4</f>
        <v>481988000000</v>
      </c>
      <c r="AZ19" s="76">
        <f>股权价值增加表!AZ4</f>
        <v>222699000000</v>
      </c>
      <c r="BA19" s="76">
        <f>股权价值增加表!BA4</f>
        <v>799115000000</v>
      </c>
      <c r="BB19" s="76">
        <f>股权价值增加表!BB4</f>
        <v>576990000000</v>
      </c>
      <c r="BC19" s="76">
        <f>股权价值增加表!BC4</f>
        <v>359248000000</v>
      </c>
      <c r="BD19" s="76">
        <f>股权价值增加表!BD4</f>
        <v>169040000000</v>
      </c>
      <c r="BE19" s="76">
        <f>股权价值增加表!BE4</f>
        <v>590632000000</v>
      </c>
      <c r="BF19" s="76">
        <f>股权价值增加表!BF4</f>
        <v>417695000000</v>
      </c>
      <c r="BG19" s="76">
        <f>股权价值增加表!BG4</f>
        <v>265709000000</v>
      </c>
      <c r="BH19" s="76">
        <f>股权价值增加表!BH4</f>
        <v>123490000000</v>
      </c>
      <c r="BI19" s="76">
        <f>股权价值增加表!BI4</f>
        <v>417191000000</v>
      </c>
      <c r="BJ19" s="76">
        <f>股权价值增加表!BJ4</f>
        <v>300662000000</v>
      </c>
      <c r="BK19" s="76">
        <f>股权价值增加表!BK4</f>
        <v>194842000000</v>
      </c>
      <c r="BL19" s="76">
        <f>股权价值增加表!BL4</f>
        <v>98519000000</v>
      </c>
      <c r="BM19" s="76">
        <f>股权价值增加表!BM4</f>
        <v>324184000000</v>
      </c>
      <c r="BN19" s="76">
        <f>股权价值增加表!BN4</f>
        <v>226183000000</v>
      </c>
      <c r="BO19" s="76">
        <f>股权价值增加表!BO4</f>
        <v>140628000000</v>
      </c>
      <c r="BP19" s="76">
        <f>股权价值增加表!BP4</f>
        <v>62995000000</v>
      </c>
      <c r="BQ19" s="76">
        <f>股权价值增加表!BQ4</f>
        <v>304347000000</v>
      </c>
      <c r="BR19" s="76">
        <f>股权价值增加表!BR4</f>
        <v>160314000000</v>
      </c>
      <c r="BS19" s="76">
        <f>股权价值增加表!BS4</f>
        <v>322932000000</v>
      </c>
      <c r="BT19" s="76">
        <f>股权价值增加表!BT4</f>
        <v>231047000000</v>
      </c>
      <c r="BU19" s="76">
        <f>股权价值增加表!BU4</f>
        <v>190220000000</v>
      </c>
      <c r="BV19" s="76">
        <f>股权价值增加表!BV4</f>
        <v>0</v>
      </c>
      <c r="BW19" s="76">
        <f>股权价值增加表!BW4</f>
        <v>0</v>
      </c>
      <c r="BX19" s="76">
        <f>股权价值增加表!BX4</f>
        <v>0</v>
      </c>
      <c r="BY19" s="76">
        <f>股权价值增加表!BY4</f>
        <v>0</v>
      </c>
      <c r="BZ19" s="76">
        <f>股权价值增加表!BZ4</f>
        <v>0</v>
      </c>
      <c r="CA19" s="76">
        <f>股权价值增加表!CA4</f>
        <v>0</v>
      </c>
      <c r="CB19" s="76">
        <f>股权价值增加表!CB4</f>
        <v>0</v>
      </c>
      <c r="CC19" s="76">
        <f>股权价值增加表!CC4</f>
        <v>0</v>
      </c>
      <c r="CD19" s="76">
        <f>股权价值增加表!CD4</f>
        <v>0</v>
      </c>
      <c r="CE19" s="76">
        <f>股权价值增加表!CE4</f>
        <v>0</v>
      </c>
      <c r="CF19" s="76">
        <f>股权价值增加表!CF4</f>
        <v>0</v>
      </c>
      <c r="CG19" s="76">
        <f>股权价值增加表!CG4</f>
        <v>0</v>
      </c>
      <c r="CH19" s="76">
        <f>股权价值增加表!CH4</f>
        <v>0</v>
      </c>
      <c r="CI19" s="76">
        <f>股权价值增加表!CI4</f>
        <v>0</v>
      </c>
      <c r="CJ19" s="76">
        <f>股权价值增加表!CJ4</f>
        <v>0</v>
      </c>
      <c r="CK19" s="76">
        <f>股权价值增加表!CK4</f>
        <v>0</v>
      </c>
    </row>
    <row r="20" spans="1:89" s="76" customFormat="1" x14ac:dyDescent="0.25">
      <c r="A20" s="159" t="s">
        <v>447</v>
      </c>
      <c r="E20" s="76">
        <f>股权价值增加表!E15</f>
        <v>76559000000</v>
      </c>
      <c r="F20" s="76">
        <f>股权价值增加表!F15</f>
        <v>58365998796</v>
      </c>
      <c r="G20" s="76">
        <f>股权价值增加表!G15</f>
        <v>41020999132</v>
      </c>
      <c r="H20" s="76">
        <f>股权价值增加表!H15</f>
        <v>27138999356</v>
      </c>
      <c r="I20" s="76">
        <f>股权价值增加表!I15</f>
        <v>66762000000</v>
      </c>
      <c r="J20" s="76">
        <f>股权价值增加表!J15</f>
        <v>57463000000</v>
      </c>
      <c r="K20" s="76">
        <f>股权价值增加表!K15</f>
        <v>38267000000</v>
      </c>
      <c r="L20" s="76">
        <f>股权价值增加表!L15</f>
        <v>14850000000</v>
      </c>
      <c r="M20" s="76">
        <f>股权价值增加表!M15</f>
        <v>66267000000</v>
      </c>
      <c r="N20" s="76">
        <f>股权价值增加表!N15</f>
        <v>55629000000</v>
      </c>
      <c r="O20" s="76">
        <f>股权价值增加表!O15</f>
        <v>44820000000</v>
      </c>
      <c r="P20" s="76">
        <f>股权价值增加表!P15</f>
        <v>7308000000</v>
      </c>
      <c r="Q20" s="76">
        <f>股权价值增加表!Q15</f>
        <v>83793000000</v>
      </c>
      <c r="R20" s="76">
        <f>股权价值增加表!R15</f>
        <v>83834000000</v>
      </c>
      <c r="S20" s="76">
        <f>股权价值增加表!S15</f>
        <v>56515000000</v>
      </c>
      <c r="T20" s="76">
        <f>股权价值增加表!T15</f>
        <v>27073000000</v>
      </c>
      <c r="U20" s="76">
        <f>股权价值增加表!U15</f>
        <v>111985000000</v>
      </c>
      <c r="V20" s="76">
        <f>股权价值增加表!V15</f>
        <v>86790000000</v>
      </c>
      <c r="W20" s="76">
        <f>股权价值增加表!W15</f>
        <v>53263000000</v>
      </c>
      <c r="X20" s="76">
        <f>股权价值增加表!X15</f>
        <v>30195000000</v>
      </c>
      <c r="Y20" s="76">
        <f>股权价值增加表!Y15</f>
        <v>114565000000</v>
      </c>
      <c r="Z20" s="76">
        <f>股权价值增加表!Z15</f>
        <v>79195000000</v>
      </c>
      <c r="AA20" s="76">
        <f>股权价值增加表!AA15</f>
        <v>45956000000</v>
      </c>
      <c r="AB20" s="76">
        <f>股权价值增加表!AB15</f>
        <v>25175000000</v>
      </c>
      <c r="AC20" s="76">
        <f>股权价值增加表!AC15</f>
        <v>116914000000</v>
      </c>
      <c r="AD20" s="76">
        <f>股权价值增加表!AD15</f>
        <v>94834000000</v>
      </c>
      <c r="AE20" s="76">
        <f>股权价值增加表!AE15</f>
        <v>62766000000</v>
      </c>
      <c r="AF20" s="76">
        <f>股权价值增加表!AF15</f>
        <v>33874000000</v>
      </c>
      <c r="AG20" s="76">
        <f>股权价值增加表!AG15</f>
        <v>114488000000</v>
      </c>
      <c r="AH20" s="76">
        <f>股权价值增加表!AH15</f>
        <v>89036000000</v>
      </c>
      <c r="AI20" s="76">
        <f>股权价值增加表!AI15</f>
        <v>55197000000</v>
      </c>
      <c r="AJ20" s="76">
        <f>股权价值增加表!AJ15</f>
        <v>24335000000</v>
      </c>
      <c r="AK20" s="76">
        <f>股权价值增加表!AK15</f>
        <v>94413000000</v>
      </c>
      <c r="AL20" s="76">
        <f>股权价值增加表!AL15</f>
        <v>75560000000</v>
      </c>
      <c r="AM20" s="76">
        <f>股权价值增加表!AM15</f>
        <v>50631000000</v>
      </c>
      <c r="AN20" s="76">
        <f>股权价值增加表!AN15</f>
        <v>18700000000</v>
      </c>
      <c r="AO20" s="76">
        <f>股权价值增加表!AO15</f>
        <v>36310000000</v>
      </c>
      <c r="AP20" s="76">
        <f>股权价值增加表!AP15</f>
        <v>26185000000</v>
      </c>
      <c r="AQ20" s="76">
        <f>股权价值增加表!AQ15</f>
        <v>13269000000</v>
      </c>
      <c r="AR20" s="76">
        <f>股权价值增加表!AR15</f>
        <v>6278000000</v>
      </c>
      <c r="AS20" s="76">
        <f>股权价值增加表!AS15</f>
        <v>96361000000</v>
      </c>
      <c r="AT20" s="76">
        <f>股权价值增加表!AT15</f>
        <v>82168000000</v>
      </c>
      <c r="AU20" s="76">
        <f>股权价值增加表!AU15</f>
        <v>58957000000</v>
      </c>
      <c r="AV20" s="76">
        <f>股权价值增加表!AV15</f>
        <v>25458000000</v>
      </c>
      <c r="AW20" s="76">
        <f>股权价值增加表!AW15</f>
        <v>81952000000</v>
      </c>
      <c r="AX20" s="76">
        <f>股权价值增加表!AX15</f>
        <v>58272000000</v>
      </c>
      <c r="AY20" s="76">
        <f>股权价值增加表!AY15</f>
        <v>36748000000</v>
      </c>
      <c r="AZ20" s="76">
        <f>股权价值增加表!AZ15</f>
        <v>16035000000</v>
      </c>
      <c r="BA20" s="76">
        <f>股权价值增加表!BA15</f>
        <v>62092000000</v>
      </c>
      <c r="BB20" s="76">
        <f>股权价值增加表!BB15</f>
        <v>50344000000</v>
      </c>
      <c r="BC20" s="76">
        <f>股权价值增加表!BC15</f>
        <v>35928000000</v>
      </c>
      <c r="BD20" s="76">
        <f>股权价值增加表!BD15</f>
        <v>17373000000</v>
      </c>
      <c r="BE20" s="76">
        <f>股权价值增加表!BE15</f>
        <v>62072000000</v>
      </c>
      <c r="BF20" s="76">
        <f>股权价值增加表!BF15</f>
        <v>44413000000</v>
      </c>
      <c r="BG20" s="76">
        <f>股权价值增加表!BG15</f>
        <v>27535000000</v>
      </c>
      <c r="BH20" s="76">
        <f>股权价值增加表!BH15</f>
        <v>14286000000</v>
      </c>
      <c r="BI20" s="76">
        <f>股权价值增加表!BI15</f>
        <v>38873000000</v>
      </c>
      <c r="BJ20" s="76">
        <f>股权价值增加表!BJ15</f>
        <v>29361000000</v>
      </c>
      <c r="BK20" s="76">
        <f>股权价值增加表!BK15</f>
        <v>19380000000</v>
      </c>
      <c r="BL20" s="76">
        <f>股权价值增加表!BL15</f>
        <v>11279000000</v>
      </c>
      <c r="BM20" s="76">
        <f>股权价值增加表!BM15</f>
        <v>29308000000</v>
      </c>
      <c r="BN20" s="76">
        <f>股权价值增加表!BN15</f>
        <v>19884000000</v>
      </c>
      <c r="BO20" s="76">
        <f>股权价值增加表!BO15</f>
        <v>10794000000</v>
      </c>
      <c r="BP20" s="76">
        <f>股权价值增加表!BP15</f>
        <v>1864000000</v>
      </c>
      <c r="BQ20" s="76">
        <f>股权价值增加表!BQ15</f>
        <v>26941000000</v>
      </c>
      <c r="BR20" s="76">
        <f>股权价值增加表!BR15</f>
        <v>15787000000</v>
      </c>
      <c r="BS20" s="76">
        <f>股权价值增加表!BS15</f>
        <v>32400000000</v>
      </c>
      <c r="BT20" s="76">
        <f>股权价值增加表!BT15</f>
        <v>16189000000</v>
      </c>
      <c r="BU20" s="76">
        <f>股权价值增加表!BU15</f>
        <v>6641000000</v>
      </c>
      <c r="BV20" s="76">
        <f>股权价值增加表!BV15</f>
        <v>0</v>
      </c>
      <c r="BW20" s="76">
        <f>股权价值增加表!BW15</f>
        <v>0</v>
      </c>
      <c r="BX20" s="76">
        <f>股权价值增加表!BX15</f>
        <v>0</v>
      </c>
      <c r="BY20" s="76">
        <f>股权价值增加表!BY15</f>
        <v>0</v>
      </c>
      <c r="BZ20" s="76">
        <f>股权价值增加表!BZ15</f>
        <v>0</v>
      </c>
      <c r="CA20" s="76">
        <f>股权价值增加表!CA15</f>
        <v>0</v>
      </c>
      <c r="CB20" s="76">
        <f>股权价值增加表!CB15</f>
        <v>0</v>
      </c>
      <c r="CC20" s="76">
        <f>股权价值增加表!CC15</f>
        <v>0</v>
      </c>
      <c r="CD20" s="76">
        <f>股权价值增加表!CD15</f>
        <v>0</v>
      </c>
      <c r="CE20" s="76">
        <f>股权价值增加表!CE15</f>
        <v>0</v>
      </c>
      <c r="CF20" s="76">
        <f>股权价值增加表!CF15</f>
        <v>0</v>
      </c>
      <c r="CG20" s="76">
        <f>股权价值增加表!CG15</f>
        <v>0</v>
      </c>
      <c r="CH20" s="76">
        <f>股权价值增加表!CH15</f>
        <v>0</v>
      </c>
      <c r="CI20" s="76">
        <f>股权价值增加表!CI15</f>
        <v>0</v>
      </c>
      <c r="CJ20" s="76">
        <f>股权价值增加表!CJ15</f>
        <v>0</v>
      </c>
      <c r="CK20" s="76">
        <f>股权价值增加表!CK15</f>
        <v>0</v>
      </c>
    </row>
    <row r="21" spans="1:89" s="244" customFormat="1" x14ac:dyDescent="0.25">
      <c r="A21" s="234" t="s">
        <v>448</v>
      </c>
      <c r="E21" s="244">
        <f>E20/E19</f>
        <v>3.2437601501233163E-2</v>
      </c>
      <c r="F21" s="244">
        <f t="shared" ref="F21:BQ21" si="6">F20/F19</f>
        <v>3.3448426346811236E-2</v>
      </c>
      <c r="G21" s="244">
        <f t="shared" si="6"/>
        <v>3.518587858508522E-2</v>
      </c>
      <c r="H21" s="244">
        <f t="shared" si="6"/>
        <v>4.6615765359808312E-2</v>
      </c>
      <c r="I21" s="244">
        <f t="shared" si="6"/>
        <v>3.4575389544106383E-2</v>
      </c>
      <c r="J21" s="244">
        <f t="shared" si="6"/>
        <v>4.2129997910472929E-2</v>
      </c>
      <c r="K21" s="244">
        <f t="shared" si="6"/>
        <v>4.3523805190964722E-2</v>
      </c>
      <c r="L21" s="244">
        <f t="shared" si="6"/>
        <v>3.588776915826869E-2</v>
      </c>
      <c r="M21" s="244">
        <f t="shared" si="6"/>
        <v>3.282359601819422E-2</v>
      </c>
      <c r="N21" s="244">
        <f t="shared" si="6"/>
        <v>3.6197072298493595E-2</v>
      </c>
      <c r="O21" s="244">
        <f t="shared" si="6"/>
        <v>4.3081158289133975E-2</v>
      </c>
      <c r="P21" s="244">
        <f t="shared" si="6"/>
        <v>1.5280998492391911E-2</v>
      </c>
      <c r="Q21" s="244">
        <f t="shared" si="6"/>
        <v>2.9651645449932304E-2</v>
      </c>
      <c r="R21" s="244">
        <f t="shared" si="6"/>
        <v>3.9625684423873916E-2</v>
      </c>
      <c r="S21" s="244">
        <f t="shared" si="6"/>
        <v>4.1672442728503463E-2</v>
      </c>
      <c r="T21" s="244">
        <f t="shared" si="6"/>
        <v>4.2231286998978261E-2</v>
      </c>
      <c r="U21" s="244">
        <f t="shared" si="6"/>
        <v>3.8879482111480325E-2</v>
      </c>
      <c r="V21" s="244">
        <f t="shared" si="6"/>
        <v>4.0557515126705433E-2</v>
      </c>
      <c r="W21" s="244">
        <f t="shared" si="6"/>
        <v>3.763520636724127E-2</v>
      </c>
      <c r="X21" s="244">
        <f t="shared" si="6"/>
        <v>4.341037794847686E-2</v>
      </c>
      <c r="Y21" s="244">
        <f t="shared" si="6"/>
        <v>4.1121015633272258E-2</v>
      </c>
      <c r="Z21" s="244">
        <f t="shared" si="6"/>
        <v>3.9113161718440551E-2</v>
      </c>
      <c r="AA21" s="244">
        <f t="shared" si="6"/>
        <v>3.4090167290767852E-2</v>
      </c>
      <c r="AB21" s="244">
        <f t="shared" si="6"/>
        <v>3.7498231215508701E-2</v>
      </c>
      <c r="AC21" s="244">
        <f t="shared" si="6"/>
        <v>4.665953354833792E-2</v>
      </c>
      <c r="AD21" s="244">
        <f t="shared" si="6"/>
        <v>5.0575382032550763E-2</v>
      </c>
      <c r="AE21" s="244">
        <f t="shared" si="6"/>
        <v>5.0893882290362548E-2</v>
      </c>
      <c r="AF21" s="244">
        <f t="shared" si="6"/>
        <v>5.7526467201728139E-2</v>
      </c>
      <c r="AG21" s="244">
        <f t="shared" si="6"/>
        <v>5.9841666919299888E-2</v>
      </c>
      <c r="AH21" s="244">
        <f t="shared" si="6"/>
        <v>6.2366648874842223E-2</v>
      </c>
      <c r="AI21" s="244">
        <f t="shared" si="6"/>
        <v>5.8938221485217129E-2</v>
      </c>
      <c r="AJ21" s="244">
        <f t="shared" si="6"/>
        <v>5.553286217307267E-2</v>
      </c>
      <c r="AK21" s="244">
        <f t="shared" si="6"/>
        <v>7.0192825258800398E-2</v>
      </c>
      <c r="AL21" s="244">
        <f t="shared" si="6"/>
        <v>8.4571234140095444E-2</v>
      </c>
      <c r="AM21" s="244">
        <f t="shared" si="6"/>
        <v>9.4810168063292913E-2</v>
      </c>
      <c r="AN21" s="244">
        <f t="shared" si="6"/>
        <v>8.1807642671216402E-2</v>
      </c>
      <c r="AO21" s="244">
        <f t="shared" si="6"/>
        <v>2.500514771355436E-2</v>
      </c>
      <c r="AP21" s="244">
        <f t="shared" si="6"/>
        <v>2.2821220554001796E-2</v>
      </c>
      <c r="AQ21" s="244">
        <f t="shared" si="6"/>
        <v>1.8058392749968358E-2</v>
      </c>
      <c r="AR21" s="244">
        <f t="shared" si="6"/>
        <v>1.8909069003945664E-2</v>
      </c>
      <c r="AS21" s="244">
        <f t="shared" si="6"/>
        <v>7.9978055232092476E-2</v>
      </c>
      <c r="AT21" s="244">
        <f t="shared" si="6"/>
        <v>9.3882895461473603E-2</v>
      </c>
      <c r="AU21" s="244">
        <f t="shared" si="6"/>
        <v>0.10401178483848773</v>
      </c>
      <c r="AV21" s="244">
        <f t="shared" si="6"/>
        <v>9.326504594012397E-2</v>
      </c>
      <c r="AW21" s="244">
        <f t="shared" si="6"/>
        <v>7.8454573565043914E-2</v>
      </c>
      <c r="AX21" s="244">
        <f t="shared" si="6"/>
        <v>7.7159075711813394E-2</v>
      </c>
      <c r="AY21" s="244">
        <f t="shared" si="6"/>
        <v>7.6242562055486865E-2</v>
      </c>
      <c r="AZ21" s="244">
        <f t="shared" si="6"/>
        <v>7.2003017525898189E-2</v>
      </c>
      <c r="BA21" s="244">
        <f t="shared" si="6"/>
        <v>7.7700956683330935E-2</v>
      </c>
      <c r="BB21" s="244">
        <f t="shared" si="6"/>
        <v>8.7252812007140509E-2</v>
      </c>
      <c r="BC21" s="244">
        <f t="shared" si="6"/>
        <v>0.10000890749565759</v>
      </c>
      <c r="BD21" s="244">
        <f t="shared" si="6"/>
        <v>0.10277449124467582</v>
      </c>
      <c r="BE21" s="244">
        <f t="shared" si="6"/>
        <v>0.10509420417451137</v>
      </c>
      <c r="BF21" s="244">
        <f t="shared" si="6"/>
        <v>0.10632878056955435</v>
      </c>
      <c r="BG21" s="244">
        <f t="shared" si="6"/>
        <v>0.10362840551129243</v>
      </c>
      <c r="BH21" s="244">
        <f t="shared" si="6"/>
        <v>0.11568548060571707</v>
      </c>
      <c r="BI21" s="244">
        <f t="shared" si="6"/>
        <v>9.3177944874170346E-2</v>
      </c>
      <c r="BJ21" s="244">
        <f t="shared" si="6"/>
        <v>9.7654509050029606E-2</v>
      </c>
      <c r="BK21" s="244">
        <f t="shared" si="6"/>
        <v>9.9465207706757264E-2</v>
      </c>
      <c r="BL21" s="244">
        <f t="shared" si="6"/>
        <v>0.11448553070981232</v>
      </c>
      <c r="BM21" s="244">
        <f t="shared" si="6"/>
        <v>9.0405448757495746E-2</v>
      </c>
      <c r="BN21" s="244">
        <f t="shared" si="6"/>
        <v>8.7911116220051905E-2</v>
      </c>
      <c r="BO21" s="244">
        <f t="shared" si="6"/>
        <v>7.675569587848792E-2</v>
      </c>
      <c r="BP21" s="244">
        <f t="shared" si="6"/>
        <v>2.9589649972220019E-2</v>
      </c>
      <c r="BQ21" s="244">
        <f t="shared" si="6"/>
        <v>8.8520668841815434E-2</v>
      </c>
      <c r="BR21" s="244">
        <f t="shared" ref="BR21:CK21" si="7">BR20/BR19</f>
        <v>9.8475491847249769E-2</v>
      </c>
      <c r="BS21" s="244">
        <f t="shared" si="7"/>
        <v>0.10033071978001561</v>
      </c>
      <c r="BT21" s="244">
        <f t="shared" si="7"/>
        <v>7.0067994823564031E-2</v>
      </c>
      <c r="BU21" s="244">
        <f t="shared" si="7"/>
        <v>3.4912206918305121E-2</v>
      </c>
      <c r="BV21" s="244" t="e">
        <f t="shared" si="7"/>
        <v>#DIV/0!</v>
      </c>
      <c r="BW21" s="244" t="e">
        <f t="shared" si="7"/>
        <v>#DIV/0!</v>
      </c>
      <c r="BX21" s="244" t="e">
        <f t="shared" si="7"/>
        <v>#DIV/0!</v>
      </c>
      <c r="BY21" s="244" t="e">
        <f t="shared" si="7"/>
        <v>#DIV/0!</v>
      </c>
      <c r="BZ21" s="244" t="e">
        <f t="shared" si="7"/>
        <v>#DIV/0!</v>
      </c>
      <c r="CA21" s="244" t="e">
        <f t="shared" si="7"/>
        <v>#DIV/0!</v>
      </c>
      <c r="CB21" s="244" t="e">
        <f t="shared" si="7"/>
        <v>#DIV/0!</v>
      </c>
      <c r="CC21" s="244" t="e">
        <f t="shared" si="7"/>
        <v>#DIV/0!</v>
      </c>
      <c r="CD21" s="244" t="e">
        <f t="shared" si="7"/>
        <v>#DIV/0!</v>
      </c>
      <c r="CE21" s="244" t="e">
        <f t="shared" si="7"/>
        <v>#DIV/0!</v>
      </c>
      <c r="CF21" s="244" t="e">
        <f t="shared" si="7"/>
        <v>#DIV/0!</v>
      </c>
      <c r="CG21" s="244" t="e">
        <f t="shared" si="7"/>
        <v>#DIV/0!</v>
      </c>
      <c r="CH21" s="244" t="e">
        <f t="shared" si="7"/>
        <v>#DIV/0!</v>
      </c>
      <c r="CI21" s="244" t="e">
        <f t="shared" si="7"/>
        <v>#DIV/0!</v>
      </c>
      <c r="CJ21" s="244" t="e">
        <f t="shared" si="7"/>
        <v>#DIV/0!</v>
      </c>
      <c r="CK21" s="244" t="e">
        <f t="shared" si="7"/>
        <v>#DIV/0!</v>
      </c>
    </row>
    <row r="22" spans="1:89" s="26" customFormat="1" x14ac:dyDescent="0.25">
      <c r="A22" s="26" t="s">
        <v>685</v>
      </c>
      <c r="E22" s="26">
        <f>资产资本表!E69</f>
        <v>748854000000</v>
      </c>
      <c r="F22" s="193">
        <f>资产资本表!F69</f>
        <v>791196000000</v>
      </c>
      <c r="G22" s="193">
        <f>资产资本表!G69</f>
        <v>814414000000</v>
      </c>
      <c r="H22" s="193">
        <f>资产资本表!H69</f>
        <v>831741000000</v>
      </c>
      <c r="I22" s="193">
        <f>资产资本表!I69</f>
        <v>810034000000</v>
      </c>
      <c r="J22" s="193">
        <f>资产资本表!J69</f>
        <v>881682000000</v>
      </c>
      <c r="K22" s="193">
        <f>资产资本表!K69</f>
        <v>907641000000</v>
      </c>
      <c r="L22" s="193">
        <f>资产资本表!L69</f>
        <v>929406000000</v>
      </c>
      <c r="M22" s="193">
        <f>资产资本表!M69</f>
        <v>926381000000</v>
      </c>
      <c r="N22" s="193">
        <f>资产资本表!N69</f>
        <v>938060000000</v>
      </c>
      <c r="O22" s="193">
        <f>资产资本表!O69</f>
        <v>948479000000</v>
      </c>
      <c r="P22" s="193">
        <f>资产资本表!P69</f>
        <v>960937000000</v>
      </c>
      <c r="Q22" s="193">
        <f>资产资本表!Q69</f>
        <v>926308000000</v>
      </c>
      <c r="R22" s="193">
        <f>资产资本表!R69</f>
        <v>929245000000</v>
      </c>
      <c r="S22" s="193">
        <f>资产资本表!S69</f>
        <v>921374000000</v>
      </c>
      <c r="T22" s="193">
        <f>资产资本表!T69</f>
        <v>917125000000</v>
      </c>
      <c r="U22" s="193">
        <f>资产资本表!U69</f>
        <v>874808000000</v>
      </c>
      <c r="V22" s="193">
        <f>资产资本表!V69</f>
        <v>882714000000</v>
      </c>
      <c r="W22" s="193">
        <f>资产资本表!W69</f>
        <v>856834000000</v>
      </c>
      <c r="X22" s="193">
        <f>资产资本表!X69</f>
        <v>854477000000</v>
      </c>
      <c r="Y22" s="193">
        <f>资产资本表!Y69</f>
        <v>791176000000</v>
      </c>
      <c r="Z22" s="193">
        <f>资产资本表!Z69</f>
        <v>768818000000</v>
      </c>
      <c r="AA22" s="193">
        <f>资产资本表!AA69</f>
        <v>784752000000</v>
      </c>
      <c r="AB22" s="193">
        <f>资产资本表!AB69</f>
        <v>776187000000</v>
      </c>
      <c r="AC22" s="193">
        <f>资产资本表!AC69</f>
        <v>693517000000</v>
      </c>
      <c r="AD22" s="193">
        <f>资产资本表!AD69</f>
        <v>676187000000</v>
      </c>
      <c r="AE22" s="193">
        <f>资产资本表!AE69</f>
        <v>685548000000</v>
      </c>
      <c r="AF22" s="193">
        <f>资产资本表!AF69</f>
        <v>655694000000</v>
      </c>
      <c r="AG22" s="193">
        <f>资产资本表!AG69</f>
        <v>617396000000</v>
      </c>
      <c r="AH22" s="193">
        <f>资产资本表!AH69</f>
        <v>623572000000</v>
      </c>
      <c r="AI22" s="193">
        <f>资产资本表!AI69</f>
        <v>614528000000</v>
      </c>
      <c r="AJ22" s="193">
        <f>资产资本表!AJ69</f>
        <v>606265000000</v>
      </c>
      <c r="AK22" s="193">
        <f>资产资本表!AK69</f>
        <v>589186000000</v>
      </c>
      <c r="AL22" s="193">
        <f>资产资本表!AL69</f>
        <v>578171000000</v>
      </c>
      <c r="AM22" s="193">
        <f>资产资本表!AM69</f>
        <v>555048000000</v>
      </c>
      <c r="AN22" s="193">
        <f>资产资本表!AN69</f>
        <v>526010000000</v>
      </c>
      <c r="AO22" s="193">
        <f>资产资本表!AO69</f>
        <v>550845000000</v>
      </c>
      <c r="AP22" s="193">
        <f>资产资本表!AP69</f>
        <v>565261000000</v>
      </c>
      <c r="AQ22" s="193">
        <f>资产资本表!AQ69</f>
        <v>524410000000</v>
      </c>
      <c r="AR22" s="193">
        <f>资产资本表!AR69</f>
        <v>489949000000</v>
      </c>
      <c r="AS22" s="193">
        <f>资产资本表!AS69</f>
        <v>476118000000</v>
      </c>
      <c r="AT22" s="193">
        <f>资产资本表!AT69</f>
        <v>441684000000</v>
      </c>
      <c r="AU22" s="193">
        <f>资产资本表!AU69</f>
        <v>438566000000</v>
      </c>
      <c r="AV22" s="193">
        <f>资产资本表!AV69</f>
        <v>424384000000</v>
      </c>
      <c r="AW22" s="193">
        <f>资产资本表!AW69</f>
        <v>413269000000</v>
      </c>
      <c r="AX22" s="193">
        <f>资产资本表!AX69</f>
        <v>408112000000</v>
      </c>
      <c r="AY22" s="193">
        <f>资产资本表!AY69</f>
        <v>399057000000</v>
      </c>
      <c r="AZ22" s="193">
        <f>资产资本表!AZ69</f>
        <v>391483000000</v>
      </c>
      <c r="BA22" s="193">
        <f>资产资本表!BA69</f>
        <v>367472000000</v>
      </c>
      <c r="BB22" s="193">
        <f>资产资本表!BB69</f>
        <v>363493000000</v>
      </c>
      <c r="BC22" s="193">
        <f>资产资本表!BC69</f>
        <v>361232000000</v>
      </c>
      <c r="BD22" s="193">
        <f>资产资本表!BD69</f>
        <v>348332000000</v>
      </c>
      <c r="BE22" s="193">
        <f>资产资本表!BE69</f>
        <v>327476000000</v>
      </c>
      <c r="BF22" s="193">
        <f>资产资本表!BF69</f>
        <v>307613000000</v>
      </c>
      <c r="BG22" s="193">
        <f>资产资本表!BG69</f>
        <v>298220000000</v>
      </c>
      <c r="BH22" s="193">
        <f>资产资本表!BH69</f>
        <v>284346000000</v>
      </c>
      <c r="BI22" s="193">
        <f>资产资本表!BI69</f>
        <v>271196000000</v>
      </c>
      <c r="BJ22" s="193">
        <f>资产资本表!BJ69</f>
        <v>262996000000</v>
      </c>
      <c r="BK22" s="193">
        <f>资产资本表!BK69</f>
        <v>263963000000</v>
      </c>
      <c r="BL22" s="193">
        <f>资产资本表!BL69</f>
        <v>263368000000</v>
      </c>
      <c r="BM22" s="193">
        <f>资产资本表!BM69</f>
        <v>259408000000</v>
      </c>
      <c r="BN22" s="193">
        <f>资产资本表!BN69</f>
        <v>255005000000</v>
      </c>
      <c r="BO22" s="193">
        <f>资产资本表!BO69</f>
        <v>258739000000</v>
      </c>
      <c r="BP22" s="193">
        <f>资产资本表!BP69</f>
        <v>258119000000</v>
      </c>
      <c r="BQ22" s="193">
        <f>资产资本表!BQ69</f>
        <v>256529000000</v>
      </c>
      <c r="BR22" s="193">
        <f>资产资本表!BR69</f>
        <v>256357000000</v>
      </c>
      <c r="BS22" s="193">
        <f>资产资本表!BS69</f>
        <v>232437000000</v>
      </c>
      <c r="BT22" s="193">
        <f>资产资本表!BT69</f>
        <v>0</v>
      </c>
      <c r="BU22" s="193">
        <f>资产资本表!BU69</f>
        <v>0</v>
      </c>
      <c r="BV22" s="193">
        <f>资产资本表!BV69</f>
        <v>0</v>
      </c>
      <c r="BW22" s="193">
        <f>资产资本表!BW69</f>
        <v>0</v>
      </c>
      <c r="BX22" s="193">
        <f>资产资本表!BX69</f>
        <v>0</v>
      </c>
      <c r="BY22" s="193">
        <f>资产资本表!BY69</f>
        <v>0</v>
      </c>
      <c r="BZ22" s="193">
        <f>资产资本表!BZ69</f>
        <v>0</v>
      </c>
      <c r="CA22" s="193">
        <f>资产资本表!CA69</f>
        <v>0</v>
      </c>
      <c r="CB22" s="193">
        <f>资产资本表!CB69</f>
        <v>0</v>
      </c>
      <c r="CC22" s="193">
        <f>资产资本表!CC69</f>
        <v>0</v>
      </c>
      <c r="CD22" s="193">
        <f>资产资本表!CD69</f>
        <v>0</v>
      </c>
      <c r="CE22" s="193">
        <f>资产资本表!CE69</f>
        <v>0</v>
      </c>
      <c r="CF22" s="193">
        <f>资产资本表!CF69</f>
        <v>0</v>
      </c>
      <c r="CG22" s="193">
        <f>资产资本表!CG69</f>
        <v>0</v>
      </c>
      <c r="CH22" s="193">
        <f>资产资本表!CH69</f>
        <v>0</v>
      </c>
      <c r="CI22" s="193">
        <f>资产资本表!CI69</f>
        <v>0</v>
      </c>
      <c r="CJ22" s="193">
        <f>资产资本表!CJ69</f>
        <v>0</v>
      </c>
      <c r="CK22" s="193">
        <f>资产资本表!CK69</f>
        <v>0</v>
      </c>
    </row>
    <row r="23" spans="1:89" s="246" customFormat="1" x14ac:dyDescent="0.25">
      <c r="A23" s="245" t="s">
        <v>686</v>
      </c>
      <c r="E23" s="246">
        <f>E19/E22</f>
        <v>3.1517398585037939</v>
      </c>
      <c r="F23" s="246">
        <f t="shared" ref="F23:BQ23" si="8">F19/F22</f>
        <v>2.2054648911268511</v>
      </c>
      <c r="G23" s="246">
        <f t="shared" si="8"/>
        <v>1.4315041244379394</v>
      </c>
      <c r="H23" s="246">
        <f t="shared" si="8"/>
        <v>0.69995948257931251</v>
      </c>
      <c r="I23" s="246">
        <f t="shared" si="8"/>
        <v>2.3837406824898708</v>
      </c>
      <c r="J23" s="246">
        <f t="shared" si="8"/>
        <v>1.5469806574252394</v>
      </c>
      <c r="K23" s="246">
        <f t="shared" si="8"/>
        <v>0.96868695883063893</v>
      </c>
      <c r="L23" s="246">
        <f t="shared" si="8"/>
        <v>0.4452198500978044</v>
      </c>
      <c r="M23" s="246">
        <f t="shared" si="8"/>
        <v>2.1793225465548192</v>
      </c>
      <c r="N23" s="246">
        <f t="shared" si="8"/>
        <v>1.6383141803296164</v>
      </c>
      <c r="O23" s="246">
        <f t="shared" si="8"/>
        <v>1.0968740478176111</v>
      </c>
      <c r="P23" s="246">
        <f t="shared" si="8"/>
        <v>0.49768195001337234</v>
      </c>
      <c r="Q23" s="246">
        <f t="shared" si="8"/>
        <v>3.0507282674877039</v>
      </c>
      <c r="R23" s="246">
        <f t="shared" si="8"/>
        <v>2.2767386426615155</v>
      </c>
      <c r="S23" s="246">
        <f t="shared" si="8"/>
        <v>1.4719017467391091</v>
      </c>
      <c r="T23" s="246">
        <f t="shared" si="8"/>
        <v>0.69899413929398935</v>
      </c>
      <c r="U23" s="246">
        <f t="shared" si="8"/>
        <v>3.2925064699911295</v>
      </c>
      <c r="V23" s="246">
        <f t="shared" si="8"/>
        <v>2.4242551947742985</v>
      </c>
      <c r="W23" s="246">
        <f t="shared" si="8"/>
        <v>1.6517131673112879</v>
      </c>
      <c r="X23" s="246">
        <f t="shared" si="8"/>
        <v>0.81403127293069333</v>
      </c>
      <c r="Y23" s="246">
        <f t="shared" si="8"/>
        <v>3.5213972617976279</v>
      </c>
      <c r="Z23" s="246">
        <f t="shared" si="8"/>
        <v>2.6336089945864951</v>
      </c>
      <c r="AA23" s="246">
        <f t="shared" si="8"/>
        <v>1.7178318755479438</v>
      </c>
      <c r="AB23" s="246">
        <f t="shared" si="8"/>
        <v>0.86495264672044236</v>
      </c>
      <c r="AC23" s="246">
        <f t="shared" si="8"/>
        <v>3.6130087654664558</v>
      </c>
      <c r="AD23" s="246">
        <f t="shared" si="8"/>
        <v>2.773052424846973</v>
      </c>
      <c r="AE23" s="246">
        <f t="shared" si="8"/>
        <v>1.7989579139608021</v>
      </c>
      <c r="AF23" s="246">
        <f t="shared" si="8"/>
        <v>0.89804390462624339</v>
      </c>
      <c r="AG23" s="246">
        <f t="shared" si="8"/>
        <v>3.0987923472131338</v>
      </c>
      <c r="AH23" s="246">
        <f t="shared" si="8"/>
        <v>2.2894260807092044</v>
      </c>
      <c r="AI23" s="246">
        <f t="shared" si="8"/>
        <v>1.5239712429702146</v>
      </c>
      <c r="AJ23" s="246">
        <f t="shared" si="8"/>
        <v>0.72280108533397114</v>
      </c>
      <c r="AK23" s="246">
        <f t="shared" si="8"/>
        <v>2.282898778993391</v>
      </c>
      <c r="AL23" s="246">
        <f t="shared" si="8"/>
        <v>1.5453006117567294</v>
      </c>
      <c r="AM23" s="246">
        <f t="shared" si="8"/>
        <v>0.96212399648318703</v>
      </c>
      <c r="AN23" s="246">
        <f t="shared" si="8"/>
        <v>0.4345639816733522</v>
      </c>
      <c r="AO23" s="246">
        <f t="shared" si="8"/>
        <v>2.6361335765959573</v>
      </c>
      <c r="AP23" s="246">
        <f t="shared" si="8"/>
        <v>2.0298534659210525</v>
      </c>
      <c r="AQ23" s="246">
        <f t="shared" si="8"/>
        <v>1.4011613050857155</v>
      </c>
      <c r="AR23" s="246">
        <f t="shared" si="8"/>
        <v>0.67764195865283938</v>
      </c>
      <c r="AS23" s="246">
        <f t="shared" si="8"/>
        <v>2.530555450539572</v>
      </c>
      <c r="AT23" s="246">
        <f t="shared" si="8"/>
        <v>1.9815478939694442</v>
      </c>
      <c r="AU23" s="246">
        <f t="shared" si="8"/>
        <v>1.2924622519757574</v>
      </c>
      <c r="AV23" s="246">
        <f t="shared" si="8"/>
        <v>0.64320049766249432</v>
      </c>
      <c r="AW23" s="246">
        <f t="shared" si="8"/>
        <v>2.5276006668779898</v>
      </c>
      <c r="AX23" s="246">
        <f t="shared" si="8"/>
        <v>1.8505189751832831</v>
      </c>
      <c r="AY23" s="246">
        <f t="shared" si="8"/>
        <v>1.2078174295902591</v>
      </c>
      <c r="AZ23" s="246">
        <f t="shared" si="8"/>
        <v>0.56885995049593474</v>
      </c>
      <c r="BA23" s="246">
        <f t="shared" si="8"/>
        <v>2.174628270997518</v>
      </c>
      <c r="BB23" s="246">
        <f t="shared" si="8"/>
        <v>1.5873483120720344</v>
      </c>
      <c r="BC23" s="246">
        <f t="shared" si="8"/>
        <v>0.99450768481197682</v>
      </c>
      <c r="BD23" s="246">
        <f t="shared" si="8"/>
        <v>0.48528415419771942</v>
      </c>
      <c r="BE23" s="246">
        <f t="shared" si="8"/>
        <v>1.803588659932331</v>
      </c>
      <c r="BF23" s="246">
        <f t="shared" si="8"/>
        <v>1.3578587380897427</v>
      </c>
      <c r="BG23" s="246">
        <f t="shared" si="8"/>
        <v>0.89098316678961842</v>
      </c>
      <c r="BH23" s="246">
        <f t="shared" si="8"/>
        <v>0.4342948379790818</v>
      </c>
      <c r="BI23" s="246">
        <f t="shared" si="8"/>
        <v>1.5383375861000901</v>
      </c>
      <c r="BJ23" s="246">
        <f t="shared" si="8"/>
        <v>1.1432189082723692</v>
      </c>
      <c r="BK23" s="246">
        <f t="shared" si="8"/>
        <v>0.7381413304137322</v>
      </c>
      <c r="BL23" s="246">
        <f t="shared" si="8"/>
        <v>0.37407353968591478</v>
      </c>
      <c r="BM23" s="246">
        <f t="shared" si="8"/>
        <v>1.24970702522667</v>
      </c>
      <c r="BN23" s="246">
        <f t="shared" si="8"/>
        <v>0.8869747652006823</v>
      </c>
      <c r="BO23" s="246">
        <f t="shared" si="8"/>
        <v>0.54351296093746981</v>
      </c>
      <c r="BP23" s="246">
        <f t="shared" si="8"/>
        <v>0.24405409907833209</v>
      </c>
      <c r="BQ23" s="246">
        <f t="shared" si="8"/>
        <v>1.1864038763648554</v>
      </c>
      <c r="BR23" s="246">
        <f t="shared" ref="BR23:CK23" si="9">BR19/BR22</f>
        <v>0.62535448612676858</v>
      </c>
      <c r="BS23" s="246">
        <f t="shared" si="9"/>
        <v>1.3893313026755636</v>
      </c>
      <c r="BT23" s="246" t="e">
        <f t="shared" si="9"/>
        <v>#DIV/0!</v>
      </c>
      <c r="BU23" s="246" t="e">
        <f t="shared" si="9"/>
        <v>#DIV/0!</v>
      </c>
      <c r="BV23" s="246" t="e">
        <f t="shared" si="9"/>
        <v>#DIV/0!</v>
      </c>
      <c r="BW23" s="246" t="e">
        <f t="shared" si="9"/>
        <v>#DIV/0!</v>
      </c>
      <c r="BX23" s="246" t="e">
        <f t="shared" si="9"/>
        <v>#DIV/0!</v>
      </c>
      <c r="BY23" s="246" t="e">
        <f t="shared" si="9"/>
        <v>#DIV/0!</v>
      </c>
      <c r="BZ23" s="246" t="e">
        <f t="shared" si="9"/>
        <v>#DIV/0!</v>
      </c>
      <c r="CA23" s="246" t="e">
        <f t="shared" si="9"/>
        <v>#DIV/0!</v>
      </c>
      <c r="CB23" s="246" t="e">
        <f t="shared" si="9"/>
        <v>#DIV/0!</v>
      </c>
      <c r="CC23" s="246" t="e">
        <f t="shared" si="9"/>
        <v>#DIV/0!</v>
      </c>
      <c r="CD23" s="246" t="e">
        <f t="shared" si="9"/>
        <v>#DIV/0!</v>
      </c>
      <c r="CE23" s="246" t="e">
        <f t="shared" si="9"/>
        <v>#DIV/0!</v>
      </c>
      <c r="CF23" s="246" t="e">
        <f t="shared" si="9"/>
        <v>#DIV/0!</v>
      </c>
      <c r="CG23" s="246" t="e">
        <f t="shared" si="9"/>
        <v>#DIV/0!</v>
      </c>
      <c r="CH23" s="246" t="e">
        <f t="shared" si="9"/>
        <v>#DIV/0!</v>
      </c>
      <c r="CI23" s="246" t="e">
        <f t="shared" si="9"/>
        <v>#DIV/0!</v>
      </c>
      <c r="CJ23" s="246" t="e">
        <f t="shared" si="9"/>
        <v>#DIV/0!</v>
      </c>
      <c r="CK23" s="246" t="e">
        <f t="shared" si="9"/>
        <v>#DIV/0!</v>
      </c>
    </row>
    <row r="24" spans="1:89" s="161" customFormat="1" ht="15" thickBot="1" x14ac:dyDescent="0.3">
      <c r="A24" s="160" t="s">
        <v>693</v>
      </c>
      <c r="E24" s="161">
        <f>E21*E23</f>
        <v>0.10223488156569906</v>
      </c>
      <c r="F24" s="161">
        <f t="shared" ref="F24:BQ24" si="10">F21*F23</f>
        <v>7.3769329971334535E-2</v>
      </c>
      <c r="G24" s="161">
        <f t="shared" si="10"/>
        <v>5.0368730316522059E-2</v>
      </c>
      <c r="H24" s="161">
        <f t="shared" si="10"/>
        <v>3.2629147001290063E-2</v>
      </c>
      <c r="I24" s="161">
        <f t="shared" si="10"/>
        <v>8.2418762669221296E-2</v>
      </c>
      <c r="J24" s="161">
        <f t="shared" si="10"/>
        <v>6.5174291864867367E-2</v>
      </c>
      <c r="K24" s="161">
        <f t="shared" si="10"/>
        <v>4.2160942487172795E-2</v>
      </c>
      <c r="L24" s="161">
        <f t="shared" si="10"/>
        <v>1.5977947204988994E-2</v>
      </c>
      <c r="M24" s="161">
        <f t="shared" si="10"/>
        <v>7.1533202861457645E-2</v>
      </c>
      <c r="N24" s="161">
        <f t="shared" si="10"/>
        <v>5.93021768330384E-2</v>
      </c>
      <c r="O24" s="161">
        <f t="shared" si="10"/>
        <v>4.7254604477273615E-2</v>
      </c>
      <c r="P24" s="161">
        <f t="shared" si="10"/>
        <v>7.6050771278450089E-3</v>
      </c>
      <c r="Q24" s="161">
        <f t="shared" si="10"/>
        <v>9.0459112951631629E-2</v>
      </c>
      <c r="R24" s="161">
        <f t="shared" si="10"/>
        <v>9.0217326969744258E-2</v>
      </c>
      <c r="S24" s="161">
        <f t="shared" si="10"/>
        <v>6.1337741242969736E-2</v>
      </c>
      <c r="T24" s="161">
        <f t="shared" si="10"/>
        <v>2.9519422107128251E-2</v>
      </c>
      <c r="U24" s="161">
        <f t="shared" si="10"/>
        <v>0.12801094640195335</v>
      </c>
      <c r="V24" s="161">
        <f t="shared" si="10"/>
        <v>9.8321766733052832E-2</v>
      </c>
      <c r="W24" s="161">
        <f t="shared" si="10"/>
        <v>6.216256591125003E-2</v>
      </c>
      <c r="X24" s="161">
        <f t="shared" si="10"/>
        <v>3.5337405219801117E-2</v>
      </c>
      <c r="Y24" s="161">
        <f t="shared" si="10"/>
        <v>0.14480343185334238</v>
      </c>
      <c r="Z24" s="161">
        <f t="shared" si="10"/>
        <v>0.10300877450840121</v>
      </c>
      <c r="AA24" s="161">
        <f t="shared" si="10"/>
        <v>5.8561176014842904E-2</v>
      </c>
      <c r="AB24" s="161">
        <f t="shared" si="10"/>
        <v>3.2434194337189359E-2</v>
      </c>
      <c r="AC24" s="161">
        <f t="shared" si="10"/>
        <v>0.16858130370272106</v>
      </c>
      <c r="AD24" s="161">
        <f t="shared" si="10"/>
        <v>0.14024818578292692</v>
      </c>
      <c r="AE24" s="161">
        <f t="shared" si="10"/>
        <v>9.1555952318437217E-2</v>
      </c>
      <c r="AF24" s="161">
        <f t="shared" si="10"/>
        <v>5.1661293225193465E-2</v>
      </c>
      <c r="AG24" s="161">
        <f t="shared" si="10"/>
        <v>0.18543689949400385</v>
      </c>
      <c r="AH24" s="161">
        <f t="shared" si="10"/>
        <v>0.14278383250049714</v>
      </c>
      <c r="AI24" s="161">
        <f t="shared" si="10"/>
        <v>8.9820154655280149E-2</v>
      </c>
      <c r="AJ24" s="161">
        <f t="shared" si="10"/>
        <v>4.0139213050398755E-2</v>
      </c>
      <c r="AK24" s="161">
        <f t="shared" si="10"/>
        <v>0.16024311507741187</v>
      </c>
      <c r="AL24" s="161">
        <f t="shared" si="10"/>
        <v>0.13068797985371108</v>
      </c>
      <c r="AM24" s="161">
        <f t="shared" si="10"/>
        <v>9.1219137804297995E-2</v>
      </c>
      <c r="AN24" s="161">
        <f t="shared" si="10"/>
        <v>3.5550654930514632E-2</v>
      </c>
      <c r="AO24" s="161">
        <f t="shared" si="10"/>
        <v>6.5916909475442279E-2</v>
      </c>
      <c r="AP24" s="161">
        <f t="shared" si="10"/>
        <v>4.6323733638089309E-2</v>
      </c>
      <c r="AQ24" s="161">
        <f t="shared" si="10"/>
        <v>2.5302721153296088E-2</v>
      </c>
      <c r="AR24" s="161">
        <f t="shared" si="10"/>
        <v>1.2813578556135434E-2</v>
      </c>
      <c r="AS24" s="161">
        <f t="shared" si="10"/>
        <v>0.20238890359112655</v>
      </c>
      <c r="AT24" s="161">
        <f t="shared" si="10"/>
        <v>0.18603345378143651</v>
      </c>
      <c r="AU24" s="161">
        <f t="shared" si="10"/>
        <v>0.13443130566436978</v>
      </c>
      <c r="AV24" s="161">
        <f t="shared" si="10"/>
        <v>5.9988123963203133E-2</v>
      </c>
      <c r="AW24" s="161">
        <f t="shared" si="10"/>
        <v>0.1983018324626333</v>
      </c>
      <c r="AX24" s="161">
        <f t="shared" si="10"/>
        <v>0.14278433371231428</v>
      </c>
      <c r="AY24" s="161">
        <f t="shared" si="10"/>
        <v>9.208709532723397E-2</v>
      </c>
      <c r="AZ24" s="161">
        <f t="shared" si="10"/>
        <v>4.0959632985340368E-2</v>
      </c>
      <c r="BA24" s="161">
        <f t="shared" si="10"/>
        <v>0.168970697087125</v>
      </c>
      <c r="BB24" s="161">
        <f t="shared" si="10"/>
        <v>0.13850060386307303</v>
      </c>
      <c r="BC24" s="161">
        <f t="shared" si="10"/>
        <v>9.9459627054081581E-2</v>
      </c>
      <c r="BD24" s="161">
        <f t="shared" si="10"/>
        <v>4.987483205677342E-2</v>
      </c>
      <c r="BE24" s="161">
        <f t="shared" si="10"/>
        <v>0.18954671487376176</v>
      </c>
      <c r="BF24" s="161">
        <f t="shared" si="10"/>
        <v>0.14437946380679623</v>
      </c>
      <c r="BG24" s="161">
        <f t="shared" si="10"/>
        <v>9.2331164911810079E-2</v>
      </c>
      <c r="BH24" s="161">
        <f t="shared" si="10"/>
        <v>5.0241607056192107E-2</v>
      </c>
      <c r="BI24" s="161">
        <f t="shared" si="10"/>
        <v>0.14333913479549848</v>
      </c>
      <c r="BJ24" s="161">
        <f t="shared" si="10"/>
        <v>0.11164048122404904</v>
      </c>
      <c r="BK24" s="161">
        <f t="shared" si="10"/>
        <v>7.3419380746544013E-2</v>
      </c>
      <c r="BL24" s="161">
        <f t="shared" si="10"/>
        <v>4.2826007715439998E-2</v>
      </c>
      <c r="BM24" s="161">
        <f t="shared" si="10"/>
        <v>0.11298032443101216</v>
      </c>
      <c r="BN24" s="161">
        <f t="shared" si="10"/>
        <v>7.7974941667810438E-2</v>
      </c>
      <c r="BO24" s="161">
        <f t="shared" si="10"/>
        <v>4.1717715535732919E-2</v>
      </c>
      <c r="BP24" s="161">
        <f t="shared" si="10"/>
        <v>7.2214753660133505E-3</v>
      </c>
      <c r="BQ24" s="161">
        <f t="shared" si="10"/>
        <v>0.1050212646523395</v>
      </c>
      <c r="BR24" s="161">
        <f t="shared" ref="BR24:CK24" si="11">BR21*BR23</f>
        <v>6.1582090600217666E-2</v>
      </c>
      <c r="BS24" s="161">
        <f t="shared" si="11"/>
        <v>0.13939260961034602</v>
      </c>
      <c r="BT24" s="161" t="e">
        <f t="shared" si="11"/>
        <v>#DIV/0!</v>
      </c>
      <c r="BU24" s="161" t="e">
        <f t="shared" si="11"/>
        <v>#DIV/0!</v>
      </c>
      <c r="BV24" s="161" t="e">
        <f t="shared" si="11"/>
        <v>#DIV/0!</v>
      </c>
      <c r="BW24" s="161" t="e">
        <f t="shared" si="11"/>
        <v>#DIV/0!</v>
      </c>
      <c r="BX24" s="161" t="e">
        <f t="shared" si="11"/>
        <v>#DIV/0!</v>
      </c>
      <c r="BY24" s="161" t="e">
        <f t="shared" si="11"/>
        <v>#DIV/0!</v>
      </c>
      <c r="BZ24" s="161" t="e">
        <f t="shared" si="11"/>
        <v>#DIV/0!</v>
      </c>
      <c r="CA24" s="161" t="e">
        <f t="shared" si="11"/>
        <v>#DIV/0!</v>
      </c>
      <c r="CB24" s="161" t="e">
        <f t="shared" si="11"/>
        <v>#DIV/0!</v>
      </c>
      <c r="CC24" s="161" t="e">
        <f t="shared" si="11"/>
        <v>#DIV/0!</v>
      </c>
      <c r="CD24" s="161" t="e">
        <f t="shared" si="11"/>
        <v>#DIV/0!</v>
      </c>
      <c r="CE24" s="161" t="e">
        <f t="shared" si="11"/>
        <v>#DIV/0!</v>
      </c>
      <c r="CF24" s="161" t="e">
        <f t="shared" si="11"/>
        <v>#DIV/0!</v>
      </c>
      <c r="CG24" s="161" t="e">
        <f t="shared" si="11"/>
        <v>#DIV/0!</v>
      </c>
      <c r="CH24" s="161" t="e">
        <f t="shared" si="11"/>
        <v>#DIV/0!</v>
      </c>
      <c r="CI24" s="161" t="e">
        <f t="shared" si="11"/>
        <v>#DIV/0!</v>
      </c>
      <c r="CJ24" s="161" t="e">
        <f t="shared" si="11"/>
        <v>#DIV/0!</v>
      </c>
      <c r="CK24" s="161" t="e">
        <f t="shared" si="11"/>
        <v>#DIV/0!</v>
      </c>
    </row>
    <row r="25" spans="1:89" s="248" customFormat="1" x14ac:dyDescent="0.25">
      <c r="A25" s="247" t="s">
        <v>441</v>
      </c>
      <c r="B25" s="1">
        <v>43373</v>
      </c>
      <c r="C25" s="1">
        <v>43281</v>
      </c>
      <c r="D25" s="1">
        <v>43190</v>
      </c>
      <c r="E25" s="1">
        <v>43100</v>
      </c>
      <c r="F25" s="1">
        <v>43008</v>
      </c>
      <c r="G25" s="1">
        <v>42916</v>
      </c>
      <c r="H25" s="1">
        <v>42825</v>
      </c>
      <c r="I25" s="1">
        <v>42735</v>
      </c>
      <c r="J25" s="1">
        <v>42643</v>
      </c>
      <c r="K25" s="1">
        <v>42551</v>
      </c>
      <c r="L25" s="1">
        <v>42460</v>
      </c>
      <c r="M25" s="1">
        <v>42369</v>
      </c>
      <c r="N25" s="1">
        <v>42277</v>
      </c>
      <c r="O25" s="1">
        <v>42185</v>
      </c>
      <c r="P25" s="1">
        <v>42094</v>
      </c>
      <c r="Q25" s="1">
        <v>42004</v>
      </c>
      <c r="R25" s="1">
        <v>41912</v>
      </c>
      <c r="S25" s="1">
        <v>41820</v>
      </c>
      <c r="T25" s="1">
        <v>41729</v>
      </c>
      <c r="U25" s="1">
        <v>41639</v>
      </c>
      <c r="V25" s="1">
        <v>41547</v>
      </c>
      <c r="W25" s="1">
        <v>41455</v>
      </c>
      <c r="X25" s="1">
        <v>41364</v>
      </c>
      <c r="Y25" s="1">
        <v>41274</v>
      </c>
      <c r="Z25" s="1">
        <v>41182</v>
      </c>
      <c r="AA25" s="1">
        <v>41090</v>
      </c>
      <c r="AB25" s="1">
        <v>40999</v>
      </c>
      <c r="AC25" s="1">
        <v>40908</v>
      </c>
      <c r="AD25" s="1">
        <v>40816</v>
      </c>
      <c r="AE25" s="1">
        <v>40724</v>
      </c>
      <c r="AF25" s="1">
        <v>40633</v>
      </c>
      <c r="AG25" s="1">
        <v>40543</v>
      </c>
      <c r="AH25" s="1">
        <v>40451</v>
      </c>
      <c r="AI25" s="1">
        <v>40359</v>
      </c>
      <c r="AJ25" s="1">
        <v>40268</v>
      </c>
      <c r="AK25" s="1">
        <v>40178</v>
      </c>
      <c r="AL25" s="1">
        <v>40086</v>
      </c>
      <c r="AM25" s="1">
        <v>39994</v>
      </c>
      <c r="AN25" s="1">
        <v>39903</v>
      </c>
      <c r="AO25" s="1">
        <v>39813</v>
      </c>
      <c r="AP25" s="1">
        <v>39721</v>
      </c>
      <c r="AQ25" s="1">
        <v>39629</v>
      </c>
      <c r="AR25" s="1">
        <v>39538</v>
      </c>
      <c r="AS25" s="1">
        <v>39447</v>
      </c>
      <c r="AT25" s="1">
        <v>39355</v>
      </c>
      <c r="AU25" s="1">
        <v>39263</v>
      </c>
      <c r="AV25" s="1">
        <v>39172</v>
      </c>
      <c r="AW25" s="1">
        <v>39082</v>
      </c>
      <c r="AX25" s="1">
        <v>38990</v>
      </c>
      <c r="AY25" s="1">
        <v>38898</v>
      </c>
      <c r="AZ25" s="1">
        <v>38807</v>
      </c>
      <c r="BA25" s="1">
        <v>38717</v>
      </c>
      <c r="BB25" s="1">
        <v>38625</v>
      </c>
      <c r="BC25" s="1">
        <v>38533</v>
      </c>
      <c r="BD25" s="1">
        <v>38442</v>
      </c>
      <c r="BE25" s="1">
        <v>38352</v>
      </c>
      <c r="BF25" s="1">
        <v>38260</v>
      </c>
      <c r="BG25" s="1">
        <v>38168</v>
      </c>
      <c r="BH25" s="1">
        <v>38077</v>
      </c>
      <c r="BI25" s="1">
        <v>37986</v>
      </c>
      <c r="BJ25" s="1">
        <v>37894</v>
      </c>
      <c r="BK25" s="1">
        <v>37802</v>
      </c>
      <c r="BL25" s="1">
        <v>37711</v>
      </c>
      <c r="BM25" s="1">
        <v>37621</v>
      </c>
      <c r="BN25" s="1">
        <v>37529</v>
      </c>
      <c r="BO25" s="1">
        <v>37437</v>
      </c>
      <c r="BP25" s="1">
        <v>37346</v>
      </c>
      <c r="BQ25" s="1">
        <v>37256</v>
      </c>
      <c r="BR25" s="1">
        <v>37072</v>
      </c>
      <c r="BS25" s="1">
        <v>36891</v>
      </c>
      <c r="BT25" s="1">
        <v>36525</v>
      </c>
      <c r="BU25" s="1">
        <v>36160</v>
      </c>
      <c r="BV25" s="1">
        <v>25569</v>
      </c>
      <c r="BW25" s="1"/>
      <c r="BX25" s="1"/>
      <c r="BY25" s="1"/>
      <c r="BZ25" s="1"/>
      <c r="CA25" s="1"/>
      <c r="CB25" s="1"/>
      <c r="CC25" s="1"/>
      <c r="CD25" s="1"/>
      <c r="CE25" s="1"/>
      <c r="CF25" s="1"/>
      <c r="CG25" s="1"/>
      <c r="CH25" s="1"/>
      <c r="CI25" s="1"/>
      <c r="CJ25" s="1"/>
      <c r="CK25" s="1"/>
    </row>
    <row r="26" spans="1:89" s="76" customFormat="1" x14ac:dyDescent="0.25">
      <c r="A26" s="147" t="s">
        <v>442</v>
      </c>
      <c r="E26" s="76">
        <f>利润表!E14</f>
        <v>0</v>
      </c>
      <c r="F26" s="76">
        <f>利润表!F14</f>
        <v>0</v>
      </c>
      <c r="G26" s="76">
        <f>利润表!G14</f>
        <v>0</v>
      </c>
      <c r="H26" s="76">
        <f>利润表!H14</f>
        <v>0</v>
      </c>
      <c r="I26" s="76">
        <f>利润表!I14</f>
        <v>0</v>
      </c>
      <c r="J26" s="76">
        <f>利润表!J14</f>
        <v>0</v>
      </c>
      <c r="K26" s="76">
        <f>利润表!K14</f>
        <v>0</v>
      </c>
      <c r="L26" s="76">
        <f>利润表!L14</f>
        <v>0</v>
      </c>
      <c r="M26" s="76">
        <f>利润表!M14</f>
        <v>0</v>
      </c>
      <c r="N26" s="76">
        <f>利润表!N14</f>
        <v>0</v>
      </c>
      <c r="O26" s="76">
        <f>利润表!O14</f>
        <v>0</v>
      </c>
      <c r="P26" s="76">
        <f>利润表!P14</f>
        <v>0</v>
      </c>
      <c r="Q26" s="76">
        <f>利润表!Q14</f>
        <v>0</v>
      </c>
      <c r="R26" s="76">
        <f>利润表!R14</f>
        <v>0</v>
      </c>
      <c r="S26" s="76">
        <f>利润表!S14</f>
        <v>0</v>
      </c>
      <c r="T26" s="76">
        <f>利润表!T14</f>
        <v>0</v>
      </c>
      <c r="U26" s="76">
        <f>利润表!U14</f>
        <v>0</v>
      </c>
      <c r="V26" s="76">
        <f>利润表!V14</f>
        <v>0</v>
      </c>
      <c r="W26" s="76">
        <f>利润表!W14</f>
        <v>0</v>
      </c>
      <c r="X26" s="76">
        <f>利润表!X14</f>
        <v>0</v>
      </c>
      <c r="Y26" s="76">
        <f>利润表!Y14</f>
        <v>0</v>
      </c>
      <c r="Z26" s="76">
        <f>利润表!Z14</f>
        <v>0</v>
      </c>
      <c r="AA26" s="76">
        <f>利润表!AA14</f>
        <v>0</v>
      </c>
      <c r="AB26" s="76">
        <f>利润表!AB14</f>
        <v>0</v>
      </c>
      <c r="AC26" s="76">
        <f>利润表!AC14</f>
        <v>0</v>
      </c>
      <c r="AD26" s="76">
        <f>利润表!AD14</f>
        <v>0</v>
      </c>
      <c r="AE26" s="76">
        <f>利润表!AE14</f>
        <v>0</v>
      </c>
      <c r="AF26" s="76">
        <f>利润表!AF14</f>
        <v>0</v>
      </c>
      <c r="AG26" s="76">
        <f>利润表!AG14</f>
        <v>0</v>
      </c>
      <c r="AH26" s="76">
        <f>利润表!AH14</f>
        <v>0</v>
      </c>
      <c r="AI26" s="76">
        <f>利润表!AI14</f>
        <v>0</v>
      </c>
      <c r="AJ26" s="76">
        <f>利润表!AJ14</f>
        <v>0</v>
      </c>
      <c r="AK26" s="76">
        <f>利润表!AK14</f>
        <v>0</v>
      </c>
      <c r="AL26" s="76">
        <f>利润表!AL14</f>
        <v>0</v>
      </c>
      <c r="AM26" s="76">
        <f>利润表!AM14</f>
        <v>0</v>
      </c>
      <c r="AN26" s="76">
        <f>利润表!AN14</f>
        <v>463000000</v>
      </c>
      <c r="AO26" s="76">
        <f>利润表!AO14</f>
        <v>0</v>
      </c>
      <c r="AP26" s="76">
        <f>利润表!AP14</f>
        <v>0</v>
      </c>
      <c r="AQ26" s="76">
        <f>利润表!AQ14</f>
        <v>0</v>
      </c>
      <c r="AR26" s="76">
        <f>利润表!AR14</f>
        <v>0</v>
      </c>
      <c r="AS26" s="76">
        <f>利润表!AS14</f>
        <v>0</v>
      </c>
      <c r="AT26" s="76">
        <f>利润表!AT14</f>
        <v>0</v>
      </c>
      <c r="AU26" s="76">
        <f>利润表!AU14</f>
        <v>0</v>
      </c>
      <c r="AV26" s="76">
        <f>利润表!AV14</f>
        <v>0</v>
      </c>
      <c r="AW26" s="76">
        <f>利润表!AW14</f>
        <v>0</v>
      </c>
      <c r="AX26" s="76">
        <f>利润表!AX14</f>
        <v>0</v>
      </c>
      <c r="AY26" s="76">
        <f>利润表!AY14</f>
        <v>0</v>
      </c>
      <c r="AZ26" s="76">
        <f>利润表!AZ14</f>
        <v>0</v>
      </c>
      <c r="BA26" s="76">
        <f>利润表!BA14</f>
        <v>0</v>
      </c>
      <c r="BB26" s="76">
        <f>利润表!BB14</f>
        <v>0</v>
      </c>
      <c r="BC26" s="76">
        <f>利润表!BC14</f>
        <v>0</v>
      </c>
      <c r="BD26" s="76">
        <f>利润表!BD14</f>
        <v>0</v>
      </c>
      <c r="BE26" s="76">
        <f>利润表!BE14</f>
        <v>0</v>
      </c>
      <c r="BF26" s="76">
        <f>利润表!BF14</f>
        <v>0</v>
      </c>
      <c r="BG26" s="76">
        <f>利润表!BG14</f>
        <v>0</v>
      </c>
      <c r="BH26" s="76">
        <f>利润表!BH14</f>
        <v>0</v>
      </c>
      <c r="BI26" s="76">
        <f>利润表!BI14</f>
        <v>0</v>
      </c>
      <c r="BJ26" s="76">
        <f>利润表!BJ14</f>
        <v>0</v>
      </c>
      <c r="BK26" s="76">
        <f>利润表!BK14</f>
        <v>0</v>
      </c>
      <c r="BL26" s="76">
        <f>利润表!BL14</f>
        <v>0</v>
      </c>
      <c r="BM26" s="76">
        <f>利润表!BM14</f>
        <v>0</v>
      </c>
      <c r="BN26" s="76">
        <f>利润表!BN14</f>
        <v>0</v>
      </c>
      <c r="BO26" s="76">
        <f>利润表!BO14</f>
        <v>0</v>
      </c>
      <c r="BP26" s="76">
        <f>利润表!BP14</f>
        <v>0</v>
      </c>
      <c r="BQ26" s="76">
        <f>利润表!BQ14</f>
        <v>0</v>
      </c>
      <c r="BR26" s="76">
        <f>利润表!BR14</f>
        <v>0</v>
      </c>
      <c r="BS26" s="76">
        <f>利润表!BS14</f>
        <v>0</v>
      </c>
      <c r="BT26" s="76">
        <f>利润表!BT14</f>
        <v>0</v>
      </c>
      <c r="BU26" s="76">
        <f>利润表!BU14</f>
        <v>0</v>
      </c>
      <c r="BV26" s="76">
        <f>利润表!BV14</f>
        <v>0</v>
      </c>
      <c r="BW26" s="76">
        <f>利润表!BW14</f>
        <v>0</v>
      </c>
      <c r="BX26" s="76">
        <f>利润表!BX14</f>
        <v>0</v>
      </c>
      <c r="BY26" s="76">
        <f>利润表!BY14</f>
        <v>0</v>
      </c>
      <c r="BZ26" s="76">
        <f>利润表!BZ14</f>
        <v>0</v>
      </c>
      <c r="CA26" s="76">
        <f>利润表!CA14</f>
        <v>0</v>
      </c>
      <c r="CB26" s="76">
        <f>利润表!CB14</f>
        <v>0</v>
      </c>
      <c r="CC26" s="76">
        <f>利润表!CC14</f>
        <v>0</v>
      </c>
      <c r="CD26" s="76">
        <f>利润表!CD14</f>
        <v>0</v>
      </c>
      <c r="CE26" s="76">
        <f>利润表!CE14</f>
        <v>0</v>
      </c>
      <c r="CF26" s="76">
        <f>利润表!CF14</f>
        <v>0</v>
      </c>
      <c r="CG26" s="76">
        <f>利润表!CG14</f>
        <v>0</v>
      </c>
      <c r="CH26" s="76">
        <f>利润表!CH14</f>
        <v>0</v>
      </c>
      <c r="CI26" s="76">
        <f>利润表!CI14</f>
        <v>0</v>
      </c>
      <c r="CJ26" s="76">
        <f>利润表!CJ14</f>
        <v>0</v>
      </c>
    </row>
    <row r="27" spans="1:89" s="76" customFormat="1" x14ac:dyDescent="0.25">
      <c r="A27" s="147" t="s">
        <v>443</v>
      </c>
      <c r="E27" s="76">
        <f>资产资本表!E19</f>
        <v>131087000000</v>
      </c>
      <c r="F27" s="76">
        <f>资产资本表!F19</f>
        <v>125971000000</v>
      </c>
      <c r="G27" s="76">
        <f>资产资本表!G19</f>
        <v>122296000000</v>
      </c>
      <c r="H27" s="76">
        <f>资产资本表!H19</f>
        <v>120161000000</v>
      </c>
      <c r="I27" s="76">
        <f>资产资本表!I19</f>
        <v>116812000000</v>
      </c>
      <c r="J27" s="76">
        <f>资产资本表!J19</f>
        <v>90168000000</v>
      </c>
      <c r="K27" s="76">
        <f>资产资本表!K19</f>
        <v>88711000000</v>
      </c>
      <c r="L27" s="76">
        <f>资产资本表!L19</f>
        <v>85256000000</v>
      </c>
      <c r="M27" s="76">
        <f>资产资本表!M19</f>
        <v>82970000000</v>
      </c>
      <c r="N27" s="76">
        <f>资产资本表!N19</f>
        <v>85670000000</v>
      </c>
      <c r="O27" s="76">
        <f>资产资本表!O19</f>
        <v>84844000000</v>
      </c>
      <c r="P27" s="76">
        <f>资产资本表!P19</f>
        <v>82656000000</v>
      </c>
      <c r="Q27" s="76">
        <f>资产资本表!Q19</f>
        <v>80593000000</v>
      </c>
      <c r="R27" s="76">
        <f>资产资本表!R19</f>
        <v>77270000000</v>
      </c>
      <c r="S27" s="76">
        <f>资产资本表!S19</f>
        <v>79477000000</v>
      </c>
      <c r="T27" s="76">
        <f>资产资本表!T19</f>
        <v>79408000000</v>
      </c>
      <c r="U27" s="76">
        <f>资产资本表!U19</f>
        <v>77078000000</v>
      </c>
      <c r="V27" s="76">
        <f>资产资本表!V19</f>
        <v>58560000000</v>
      </c>
      <c r="W27" s="76">
        <f>资产资本表!W19</f>
        <v>56138000000</v>
      </c>
      <c r="X27" s="76">
        <f>资产资本表!X19</f>
        <v>54512000000</v>
      </c>
      <c r="Y27" s="76">
        <f>资产资本表!Y19</f>
        <v>52061000000</v>
      </c>
      <c r="Z27" s="76">
        <f>资产资本表!Z19</f>
        <v>47731000000</v>
      </c>
      <c r="AA27" s="76">
        <f>资产资本表!AA19</f>
        <v>47498000000</v>
      </c>
      <c r="AB27" s="76">
        <f>资产资本表!AB19</f>
        <v>48482000000</v>
      </c>
      <c r="AC27" s="76">
        <f>资产资本表!AC19</f>
        <v>47458000000</v>
      </c>
      <c r="AD27" s="76">
        <f>资产资本表!AD19</f>
        <v>46822000000</v>
      </c>
      <c r="AE27" s="76">
        <f>资产资本表!AE19</f>
        <v>45706000000</v>
      </c>
      <c r="AF27" s="76">
        <f>资产资本表!AF19</f>
        <v>46799000000</v>
      </c>
      <c r="AG27" s="76">
        <f>资产资本表!AG19</f>
        <v>45037000000</v>
      </c>
      <c r="AH27" s="76">
        <f>资产资本表!AH19</f>
        <v>40305000000</v>
      </c>
      <c r="AI27" s="76">
        <f>资产资本表!AI19</f>
        <v>39107000000</v>
      </c>
      <c r="AJ27" s="76">
        <f>资产资本表!AJ19</f>
        <v>37745000000</v>
      </c>
      <c r="AK27" s="76">
        <f>资产资本表!AK19</f>
        <v>33503000000</v>
      </c>
      <c r="AL27" s="76">
        <f>资产资本表!AL19</f>
        <v>31775000000</v>
      </c>
      <c r="AM27" s="76">
        <f>资产资本表!AM19</f>
        <v>30582000000</v>
      </c>
      <c r="AN27" s="76">
        <f>资产资本表!AN19</f>
        <v>29770000000</v>
      </c>
      <c r="AO27" s="76">
        <f>资产资本表!AO19</f>
        <v>28705000000</v>
      </c>
      <c r="AP27" s="76">
        <f>资产资本表!AP19</f>
        <v>31369000000</v>
      </c>
      <c r="AQ27" s="76">
        <f>资产资本表!AQ19</f>
        <v>31189000000</v>
      </c>
      <c r="AR27" s="76">
        <f>资产资本表!AR19</f>
        <v>33317000000</v>
      </c>
      <c r="AS27" s="76">
        <f>资产资本表!AS19</f>
        <v>31335000000</v>
      </c>
      <c r="AT27" s="76">
        <f>资产资本表!AT19</f>
        <v>24663000000</v>
      </c>
      <c r="AU27" s="76">
        <f>资产资本表!AU19</f>
        <v>24408000000</v>
      </c>
      <c r="AV27" s="76">
        <f>资产资本表!AV19</f>
        <v>24520000000</v>
      </c>
      <c r="AW27" s="76">
        <f>资产资本表!AW19</f>
        <v>27483000000</v>
      </c>
      <c r="AX27" s="76">
        <f>资产资本表!AX19</f>
        <v>27298000000</v>
      </c>
      <c r="AY27" s="76">
        <f>资产资本表!AY19</f>
        <v>27392000000</v>
      </c>
      <c r="AZ27" s="76">
        <f>资产资本表!AZ19</f>
        <v>14553000000</v>
      </c>
      <c r="BA27" s="76">
        <f>资产资本表!BA19</f>
        <v>14146000000</v>
      </c>
      <c r="BB27" s="76">
        <f>资产资本表!BB19</f>
        <v>11917000000</v>
      </c>
      <c r="BC27" s="76">
        <f>资产资本表!BC19</f>
        <v>10549000000</v>
      </c>
      <c r="BD27" s="76">
        <f>资产资本表!BD19</f>
        <v>10814000000</v>
      </c>
      <c r="BE27" s="76">
        <f>资产资本表!BE19</f>
        <v>13409000000</v>
      </c>
      <c r="BF27" s="76">
        <f>资产资本表!BF19</f>
        <v>12534000000</v>
      </c>
      <c r="BG27" s="76">
        <f>资产资本表!BG19</f>
        <v>12106000000</v>
      </c>
      <c r="BH27" s="76">
        <f>资产资本表!BH19</f>
        <v>11429000000</v>
      </c>
      <c r="BI27" s="76">
        <f>资产资本表!BI19</f>
        <v>11150000000</v>
      </c>
      <c r="BJ27" s="76">
        <f>资产资本表!BJ19</f>
        <v>11383000000</v>
      </c>
      <c r="BK27" s="76">
        <f>资产资本表!BK19</f>
        <v>10836000000</v>
      </c>
      <c r="BL27" s="76">
        <f>资产资本表!BL19</f>
        <v>10934000000</v>
      </c>
      <c r="BM27" s="76">
        <f>资产资本表!BM19</f>
        <v>11025000000</v>
      </c>
      <c r="BN27" s="76">
        <f>资产资本表!BN19</f>
        <v>10567000000</v>
      </c>
      <c r="BO27" s="76">
        <f>资产资本表!BO19</f>
        <v>10128000000</v>
      </c>
      <c r="BP27" s="76">
        <f>资产资本表!BP19</f>
        <v>9614000000</v>
      </c>
      <c r="BQ27" s="76">
        <f>资产资本表!BQ19</f>
        <v>8910000000</v>
      </c>
      <c r="BR27" s="76">
        <f>资产资本表!BR19</f>
        <v>7214000000</v>
      </c>
      <c r="BS27" s="76">
        <f>资产资本表!BS19</f>
        <v>5235000000</v>
      </c>
      <c r="BT27" s="76">
        <f>资产资本表!BT19</f>
        <v>0</v>
      </c>
      <c r="BU27" s="76">
        <f>资产资本表!BU19</f>
        <v>0</v>
      </c>
      <c r="BV27" s="76">
        <f>资产资本表!BV19</f>
        <v>0</v>
      </c>
      <c r="BW27" s="76">
        <f>资产资本表!BW19</f>
        <v>0</v>
      </c>
      <c r="BX27" s="76">
        <f>资产资本表!BX19</f>
        <v>0</v>
      </c>
      <c r="BY27" s="76">
        <f>资产资本表!BY19</f>
        <v>0</v>
      </c>
      <c r="BZ27" s="76">
        <f>资产资本表!BZ19</f>
        <v>0</v>
      </c>
      <c r="CA27" s="76">
        <f>资产资本表!CA19</f>
        <v>0</v>
      </c>
      <c r="CB27" s="76">
        <f>资产资本表!CB19</f>
        <v>0</v>
      </c>
      <c r="CC27" s="76">
        <f>资产资本表!CC19</f>
        <v>0</v>
      </c>
      <c r="CD27" s="76">
        <f>资产资本表!CD19</f>
        <v>0</v>
      </c>
      <c r="CE27" s="76">
        <f>资产资本表!CE19</f>
        <v>0</v>
      </c>
      <c r="CF27" s="76">
        <f>资产资本表!CF19</f>
        <v>0</v>
      </c>
      <c r="CG27" s="76">
        <f>资产资本表!CG19</f>
        <v>0</v>
      </c>
      <c r="CH27" s="76">
        <f>资产资本表!CH19</f>
        <v>0</v>
      </c>
      <c r="CI27" s="76">
        <f>资产资本表!CI19</f>
        <v>0</v>
      </c>
      <c r="CJ27" s="76">
        <f>资产资本表!CJ19</f>
        <v>0</v>
      </c>
      <c r="CK27" s="76">
        <f>资产资本表!CK19</f>
        <v>0</v>
      </c>
    </row>
    <row r="28" spans="1:89" s="110" customFormat="1" x14ac:dyDescent="0.25">
      <c r="A28" s="145" t="s">
        <v>444</v>
      </c>
      <c r="E28" s="110">
        <f>E26/E27</f>
        <v>0</v>
      </c>
      <c r="F28" s="110">
        <f t="shared" ref="F28:BQ28" si="12">F26/F27</f>
        <v>0</v>
      </c>
      <c r="G28" s="110">
        <f t="shared" si="12"/>
        <v>0</v>
      </c>
      <c r="H28" s="110">
        <f t="shared" si="12"/>
        <v>0</v>
      </c>
      <c r="I28" s="110">
        <f t="shared" si="12"/>
        <v>0</v>
      </c>
      <c r="J28" s="110">
        <f t="shared" si="12"/>
        <v>0</v>
      </c>
      <c r="K28" s="110">
        <f t="shared" si="12"/>
        <v>0</v>
      </c>
      <c r="L28" s="110">
        <f t="shared" si="12"/>
        <v>0</v>
      </c>
      <c r="M28" s="110">
        <f t="shared" si="12"/>
        <v>0</v>
      </c>
      <c r="N28" s="110">
        <f t="shared" si="12"/>
        <v>0</v>
      </c>
      <c r="O28" s="110">
        <f t="shared" si="12"/>
        <v>0</v>
      </c>
      <c r="P28" s="110">
        <f t="shared" si="12"/>
        <v>0</v>
      </c>
      <c r="Q28" s="110">
        <f t="shared" si="12"/>
        <v>0</v>
      </c>
      <c r="R28" s="110">
        <f t="shared" si="12"/>
        <v>0</v>
      </c>
      <c r="S28" s="110">
        <f t="shared" si="12"/>
        <v>0</v>
      </c>
      <c r="T28" s="110">
        <f t="shared" si="12"/>
        <v>0</v>
      </c>
      <c r="U28" s="110">
        <f t="shared" si="12"/>
        <v>0</v>
      </c>
      <c r="V28" s="110">
        <f t="shared" si="12"/>
        <v>0</v>
      </c>
      <c r="W28" s="110">
        <f t="shared" si="12"/>
        <v>0</v>
      </c>
      <c r="X28" s="110">
        <f t="shared" si="12"/>
        <v>0</v>
      </c>
      <c r="Y28" s="110">
        <f t="shared" si="12"/>
        <v>0</v>
      </c>
      <c r="Z28" s="110">
        <f t="shared" si="12"/>
        <v>0</v>
      </c>
      <c r="AA28" s="110">
        <f t="shared" si="12"/>
        <v>0</v>
      </c>
      <c r="AB28" s="110">
        <f t="shared" si="12"/>
        <v>0</v>
      </c>
      <c r="AC28" s="110">
        <f t="shared" si="12"/>
        <v>0</v>
      </c>
      <c r="AD28" s="110">
        <f t="shared" si="12"/>
        <v>0</v>
      </c>
      <c r="AE28" s="110">
        <f t="shared" si="12"/>
        <v>0</v>
      </c>
      <c r="AF28" s="110">
        <f t="shared" si="12"/>
        <v>0</v>
      </c>
      <c r="AG28" s="110">
        <f t="shared" si="12"/>
        <v>0</v>
      </c>
      <c r="AH28" s="110">
        <f t="shared" si="12"/>
        <v>0</v>
      </c>
      <c r="AI28" s="110">
        <f t="shared" si="12"/>
        <v>0</v>
      </c>
      <c r="AJ28" s="110">
        <f t="shared" si="12"/>
        <v>0</v>
      </c>
      <c r="AK28" s="110">
        <f t="shared" si="12"/>
        <v>0</v>
      </c>
      <c r="AL28" s="110">
        <f t="shared" si="12"/>
        <v>0</v>
      </c>
      <c r="AM28" s="110">
        <f t="shared" si="12"/>
        <v>0</v>
      </c>
      <c r="AN28" s="110">
        <f t="shared" si="12"/>
        <v>1.5552569701041317E-2</v>
      </c>
      <c r="AO28" s="110">
        <f t="shared" si="12"/>
        <v>0</v>
      </c>
      <c r="AP28" s="110">
        <f t="shared" si="12"/>
        <v>0</v>
      </c>
      <c r="AQ28" s="110">
        <f t="shared" si="12"/>
        <v>0</v>
      </c>
      <c r="AR28" s="110">
        <f t="shared" si="12"/>
        <v>0</v>
      </c>
      <c r="AS28" s="110">
        <f t="shared" si="12"/>
        <v>0</v>
      </c>
      <c r="AT28" s="110">
        <f t="shared" si="12"/>
        <v>0</v>
      </c>
      <c r="AU28" s="110">
        <f t="shared" si="12"/>
        <v>0</v>
      </c>
      <c r="AV28" s="110">
        <f t="shared" si="12"/>
        <v>0</v>
      </c>
      <c r="AW28" s="110">
        <f t="shared" si="12"/>
        <v>0</v>
      </c>
      <c r="AX28" s="110">
        <f t="shared" si="12"/>
        <v>0</v>
      </c>
      <c r="AY28" s="110">
        <f t="shared" si="12"/>
        <v>0</v>
      </c>
      <c r="AZ28" s="110">
        <f t="shared" si="12"/>
        <v>0</v>
      </c>
      <c r="BA28" s="110">
        <f t="shared" si="12"/>
        <v>0</v>
      </c>
      <c r="BB28" s="110">
        <f t="shared" si="12"/>
        <v>0</v>
      </c>
      <c r="BC28" s="110">
        <f t="shared" si="12"/>
        <v>0</v>
      </c>
      <c r="BD28" s="110">
        <f t="shared" si="12"/>
        <v>0</v>
      </c>
      <c r="BE28" s="110">
        <f t="shared" si="12"/>
        <v>0</v>
      </c>
      <c r="BF28" s="110">
        <f t="shared" si="12"/>
        <v>0</v>
      </c>
      <c r="BG28" s="110">
        <f t="shared" si="12"/>
        <v>0</v>
      </c>
      <c r="BH28" s="110">
        <f t="shared" si="12"/>
        <v>0</v>
      </c>
      <c r="BI28" s="110">
        <f t="shared" si="12"/>
        <v>0</v>
      </c>
      <c r="BJ28" s="110">
        <f t="shared" si="12"/>
        <v>0</v>
      </c>
      <c r="BK28" s="110">
        <f t="shared" si="12"/>
        <v>0</v>
      </c>
      <c r="BL28" s="110">
        <f t="shared" si="12"/>
        <v>0</v>
      </c>
      <c r="BM28" s="110">
        <f t="shared" si="12"/>
        <v>0</v>
      </c>
      <c r="BN28" s="110">
        <f t="shared" si="12"/>
        <v>0</v>
      </c>
      <c r="BO28" s="110">
        <f t="shared" si="12"/>
        <v>0</v>
      </c>
      <c r="BP28" s="110">
        <f t="shared" si="12"/>
        <v>0</v>
      </c>
      <c r="BQ28" s="110">
        <f t="shared" si="12"/>
        <v>0</v>
      </c>
      <c r="BR28" s="110">
        <f t="shared" ref="BR28:CJ28" si="13">BR26/BR27</f>
        <v>0</v>
      </c>
      <c r="BS28" s="110">
        <f t="shared" si="13"/>
        <v>0</v>
      </c>
      <c r="BT28" s="110" t="e">
        <f t="shared" si="13"/>
        <v>#DIV/0!</v>
      </c>
      <c r="BU28" s="110" t="e">
        <f t="shared" si="13"/>
        <v>#DIV/0!</v>
      </c>
      <c r="BV28" s="110" t="e">
        <f t="shared" si="13"/>
        <v>#DIV/0!</v>
      </c>
      <c r="BW28" s="110" t="e">
        <f t="shared" si="13"/>
        <v>#DIV/0!</v>
      </c>
      <c r="BX28" s="110" t="e">
        <f t="shared" si="13"/>
        <v>#DIV/0!</v>
      </c>
      <c r="BY28" s="110" t="e">
        <f t="shared" si="13"/>
        <v>#DIV/0!</v>
      </c>
      <c r="BZ28" s="110" t="e">
        <f t="shared" si="13"/>
        <v>#DIV/0!</v>
      </c>
      <c r="CA28" s="110" t="e">
        <f t="shared" si="13"/>
        <v>#DIV/0!</v>
      </c>
      <c r="CB28" s="110" t="e">
        <f t="shared" si="13"/>
        <v>#DIV/0!</v>
      </c>
      <c r="CC28" s="110" t="e">
        <f t="shared" si="13"/>
        <v>#DIV/0!</v>
      </c>
      <c r="CD28" s="110" t="e">
        <f t="shared" si="13"/>
        <v>#DIV/0!</v>
      </c>
      <c r="CE28" s="110" t="e">
        <f t="shared" si="13"/>
        <v>#DIV/0!</v>
      </c>
      <c r="CF28" s="110" t="e">
        <f t="shared" si="13"/>
        <v>#DIV/0!</v>
      </c>
      <c r="CG28" s="110" t="e">
        <f t="shared" si="13"/>
        <v>#DIV/0!</v>
      </c>
      <c r="CH28" s="110" t="e">
        <f t="shared" si="13"/>
        <v>#DIV/0!</v>
      </c>
      <c r="CI28" s="110" t="e">
        <f t="shared" si="13"/>
        <v>#DIV/0!</v>
      </c>
      <c r="CJ28" s="110" t="e">
        <f t="shared" si="13"/>
        <v>#DIV/0!</v>
      </c>
    </row>
    <row r="29" spans="1:89" s="26" customFormat="1" ht="159.6" customHeight="1" x14ac:dyDescent="0.25">
      <c r="A29" s="289" t="s">
        <v>695</v>
      </c>
      <c r="B29" s="280"/>
      <c r="C29" s="280"/>
      <c r="D29" s="280"/>
      <c r="E29" s="280"/>
      <c r="F29" s="280"/>
      <c r="G29" s="280"/>
      <c r="H29" s="280"/>
      <c r="I29" s="280"/>
      <c r="J29" s="280"/>
      <c r="K29" s="280"/>
      <c r="L29" s="280"/>
      <c r="M29" s="280"/>
      <c r="N29" s="280"/>
      <c r="O29" s="280"/>
      <c r="P29" s="280"/>
      <c r="Q29" s="280"/>
      <c r="R29" s="280"/>
      <c r="S29" s="280"/>
      <c r="T29" s="280"/>
      <c r="U29" s="280"/>
    </row>
    <row r="30" spans="1:89" s="26" customFormat="1" x14ac:dyDescent="0.25">
      <c r="A30" s="17"/>
    </row>
    <row r="31" spans="1:89" s="116" customFormat="1" x14ac:dyDescent="0.25">
      <c r="A31" s="118" t="s">
        <v>445</v>
      </c>
      <c r="B31" s="1">
        <v>43373</v>
      </c>
      <c r="C31" s="1">
        <v>43281</v>
      </c>
      <c r="D31" s="1">
        <v>43190</v>
      </c>
      <c r="E31" s="1">
        <v>43100</v>
      </c>
      <c r="F31" s="1">
        <v>43008</v>
      </c>
      <c r="G31" s="1">
        <v>42916</v>
      </c>
      <c r="H31" s="1">
        <v>42825</v>
      </c>
      <c r="I31" s="1">
        <v>42735</v>
      </c>
      <c r="J31" s="1">
        <v>42643</v>
      </c>
      <c r="K31" s="1">
        <v>42551</v>
      </c>
      <c r="L31" s="1">
        <v>42460</v>
      </c>
      <c r="M31" s="1">
        <v>42369</v>
      </c>
      <c r="N31" s="1">
        <v>42277</v>
      </c>
      <c r="O31" s="1">
        <v>42185</v>
      </c>
      <c r="P31" s="1">
        <v>42094</v>
      </c>
      <c r="Q31" s="1">
        <v>42004</v>
      </c>
      <c r="R31" s="1">
        <v>41912</v>
      </c>
      <c r="S31" s="1">
        <v>41820</v>
      </c>
      <c r="T31" s="1">
        <v>41729</v>
      </c>
      <c r="U31" s="1">
        <v>41639</v>
      </c>
      <c r="V31" s="1">
        <v>41547</v>
      </c>
      <c r="W31" s="1">
        <v>41455</v>
      </c>
      <c r="X31" s="1">
        <v>41364</v>
      </c>
      <c r="Y31" s="1">
        <v>41274</v>
      </c>
      <c r="Z31" s="1">
        <v>41182</v>
      </c>
      <c r="AA31" s="1">
        <v>41090</v>
      </c>
      <c r="AB31" s="1">
        <v>40999</v>
      </c>
      <c r="AC31" s="1">
        <v>40908</v>
      </c>
      <c r="AD31" s="1">
        <v>40816</v>
      </c>
      <c r="AE31" s="1">
        <v>40724</v>
      </c>
      <c r="AF31" s="1">
        <v>40633</v>
      </c>
      <c r="AG31" s="1">
        <v>40543</v>
      </c>
      <c r="AH31" s="1">
        <v>40451</v>
      </c>
      <c r="AI31" s="1">
        <v>40359</v>
      </c>
      <c r="AJ31" s="1">
        <v>40268</v>
      </c>
      <c r="AK31" s="1">
        <v>40178</v>
      </c>
      <c r="AL31" s="1">
        <v>40086</v>
      </c>
      <c r="AM31" s="1">
        <v>39994</v>
      </c>
      <c r="AN31" s="1">
        <v>39903</v>
      </c>
      <c r="AO31" s="1">
        <v>39813</v>
      </c>
      <c r="AP31" s="1">
        <v>39721</v>
      </c>
      <c r="AQ31" s="1">
        <v>39629</v>
      </c>
      <c r="AR31" s="1">
        <v>39538</v>
      </c>
      <c r="AS31" s="1">
        <v>39447</v>
      </c>
      <c r="AT31" s="1">
        <v>39355</v>
      </c>
      <c r="AU31" s="1">
        <v>39263</v>
      </c>
      <c r="AV31" s="1">
        <v>39172</v>
      </c>
      <c r="AW31" s="1">
        <v>39082</v>
      </c>
      <c r="AX31" s="1">
        <v>38990</v>
      </c>
      <c r="AY31" s="1">
        <v>38898</v>
      </c>
      <c r="AZ31" s="1">
        <v>38807</v>
      </c>
      <c r="BA31" s="1">
        <v>38717</v>
      </c>
      <c r="BB31" s="1">
        <v>38625</v>
      </c>
      <c r="BC31" s="1">
        <v>38533</v>
      </c>
      <c r="BD31" s="1">
        <v>38442</v>
      </c>
      <c r="BE31" s="1">
        <v>38352</v>
      </c>
      <c r="BF31" s="1">
        <v>38260</v>
      </c>
      <c r="BG31" s="1">
        <v>38168</v>
      </c>
      <c r="BH31" s="1">
        <v>38077</v>
      </c>
      <c r="BI31" s="1">
        <v>37986</v>
      </c>
      <c r="BJ31" s="1">
        <v>37894</v>
      </c>
      <c r="BK31" s="1">
        <v>37802</v>
      </c>
      <c r="BL31" s="1">
        <v>37711</v>
      </c>
      <c r="BM31" s="1">
        <v>37621</v>
      </c>
      <c r="BN31" s="1">
        <v>37529</v>
      </c>
      <c r="BO31" s="1">
        <v>37437</v>
      </c>
      <c r="BP31" s="1">
        <v>37346</v>
      </c>
      <c r="BQ31" s="1">
        <v>37256</v>
      </c>
      <c r="BR31" s="1">
        <v>37072</v>
      </c>
      <c r="BS31" s="1">
        <v>36891</v>
      </c>
      <c r="BT31" s="1">
        <v>36525</v>
      </c>
      <c r="BU31" s="1">
        <v>36160</v>
      </c>
      <c r="BV31" s="1">
        <v>25569</v>
      </c>
      <c r="BW31" s="1"/>
      <c r="BX31" s="1"/>
      <c r="BY31" s="1"/>
      <c r="BZ31" s="1"/>
      <c r="CA31" s="1"/>
      <c r="CB31" s="1"/>
      <c r="CC31" s="1"/>
      <c r="CD31" s="1"/>
      <c r="CE31" s="1"/>
      <c r="CF31" s="1"/>
      <c r="CG31" s="1"/>
      <c r="CH31" s="1"/>
      <c r="CI31" s="1"/>
      <c r="CJ31" s="1"/>
      <c r="CK31" s="1"/>
    </row>
    <row r="32" spans="1:89" s="76" customFormat="1" x14ac:dyDescent="0.25">
      <c r="A32" s="147" t="s">
        <v>449</v>
      </c>
      <c r="E32" s="76">
        <f>股权价值增加表!E29</f>
        <v>15801536710.295326</v>
      </c>
      <c r="F32" s="76">
        <f>股权价值增加表!F29</f>
        <v>6884145450.060214</v>
      </c>
      <c r="G32" s="76">
        <f>股权价值增加表!G29</f>
        <v>5799651330.5734501</v>
      </c>
      <c r="H32" s="76">
        <f>股权价值增加表!H29</f>
        <v>2196977007.5657268</v>
      </c>
      <c r="I32" s="76">
        <f>股权价值增加表!I29</f>
        <v>32381506589.794373</v>
      </c>
      <c r="J32" s="76">
        <f>股权价值增加表!J29</f>
        <v>7948795582.362051</v>
      </c>
      <c r="K32" s="76">
        <f>股权价值增加表!K29</f>
        <v>7236403143.4649019</v>
      </c>
      <c r="L32" s="76">
        <f>股权价值增加表!L29</f>
        <v>2489120643.7713852</v>
      </c>
      <c r="M32" s="76">
        <f>股权价值增加表!M29</f>
        <v>6869979166.9982338</v>
      </c>
      <c r="N32" s="76">
        <f>股权价值增加表!N29</f>
        <v>9333534633.0038223</v>
      </c>
      <c r="O32" s="76">
        <f>股权价值增加表!O29</f>
        <v>4997847275.3245659</v>
      </c>
      <c r="P32" s="76">
        <f>股权价值增加表!P29</f>
        <v>3429050956.1705666</v>
      </c>
      <c r="Q32" s="76">
        <f>股权价值增加表!Q29</f>
        <v>-5108366115.6062641</v>
      </c>
      <c r="R32" s="76">
        <f>股权价值增加表!R29</f>
        <v>1970129589.8537383</v>
      </c>
      <c r="S32" s="76">
        <f>股权价值增加表!S29</f>
        <v>1326717201.6204424</v>
      </c>
      <c r="T32" s="76">
        <f>股权价值增加表!T29</f>
        <v>-453938491.88559133</v>
      </c>
      <c r="U32" s="76">
        <f>股权价值增加表!U29</f>
        <v>7915847957.5736332</v>
      </c>
      <c r="V32" s="76">
        <f>股权价值增加表!V29</f>
        <v>2365745807.2768617</v>
      </c>
      <c r="W32" s="76">
        <f>股权价值增加表!W29</f>
        <v>1593268384.687927</v>
      </c>
      <c r="X32" s="76">
        <f>股权价值增加表!X29</f>
        <v>-827806434.63880324</v>
      </c>
      <c r="Y32" s="76">
        <f>股权价值增加表!Y29</f>
        <v>2355775958.0279126</v>
      </c>
      <c r="Z32" s="76">
        <f>股权价值增加表!Z29</f>
        <v>1393048637.9450228</v>
      </c>
      <c r="AA32" s="76">
        <f>股权价值增加表!AA29</f>
        <v>691177365.43772101</v>
      </c>
      <c r="AB32" s="76">
        <f>股权价值增加表!AB29</f>
        <v>111831901.67834017</v>
      </c>
      <c r="AC32" s="76">
        <f>股权价值增加表!AC29</f>
        <v>-2811280395.9987626</v>
      </c>
      <c r="AD32" s="76">
        <f>股权价值增加表!AD29</f>
        <v>3347501030.2270746</v>
      </c>
      <c r="AE32" s="76">
        <f>股权价值增加表!AE29</f>
        <v>2289695405.6224899</v>
      </c>
      <c r="AF32" s="76">
        <f>股权价值增加表!AF29</f>
        <v>1056205992.5093633</v>
      </c>
      <c r="AG32" s="76">
        <f>股权价值增加表!AG29</f>
        <v>2990149854.2274055</v>
      </c>
      <c r="AH32" s="76">
        <f>股权价值增加表!AH29</f>
        <v>2738998487.2793951</v>
      </c>
      <c r="AI32" s="76">
        <f>股权价值增加表!AI29</f>
        <v>1511643250.4059274</v>
      </c>
      <c r="AJ32" s="76">
        <f>股权价值增加表!AJ29</f>
        <v>964820317.0387584</v>
      </c>
      <c r="AK32" s="76">
        <f>股权价值增加表!AK29</f>
        <v>3298153826.707262</v>
      </c>
      <c r="AL32" s="76">
        <f>股权价值增加表!AL29</f>
        <v>1854992929.4329681</v>
      </c>
      <c r="AM32" s="76">
        <f>股权价值增加表!AM29</f>
        <v>1742311838.5429485</v>
      </c>
      <c r="AN32" s="76">
        <f>股权价值增加表!AN29</f>
        <v>40993385.305929601</v>
      </c>
      <c r="AO32" s="76">
        <f>股权价值增加表!AO29</f>
        <v>4706627541.0043697</v>
      </c>
      <c r="AP32" s="76">
        <f>股权价值增加表!AP29</f>
        <v>5257213471.6251926</v>
      </c>
      <c r="AQ32" s="76">
        <f>股权价值增加表!AQ29</f>
        <v>4600148764.392025</v>
      </c>
      <c r="AR32" s="76">
        <f>股权价值增加表!AR29</f>
        <v>3697776701.1197243</v>
      </c>
      <c r="AS32" s="76">
        <f>股权价值增加表!AS29</f>
        <v>1847734534.5473111</v>
      </c>
      <c r="AT32" s="76">
        <f>股权价值增加表!AT29</f>
        <v>1882944195.1558123</v>
      </c>
      <c r="AU32" s="76">
        <f>股权价值增加表!AU29</f>
        <v>1388461525.2401986</v>
      </c>
      <c r="AV32" s="76">
        <f>股权价值增加表!AV29</f>
        <v>811289521.76676202</v>
      </c>
      <c r="AW32" s="76">
        <f>股权价值增加表!AW29</f>
        <v>30134735.471527651</v>
      </c>
      <c r="AX32" s="76">
        <f>股权价值增加表!AX29</f>
        <v>19196393.578534819</v>
      </c>
      <c r="AY32" s="76">
        <f>股权价值增加表!AY29</f>
        <v>129124932.65489376</v>
      </c>
      <c r="AZ32" s="76">
        <f>股权价值增加表!AZ29</f>
        <v>123042257.37963153</v>
      </c>
      <c r="BA32" s="76">
        <f>股权价值增加表!BA29</f>
        <v>546372560.24566698</v>
      </c>
      <c r="BB32" s="76">
        <f>股权价值增加表!BB29</f>
        <v>-376436650.40083653</v>
      </c>
      <c r="BC32" s="76">
        <f>股权价值增加表!BC29</f>
        <v>-531612915.1976248</v>
      </c>
      <c r="BD32" s="76">
        <f>股权价值增加表!BD29</f>
        <v>101997336.47175421</v>
      </c>
      <c r="BE32" s="76">
        <f>股权价值增加表!BE29</f>
        <v>790981862.68677008</v>
      </c>
      <c r="BF32" s="76">
        <f>股权价值增加表!BF29</f>
        <v>575892293.05423403</v>
      </c>
      <c r="BG32" s="76">
        <f>股权价值增加表!BG29</f>
        <v>373785414.33909929</v>
      </c>
      <c r="BH32" s="76">
        <f>股权价值增加表!BH29</f>
        <v>104264530.71993969</v>
      </c>
      <c r="BI32" s="76">
        <f>股权价值增加表!BI29</f>
        <v>402646152.10245949</v>
      </c>
      <c r="BJ32" s="76">
        <f>股权价值增加表!BJ29</f>
        <v>291702347.0974102</v>
      </c>
      <c r="BK32" s="76">
        <f>股权价值增加表!BK29</f>
        <v>248140046.89197689</v>
      </c>
      <c r="BL32" s="76">
        <f>股权价值增加表!BL29</f>
        <v>50830959.630684607</v>
      </c>
      <c r="BM32" s="76">
        <f>股权价值增加表!BM29</f>
        <v>370081024.87640274</v>
      </c>
      <c r="BN32" s="76">
        <f>股权价值增加表!BN29</f>
        <v>249404585.66528255</v>
      </c>
      <c r="BO32" s="76">
        <f>股权价值增加表!BO29</f>
        <v>138583958.72420263</v>
      </c>
      <c r="BP32" s="76">
        <f>股权价值增加表!BP29</f>
        <v>61588805.166846074</v>
      </c>
      <c r="BQ32" s="76">
        <f>股权价值增加表!BQ29</f>
        <v>383920890.71198356</v>
      </c>
      <c r="BR32" s="76">
        <f>股权价值增加表!BR29</f>
        <v>228068295.51221633</v>
      </c>
      <c r="BS32" s="76">
        <f>股权价值增加表!BS29</f>
        <v>167743595.27921706</v>
      </c>
      <c r="BT32" s="76">
        <f>股权价值增加表!BT29</f>
        <v>742840812.68140209</v>
      </c>
      <c r="BU32" s="76">
        <f>股权价值增加表!BU29</f>
        <v>-947028014.61632156</v>
      </c>
      <c r="BV32" s="76" t="e">
        <f>股权价值增加表!BV29</f>
        <v>#DIV/0!</v>
      </c>
      <c r="BW32" s="76">
        <f>股权价值增加表!BW29</f>
        <v>0</v>
      </c>
      <c r="BX32" s="76">
        <f>股权价值增加表!BX29</f>
        <v>0</v>
      </c>
      <c r="BY32" s="76">
        <f>股权价值增加表!BY29</f>
        <v>0</v>
      </c>
      <c r="BZ32" s="76">
        <f>股权价值增加表!BZ29</f>
        <v>0</v>
      </c>
      <c r="CA32" s="76">
        <f>股权价值增加表!CA29</f>
        <v>0</v>
      </c>
      <c r="CB32" s="76">
        <f>股权价值增加表!CB29</f>
        <v>0</v>
      </c>
      <c r="CC32" s="76">
        <f>股权价值增加表!CC29</f>
        <v>0</v>
      </c>
      <c r="CD32" s="76" t="e">
        <f>股权价值增加表!CD29</f>
        <v>#DIV/0!</v>
      </c>
      <c r="CE32" s="76">
        <f>股权价值增加表!CE29</f>
        <v>-20081000</v>
      </c>
      <c r="CF32" s="76">
        <f>股权价值增加表!CF29</f>
        <v>-14354563.84</v>
      </c>
      <c r="CG32" s="76" t="e">
        <f>股权价值增加表!CG29</f>
        <v>#DIV/0!</v>
      </c>
      <c r="CH32" s="76" t="e">
        <f>股权价值增加表!CH29</f>
        <v>#DIV/0!</v>
      </c>
      <c r="CI32" s="76" t="e">
        <f>股权价值增加表!CI29</f>
        <v>#DIV/0!</v>
      </c>
      <c r="CJ32" s="76" t="e">
        <f>股权价值增加表!CJ29</f>
        <v>#DIV/0!</v>
      </c>
    </row>
    <row r="33" spans="1:89" s="76" customFormat="1" x14ac:dyDescent="0.25">
      <c r="A33" s="148" t="s">
        <v>450</v>
      </c>
    </row>
    <row r="34" spans="1:89" s="76" customFormat="1" x14ac:dyDescent="0.25">
      <c r="A34" s="147" t="s">
        <v>451</v>
      </c>
      <c r="E34" s="76">
        <f>资产资本表!E4</f>
        <v>165004000000</v>
      </c>
      <c r="F34" s="76">
        <f>资产资本表!F4</f>
        <v>161903000000</v>
      </c>
      <c r="G34" s="76">
        <f>资产资本表!G4</f>
        <v>160822000000</v>
      </c>
      <c r="H34" s="76">
        <f>资产资本表!H4</f>
        <v>135050000000</v>
      </c>
      <c r="I34" s="76">
        <f>资产资本表!I4</f>
        <v>142497000000</v>
      </c>
      <c r="J34" s="76">
        <f>资产资本表!J4</f>
        <v>86383000000</v>
      </c>
      <c r="K34" s="76">
        <f>资产资本表!K4</f>
        <v>76986000000</v>
      </c>
      <c r="L34" s="76">
        <f>资产资本表!L4</f>
        <v>63889000000</v>
      </c>
      <c r="M34" s="76">
        <f>资产资本表!M4</f>
        <v>68557000000</v>
      </c>
      <c r="N34" s="76">
        <f>资产资本表!N4</f>
        <v>57173000000</v>
      </c>
      <c r="O34" s="76">
        <f>资产资本表!O4</f>
        <v>74203000000</v>
      </c>
      <c r="P34" s="76">
        <f>资产资本表!P4</f>
        <v>73946000000</v>
      </c>
      <c r="Q34" s="76">
        <f>资产资本表!Q4</f>
        <v>10100000000</v>
      </c>
      <c r="R34" s="76">
        <f>资产资本表!R4</f>
        <v>20919000000</v>
      </c>
      <c r="S34" s="76">
        <f>资产资本表!S4</f>
        <v>14346000000</v>
      </c>
      <c r="T34" s="76">
        <f>资产资本表!T4</f>
        <v>20771000000</v>
      </c>
      <c r="U34" s="76">
        <f>资产资本表!U4</f>
        <v>15101000000</v>
      </c>
      <c r="V34" s="76">
        <f>资产资本表!V4</f>
        <v>12096000000</v>
      </c>
      <c r="W34" s="76">
        <f>资产资本表!W4</f>
        <v>11385000000</v>
      </c>
      <c r="X34" s="76">
        <f>资产资本表!X4</f>
        <v>14788000000</v>
      </c>
      <c r="Y34" s="76">
        <f>资产资本表!Y4</f>
        <v>10864000000</v>
      </c>
      <c r="Z34" s="76">
        <f>资产资本表!Z4</f>
        <v>14855000000</v>
      </c>
      <c r="AA34" s="76">
        <f>资产资本表!AA4</f>
        <v>13960000000</v>
      </c>
      <c r="AB34" s="76">
        <f>资产资本表!AB4</f>
        <v>24609000000</v>
      </c>
      <c r="AC34" s="76">
        <f>资产资本表!AC4</f>
        <v>25197000000</v>
      </c>
      <c r="AD34" s="76">
        <f>资产资本表!AD4</f>
        <v>27189000000</v>
      </c>
      <c r="AE34" s="76">
        <f>资产资本表!AE4</f>
        <v>14186000000</v>
      </c>
      <c r="AF34" s="76">
        <f>资产资本表!AF4</f>
        <v>27007000000</v>
      </c>
      <c r="AG34" s="76">
        <f>资产资本表!AG4</f>
        <v>18140000000</v>
      </c>
      <c r="AH34" s="76">
        <f>资产资本表!AH4</f>
        <v>11562000000</v>
      </c>
      <c r="AI34" s="76">
        <f>资产资本表!AI4</f>
        <v>16695000000</v>
      </c>
      <c r="AJ34" s="76">
        <f>资产资本表!AJ4</f>
        <v>11361000000</v>
      </c>
      <c r="AK34" s="76">
        <f>资产资本表!AK4</f>
        <v>9986000000</v>
      </c>
      <c r="AL34" s="76">
        <f>资产资本表!AL4</f>
        <v>8601000000</v>
      </c>
      <c r="AM34" s="76">
        <f>资产资本表!AM4</f>
        <v>9082000000</v>
      </c>
      <c r="AN34" s="76">
        <f>资产资本表!AN4</f>
        <v>12227000000</v>
      </c>
      <c r="AO34" s="76">
        <f>资产资本表!AO4</f>
        <v>7700000000</v>
      </c>
      <c r="AP34" s="76">
        <f>资产资本表!AP4</f>
        <v>11605000000</v>
      </c>
      <c r="AQ34" s="76">
        <f>资产资本表!AQ4</f>
        <v>9774000000</v>
      </c>
      <c r="AR34" s="76">
        <f>资产资本表!AR4</f>
        <v>28397000000</v>
      </c>
      <c r="AS34" s="76">
        <f>资产资本表!AS4</f>
        <v>8364000000</v>
      </c>
      <c r="AT34" s="76">
        <f>资产资本表!AT4</f>
        <v>8908000000</v>
      </c>
      <c r="AU34" s="76">
        <f>资产资本表!AU4</f>
        <v>12989000000</v>
      </c>
      <c r="AV34" s="76">
        <f>资产资本表!AV4</f>
        <v>15943000000</v>
      </c>
      <c r="AW34" s="76">
        <f>资产资本表!AW4</f>
        <v>8723000000</v>
      </c>
      <c r="AX34" s="76">
        <f>资产资本表!AX4</f>
        <v>10590000000</v>
      </c>
      <c r="AY34" s="76">
        <f>资产资本表!AY4</f>
        <v>10777000000</v>
      </c>
      <c r="AZ34" s="76">
        <f>资产资本表!AZ4</f>
        <v>13089000000</v>
      </c>
      <c r="BA34" s="76">
        <f>资产资本表!BA4</f>
        <v>14747000000</v>
      </c>
      <c r="BB34" s="76">
        <f>资产资本表!BB4</f>
        <v>16567000000</v>
      </c>
      <c r="BC34" s="76">
        <f>资产资本表!BC4</f>
        <v>15322000000</v>
      </c>
      <c r="BD34" s="76">
        <f>资产资本表!BD4</f>
        <v>19884000000</v>
      </c>
      <c r="BE34" s="76">
        <f>资产资本表!BE4</f>
        <v>18280000000</v>
      </c>
      <c r="BF34" s="76">
        <f>资产资本表!BF4</f>
        <v>17324000000</v>
      </c>
      <c r="BG34" s="76">
        <f>资产资本表!BG4</f>
        <v>17028000000</v>
      </c>
      <c r="BH34" s="76">
        <f>资产资本表!BH4</f>
        <v>20367000000</v>
      </c>
      <c r="BI34" s="76">
        <f>资产资本表!BI4</f>
        <v>17405000000</v>
      </c>
      <c r="BJ34" s="76">
        <f>资产资本表!BJ4</f>
        <v>18630000000</v>
      </c>
      <c r="BK34" s="76">
        <f>资产资本表!BK4</f>
        <v>21844000000</v>
      </c>
      <c r="BL34" s="76">
        <f>资产资本表!BL4</f>
        <v>22282000000</v>
      </c>
      <c r="BM34" s="76">
        <f>资产资本表!BM4</f>
        <v>18712000000</v>
      </c>
      <c r="BN34" s="76">
        <f>资产资本表!BN4</f>
        <v>19232000000</v>
      </c>
      <c r="BO34" s="76">
        <f>资产资本表!BO4</f>
        <v>21210000000</v>
      </c>
      <c r="BP34" s="76">
        <f>资产资本表!BP4</f>
        <v>20983000000</v>
      </c>
      <c r="BQ34" s="76">
        <f>资产资本表!BQ4</f>
        <v>22854000000</v>
      </c>
      <c r="BR34" s="76">
        <f>资产资本表!BR4</f>
        <v>39959000000</v>
      </c>
      <c r="BS34" s="76">
        <f>资产资本表!BS4</f>
        <v>41134000000</v>
      </c>
      <c r="BT34" s="76">
        <f>资产资本表!BT4</f>
        <v>0</v>
      </c>
      <c r="BU34" s="76">
        <f>资产资本表!BU4</f>
        <v>0</v>
      </c>
      <c r="BV34" s="76">
        <f>资产资本表!BV4</f>
        <v>0</v>
      </c>
      <c r="BW34" s="76">
        <f>资产资本表!BW4</f>
        <v>0</v>
      </c>
      <c r="BX34" s="76">
        <f>资产资本表!BX4</f>
        <v>0</v>
      </c>
      <c r="BY34" s="76">
        <f>资产资本表!BY4</f>
        <v>0</v>
      </c>
      <c r="BZ34" s="76">
        <f>资产资本表!BZ4</f>
        <v>0</v>
      </c>
      <c r="CA34" s="76">
        <f>资产资本表!CA4</f>
        <v>0</v>
      </c>
      <c r="CB34" s="76">
        <f>资产资本表!CB4</f>
        <v>0</v>
      </c>
      <c r="CC34" s="76">
        <f>资产资本表!CC4</f>
        <v>0</v>
      </c>
      <c r="CD34" s="76">
        <f>资产资本表!CD4</f>
        <v>0</v>
      </c>
      <c r="CE34" s="76">
        <f>资产资本表!CE4</f>
        <v>0</v>
      </c>
      <c r="CF34" s="76">
        <f>资产资本表!CF4</f>
        <v>0</v>
      </c>
      <c r="CG34" s="76">
        <f>资产资本表!CG4</f>
        <v>0</v>
      </c>
      <c r="CH34" s="76">
        <f>资产资本表!CH4</f>
        <v>0</v>
      </c>
      <c r="CI34" s="76">
        <f>资产资本表!CI4</f>
        <v>0</v>
      </c>
      <c r="CJ34" s="76">
        <f>资产资本表!CJ4</f>
        <v>0</v>
      </c>
    </row>
    <row r="35" spans="1:89" s="76" customFormat="1" x14ac:dyDescent="0.25">
      <c r="A35" s="147" t="s">
        <v>452</v>
      </c>
      <c r="E35" s="76">
        <f>利润表!E12</f>
        <v>-13000000</v>
      </c>
      <c r="F35" s="76">
        <f>利润表!F12</f>
        <v>531000000</v>
      </c>
      <c r="G35" s="76">
        <f>利润表!G12</f>
        <v>369000000</v>
      </c>
      <c r="H35" s="76">
        <f>利润表!H12</f>
        <v>0</v>
      </c>
      <c r="I35" s="76">
        <f>利润表!I12</f>
        <v>-216000000</v>
      </c>
      <c r="J35" s="76">
        <f>利润表!J12</f>
        <v>-117000000</v>
      </c>
      <c r="K35" s="76">
        <f>利润表!K12</f>
        <v>113000000</v>
      </c>
      <c r="L35" s="76">
        <f>利润表!L12</f>
        <v>-2000000</v>
      </c>
      <c r="M35" s="76">
        <f>利润表!M12</f>
        <v>735000000</v>
      </c>
      <c r="N35" s="76">
        <f>利润表!N12</f>
        <v>-25000000</v>
      </c>
      <c r="O35" s="76">
        <f>利润表!O12</f>
        <v>111000000</v>
      </c>
      <c r="P35" s="76">
        <f>利润表!P12</f>
        <v>-259000000</v>
      </c>
      <c r="Q35" s="76">
        <f>利润表!Q12</f>
        <v>-4151000000</v>
      </c>
      <c r="R35" s="76">
        <f>利润表!R12</f>
        <v>-2032000000</v>
      </c>
      <c r="S35" s="76">
        <f>利润表!S12</f>
        <v>-2074000000</v>
      </c>
      <c r="T35" s="76">
        <f>利润表!T12</f>
        <v>-1433000000</v>
      </c>
      <c r="U35" s="76">
        <f>利润表!U12</f>
        <v>2167000000</v>
      </c>
      <c r="V35" s="76">
        <f>利润表!V12</f>
        <v>1567000000</v>
      </c>
      <c r="W35" s="76">
        <f>利润表!W12</f>
        <v>737000000</v>
      </c>
      <c r="X35" s="76">
        <f>利润表!X12</f>
        <v>-1627000000</v>
      </c>
      <c r="Y35" s="76">
        <f>利润表!Y12</f>
        <v>206000000</v>
      </c>
      <c r="Z35" s="76">
        <f>利润表!Z12</f>
        <v>1175000000</v>
      </c>
      <c r="AA35" s="76">
        <f>利润表!AA12</f>
        <v>510000000</v>
      </c>
      <c r="AB35" s="76">
        <f>利润表!AB12</f>
        <v>-539000000</v>
      </c>
      <c r="AC35" s="76">
        <f>利润表!AC12</f>
        <v>1423000000</v>
      </c>
      <c r="AD35" s="76">
        <f>利润表!AD12</f>
        <v>274000000</v>
      </c>
      <c r="AE35" s="76">
        <f>利润表!AE12</f>
        <v>305000000</v>
      </c>
      <c r="AF35" s="76">
        <f>利润表!AF12</f>
        <v>-118000000</v>
      </c>
      <c r="AG35" s="76">
        <f>利润表!AG12</f>
        <v>-179000000</v>
      </c>
      <c r="AH35" s="76">
        <f>利润表!AH12</f>
        <v>540000000</v>
      </c>
      <c r="AI35" s="76">
        <f>利润表!AI12</f>
        <v>540000000</v>
      </c>
      <c r="AJ35" s="76">
        <f>利润表!AJ12</f>
        <v>170000000</v>
      </c>
      <c r="AK35" s="76">
        <f>利润表!AK12</f>
        <v>-365000000</v>
      </c>
      <c r="AL35" s="76">
        <f>利润表!AL12</f>
        <v>-409000000</v>
      </c>
      <c r="AM35" s="76">
        <f>利润表!AM12</f>
        <v>-389000000</v>
      </c>
      <c r="AN35" s="76">
        <f>利润表!AN12</f>
        <v>-51000000</v>
      </c>
      <c r="AO35" s="76">
        <f>利润表!AO12</f>
        <v>3969000000</v>
      </c>
      <c r="AP35" s="76">
        <f>利润表!AP12</f>
        <v>3753000000</v>
      </c>
      <c r="AQ35" s="76">
        <f>利润表!AQ12</f>
        <v>2956000000</v>
      </c>
      <c r="AR35" s="76">
        <f>利润表!AR12</f>
        <v>2996000000</v>
      </c>
      <c r="AS35" s="76">
        <f>利润表!AS12</f>
        <v>-3211000000</v>
      </c>
      <c r="AT35" s="76">
        <f>利润表!AT12</f>
        <v>-1523000000</v>
      </c>
      <c r="AU35" s="76">
        <f>利润表!AU12</f>
        <v>-897000000</v>
      </c>
      <c r="AV35" s="76">
        <f>利润表!AV12</f>
        <v>0</v>
      </c>
      <c r="AW35" s="76">
        <f>利润表!AW12</f>
        <v>0</v>
      </c>
      <c r="AX35" s="76">
        <f>利润表!AX12</f>
        <v>0</v>
      </c>
      <c r="AY35" s="76">
        <f>利润表!AY12</f>
        <v>0</v>
      </c>
      <c r="AZ35" s="76">
        <f>利润表!AZ12</f>
        <v>0</v>
      </c>
      <c r="BA35" s="76">
        <f>利润表!BA12</f>
        <v>0</v>
      </c>
      <c r="BB35" s="76">
        <f>利润表!BB12</f>
        <v>0</v>
      </c>
      <c r="BC35" s="76">
        <f>利润表!BC12</f>
        <v>0</v>
      </c>
      <c r="BD35" s="76">
        <f>利润表!BD12</f>
        <v>0</v>
      </c>
      <c r="BE35" s="76">
        <f>利润表!BE12</f>
        <v>0</v>
      </c>
      <c r="BF35" s="76">
        <f>利润表!BF12</f>
        <v>0</v>
      </c>
      <c r="BG35" s="76">
        <f>利润表!BG12</f>
        <v>0</v>
      </c>
      <c r="BH35" s="76">
        <f>利润表!BH12</f>
        <v>0</v>
      </c>
      <c r="BI35" s="76">
        <f>利润表!BI12</f>
        <v>0</v>
      </c>
      <c r="BJ35" s="76">
        <f>利润表!BJ12</f>
        <v>0</v>
      </c>
      <c r="BK35" s="76">
        <f>利润表!BK12</f>
        <v>0</v>
      </c>
      <c r="BL35" s="76">
        <f>利润表!BL12</f>
        <v>0</v>
      </c>
      <c r="BM35" s="76">
        <f>利润表!BM12</f>
        <v>0</v>
      </c>
      <c r="BN35" s="76">
        <f>利润表!BN12</f>
        <v>0</v>
      </c>
      <c r="BO35" s="76">
        <f>利润表!BO12</f>
        <v>0</v>
      </c>
      <c r="BP35" s="76">
        <f>利润表!BP12</f>
        <v>0</v>
      </c>
      <c r="BQ35" s="76">
        <f>利润表!BQ12</f>
        <v>0</v>
      </c>
      <c r="BR35" s="76">
        <f>利润表!BR12</f>
        <v>0</v>
      </c>
      <c r="BS35" s="76">
        <f>利润表!BS12</f>
        <v>0</v>
      </c>
      <c r="BT35" s="76">
        <f>利润表!BT12</f>
        <v>0</v>
      </c>
      <c r="BU35" s="76">
        <f>利润表!BU12</f>
        <v>0</v>
      </c>
      <c r="BV35" s="76">
        <f>利润表!BV12</f>
        <v>0</v>
      </c>
      <c r="BW35" s="76">
        <f>利润表!BW12</f>
        <v>0</v>
      </c>
      <c r="BX35" s="76">
        <f>利润表!BX12</f>
        <v>0</v>
      </c>
      <c r="BY35" s="76">
        <f>利润表!BY12</f>
        <v>0</v>
      </c>
      <c r="BZ35" s="76">
        <f>利润表!BZ12</f>
        <v>0</v>
      </c>
      <c r="CA35" s="76">
        <f>利润表!CA12</f>
        <v>0</v>
      </c>
      <c r="CB35" s="76">
        <f>利润表!CB12</f>
        <v>0</v>
      </c>
      <c r="CC35" s="76">
        <f>利润表!CC12</f>
        <v>0</v>
      </c>
      <c r="CD35" s="76">
        <f>利润表!CD12</f>
        <v>0</v>
      </c>
      <c r="CE35" s="76">
        <f>利润表!CE12</f>
        <v>0</v>
      </c>
      <c r="CF35" s="76">
        <f>利润表!CF12</f>
        <v>0</v>
      </c>
      <c r="CG35" s="76">
        <f>利润表!CG12</f>
        <v>0</v>
      </c>
      <c r="CH35" s="76">
        <f>利润表!CH12</f>
        <v>0</v>
      </c>
      <c r="CI35" s="76">
        <f>利润表!CI12</f>
        <v>0</v>
      </c>
      <c r="CJ35" s="76">
        <f>利润表!CJ12</f>
        <v>0</v>
      </c>
    </row>
    <row r="36" spans="1:89" s="76" customFormat="1" x14ac:dyDescent="0.25">
      <c r="A36" s="147" t="s">
        <v>453</v>
      </c>
      <c r="E36" s="76">
        <f>资产资本表!E13</f>
        <v>0</v>
      </c>
      <c r="F36" s="76">
        <f>资产资本表!F13</f>
        <v>0</v>
      </c>
      <c r="G36" s="76">
        <f>资产资本表!G13</f>
        <v>0</v>
      </c>
      <c r="H36" s="76">
        <f>资产资本表!H13</f>
        <v>0</v>
      </c>
      <c r="I36" s="76">
        <f>资产资本表!I13</f>
        <v>0</v>
      </c>
      <c r="J36" s="76">
        <f>资产资本表!J13</f>
        <v>0</v>
      </c>
      <c r="K36" s="76">
        <f>资产资本表!K13</f>
        <v>0</v>
      </c>
      <c r="L36" s="76">
        <f>资产资本表!L13</f>
        <v>0</v>
      </c>
      <c r="M36" s="76">
        <f>资产资本表!M13</f>
        <v>0</v>
      </c>
      <c r="N36" s="76">
        <f>资产资本表!N13</f>
        <v>0</v>
      </c>
      <c r="O36" s="76">
        <f>资产资本表!O13</f>
        <v>0</v>
      </c>
      <c r="P36" s="76">
        <f>资产资本表!P13</f>
        <v>0</v>
      </c>
      <c r="Q36" s="76">
        <f>资产资本表!Q13</f>
        <v>0</v>
      </c>
      <c r="R36" s="76">
        <f>资产资本表!R13</f>
        <v>0</v>
      </c>
      <c r="S36" s="76">
        <f>资产资本表!S13</f>
        <v>0</v>
      </c>
      <c r="T36" s="76">
        <f>资产资本表!T13</f>
        <v>0</v>
      </c>
      <c r="U36" s="76">
        <f>资产资本表!U13</f>
        <v>0</v>
      </c>
      <c r="V36" s="76">
        <f>资产资本表!V13</f>
        <v>0</v>
      </c>
      <c r="W36" s="76">
        <f>资产资本表!W13</f>
        <v>0</v>
      </c>
      <c r="X36" s="76">
        <f>资产资本表!X13</f>
        <v>0</v>
      </c>
      <c r="Y36" s="76">
        <f>资产资本表!Y13</f>
        <v>0</v>
      </c>
      <c r="Z36" s="76">
        <f>资产资本表!Z13</f>
        <v>0</v>
      </c>
      <c r="AA36" s="76">
        <f>资产资本表!AA13</f>
        <v>0</v>
      </c>
      <c r="AB36" s="76">
        <f>资产资本表!AB13</f>
        <v>0</v>
      </c>
      <c r="AC36" s="76">
        <f>资产资本表!AC13</f>
        <v>0</v>
      </c>
      <c r="AD36" s="76">
        <f>资产资本表!AD13</f>
        <v>0</v>
      </c>
      <c r="AE36" s="76">
        <f>资产资本表!AE13</f>
        <v>0</v>
      </c>
      <c r="AF36" s="76">
        <f>资产资本表!AF13</f>
        <v>0</v>
      </c>
      <c r="AG36" s="76">
        <f>资产资本表!AG13</f>
        <v>0</v>
      </c>
      <c r="AH36" s="76">
        <f>资产资本表!AH13</f>
        <v>0</v>
      </c>
      <c r="AI36" s="76">
        <f>资产资本表!AI13</f>
        <v>0</v>
      </c>
      <c r="AJ36" s="76">
        <f>资产资本表!AJ13</f>
        <v>0</v>
      </c>
      <c r="AK36" s="76">
        <f>资产资本表!AK13</f>
        <v>0</v>
      </c>
      <c r="AL36" s="76">
        <f>资产资本表!AL13</f>
        <v>0</v>
      </c>
      <c r="AM36" s="76">
        <f>资产资本表!AM13</f>
        <v>0</v>
      </c>
      <c r="AN36" s="76">
        <f>资产资本表!AN13</f>
        <v>0</v>
      </c>
      <c r="AO36" s="76">
        <f>资产资本表!AO13</f>
        <v>0</v>
      </c>
      <c r="AP36" s="76">
        <f>资产资本表!AP13</f>
        <v>0</v>
      </c>
      <c r="AQ36" s="76">
        <f>资产资本表!AQ13</f>
        <v>0</v>
      </c>
      <c r="AR36" s="76">
        <f>资产资本表!AR13</f>
        <v>0</v>
      </c>
      <c r="AS36" s="76">
        <f>资产资本表!AS13</f>
        <v>0</v>
      </c>
      <c r="AT36" s="76">
        <f>资产资本表!AT13</f>
        <v>0</v>
      </c>
      <c r="AU36" s="76">
        <f>资产资本表!AU13</f>
        <v>0</v>
      </c>
      <c r="AV36" s="76">
        <f>资产资本表!AV13</f>
        <v>0</v>
      </c>
      <c r="AW36" s="76">
        <f>资产资本表!AW13</f>
        <v>0</v>
      </c>
      <c r="AX36" s="76">
        <f>资产资本表!AX13</f>
        <v>0</v>
      </c>
      <c r="AY36" s="76">
        <f>资产资本表!AY13</f>
        <v>0</v>
      </c>
      <c r="AZ36" s="76">
        <f>资产资本表!AZ13</f>
        <v>0</v>
      </c>
      <c r="BA36" s="76">
        <f>资产资本表!BA13</f>
        <v>0</v>
      </c>
      <c r="BB36" s="76">
        <f>资产资本表!BB13</f>
        <v>0</v>
      </c>
      <c r="BC36" s="76">
        <f>资产资本表!BC13</f>
        <v>0</v>
      </c>
      <c r="BD36" s="76">
        <f>资产资本表!BD13</f>
        <v>0</v>
      </c>
      <c r="BE36" s="76">
        <f>资产资本表!BE13</f>
        <v>0</v>
      </c>
      <c r="BF36" s="76">
        <f>资产资本表!BF13</f>
        <v>0</v>
      </c>
      <c r="BG36" s="76">
        <f>资产资本表!BG13</f>
        <v>0</v>
      </c>
      <c r="BH36" s="76">
        <f>资产资本表!BH13</f>
        <v>0</v>
      </c>
      <c r="BI36" s="76">
        <f>资产资本表!BI13</f>
        <v>0</v>
      </c>
      <c r="BJ36" s="76">
        <f>资产资本表!BJ13</f>
        <v>0</v>
      </c>
      <c r="BK36" s="76">
        <f>资产资本表!BK13</f>
        <v>0</v>
      </c>
      <c r="BL36" s="76">
        <f>资产资本表!BL13</f>
        <v>0</v>
      </c>
      <c r="BM36" s="76">
        <f>资产资本表!BM13</f>
        <v>0</v>
      </c>
      <c r="BN36" s="76">
        <f>资产资本表!BN13</f>
        <v>1000000</v>
      </c>
      <c r="BO36" s="76">
        <f>资产资本表!BO13</f>
        <v>2000000</v>
      </c>
      <c r="BP36" s="76">
        <f>资产资本表!BP13</f>
        <v>3000000</v>
      </c>
      <c r="BQ36" s="76">
        <f>资产资本表!BQ13</f>
        <v>16000000</v>
      </c>
      <c r="BR36" s="76">
        <f>资产资本表!BR13</f>
        <v>32000000</v>
      </c>
      <c r="BS36" s="76">
        <f>资产资本表!BS13</f>
        <v>70000000</v>
      </c>
      <c r="BT36" s="76">
        <f>资产资本表!BT13</f>
        <v>0</v>
      </c>
      <c r="BU36" s="76">
        <f>资产资本表!BU13</f>
        <v>0</v>
      </c>
      <c r="BV36" s="76">
        <f>资产资本表!BV13</f>
        <v>0</v>
      </c>
      <c r="BW36" s="76">
        <f>资产资本表!BW13</f>
        <v>0</v>
      </c>
      <c r="BX36" s="76">
        <f>资产资本表!BX13</f>
        <v>0</v>
      </c>
      <c r="BY36" s="76">
        <f>资产资本表!BY13</f>
        <v>0</v>
      </c>
      <c r="BZ36" s="76">
        <f>资产资本表!BZ13</f>
        <v>0</v>
      </c>
      <c r="CA36" s="76">
        <f>资产资本表!CA13</f>
        <v>0</v>
      </c>
      <c r="CB36" s="76">
        <f>资产资本表!CB13</f>
        <v>0</v>
      </c>
      <c r="CC36" s="76">
        <f>资产资本表!CC13</f>
        <v>0</v>
      </c>
      <c r="CD36" s="76">
        <f>资产资本表!CD13</f>
        <v>0</v>
      </c>
      <c r="CE36" s="76">
        <f>资产资本表!CE13</f>
        <v>0</v>
      </c>
      <c r="CF36" s="76">
        <f>资产资本表!CF13</f>
        <v>0</v>
      </c>
      <c r="CG36" s="76">
        <f>资产资本表!CG13</f>
        <v>0</v>
      </c>
      <c r="CH36" s="76">
        <f>资产资本表!CH13</f>
        <v>0</v>
      </c>
      <c r="CI36" s="76">
        <f>资产资本表!CI13</f>
        <v>0</v>
      </c>
      <c r="CJ36" s="76">
        <f>资产资本表!CJ13</f>
        <v>0</v>
      </c>
    </row>
    <row r="37" spans="1:89" s="76" customFormat="1" x14ac:dyDescent="0.25">
      <c r="A37" s="147" t="s">
        <v>454</v>
      </c>
      <c r="E37" s="76">
        <f>资产资本表!E11</f>
        <v>0</v>
      </c>
      <c r="F37" s="76">
        <f>资产资本表!F11</f>
        <v>0</v>
      </c>
      <c r="G37" s="76">
        <f>资产资本表!G11</f>
        <v>0</v>
      </c>
      <c r="H37" s="76">
        <f>资产资本表!H11</f>
        <v>0</v>
      </c>
      <c r="I37" s="76">
        <f>资产资本表!I11</f>
        <v>0</v>
      </c>
      <c r="J37" s="76">
        <f>资产资本表!J11</f>
        <v>0</v>
      </c>
      <c r="K37" s="76">
        <f>资产资本表!K11</f>
        <v>0</v>
      </c>
      <c r="L37" s="76">
        <f>资产资本表!L11</f>
        <v>0</v>
      </c>
      <c r="M37" s="76">
        <f>资产资本表!M11</f>
        <v>0</v>
      </c>
      <c r="N37" s="76">
        <f>资产资本表!N11</f>
        <v>0</v>
      </c>
      <c r="O37" s="76">
        <f>资产资本表!O11</f>
        <v>0</v>
      </c>
      <c r="P37" s="76">
        <f>资产资本表!P11</f>
        <v>0</v>
      </c>
      <c r="Q37" s="76">
        <f>资产资本表!Q11</f>
        <v>0</v>
      </c>
      <c r="R37" s="76">
        <f>资产资本表!R11</f>
        <v>0</v>
      </c>
      <c r="S37" s="76">
        <f>资产资本表!S11</f>
        <v>0</v>
      </c>
      <c r="T37" s="76">
        <f>资产资本表!T11</f>
        <v>0</v>
      </c>
      <c r="U37" s="76">
        <f>资产资本表!U11</f>
        <v>0</v>
      </c>
      <c r="V37" s="76">
        <f>资产资本表!V11</f>
        <v>0</v>
      </c>
      <c r="W37" s="76">
        <f>资产资本表!W11</f>
        <v>0</v>
      </c>
      <c r="X37" s="76">
        <f>资产资本表!X11</f>
        <v>0</v>
      </c>
      <c r="Y37" s="76">
        <f>资产资本表!Y11</f>
        <v>0</v>
      </c>
      <c r="Z37" s="76">
        <f>资产资本表!Z11</f>
        <v>0</v>
      </c>
      <c r="AA37" s="76">
        <f>资产资本表!AA11</f>
        <v>0</v>
      </c>
      <c r="AB37" s="76">
        <f>资产资本表!AB11</f>
        <v>0</v>
      </c>
      <c r="AC37" s="76">
        <f>资产资本表!AC11</f>
        <v>0</v>
      </c>
      <c r="AD37" s="76">
        <f>资产资本表!AD11</f>
        <v>0</v>
      </c>
      <c r="AE37" s="76">
        <f>资产资本表!AE11</f>
        <v>0</v>
      </c>
      <c r="AF37" s="76">
        <f>资产资本表!AF11</f>
        <v>0</v>
      </c>
      <c r="AG37" s="76">
        <f>资产资本表!AG11</f>
        <v>0</v>
      </c>
      <c r="AH37" s="76">
        <f>资产资本表!AH11</f>
        <v>0</v>
      </c>
      <c r="AI37" s="76">
        <f>资产资本表!AI11</f>
        <v>0</v>
      </c>
      <c r="AJ37" s="76">
        <f>资产资本表!AJ11</f>
        <v>0</v>
      </c>
      <c r="AK37" s="76">
        <f>资产资本表!AK11</f>
        <v>0</v>
      </c>
      <c r="AL37" s="76">
        <f>资产资本表!AL11</f>
        <v>0</v>
      </c>
      <c r="AM37" s="76">
        <f>资产资本表!AM11</f>
        <v>0</v>
      </c>
      <c r="AN37" s="76">
        <f>资产资本表!AN11</f>
        <v>0</v>
      </c>
      <c r="AO37" s="76">
        <f>资产资本表!AO11</f>
        <v>0</v>
      </c>
      <c r="AP37" s="76">
        <f>资产资本表!AP11</f>
        <v>0</v>
      </c>
      <c r="AQ37" s="76">
        <f>资产资本表!AQ11</f>
        <v>0</v>
      </c>
      <c r="AR37" s="76">
        <f>资产资本表!AR11</f>
        <v>0</v>
      </c>
      <c r="AS37" s="76">
        <f>资产资本表!AS11</f>
        <v>0</v>
      </c>
      <c r="AT37" s="76">
        <f>资产资本表!AT11</f>
        <v>0</v>
      </c>
      <c r="AU37" s="76">
        <f>资产资本表!AU11</f>
        <v>0</v>
      </c>
      <c r="AV37" s="76">
        <f>资产资本表!AV11</f>
        <v>0</v>
      </c>
      <c r="AW37" s="76">
        <f>资产资本表!AW11</f>
        <v>0</v>
      </c>
      <c r="AX37" s="76">
        <f>资产资本表!AX11</f>
        <v>0</v>
      </c>
      <c r="AY37" s="76">
        <f>资产资本表!AY11</f>
        <v>0</v>
      </c>
      <c r="AZ37" s="76">
        <f>资产资本表!AZ11</f>
        <v>0</v>
      </c>
      <c r="BA37" s="76">
        <f>资产资本表!BA11</f>
        <v>0</v>
      </c>
      <c r="BB37" s="76">
        <f>资产资本表!BB11</f>
        <v>0</v>
      </c>
      <c r="BC37" s="76">
        <f>资产资本表!BC11</f>
        <v>0</v>
      </c>
      <c r="BD37" s="76">
        <f>资产资本表!BD11</f>
        <v>0</v>
      </c>
      <c r="BE37" s="76">
        <f>资产资本表!BE11</f>
        <v>0</v>
      </c>
      <c r="BF37" s="76">
        <f>资产资本表!BF11</f>
        <v>0</v>
      </c>
      <c r="BG37" s="76">
        <f>资产资本表!BG11</f>
        <v>0</v>
      </c>
      <c r="BH37" s="76">
        <f>资产资本表!BH11</f>
        <v>0</v>
      </c>
      <c r="BI37" s="76">
        <f>资产资本表!BI11</f>
        <v>0</v>
      </c>
      <c r="BJ37" s="76">
        <f>资产资本表!BJ11</f>
        <v>0</v>
      </c>
      <c r="BK37" s="76">
        <f>资产资本表!BK11</f>
        <v>0</v>
      </c>
      <c r="BL37" s="76">
        <f>资产资本表!BL11</f>
        <v>0</v>
      </c>
      <c r="BM37" s="76">
        <f>资产资本表!BM11</f>
        <v>0</v>
      </c>
      <c r="BN37" s="76">
        <f>资产资本表!BN11</f>
        <v>0</v>
      </c>
      <c r="BO37" s="76">
        <f>资产资本表!BO11</f>
        <v>0</v>
      </c>
      <c r="BP37" s="76">
        <f>资产资本表!BP11</f>
        <v>0</v>
      </c>
      <c r="BQ37" s="76">
        <f>资产资本表!BQ11</f>
        <v>0</v>
      </c>
      <c r="BR37" s="76">
        <f>资产资本表!BR11</f>
        <v>0</v>
      </c>
      <c r="BS37" s="76">
        <f>资产资本表!BS11</f>
        <v>0</v>
      </c>
      <c r="BT37" s="76">
        <f>资产资本表!BT11</f>
        <v>0</v>
      </c>
      <c r="BU37" s="76">
        <f>资产资本表!BU11</f>
        <v>0</v>
      </c>
      <c r="BV37" s="76">
        <f>资产资本表!BV11</f>
        <v>0</v>
      </c>
      <c r="BW37" s="76">
        <f>资产资本表!BW11</f>
        <v>0</v>
      </c>
      <c r="BX37" s="76">
        <f>资产资本表!BX11</f>
        <v>0</v>
      </c>
      <c r="BY37" s="76">
        <f>资产资本表!BY11</f>
        <v>0</v>
      </c>
      <c r="BZ37" s="76">
        <f>资产资本表!BZ11</f>
        <v>0</v>
      </c>
      <c r="CA37" s="76">
        <f>资产资本表!CA11</f>
        <v>0</v>
      </c>
      <c r="CB37" s="76">
        <f>资产资本表!CB11</f>
        <v>0</v>
      </c>
      <c r="CC37" s="76">
        <f>资产资本表!CC11</f>
        <v>0</v>
      </c>
      <c r="CD37" s="76">
        <f>资产资本表!CD11</f>
        <v>0</v>
      </c>
      <c r="CE37" s="76">
        <f>资产资本表!CE11</f>
        <v>0</v>
      </c>
      <c r="CF37" s="76">
        <f>资产资本表!CF11</f>
        <v>0</v>
      </c>
      <c r="CG37" s="76">
        <f>资产资本表!CG11</f>
        <v>0</v>
      </c>
      <c r="CH37" s="76">
        <f>资产资本表!CH11</f>
        <v>0</v>
      </c>
      <c r="CI37" s="76">
        <f>资产资本表!CI11</f>
        <v>0</v>
      </c>
      <c r="CJ37" s="76">
        <f>资产资本表!CJ11</f>
        <v>0</v>
      </c>
    </row>
    <row r="38" spans="1:89" s="76" customFormat="1" x14ac:dyDescent="0.25">
      <c r="A38" s="147" t="s">
        <v>455</v>
      </c>
      <c r="E38" s="76">
        <f>资产资本表!E8</f>
        <v>1676000000</v>
      </c>
      <c r="F38" s="76">
        <f>资产资本表!F8</f>
        <v>11227000000</v>
      </c>
      <c r="G38" s="76">
        <f>资产资本表!G8</f>
        <v>11325000000</v>
      </c>
      <c r="H38" s="76">
        <f>资产资本表!H8</f>
        <v>11521000000</v>
      </c>
      <c r="I38" s="76">
        <f>资产资本表!I8</f>
        <v>11408000000</v>
      </c>
      <c r="J38" s="76">
        <f>资产资本表!J8</f>
        <v>11097000000</v>
      </c>
      <c r="K38" s="76">
        <f>资产资本表!K8</f>
        <v>11137000000</v>
      </c>
      <c r="L38" s="76">
        <f>资产资本表!L8</f>
        <v>10281000000</v>
      </c>
      <c r="M38" s="76">
        <f>资产资本表!M8</f>
        <v>10326000000</v>
      </c>
      <c r="N38" s="76">
        <f>资产资本表!N8</f>
        <v>1281000000</v>
      </c>
      <c r="O38" s="76">
        <f>资产资本表!O8</f>
        <v>1075000000</v>
      </c>
      <c r="P38" s="76">
        <f>资产资本表!P8</f>
        <v>1035000000</v>
      </c>
      <c r="Q38" s="76">
        <f>资产资本表!Q8</f>
        <v>868000000</v>
      </c>
      <c r="R38" s="76">
        <f>资产资本表!R8</f>
        <v>1605000000</v>
      </c>
      <c r="S38" s="76">
        <f>资产资本表!S8</f>
        <v>0</v>
      </c>
      <c r="T38" s="76">
        <f>资产资本表!T8</f>
        <v>0</v>
      </c>
      <c r="U38" s="76">
        <f>资产资本表!U8</f>
        <v>0</v>
      </c>
      <c r="V38" s="76">
        <f>资产资本表!V8</f>
        <v>0</v>
      </c>
      <c r="W38" s="76">
        <f>资产资本表!W8</f>
        <v>0</v>
      </c>
      <c r="X38" s="76">
        <f>资产资本表!X8</f>
        <v>0</v>
      </c>
      <c r="Y38" s="76">
        <f>资产资本表!Y8</f>
        <v>0</v>
      </c>
      <c r="Z38" s="76">
        <f>资产资本表!Z8</f>
        <v>0</v>
      </c>
      <c r="AA38" s="76">
        <f>资产资本表!AA8</f>
        <v>0</v>
      </c>
      <c r="AB38" s="76">
        <f>资产资本表!AB8</f>
        <v>0</v>
      </c>
      <c r="AC38" s="76">
        <f>资产资本表!AC8</f>
        <v>0</v>
      </c>
      <c r="AD38" s="76">
        <f>资产资本表!AD8</f>
        <v>0</v>
      </c>
      <c r="AE38" s="76">
        <f>资产资本表!AE8</f>
        <v>0</v>
      </c>
      <c r="AF38" s="76">
        <f>资产资本表!AF8</f>
        <v>0</v>
      </c>
      <c r="AG38" s="76">
        <f>资产资本表!AG8</f>
        <v>0</v>
      </c>
      <c r="AH38" s="76">
        <f>资产资本表!AH8</f>
        <v>0</v>
      </c>
      <c r="AI38" s="76">
        <f>资产资本表!AI8</f>
        <v>0</v>
      </c>
      <c r="AJ38" s="76">
        <f>资产资本表!AJ8</f>
        <v>0</v>
      </c>
      <c r="AK38" s="76">
        <f>资产资本表!AK8</f>
        <v>0</v>
      </c>
      <c r="AL38" s="76">
        <f>资产资本表!AL8</f>
        <v>0</v>
      </c>
      <c r="AM38" s="76">
        <f>资产资本表!AM8</f>
        <v>0</v>
      </c>
      <c r="AN38" s="76">
        <f>资产资本表!AN8</f>
        <v>0</v>
      </c>
      <c r="AO38" s="76">
        <f>资产资本表!AO8</f>
        <v>0</v>
      </c>
      <c r="AP38" s="76">
        <f>资产资本表!AP8</f>
        <v>0</v>
      </c>
      <c r="AQ38" s="76">
        <f>资产资本表!AQ8</f>
        <v>0</v>
      </c>
      <c r="AR38" s="76">
        <f>资产资本表!AR8</f>
        <v>0</v>
      </c>
      <c r="AS38" s="76">
        <f>资产资本表!AS8</f>
        <v>0</v>
      </c>
      <c r="AT38" s="76">
        <f>资产资本表!AT8</f>
        <v>0</v>
      </c>
      <c r="AU38" s="76">
        <f>资产资本表!AU8</f>
        <v>0</v>
      </c>
      <c r="AV38" s="76">
        <f>资产资本表!AV8</f>
        <v>0</v>
      </c>
      <c r="AW38" s="76">
        <f>资产资本表!AW8</f>
        <v>0</v>
      </c>
      <c r="AX38" s="76">
        <f>资产资本表!AX8</f>
        <v>0</v>
      </c>
      <c r="AY38" s="76">
        <f>资产资本表!AY8</f>
        <v>0</v>
      </c>
      <c r="AZ38" s="76">
        <f>资产资本表!AZ8</f>
        <v>0</v>
      </c>
      <c r="BA38" s="76">
        <f>资产资本表!BA8</f>
        <v>0</v>
      </c>
      <c r="BB38" s="76">
        <f>资产资本表!BB8</f>
        <v>0</v>
      </c>
      <c r="BC38" s="76">
        <f>资产资本表!BC8</f>
        <v>0</v>
      </c>
      <c r="BD38" s="76">
        <f>资产资本表!BD8</f>
        <v>0</v>
      </c>
      <c r="BE38" s="76">
        <f>资产资本表!BE8</f>
        <v>0</v>
      </c>
      <c r="BF38" s="76">
        <f>资产资本表!BF8</f>
        <v>0</v>
      </c>
      <c r="BG38" s="76">
        <f>资产资本表!BG8</f>
        <v>0</v>
      </c>
      <c r="BH38" s="76">
        <f>资产资本表!BH8</f>
        <v>0</v>
      </c>
      <c r="BI38" s="76">
        <f>资产资本表!BI8</f>
        <v>0</v>
      </c>
      <c r="BJ38" s="76">
        <f>资产资本表!BJ8</f>
        <v>0</v>
      </c>
      <c r="BK38" s="76">
        <f>资产资本表!BK8</f>
        <v>0</v>
      </c>
      <c r="BL38" s="76">
        <f>资产资本表!BL8</f>
        <v>0</v>
      </c>
      <c r="BM38" s="76">
        <f>资产资本表!BM8</f>
        <v>0</v>
      </c>
      <c r="BN38" s="76">
        <f>资产资本表!BN8</f>
        <v>0</v>
      </c>
      <c r="BO38" s="76">
        <f>资产资本表!BO8</f>
        <v>0</v>
      </c>
      <c r="BP38" s="76">
        <f>资产资本表!BP8</f>
        <v>0</v>
      </c>
      <c r="BQ38" s="76">
        <f>资产资本表!BQ8</f>
        <v>0</v>
      </c>
      <c r="BR38" s="76">
        <f>资产资本表!BR8</f>
        <v>0</v>
      </c>
      <c r="BS38" s="76">
        <f>资产资本表!BS8</f>
        <v>0</v>
      </c>
      <c r="BT38" s="76">
        <f>资产资本表!BT8</f>
        <v>0</v>
      </c>
      <c r="BU38" s="76">
        <f>资产资本表!BU8</f>
        <v>0</v>
      </c>
      <c r="BV38" s="76">
        <f>资产资本表!BV8</f>
        <v>0</v>
      </c>
      <c r="BW38" s="76">
        <f>资产资本表!BW8</f>
        <v>0</v>
      </c>
      <c r="BX38" s="76">
        <f>资产资本表!BX8</f>
        <v>0</v>
      </c>
      <c r="BY38" s="76">
        <f>资产资本表!BY8</f>
        <v>0</v>
      </c>
      <c r="BZ38" s="76">
        <f>资产资本表!BZ8</f>
        <v>0</v>
      </c>
      <c r="CA38" s="76">
        <f>资产资本表!CA8</f>
        <v>0</v>
      </c>
      <c r="CB38" s="76">
        <f>资产资本表!CB8</f>
        <v>0</v>
      </c>
      <c r="CC38" s="76">
        <f>资产资本表!CC8</f>
        <v>0</v>
      </c>
      <c r="CD38" s="76">
        <f>资产资本表!CD8</f>
        <v>0</v>
      </c>
      <c r="CE38" s="76">
        <f>资产资本表!CE8</f>
        <v>0</v>
      </c>
      <c r="CF38" s="76">
        <f>资产资本表!CF8</f>
        <v>0</v>
      </c>
      <c r="CG38" s="76">
        <f>资产资本表!CG8</f>
        <v>0</v>
      </c>
      <c r="CH38" s="76">
        <f>资产资本表!CH8</f>
        <v>0</v>
      </c>
      <c r="CI38" s="76">
        <f>资产资本表!CI8</f>
        <v>0</v>
      </c>
      <c r="CJ38" s="76">
        <f>资产资本表!CJ8</f>
        <v>0</v>
      </c>
      <c r="CK38" s="76">
        <f>资产资本表!CK8</f>
        <v>0</v>
      </c>
    </row>
    <row r="39" spans="1:89" s="76" customFormat="1" x14ac:dyDescent="0.25">
      <c r="A39" s="147" t="s">
        <v>456</v>
      </c>
      <c r="E39" s="76">
        <f>资产资本表!E9</f>
        <v>0</v>
      </c>
      <c r="F39" s="76">
        <f>资产资本表!F9</f>
        <v>0</v>
      </c>
      <c r="G39" s="76">
        <f>资产资本表!G9</f>
        <v>0</v>
      </c>
      <c r="H39" s="76">
        <f>资产资本表!H9</f>
        <v>0</v>
      </c>
      <c r="I39" s="76">
        <f>资产资本表!I9</f>
        <v>0</v>
      </c>
      <c r="J39" s="76">
        <f>资产资本表!J9</f>
        <v>0</v>
      </c>
      <c r="K39" s="76">
        <f>资产资本表!K9</f>
        <v>0</v>
      </c>
      <c r="L39" s="76">
        <f>资产资本表!L9</f>
        <v>0</v>
      </c>
      <c r="M39" s="76">
        <f>资产资本表!M9</f>
        <v>0</v>
      </c>
      <c r="N39" s="76">
        <f>资产资本表!N9</f>
        <v>0</v>
      </c>
      <c r="O39" s="76">
        <f>资产资本表!O9</f>
        <v>0</v>
      </c>
      <c r="P39" s="76">
        <f>资产资本表!P9</f>
        <v>0</v>
      </c>
      <c r="Q39" s="76">
        <f>资产资本表!Q9</f>
        <v>0</v>
      </c>
      <c r="R39" s="76">
        <f>资产资本表!R9</f>
        <v>0</v>
      </c>
      <c r="S39" s="76">
        <f>资产资本表!S9</f>
        <v>0</v>
      </c>
      <c r="T39" s="76">
        <f>资产资本表!T9</f>
        <v>0</v>
      </c>
      <c r="U39" s="76">
        <f>资产资本表!U9</f>
        <v>0</v>
      </c>
      <c r="V39" s="76">
        <f>资产资本表!V9</f>
        <v>0</v>
      </c>
      <c r="W39" s="76">
        <f>资产资本表!W9</f>
        <v>0</v>
      </c>
      <c r="X39" s="76">
        <f>资产资本表!X9</f>
        <v>0</v>
      </c>
      <c r="Y39" s="76">
        <f>资产资本表!Y9</f>
        <v>0</v>
      </c>
      <c r="Z39" s="76">
        <f>资产资本表!Z9</f>
        <v>0</v>
      </c>
      <c r="AA39" s="76">
        <f>资产资本表!AA9</f>
        <v>0</v>
      </c>
      <c r="AB39" s="76">
        <f>资产资本表!AB9</f>
        <v>0</v>
      </c>
      <c r="AC39" s="76">
        <f>资产资本表!AC9</f>
        <v>0</v>
      </c>
      <c r="AD39" s="76">
        <f>资产资本表!AD9</f>
        <v>0</v>
      </c>
      <c r="AE39" s="76">
        <f>资产资本表!AE9</f>
        <v>0</v>
      </c>
      <c r="AF39" s="76">
        <f>资产资本表!AF9</f>
        <v>0</v>
      </c>
      <c r="AG39" s="76">
        <f>资产资本表!AG9</f>
        <v>0</v>
      </c>
      <c r="AH39" s="76">
        <f>资产资本表!AH9</f>
        <v>0</v>
      </c>
      <c r="AI39" s="76">
        <f>资产资本表!AI9</f>
        <v>0</v>
      </c>
      <c r="AJ39" s="76">
        <f>资产资本表!AJ9</f>
        <v>0</v>
      </c>
      <c r="AK39" s="76">
        <f>资产资本表!AK9</f>
        <v>0</v>
      </c>
      <c r="AL39" s="76">
        <f>资产资本表!AL9</f>
        <v>0</v>
      </c>
      <c r="AM39" s="76">
        <f>资产资本表!AM9</f>
        <v>0</v>
      </c>
      <c r="AN39" s="76">
        <f>资产资本表!AN9</f>
        <v>0</v>
      </c>
      <c r="AO39" s="76">
        <f>资产资本表!AO9</f>
        <v>0</v>
      </c>
      <c r="AP39" s="76">
        <f>资产资本表!AP9</f>
        <v>0</v>
      </c>
      <c r="AQ39" s="76">
        <f>资产资本表!AQ9</f>
        <v>0</v>
      </c>
      <c r="AR39" s="76">
        <f>资产资本表!AR9</f>
        <v>0</v>
      </c>
      <c r="AS39" s="76">
        <f>资产资本表!AS9</f>
        <v>0</v>
      </c>
      <c r="AT39" s="76">
        <f>资产资本表!AT9</f>
        <v>0</v>
      </c>
      <c r="AU39" s="76">
        <f>资产资本表!AU9</f>
        <v>0</v>
      </c>
      <c r="AV39" s="76">
        <f>资产资本表!AV9</f>
        <v>0</v>
      </c>
      <c r="AW39" s="76">
        <f>资产资本表!AW9</f>
        <v>0</v>
      </c>
      <c r="AX39" s="76">
        <f>资产资本表!AX9</f>
        <v>0</v>
      </c>
      <c r="AY39" s="76">
        <f>资产资本表!AY9</f>
        <v>0</v>
      </c>
      <c r="AZ39" s="76">
        <f>资产资本表!AZ9</f>
        <v>0</v>
      </c>
      <c r="BA39" s="76">
        <f>资产资本表!BA9</f>
        <v>0</v>
      </c>
      <c r="BB39" s="76">
        <f>资产资本表!BB9</f>
        <v>0</v>
      </c>
      <c r="BC39" s="76">
        <f>资产资本表!BC9</f>
        <v>0</v>
      </c>
      <c r="BD39" s="76">
        <f>资产资本表!BD9</f>
        <v>0</v>
      </c>
      <c r="BE39" s="76">
        <f>资产资本表!BE9</f>
        <v>0</v>
      </c>
      <c r="BF39" s="76">
        <f>资产资本表!BF9</f>
        <v>0</v>
      </c>
      <c r="BG39" s="76">
        <f>资产资本表!BG9</f>
        <v>0</v>
      </c>
      <c r="BH39" s="76">
        <f>资产资本表!BH9</f>
        <v>0</v>
      </c>
      <c r="BI39" s="76">
        <f>资产资本表!BI9</f>
        <v>0</v>
      </c>
      <c r="BJ39" s="76">
        <f>资产资本表!BJ9</f>
        <v>0</v>
      </c>
      <c r="BK39" s="76">
        <f>资产资本表!BK9</f>
        <v>0</v>
      </c>
      <c r="BL39" s="76">
        <f>资产资本表!BL9</f>
        <v>0</v>
      </c>
      <c r="BM39" s="76">
        <f>资产资本表!BM9</f>
        <v>0</v>
      </c>
      <c r="BN39" s="76">
        <f>资产资本表!BN9</f>
        <v>0</v>
      </c>
      <c r="BO39" s="76">
        <f>资产资本表!BO9</f>
        <v>0</v>
      </c>
      <c r="BP39" s="76">
        <f>资产资本表!BP9</f>
        <v>0</v>
      </c>
      <c r="BQ39" s="76">
        <f>资产资本表!BQ9</f>
        <v>0</v>
      </c>
      <c r="BR39" s="76">
        <f>资产资本表!BR9</f>
        <v>0</v>
      </c>
      <c r="BS39" s="76">
        <f>资产资本表!BS9</f>
        <v>0</v>
      </c>
      <c r="BT39" s="76">
        <f>资产资本表!BT9</f>
        <v>0</v>
      </c>
      <c r="BU39" s="76">
        <f>资产资本表!BU9</f>
        <v>0</v>
      </c>
      <c r="BV39" s="76">
        <f>资产资本表!BV9</f>
        <v>0</v>
      </c>
      <c r="BW39" s="76">
        <f>资产资本表!BW9</f>
        <v>0</v>
      </c>
      <c r="BX39" s="76">
        <f>资产资本表!BX9</f>
        <v>0</v>
      </c>
      <c r="BY39" s="76">
        <f>资产资本表!BY9</f>
        <v>0</v>
      </c>
      <c r="BZ39" s="76">
        <f>资产资本表!BZ9</f>
        <v>0</v>
      </c>
      <c r="CA39" s="76">
        <f>资产资本表!CA9</f>
        <v>0</v>
      </c>
      <c r="CB39" s="76">
        <f>资产资本表!CB9</f>
        <v>0</v>
      </c>
      <c r="CC39" s="76">
        <f>资产资本表!CC9</f>
        <v>0</v>
      </c>
      <c r="CD39" s="76">
        <f>资产资本表!CD9</f>
        <v>0</v>
      </c>
      <c r="CE39" s="76">
        <f>资产资本表!CE9</f>
        <v>0</v>
      </c>
      <c r="CF39" s="76">
        <f>资产资本表!CF9</f>
        <v>0</v>
      </c>
      <c r="CG39" s="76">
        <f>资产资本表!CG9</f>
        <v>0</v>
      </c>
      <c r="CH39" s="76">
        <f>资产资本表!CH9</f>
        <v>0</v>
      </c>
      <c r="CI39" s="76">
        <f>资产资本表!CI9</f>
        <v>0</v>
      </c>
      <c r="CJ39" s="76">
        <f>资产资本表!CJ9</f>
        <v>0</v>
      </c>
      <c r="CK39" s="76">
        <f>资产资本表!CK9</f>
        <v>0</v>
      </c>
    </row>
    <row r="40" spans="1:89" s="76" customFormat="1" x14ac:dyDescent="0.25">
      <c r="A40" s="147" t="s">
        <v>457</v>
      </c>
      <c r="E40" s="76">
        <f>资产资本表!E10</f>
        <v>0</v>
      </c>
      <c r="F40" s="76">
        <f>资产资本表!F10</f>
        <v>0</v>
      </c>
      <c r="G40" s="76">
        <f>资产资本表!G10</f>
        <v>0</v>
      </c>
      <c r="H40" s="76">
        <f>资产资本表!H10</f>
        <v>0</v>
      </c>
      <c r="I40" s="76">
        <f>资产资本表!I10</f>
        <v>0</v>
      </c>
      <c r="J40" s="76">
        <f>资产资本表!J10</f>
        <v>0</v>
      </c>
      <c r="K40" s="76">
        <f>资产资本表!K10</f>
        <v>0</v>
      </c>
      <c r="L40" s="76">
        <f>资产资本表!L10</f>
        <v>0</v>
      </c>
      <c r="M40" s="76">
        <f>资产资本表!M10</f>
        <v>0</v>
      </c>
      <c r="N40" s="76">
        <f>资产资本表!N10</f>
        <v>0</v>
      </c>
      <c r="O40" s="76">
        <f>资产资本表!O10</f>
        <v>0</v>
      </c>
      <c r="P40" s="76">
        <f>资产资本表!P10</f>
        <v>0</v>
      </c>
      <c r="Q40" s="76">
        <f>资产资本表!Q10</f>
        <v>0</v>
      </c>
      <c r="R40" s="76">
        <f>资产资本表!R10</f>
        <v>0</v>
      </c>
      <c r="S40" s="76">
        <f>资产资本表!S10</f>
        <v>0</v>
      </c>
      <c r="T40" s="76">
        <f>资产资本表!T10</f>
        <v>0</v>
      </c>
      <c r="U40" s="76">
        <f>资产资本表!U10</f>
        <v>0</v>
      </c>
      <c r="V40" s="76">
        <f>资产资本表!V10</f>
        <v>0</v>
      </c>
      <c r="W40" s="76">
        <f>资产资本表!W10</f>
        <v>0</v>
      </c>
      <c r="X40" s="76">
        <f>资产资本表!X10</f>
        <v>0</v>
      </c>
      <c r="Y40" s="76">
        <f>资产资本表!Y10</f>
        <v>0</v>
      </c>
      <c r="Z40" s="76">
        <f>资产资本表!Z10</f>
        <v>0</v>
      </c>
      <c r="AA40" s="76">
        <f>资产资本表!AA10</f>
        <v>0</v>
      </c>
      <c r="AB40" s="76">
        <f>资产资本表!AB10</f>
        <v>0</v>
      </c>
      <c r="AC40" s="76">
        <f>资产资本表!AC10</f>
        <v>0</v>
      </c>
      <c r="AD40" s="76">
        <f>资产资本表!AD10</f>
        <v>0</v>
      </c>
      <c r="AE40" s="76">
        <f>资产资本表!AE10</f>
        <v>0</v>
      </c>
      <c r="AF40" s="76">
        <f>资产资本表!AF10</f>
        <v>0</v>
      </c>
      <c r="AG40" s="76">
        <f>资产资本表!AG10</f>
        <v>0</v>
      </c>
      <c r="AH40" s="76">
        <f>资产资本表!AH10</f>
        <v>0</v>
      </c>
      <c r="AI40" s="76">
        <f>资产资本表!AI10</f>
        <v>0</v>
      </c>
      <c r="AJ40" s="76">
        <f>资产资本表!AJ10</f>
        <v>0</v>
      </c>
      <c r="AK40" s="76">
        <f>资产资本表!AK10</f>
        <v>0</v>
      </c>
      <c r="AL40" s="76">
        <f>资产资本表!AL10</f>
        <v>0</v>
      </c>
      <c r="AM40" s="76">
        <f>资产资本表!AM10</f>
        <v>0</v>
      </c>
      <c r="AN40" s="76">
        <f>资产资本表!AN10</f>
        <v>0</v>
      </c>
      <c r="AO40" s="76">
        <f>资产资本表!AO10</f>
        <v>0</v>
      </c>
      <c r="AP40" s="76">
        <f>资产资本表!AP10</f>
        <v>0</v>
      </c>
      <c r="AQ40" s="76">
        <f>资产资本表!AQ10</f>
        <v>0</v>
      </c>
      <c r="AR40" s="76">
        <f>资产资本表!AR10</f>
        <v>0</v>
      </c>
      <c r="AS40" s="76">
        <f>资产资本表!AS10</f>
        <v>0</v>
      </c>
      <c r="AT40" s="76">
        <f>资产资本表!AT10</f>
        <v>0</v>
      </c>
      <c r="AU40" s="76">
        <f>资产资本表!AU10</f>
        <v>0</v>
      </c>
      <c r="AV40" s="76">
        <f>资产资本表!AV10</f>
        <v>0</v>
      </c>
      <c r="AW40" s="76">
        <f>资产资本表!AW10</f>
        <v>0</v>
      </c>
      <c r="AX40" s="76">
        <f>资产资本表!AX10</f>
        <v>0</v>
      </c>
      <c r="AY40" s="76">
        <f>资产资本表!AY10</f>
        <v>0</v>
      </c>
      <c r="AZ40" s="76">
        <f>资产资本表!AZ10</f>
        <v>0</v>
      </c>
      <c r="BA40" s="76">
        <f>资产资本表!BA10</f>
        <v>0</v>
      </c>
      <c r="BB40" s="76">
        <f>资产资本表!BB10</f>
        <v>0</v>
      </c>
      <c r="BC40" s="76">
        <f>资产资本表!BC10</f>
        <v>0</v>
      </c>
      <c r="BD40" s="76">
        <f>资产资本表!BD10</f>
        <v>0</v>
      </c>
      <c r="BE40" s="76">
        <f>资产资本表!BE10</f>
        <v>0</v>
      </c>
      <c r="BF40" s="76">
        <f>资产资本表!BF10</f>
        <v>0</v>
      </c>
      <c r="BG40" s="76">
        <f>资产资本表!BG10</f>
        <v>0</v>
      </c>
      <c r="BH40" s="76">
        <f>资产资本表!BH10</f>
        <v>0</v>
      </c>
      <c r="BI40" s="76">
        <f>资产资本表!BI10</f>
        <v>0</v>
      </c>
      <c r="BJ40" s="76">
        <f>资产资本表!BJ10</f>
        <v>0</v>
      </c>
      <c r="BK40" s="76">
        <f>资产资本表!BK10</f>
        <v>0</v>
      </c>
      <c r="BL40" s="76">
        <f>资产资本表!BL10</f>
        <v>0</v>
      </c>
      <c r="BM40" s="76">
        <f>资产资本表!BM10</f>
        <v>0</v>
      </c>
      <c r="BN40" s="76">
        <f>资产资本表!BN10</f>
        <v>0</v>
      </c>
      <c r="BO40" s="76">
        <f>资产资本表!BO10</f>
        <v>0</v>
      </c>
      <c r="BP40" s="76">
        <f>资产资本表!BP10</f>
        <v>0</v>
      </c>
      <c r="BQ40" s="76">
        <f>资产资本表!BQ10</f>
        <v>0</v>
      </c>
      <c r="BR40" s="76">
        <f>资产资本表!BR10</f>
        <v>0</v>
      </c>
      <c r="BS40" s="76">
        <f>资产资本表!BS10</f>
        <v>0</v>
      </c>
      <c r="BT40" s="76">
        <f>资产资本表!BT10</f>
        <v>0</v>
      </c>
      <c r="BU40" s="76">
        <f>资产资本表!BU10</f>
        <v>0</v>
      </c>
      <c r="BV40" s="76">
        <f>资产资本表!BV10</f>
        <v>0</v>
      </c>
      <c r="BW40" s="76">
        <f>资产资本表!BW10</f>
        <v>0</v>
      </c>
      <c r="BX40" s="76">
        <f>资产资本表!BX10</f>
        <v>0</v>
      </c>
      <c r="BY40" s="76">
        <f>资产资本表!BY10</f>
        <v>0</v>
      </c>
      <c r="BZ40" s="76">
        <f>资产资本表!BZ10</f>
        <v>0</v>
      </c>
      <c r="CA40" s="76">
        <f>资产资本表!CA10</f>
        <v>0</v>
      </c>
      <c r="CB40" s="76">
        <f>资产资本表!CB10</f>
        <v>0</v>
      </c>
      <c r="CC40" s="76">
        <f>资产资本表!CC10</f>
        <v>0</v>
      </c>
      <c r="CD40" s="76">
        <f>资产资本表!CD10</f>
        <v>0</v>
      </c>
      <c r="CE40" s="76">
        <f>资产资本表!CE10</f>
        <v>0</v>
      </c>
      <c r="CF40" s="76">
        <f>资产资本表!CF10</f>
        <v>0</v>
      </c>
      <c r="CG40" s="76">
        <f>资产资本表!CG10</f>
        <v>0</v>
      </c>
      <c r="CH40" s="76">
        <f>资产资本表!CH10</f>
        <v>0</v>
      </c>
      <c r="CI40" s="76">
        <f>资产资本表!CI10</f>
        <v>0</v>
      </c>
      <c r="CJ40" s="76">
        <f>资产资本表!CJ10</f>
        <v>0</v>
      </c>
      <c r="CK40" s="76">
        <f>资产资本表!CK10</f>
        <v>0</v>
      </c>
    </row>
    <row r="41" spans="1:89" s="76" customFormat="1" x14ac:dyDescent="0.25">
      <c r="A41" s="147" t="s">
        <v>458</v>
      </c>
      <c r="E41" s="76">
        <f>资产资本表!E12</f>
        <v>0</v>
      </c>
      <c r="F41" s="76">
        <f>资产资本表!F12</f>
        <v>0</v>
      </c>
      <c r="G41" s="76">
        <f>资产资本表!G12</f>
        <v>0</v>
      </c>
      <c r="H41" s="76">
        <f>资产资本表!H12</f>
        <v>0</v>
      </c>
      <c r="I41" s="76">
        <f>资产资本表!I12</f>
        <v>0</v>
      </c>
      <c r="J41" s="76">
        <f>资产资本表!J12</f>
        <v>0</v>
      </c>
      <c r="K41" s="76">
        <f>资产资本表!K12</f>
        <v>0</v>
      </c>
      <c r="L41" s="76">
        <f>资产资本表!L12</f>
        <v>0</v>
      </c>
      <c r="M41" s="76">
        <f>资产资本表!M12</f>
        <v>0</v>
      </c>
      <c r="N41" s="76">
        <f>资产资本表!N12</f>
        <v>0</v>
      </c>
      <c r="O41" s="76">
        <f>资产资本表!O12</f>
        <v>0</v>
      </c>
      <c r="P41" s="76">
        <f>资产资本表!P12</f>
        <v>0</v>
      </c>
      <c r="Q41" s="76">
        <f>资产资本表!Q12</f>
        <v>0</v>
      </c>
      <c r="R41" s="76">
        <f>资产资本表!R12</f>
        <v>0</v>
      </c>
      <c r="S41" s="76">
        <f>资产资本表!S12</f>
        <v>0</v>
      </c>
      <c r="T41" s="76">
        <f>资产资本表!T12</f>
        <v>0</v>
      </c>
      <c r="U41" s="76">
        <f>资产资本表!U12</f>
        <v>0</v>
      </c>
      <c r="V41" s="76">
        <f>资产资本表!V12</f>
        <v>0</v>
      </c>
      <c r="W41" s="76">
        <f>资产资本表!W12</f>
        <v>0</v>
      </c>
      <c r="X41" s="76">
        <f>资产资本表!X12</f>
        <v>0</v>
      </c>
      <c r="Y41" s="76">
        <f>资产资本表!Y12</f>
        <v>0</v>
      </c>
      <c r="Z41" s="76">
        <f>资产资本表!Z12</f>
        <v>0</v>
      </c>
      <c r="AA41" s="76">
        <f>资产资本表!AA12</f>
        <v>0</v>
      </c>
      <c r="AB41" s="76">
        <f>资产资本表!AB12</f>
        <v>0</v>
      </c>
      <c r="AC41" s="76">
        <f>资产资本表!AC12</f>
        <v>0</v>
      </c>
      <c r="AD41" s="76">
        <f>资产资本表!AD12</f>
        <v>0</v>
      </c>
      <c r="AE41" s="76">
        <f>资产资本表!AE12</f>
        <v>0</v>
      </c>
      <c r="AF41" s="76">
        <f>资产资本表!AF12</f>
        <v>0</v>
      </c>
      <c r="AG41" s="76">
        <f>资产资本表!AG12</f>
        <v>0</v>
      </c>
      <c r="AH41" s="76">
        <f>资产资本表!AH12</f>
        <v>0</v>
      </c>
      <c r="AI41" s="76">
        <f>资产资本表!AI12</f>
        <v>0</v>
      </c>
      <c r="AJ41" s="76">
        <f>资产资本表!AJ12</f>
        <v>0</v>
      </c>
      <c r="AK41" s="76">
        <f>资产资本表!AK12</f>
        <v>0</v>
      </c>
      <c r="AL41" s="76">
        <f>资产资本表!AL12</f>
        <v>0</v>
      </c>
      <c r="AM41" s="76">
        <f>资产资本表!AM12</f>
        <v>0</v>
      </c>
      <c r="AN41" s="76">
        <f>资产资本表!AN12</f>
        <v>0</v>
      </c>
      <c r="AO41" s="76">
        <f>资产资本表!AO12</f>
        <v>0</v>
      </c>
      <c r="AP41" s="76">
        <f>资产资本表!AP12</f>
        <v>0</v>
      </c>
      <c r="AQ41" s="76">
        <f>资产资本表!AQ12</f>
        <v>0</v>
      </c>
      <c r="AR41" s="76">
        <f>资产资本表!AR12</f>
        <v>0</v>
      </c>
      <c r="AS41" s="76">
        <f>资产资本表!AS12</f>
        <v>0</v>
      </c>
      <c r="AT41" s="76">
        <f>资产资本表!AT12</f>
        <v>0</v>
      </c>
      <c r="AU41" s="76">
        <f>资产资本表!AU12</f>
        <v>0</v>
      </c>
      <c r="AV41" s="76">
        <f>资产资本表!AV12</f>
        <v>0</v>
      </c>
      <c r="AW41" s="76">
        <f>资产资本表!AW12</f>
        <v>0</v>
      </c>
      <c r="AX41" s="76">
        <f>资产资本表!AX12</f>
        <v>0</v>
      </c>
      <c r="AY41" s="76">
        <f>资产资本表!AY12</f>
        <v>0</v>
      </c>
      <c r="AZ41" s="76">
        <f>资产资本表!AZ12</f>
        <v>0</v>
      </c>
      <c r="BA41" s="76">
        <f>资产资本表!BA12</f>
        <v>0</v>
      </c>
      <c r="BB41" s="76">
        <f>资产资本表!BB12</f>
        <v>0</v>
      </c>
      <c r="BC41" s="76">
        <f>资产资本表!BC12</f>
        <v>0</v>
      </c>
      <c r="BD41" s="76">
        <f>资产资本表!BD12</f>
        <v>0</v>
      </c>
      <c r="BE41" s="76">
        <f>资产资本表!BE12</f>
        <v>0</v>
      </c>
      <c r="BF41" s="76">
        <f>资产资本表!BF12</f>
        <v>0</v>
      </c>
      <c r="BG41" s="76">
        <f>资产资本表!BG12</f>
        <v>0</v>
      </c>
      <c r="BH41" s="76">
        <f>资产资本表!BH12</f>
        <v>0</v>
      </c>
      <c r="BI41" s="76">
        <f>资产资本表!BI12</f>
        <v>0</v>
      </c>
      <c r="BJ41" s="76">
        <f>资产资本表!BJ12</f>
        <v>0</v>
      </c>
      <c r="BK41" s="76">
        <f>资产资本表!BK12</f>
        <v>0</v>
      </c>
      <c r="BL41" s="76">
        <f>资产资本表!BL12</f>
        <v>0</v>
      </c>
      <c r="BM41" s="76">
        <f>资产资本表!BM12</f>
        <v>0</v>
      </c>
      <c r="BN41" s="76">
        <f>资产资本表!BN12</f>
        <v>0</v>
      </c>
      <c r="BO41" s="76">
        <f>资产资本表!BO12</f>
        <v>0</v>
      </c>
      <c r="BP41" s="76">
        <f>资产资本表!BP12</f>
        <v>0</v>
      </c>
      <c r="BQ41" s="76">
        <f>资产资本表!BQ12</f>
        <v>0</v>
      </c>
      <c r="BR41" s="76">
        <f>资产资本表!BR12</f>
        <v>0</v>
      </c>
      <c r="BS41" s="76">
        <f>资产资本表!BS12</f>
        <v>0</v>
      </c>
      <c r="BT41" s="76">
        <f>资产资本表!BT12</f>
        <v>0</v>
      </c>
      <c r="BU41" s="76">
        <f>资产资本表!BU12</f>
        <v>0</v>
      </c>
      <c r="BV41" s="76">
        <f>资产资本表!BV12</f>
        <v>0</v>
      </c>
      <c r="BW41" s="76">
        <f>资产资本表!BW12</f>
        <v>0</v>
      </c>
      <c r="BX41" s="76">
        <f>资产资本表!BX12</f>
        <v>0</v>
      </c>
      <c r="BY41" s="76">
        <f>资产资本表!BY12</f>
        <v>0</v>
      </c>
      <c r="BZ41" s="76">
        <f>资产资本表!BZ12</f>
        <v>0</v>
      </c>
      <c r="CA41" s="76">
        <f>资产资本表!CA12</f>
        <v>0</v>
      </c>
      <c r="CB41" s="76">
        <f>资产资本表!CB12</f>
        <v>0</v>
      </c>
      <c r="CC41" s="76">
        <f>资产资本表!CC12</f>
        <v>0</v>
      </c>
      <c r="CD41" s="76">
        <f>资产资本表!CD12</f>
        <v>0</v>
      </c>
      <c r="CE41" s="76">
        <f>资产资本表!CE12</f>
        <v>0</v>
      </c>
      <c r="CF41" s="76">
        <f>资产资本表!CF12</f>
        <v>0</v>
      </c>
      <c r="CG41" s="76">
        <f>资产资本表!CG12</f>
        <v>0</v>
      </c>
      <c r="CH41" s="76">
        <f>资产资本表!CH12</f>
        <v>0</v>
      </c>
      <c r="CI41" s="76">
        <f>资产资本表!CI12</f>
        <v>0</v>
      </c>
      <c r="CJ41" s="76">
        <f>资产资本表!CJ12</f>
        <v>0</v>
      </c>
    </row>
    <row r="42" spans="1:89" s="76" customFormat="1" x14ac:dyDescent="0.25">
      <c r="A42" s="147" t="s">
        <v>459</v>
      </c>
      <c r="E42" s="76">
        <f>资产资本表!E6</f>
        <v>0</v>
      </c>
      <c r="F42" s="76">
        <f>资产资本表!F6</f>
        <v>0</v>
      </c>
      <c r="G42" s="76">
        <f>资产资本表!G6</f>
        <v>0</v>
      </c>
      <c r="H42" s="76">
        <f>资产资本表!H6</f>
        <v>0</v>
      </c>
      <c r="I42" s="76">
        <f>资产资本表!I6</f>
        <v>0</v>
      </c>
      <c r="J42" s="76">
        <f>资产资本表!J6</f>
        <v>0</v>
      </c>
      <c r="K42" s="76">
        <f>资产资本表!K6</f>
        <v>0</v>
      </c>
      <c r="L42" s="76">
        <f>资产资本表!L6</f>
        <v>0</v>
      </c>
      <c r="M42" s="76">
        <f>资产资本表!M6</f>
        <v>0</v>
      </c>
      <c r="N42" s="76">
        <f>资产资本表!N6</f>
        <v>0</v>
      </c>
      <c r="O42" s="76">
        <f>资产资本表!O6</f>
        <v>0</v>
      </c>
      <c r="P42" s="76">
        <f>资产资本表!P6</f>
        <v>0</v>
      </c>
      <c r="Q42" s="76">
        <f>资产资本表!Q6</f>
        <v>0</v>
      </c>
      <c r="R42" s="76">
        <f>资产资本表!R6</f>
        <v>0</v>
      </c>
      <c r="S42" s="76">
        <f>资产资本表!S6</f>
        <v>0</v>
      </c>
      <c r="T42" s="76">
        <f>资产资本表!T6</f>
        <v>0</v>
      </c>
      <c r="U42" s="76">
        <f>资产资本表!U6</f>
        <v>0</v>
      </c>
      <c r="V42" s="76">
        <f>资产资本表!V6</f>
        <v>0</v>
      </c>
      <c r="W42" s="76">
        <f>资产资本表!W6</f>
        <v>0</v>
      </c>
      <c r="X42" s="76">
        <f>资产资本表!X6</f>
        <v>0</v>
      </c>
      <c r="Y42" s="76">
        <f>资产资本表!Y6</f>
        <v>0</v>
      </c>
      <c r="Z42" s="76">
        <f>资产资本表!Z6</f>
        <v>0</v>
      </c>
      <c r="AA42" s="76">
        <f>资产资本表!AA6</f>
        <v>0</v>
      </c>
      <c r="AB42" s="76">
        <f>资产资本表!AB6</f>
        <v>0</v>
      </c>
      <c r="AC42" s="76">
        <f>资产资本表!AC6</f>
        <v>0</v>
      </c>
      <c r="AD42" s="76">
        <f>资产资本表!AD6</f>
        <v>0</v>
      </c>
      <c r="AE42" s="76">
        <f>资产资本表!AE6</f>
        <v>0</v>
      </c>
      <c r="AF42" s="76">
        <f>资产资本表!AF6</f>
        <v>0</v>
      </c>
      <c r="AG42" s="76">
        <f>资产资本表!AG6</f>
        <v>0</v>
      </c>
      <c r="AH42" s="76">
        <f>资产资本表!AH6</f>
        <v>0</v>
      </c>
      <c r="AI42" s="76">
        <f>资产资本表!AI6</f>
        <v>0</v>
      </c>
      <c r="AJ42" s="76">
        <f>资产资本表!AJ6</f>
        <v>0</v>
      </c>
      <c r="AK42" s="76">
        <f>资产资本表!AK6</f>
        <v>0</v>
      </c>
      <c r="AL42" s="76">
        <f>资产资本表!AL6</f>
        <v>0</v>
      </c>
      <c r="AM42" s="76">
        <f>资产资本表!AM6</f>
        <v>0</v>
      </c>
      <c r="AN42" s="76">
        <f>资产资本表!AN6</f>
        <v>0</v>
      </c>
      <c r="AO42" s="76">
        <f>资产资本表!AO6</f>
        <v>0</v>
      </c>
      <c r="AP42" s="76">
        <f>资产资本表!AP6</f>
        <v>0</v>
      </c>
      <c r="AQ42" s="76">
        <f>资产资本表!AQ6</f>
        <v>0</v>
      </c>
      <c r="AR42" s="76">
        <f>资产资本表!AR6</f>
        <v>0</v>
      </c>
      <c r="AS42" s="76">
        <f>资产资本表!AS6</f>
        <v>0</v>
      </c>
      <c r="AT42" s="76">
        <f>资产资本表!AT6</f>
        <v>0</v>
      </c>
      <c r="AU42" s="76">
        <f>资产资本表!AU6</f>
        <v>0</v>
      </c>
      <c r="AV42" s="76">
        <f>资产资本表!AV6</f>
        <v>0</v>
      </c>
      <c r="AW42" s="76">
        <f>资产资本表!AW6</f>
        <v>0</v>
      </c>
      <c r="AX42" s="76">
        <f>资产资本表!AX6</f>
        <v>0</v>
      </c>
      <c r="AY42" s="76">
        <f>资产资本表!AY6</f>
        <v>0</v>
      </c>
      <c r="AZ42" s="76">
        <f>资产资本表!AZ6</f>
        <v>0</v>
      </c>
      <c r="BA42" s="76">
        <f>资产资本表!BA6</f>
        <v>0</v>
      </c>
      <c r="BB42" s="76">
        <f>资产资本表!BB6</f>
        <v>0</v>
      </c>
      <c r="BC42" s="76">
        <f>资产资本表!BC6</f>
        <v>0</v>
      </c>
      <c r="BD42" s="76">
        <f>资产资本表!BD6</f>
        <v>0</v>
      </c>
      <c r="BE42" s="76">
        <f>资产资本表!BE6</f>
        <v>0</v>
      </c>
      <c r="BF42" s="76">
        <f>资产资本表!BF6</f>
        <v>0</v>
      </c>
      <c r="BG42" s="76">
        <f>资产资本表!BG6</f>
        <v>0</v>
      </c>
      <c r="BH42" s="76">
        <f>资产资本表!BH6</f>
        <v>0</v>
      </c>
      <c r="BI42" s="76">
        <f>资产资本表!BI6</f>
        <v>0</v>
      </c>
      <c r="BJ42" s="76">
        <f>资产资本表!BJ6</f>
        <v>0</v>
      </c>
      <c r="BK42" s="76">
        <f>资产资本表!BK6</f>
        <v>0</v>
      </c>
      <c r="BL42" s="76">
        <f>资产资本表!BL6</f>
        <v>0</v>
      </c>
      <c r="BM42" s="76">
        <f>资产资本表!BM6</f>
        <v>0</v>
      </c>
      <c r="BN42" s="76">
        <f>资产资本表!BN6</f>
        <v>0</v>
      </c>
      <c r="BO42" s="76">
        <f>资产资本表!BO6</f>
        <v>0</v>
      </c>
      <c r="BP42" s="76">
        <f>资产资本表!BP6</f>
        <v>0</v>
      </c>
      <c r="BQ42" s="76">
        <f>资产资本表!BQ6</f>
        <v>0</v>
      </c>
      <c r="BR42" s="76">
        <f>资产资本表!BR6</f>
        <v>0</v>
      </c>
      <c r="BS42" s="76">
        <f>资产资本表!BS6</f>
        <v>0</v>
      </c>
      <c r="BT42" s="76">
        <f>资产资本表!BT6</f>
        <v>0</v>
      </c>
      <c r="BU42" s="76">
        <f>资产资本表!BU6</f>
        <v>0</v>
      </c>
      <c r="BV42" s="76">
        <f>资产资本表!BV6</f>
        <v>0</v>
      </c>
      <c r="BW42" s="76">
        <f>资产资本表!BW6</f>
        <v>0</v>
      </c>
      <c r="BX42" s="76">
        <f>资产资本表!BX6</f>
        <v>0</v>
      </c>
      <c r="BY42" s="76">
        <f>资产资本表!BY6</f>
        <v>0</v>
      </c>
      <c r="BZ42" s="76">
        <f>资产资本表!BZ6</f>
        <v>0</v>
      </c>
      <c r="CA42" s="76">
        <f>资产资本表!CA6</f>
        <v>0</v>
      </c>
      <c r="CB42" s="76">
        <f>资产资本表!CB6</f>
        <v>0</v>
      </c>
      <c r="CC42" s="76">
        <f>资产资本表!CC6</f>
        <v>0</v>
      </c>
      <c r="CD42" s="76">
        <f>资产资本表!CD6</f>
        <v>0</v>
      </c>
      <c r="CE42" s="76">
        <f>资产资本表!CE6</f>
        <v>0</v>
      </c>
      <c r="CF42" s="76">
        <f>资产资本表!CF6</f>
        <v>0</v>
      </c>
      <c r="CG42" s="76">
        <f>资产资本表!CG6</f>
        <v>0</v>
      </c>
      <c r="CH42" s="76">
        <f>资产资本表!CH6</f>
        <v>0</v>
      </c>
      <c r="CI42" s="76">
        <f>资产资本表!CI6</f>
        <v>0</v>
      </c>
      <c r="CJ42" s="76">
        <f>资产资本表!CJ6</f>
        <v>0</v>
      </c>
    </row>
    <row r="43" spans="1:89" s="76" customFormat="1" x14ac:dyDescent="0.25">
      <c r="A43" s="148" t="s">
        <v>460</v>
      </c>
      <c r="E43" s="76">
        <f>SUM(E34:E42)</f>
        <v>166667000000</v>
      </c>
      <c r="F43" s="76">
        <f t="shared" ref="F43:BQ43" si="14">SUM(F34:F42)</f>
        <v>173661000000</v>
      </c>
      <c r="G43" s="76">
        <f t="shared" si="14"/>
        <v>172516000000</v>
      </c>
      <c r="H43" s="76">
        <f t="shared" si="14"/>
        <v>146571000000</v>
      </c>
      <c r="I43" s="76">
        <f t="shared" si="14"/>
        <v>153689000000</v>
      </c>
      <c r="J43" s="76">
        <f t="shared" si="14"/>
        <v>97363000000</v>
      </c>
      <c r="K43" s="76">
        <f t="shared" si="14"/>
        <v>88236000000</v>
      </c>
      <c r="L43" s="76">
        <f t="shared" si="14"/>
        <v>74168000000</v>
      </c>
      <c r="M43" s="76">
        <f t="shared" si="14"/>
        <v>79618000000</v>
      </c>
      <c r="N43" s="76">
        <f t="shared" si="14"/>
        <v>58429000000</v>
      </c>
      <c r="O43" s="76">
        <f t="shared" si="14"/>
        <v>75389000000</v>
      </c>
      <c r="P43" s="76">
        <f t="shared" si="14"/>
        <v>74722000000</v>
      </c>
      <c r="Q43" s="76">
        <f t="shared" si="14"/>
        <v>6817000000</v>
      </c>
      <c r="R43" s="76">
        <f t="shared" si="14"/>
        <v>20492000000</v>
      </c>
      <c r="S43" s="76">
        <f t="shared" si="14"/>
        <v>12272000000</v>
      </c>
      <c r="T43" s="76">
        <f t="shared" si="14"/>
        <v>19338000000</v>
      </c>
      <c r="U43" s="76">
        <f t="shared" si="14"/>
        <v>17268000000</v>
      </c>
      <c r="V43" s="76">
        <f t="shared" si="14"/>
        <v>13663000000</v>
      </c>
      <c r="W43" s="76">
        <f t="shared" si="14"/>
        <v>12122000000</v>
      </c>
      <c r="X43" s="76">
        <f t="shared" si="14"/>
        <v>13161000000</v>
      </c>
      <c r="Y43" s="76">
        <f t="shared" si="14"/>
        <v>11070000000</v>
      </c>
      <c r="Z43" s="76">
        <f t="shared" si="14"/>
        <v>16030000000</v>
      </c>
      <c r="AA43" s="76">
        <f t="shared" si="14"/>
        <v>14470000000</v>
      </c>
      <c r="AB43" s="76">
        <f t="shared" si="14"/>
        <v>24070000000</v>
      </c>
      <c r="AC43" s="76">
        <f t="shared" si="14"/>
        <v>26620000000</v>
      </c>
      <c r="AD43" s="76">
        <f t="shared" si="14"/>
        <v>27463000000</v>
      </c>
      <c r="AE43" s="76">
        <f t="shared" si="14"/>
        <v>14491000000</v>
      </c>
      <c r="AF43" s="76">
        <f t="shared" si="14"/>
        <v>26889000000</v>
      </c>
      <c r="AG43" s="76">
        <f t="shared" si="14"/>
        <v>17961000000</v>
      </c>
      <c r="AH43" s="76">
        <f t="shared" si="14"/>
        <v>12102000000</v>
      </c>
      <c r="AI43" s="76">
        <f t="shared" si="14"/>
        <v>17235000000</v>
      </c>
      <c r="AJ43" s="76">
        <f t="shared" si="14"/>
        <v>11531000000</v>
      </c>
      <c r="AK43" s="76">
        <f t="shared" si="14"/>
        <v>9621000000</v>
      </c>
      <c r="AL43" s="76">
        <f t="shared" si="14"/>
        <v>8192000000</v>
      </c>
      <c r="AM43" s="76">
        <f t="shared" si="14"/>
        <v>8693000000</v>
      </c>
      <c r="AN43" s="76">
        <f t="shared" si="14"/>
        <v>12176000000</v>
      </c>
      <c r="AO43" s="76">
        <f t="shared" si="14"/>
        <v>11669000000</v>
      </c>
      <c r="AP43" s="76">
        <f t="shared" si="14"/>
        <v>15358000000</v>
      </c>
      <c r="AQ43" s="76">
        <f t="shared" si="14"/>
        <v>12730000000</v>
      </c>
      <c r="AR43" s="76">
        <f t="shared" si="14"/>
        <v>31393000000</v>
      </c>
      <c r="AS43" s="76">
        <f t="shared" si="14"/>
        <v>5153000000</v>
      </c>
      <c r="AT43" s="76">
        <f t="shared" si="14"/>
        <v>7385000000</v>
      </c>
      <c r="AU43" s="76">
        <f t="shared" si="14"/>
        <v>12092000000</v>
      </c>
      <c r="AV43" s="76">
        <f t="shared" si="14"/>
        <v>15943000000</v>
      </c>
      <c r="AW43" s="76">
        <f t="shared" si="14"/>
        <v>8723000000</v>
      </c>
      <c r="AX43" s="76">
        <f t="shared" si="14"/>
        <v>10590000000</v>
      </c>
      <c r="AY43" s="76">
        <f t="shared" si="14"/>
        <v>10777000000</v>
      </c>
      <c r="AZ43" s="76">
        <f t="shared" si="14"/>
        <v>13089000000</v>
      </c>
      <c r="BA43" s="76">
        <f t="shared" si="14"/>
        <v>14747000000</v>
      </c>
      <c r="BB43" s="76">
        <f t="shared" si="14"/>
        <v>16567000000</v>
      </c>
      <c r="BC43" s="76">
        <f t="shared" si="14"/>
        <v>15322000000</v>
      </c>
      <c r="BD43" s="76">
        <f t="shared" si="14"/>
        <v>19884000000</v>
      </c>
      <c r="BE43" s="76">
        <f t="shared" si="14"/>
        <v>18280000000</v>
      </c>
      <c r="BF43" s="76">
        <f t="shared" si="14"/>
        <v>17324000000</v>
      </c>
      <c r="BG43" s="76">
        <f t="shared" si="14"/>
        <v>17028000000</v>
      </c>
      <c r="BH43" s="76">
        <f t="shared" si="14"/>
        <v>20367000000</v>
      </c>
      <c r="BI43" s="76">
        <f t="shared" si="14"/>
        <v>17405000000</v>
      </c>
      <c r="BJ43" s="76">
        <f t="shared" si="14"/>
        <v>18630000000</v>
      </c>
      <c r="BK43" s="76">
        <f t="shared" si="14"/>
        <v>21844000000</v>
      </c>
      <c r="BL43" s="76">
        <f t="shared" si="14"/>
        <v>22282000000</v>
      </c>
      <c r="BM43" s="76">
        <f t="shared" si="14"/>
        <v>18712000000</v>
      </c>
      <c r="BN43" s="76">
        <f t="shared" si="14"/>
        <v>19233000000</v>
      </c>
      <c r="BO43" s="76">
        <f t="shared" si="14"/>
        <v>21212000000</v>
      </c>
      <c r="BP43" s="76">
        <f t="shared" si="14"/>
        <v>20986000000</v>
      </c>
      <c r="BQ43" s="76">
        <f t="shared" si="14"/>
        <v>22870000000</v>
      </c>
      <c r="BR43" s="76">
        <f t="shared" ref="BR43:CJ43" si="15">SUM(BR34:BR42)</f>
        <v>39991000000</v>
      </c>
      <c r="BS43" s="76">
        <f t="shared" si="15"/>
        <v>41204000000</v>
      </c>
      <c r="BT43" s="76">
        <f t="shared" si="15"/>
        <v>0</v>
      </c>
      <c r="BU43" s="76">
        <f t="shared" si="15"/>
        <v>0</v>
      </c>
      <c r="BV43" s="76">
        <f t="shared" si="15"/>
        <v>0</v>
      </c>
      <c r="BW43" s="76">
        <f t="shared" si="15"/>
        <v>0</v>
      </c>
      <c r="BX43" s="76">
        <f t="shared" si="15"/>
        <v>0</v>
      </c>
      <c r="BY43" s="76">
        <f t="shared" si="15"/>
        <v>0</v>
      </c>
      <c r="BZ43" s="76">
        <f t="shared" si="15"/>
        <v>0</v>
      </c>
      <c r="CA43" s="76">
        <f t="shared" si="15"/>
        <v>0</v>
      </c>
      <c r="CB43" s="76">
        <f t="shared" si="15"/>
        <v>0</v>
      </c>
      <c r="CC43" s="76">
        <f t="shared" si="15"/>
        <v>0</v>
      </c>
      <c r="CD43" s="76">
        <f t="shared" si="15"/>
        <v>0</v>
      </c>
      <c r="CE43" s="76">
        <f t="shared" si="15"/>
        <v>0</v>
      </c>
      <c r="CF43" s="76">
        <f t="shared" si="15"/>
        <v>0</v>
      </c>
      <c r="CG43" s="76">
        <f t="shared" si="15"/>
        <v>0</v>
      </c>
      <c r="CH43" s="76">
        <f t="shared" si="15"/>
        <v>0</v>
      </c>
      <c r="CI43" s="76">
        <f t="shared" si="15"/>
        <v>0</v>
      </c>
      <c r="CJ43" s="76">
        <f t="shared" si="15"/>
        <v>0</v>
      </c>
    </row>
    <row r="44" spans="1:89" s="110" customFormat="1" x14ac:dyDescent="0.25">
      <c r="A44" s="145" t="s">
        <v>461</v>
      </c>
      <c r="E44" s="110">
        <f>E32/E43</f>
        <v>9.4809030643710671E-2</v>
      </c>
      <c r="F44" s="110">
        <f t="shared" ref="F44:BQ44" si="16">F32/F43</f>
        <v>3.9641286472266161E-2</v>
      </c>
      <c r="G44" s="110">
        <f t="shared" si="16"/>
        <v>3.3618048937915611E-2</v>
      </c>
      <c r="H44" s="110">
        <f t="shared" si="16"/>
        <v>1.4989165711946612E-2</v>
      </c>
      <c r="I44" s="110">
        <f t="shared" si="16"/>
        <v>0.21069501779434033</v>
      </c>
      <c r="J44" s="110">
        <f t="shared" si="16"/>
        <v>8.1640824362047712E-2</v>
      </c>
      <c r="K44" s="110">
        <f t="shared" si="16"/>
        <v>8.2011912863965974E-2</v>
      </c>
      <c r="L44" s="110">
        <f t="shared" si="16"/>
        <v>3.3560573883229763E-2</v>
      </c>
      <c r="M44" s="110">
        <f t="shared" si="16"/>
        <v>8.6286758861039384E-2</v>
      </c>
      <c r="N44" s="110">
        <f t="shared" si="16"/>
        <v>0.15974147483276835</v>
      </c>
      <c r="O44" s="110">
        <f t="shared" si="16"/>
        <v>6.6294118178044092E-2</v>
      </c>
      <c r="P44" s="110">
        <f t="shared" si="16"/>
        <v>4.5890781244754777E-2</v>
      </c>
      <c r="Q44" s="110">
        <f t="shared" si="16"/>
        <v>-0.74935691882151445</v>
      </c>
      <c r="R44" s="110">
        <f t="shared" si="16"/>
        <v>9.614140102741256E-2</v>
      </c>
      <c r="S44" s="110">
        <f t="shared" si="16"/>
        <v>0.10810928957141806</v>
      </c>
      <c r="T44" s="110">
        <f t="shared" si="16"/>
        <v>-2.347391105003575E-2</v>
      </c>
      <c r="U44" s="110">
        <f t="shared" si="16"/>
        <v>0.45841139434639988</v>
      </c>
      <c r="V44" s="110">
        <f t="shared" si="16"/>
        <v>0.1731498065781206</v>
      </c>
      <c r="W44" s="110">
        <f t="shared" si="16"/>
        <v>0.13143609839035861</v>
      </c>
      <c r="X44" s="110">
        <f t="shared" si="16"/>
        <v>-6.2898444999529152E-2</v>
      </c>
      <c r="Y44" s="110">
        <f t="shared" si="16"/>
        <v>0.21280722294741758</v>
      </c>
      <c r="Z44" s="110">
        <f t="shared" si="16"/>
        <v>8.6902597501249082E-2</v>
      </c>
      <c r="AA44" s="110">
        <f t="shared" si="16"/>
        <v>4.7766231198183899E-2</v>
      </c>
      <c r="AB44" s="110">
        <f t="shared" si="16"/>
        <v>4.6461114116468699E-3</v>
      </c>
      <c r="AC44" s="110">
        <f t="shared" si="16"/>
        <v>-0.10560782854991595</v>
      </c>
      <c r="AD44" s="110">
        <f t="shared" si="16"/>
        <v>0.12189130940636765</v>
      </c>
      <c r="AE44" s="110">
        <f t="shared" si="16"/>
        <v>0.15800810196828996</v>
      </c>
      <c r="AF44" s="110">
        <f t="shared" si="16"/>
        <v>3.9280225836191875E-2</v>
      </c>
      <c r="AG44" s="110">
        <f t="shared" si="16"/>
        <v>0.16648014332316716</v>
      </c>
      <c r="AH44" s="110">
        <f t="shared" si="16"/>
        <v>0.22632610207233475</v>
      </c>
      <c r="AI44" s="110">
        <f t="shared" si="16"/>
        <v>8.7707760394889894E-2</v>
      </c>
      <c r="AJ44" s="110">
        <f t="shared" si="16"/>
        <v>8.3671868618398954E-2</v>
      </c>
      <c r="AK44" s="110">
        <f t="shared" si="16"/>
        <v>0.3428077982233928</v>
      </c>
      <c r="AL44" s="110">
        <f t="shared" si="16"/>
        <v>0.22643956658117287</v>
      </c>
      <c r="AM44" s="110">
        <f t="shared" si="16"/>
        <v>0.20042699166489686</v>
      </c>
      <c r="AN44" s="110">
        <f t="shared" si="16"/>
        <v>3.3667366381348227E-3</v>
      </c>
      <c r="AO44" s="110">
        <f t="shared" si="16"/>
        <v>0.40334454889059645</v>
      </c>
      <c r="AP44" s="110">
        <f t="shared" si="16"/>
        <v>0.34231107381333459</v>
      </c>
      <c r="AQ44" s="110">
        <f t="shared" si="16"/>
        <v>0.3613628251682659</v>
      </c>
      <c r="AR44" s="110">
        <f t="shared" si="16"/>
        <v>0.11778984809096692</v>
      </c>
      <c r="AS44" s="110">
        <f t="shared" si="16"/>
        <v>0.35857452640157406</v>
      </c>
      <c r="AT44" s="110">
        <f t="shared" si="16"/>
        <v>0.25496874680512016</v>
      </c>
      <c r="AU44" s="110">
        <f t="shared" si="16"/>
        <v>0.11482480360901411</v>
      </c>
      <c r="AV44" s="110">
        <f t="shared" si="16"/>
        <v>5.0886879619065545E-2</v>
      </c>
      <c r="AW44" s="110">
        <f t="shared" si="16"/>
        <v>3.4546297686034221E-3</v>
      </c>
      <c r="AX44" s="110">
        <f t="shared" si="16"/>
        <v>1.8126906117596619E-3</v>
      </c>
      <c r="AY44" s="110">
        <f t="shared" si="16"/>
        <v>1.1981528500964438E-2</v>
      </c>
      <c r="AZ44" s="110">
        <f t="shared" si="16"/>
        <v>9.4004322239767384E-3</v>
      </c>
      <c r="BA44" s="110">
        <f t="shared" si="16"/>
        <v>3.7049743015234761E-2</v>
      </c>
      <c r="BB44" s="110">
        <f t="shared" si="16"/>
        <v>-2.2722077044777963E-2</v>
      </c>
      <c r="BC44" s="110">
        <f t="shared" si="16"/>
        <v>-3.4696052421199892E-2</v>
      </c>
      <c r="BD44" s="110">
        <f t="shared" si="16"/>
        <v>5.129618611534611E-3</v>
      </c>
      <c r="BE44" s="110">
        <f t="shared" si="16"/>
        <v>4.3270342597744531E-2</v>
      </c>
      <c r="BF44" s="110">
        <f t="shared" si="16"/>
        <v>3.324245515205692E-2</v>
      </c>
      <c r="BG44" s="110">
        <f t="shared" si="16"/>
        <v>2.1951222359590045E-2</v>
      </c>
      <c r="BH44" s="110">
        <f t="shared" si="16"/>
        <v>5.1192876083831539E-3</v>
      </c>
      <c r="BI44" s="110">
        <f t="shared" si="16"/>
        <v>2.3133935771471388E-2</v>
      </c>
      <c r="BJ44" s="110">
        <f t="shared" si="16"/>
        <v>1.5657667584402051E-2</v>
      </c>
      <c r="BK44" s="110">
        <f t="shared" si="16"/>
        <v>1.1359643238050582E-2</v>
      </c>
      <c r="BL44" s="110">
        <f t="shared" si="16"/>
        <v>2.2812566031184187E-3</v>
      </c>
      <c r="BM44" s="110">
        <f t="shared" si="16"/>
        <v>1.9777737541492237E-2</v>
      </c>
      <c r="BN44" s="110">
        <f t="shared" si="16"/>
        <v>1.2967534220625099E-2</v>
      </c>
      <c r="BO44" s="110">
        <f t="shared" si="16"/>
        <v>6.5332811014615607E-3</v>
      </c>
      <c r="BP44" s="110">
        <f t="shared" si="16"/>
        <v>2.9347567505406498E-3</v>
      </c>
      <c r="BQ44" s="110">
        <f t="shared" si="16"/>
        <v>1.678709622702158E-2</v>
      </c>
      <c r="BR44" s="110">
        <f t="shared" ref="BR44:CK44" si="17">BR32/BR43</f>
        <v>5.7029905606815617E-3</v>
      </c>
      <c r="BS44" s="110">
        <f t="shared" si="17"/>
        <v>4.0710512396664664E-3</v>
      </c>
      <c r="BT44" s="110" t="e">
        <f t="shared" si="17"/>
        <v>#DIV/0!</v>
      </c>
      <c r="BU44" s="110" t="e">
        <f t="shared" si="17"/>
        <v>#DIV/0!</v>
      </c>
      <c r="BV44" s="110" t="e">
        <f t="shared" si="17"/>
        <v>#DIV/0!</v>
      </c>
      <c r="BW44" s="110" t="e">
        <f t="shared" si="17"/>
        <v>#DIV/0!</v>
      </c>
      <c r="BX44" s="110" t="e">
        <f t="shared" si="17"/>
        <v>#DIV/0!</v>
      </c>
      <c r="BY44" s="110" t="e">
        <f t="shared" si="17"/>
        <v>#DIV/0!</v>
      </c>
      <c r="BZ44" s="110" t="e">
        <f t="shared" si="17"/>
        <v>#DIV/0!</v>
      </c>
      <c r="CA44" s="110" t="e">
        <f t="shared" si="17"/>
        <v>#DIV/0!</v>
      </c>
      <c r="CB44" s="110" t="e">
        <f t="shared" si="17"/>
        <v>#DIV/0!</v>
      </c>
      <c r="CC44" s="110" t="e">
        <f t="shared" si="17"/>
        <v>#DIV/0!</v>
      </c>
      <c r="CD44" s="110" t="e">
        <f t="shared" si="17"/>
        <v>#DIV/0!</v>
      </c>
      <c r="CE44" s="110" t="e">
        <f t="shared" si="17"/>
        <v>#DIV/0!</v>
      </c>
      <c r="CF44" s="110" t="e">
        <f t="shared" si="17"/>
        <v>#DIV/0!</v>
      </c>
      <c r="CG44" s="110" t="e">
        <f t="shared" si="17"/>
        <v>#DIV/0!</v>
      </c>
      <c r="CH44" s="110" t="e">
        <f t="shared" si="17"/>
        <v>#DIV/0!</v>
      </c>
      <c r="CI44" s="110" t="e">
        <f t="shared" si="17"/>
        <v>#DIV/0!</v>
      </c>
      <c r="CJ44" s="110" t="e">
        <f t="shared" si="17"/>
        <v>#DIV/0!</v>
      </c>
      <c r="CK44" s="110" t="e">
        <f t="shared" si="17"/>
        <v>#DIV/0!</v>
      </c>
    </row>
    <row r="45" spans="1:89" s="16" customFormat="1" ht="81.599999999999994" customHeight="1" x14ac:dyDescent="0.25">
      <c r="A45" s="278" t="s">
        <v>696</v>
      </c>
      <c r="B45" s="277"/>
      <c r="C45" s="277"/>
      <c r="D45" s="277"/>
      <c r="E45" s="277"/>
      <c r="F45" s="277"/>
      <c r="G45" s="277"/>
      <c r="H45" s="277"/>
      <c r="I45" s="277"/>
      <c r="J45" s="277"/>
      <c r="K45" s="277"/>
      <c r="L45" s="277"/>
      <c r="M45" s="277"/>
      <c r="N45" s="277"/>
      <c r="O45" s="277"/>
      <c r="P45" s="277"/>
      <c r="Q45" s="277"/>
      <c r="R45" s="277"/>
      <c r="S45" s="277"/>
      <c r="T45" s="277"/>
      <c r="U45" s="277"/>
      <c r="V45" s="277"/>
      <c r="W45" s="277"/>
      <c r="X45" s="277"/>
      <c r="Y45" s="277"/>
      <c r="Z45" s="277"/>
      <c r="AA45" s="277"/>
      <c r="AB45" s="277"/>
      <c r="AC45" s="277"/>
      <c r="AD45" s="277"/>
      <c r="AE45" s="277"/>
      <c r="AF45" s="277"/>
      <c r="AG45" s="277"/>
    </row>
    <row r="46" spans="1:89" s="57" customFormat="1" x14ac:dyDescent="0.25">
      <c r="A46" s="57" t="s">
        <v>697</v>
      </c>
      <c r="E46" s="57">
        <f>E43/资产资本表!E70</f>
        <v>0.15181674177025861</v>
      </c>
      <c r="F46" s="57">
        <f>F43/资产资本表!F70</f>
        <v>0.1592786185782406</v>
      </c>
      <c r="G46" s="57">
        <f>G43/资产资本表!G70</f>
        <v>0.15558002519711739</v>
      </c>
      <c r="H46" s="57">
        <f>H43/资产资本表!H70</f>
        <v>0.13343159094488441</v>
      </c>
      <c r="I46" s="57">
        <f>I43/资产资本表!I70</f>
        <v>0.14220574396877728</v>
      </c>
      <c r="J46" s="57">
        <f>J43/资产资本表!J70</f>
        <v>9.1050470855582474E-2</v>
      </c>
      <c r="K46" s="57">
        <f>K43/资产资本表!K70</f>
        <v>8.1362871435487219E-2</v>
      </c>
      <c r="L46" s="57">
        <f>L43/资产资本表!L70</f>
        <v>6.8117028154940334E-2</v>
      </c>
      <c r="M46" s="57">
        <f>M43/资产资本表!M70</f>
        <v>7.3162573490627936E-2</v>
      </c>
      <c r="N46" s="57">
        <f>N43/资产资本表!N70</f>
        <v>5.3991742624174818E-2</v>
      </c>
      <c r="O46" s="57">
        <f>O43/资产资本表!O70</f>
        <v>6.8003727220163068E-2</v>
      </c>
      <c r="P46" s="57">
        <f>P43/资产资本表!P70</f>
        <v>6.6801123573406854E-2</v>
      </c>
      <c r="Q46" s="57">
        <f>Q43/资产资本表!Q70</f>
        <v>6.6973254908048088E-3</v>
      </c>
      <c r="R46" s="57">
        <f>R43/资产资本表!R70</f>
        <v>1.9913725330138118E-2</v>
      </c>
      <c r="S46" s="57">
        <f>S43/资产资本表!S70</f>
        <v>1.2088294193146748E-2</v>
      </c>
      <c r="T46" s="57">
        <f>T43/资产资本表!T70</f>
        <v>1.9009067102852245E-2</v>
      </c>
      <c r="U46" s="57">
        <f>U43/资产资本表!U70</f>
        <v>1.7857530659667605E-2</v>
      </c>
      <c r="V46" s="57">
        <f>V43/资产资本表!V70</f>
        <v>1.4331266979242058E-2</v>
      </c>
      <c r="W46" s="57">
        <f>W43/资产资本表!W70</f>
        <v>1.3113980853717774E-2</v>
      </c>
      <c r="X46" s="57">
        <f>X43/资产资本表!X70</f>
        <v>1.4246944879554265E-2</v>
      </c>
      <c r="Y46" s="57">
        <f>Y43/资产资本表!Y70</f>
        <v>1.2960996416114721E-2</v>
      </c>
      <c r="Z46" s="57">
        <f>Z43/资产资本表!Z70</f>
        <v>1.928063853433469E-2</v>
      </c>
      <c r="AA46" s="57">
        <f>AA43/资产资本表!AA70</f>
        <v>1.709977428770636E-2</v>
      </c>
      <c r="AB46" s="57">
        <f>AB43/资产资本表!AB70</f>
        <v>2.8341720849945483E-2</v>
      </c>
      <c r="AC46" s="57">
        <f>AC43/资产资本表!AC70</f>
        <v>3.474415666456096E-2</v>
      </c>
      <c r="AD46" s="57">
        <f>AD43/资产资本表!AD70</f>
        <v>3.6607668908741425E-2</v>
      </c>
      <c r="AE46" s="57">
        <f>AE43/资产资本表!AE70</f>
        <v>1.9439525649280961E-2</v>
      </c>
      <c r="AF46" s="57">
        <f>AF43/资产资本表!AF70</f>
        <v>3.6859492803289921E-2</v>
      </c>
      <c r="AG46" s="57">
        <f>AG43/资产资本表!AG70</f>
        <v>2.6390996998117762E-2</v>
      </c>
      <c r="AH46" s="57">
        <f>AH43/资产资本表!AH70</f>
        <v>1.79172360494434E-2</v>
      </c>
      <c r="AI46" s="57">
        <f>AI43/资产资本表!AI70</f>
        <v>2.5711216863335967E-2</v>
      </c>
      <c r="AJ46" s="57">
        <f>AJ43/资产资本表!AJ70</f>
        <v>1.7594614348208876E-2</v>
      </c>
      <c r="AK46" s="57">
        <f>AK43/资产资本表!AK70</f>
        <v>1.5206859762121152E-2</v>
      </c>
      <c r="AL46" s="57">
        <f>AL43/资产资本表!AL70</f>
        <v>1.324394104247535E-2</v>
      </c>
      <c r="AM46" s="57">
        <f>AM43/资产资本表!AM70</f>
        <v>1.4617159230013856E-2</v>
      </c>
      <c r="AN46" s="57">
        <f>AN43/资产资本表!AN70</f>
        <v>2.1436355537871894E-2</v>
      </c>
      <c r="AO46" s="57">
        <f>AO43/资产资本表!AO70</f>
        <v>1.9870583226905065E-2</v>
      </c>
      <c r="AP46" s="57">
        <f>AP43/资产资本表!AP70</f>
        <v>2.5250108921716113E-2</v>
      </c>
      <c r="AQ46" s="57">
        <f>AQ43/资产资本表!AQ70</f>
        <v>2.251610883434476E-2</v>
      </c>
      <c r="AR46" s="57">
        <f>AR43/资产资本表!AR70</f>
        <v>5.6906118409246226E-2</v>
      </c>
      <c r="AS46" s="57">
        <f>AS43/资产资本表!AS70</f>
        <v>9.9899770655096677E-3</v>
      </c>
      <c r="AT46" s="57">
        <f>AT43/资产资本表!AT70</f>
        <v>1.5539026417396976E-2</v>
      </c>
      <c r="AU46" s="57">
        <f>AU43/资产资本表!AU70</f>
        <v>2.5405336129068857E-2</v>
      </c>
      <c r="AV46" s="57">
        <f>AV43/资产资本表!AV70</f>
        <v>3.4297306425555077E-2</v>
      </c>
      <c r="AW46" s="57">
        <f>AW43/资产资本表!AW70</f>
        <v>1.9407086044830081E-2</v>
      </c>
      <c r="AX46" s="57">
        <f>AX43/资产资本表!AX70</f>
        <v>2.374439461883408E-2</v>
      </c>
      <c r="AY46" s="57">
        <f>AY43/资产资本表!AY70</f>
        <v>2.4648579910618307E-2</v>
      </c>
      <c r="AZ46" s="57">
        <f>AZ43/资产资本表!AZ70</f>
        <v>3.1229346853563971E-2</v>
      </c>
      <c r="BA46" s="57">
        <f>BA43/资产资本表!BA70</f>
        <v>3.720560594401625E-2</v>
      </c>
      <c r="BB46" s="57">
        <f>BB43/资产资本表!BB70</f>
        <v>4.226523495000982E-2</v>
      </c>
      <c r="BC46" s="57">
        <f>BC43/资产资本表!BC70</f>
        <v>3.95811967357525E-2</v>
      </c>
      <c r="BD46" s="57">
        <f>BD43/资产资本表!BD70</f>
        <v>5.2460227422631456E-2</v>
      </c>
      <c r="BE46" s="57">
        <f>BE43/资产资本表!BE70</f>
        <v>5.0895827822866925E-2</v>
      </c>
      <c r="BF46" s="57">
        <f>BF43/资产资本表!BF70</f>
        <v>5.1334781358990847E-2</v>
      </c>
      <c r="BG46" s="57">
        <f>BG43/资产资本表!BG70</f>
        <v>5.2017082424531243E-2</v>
      </c>
      <c r="BH46" s="57">
        <f>BH43/资产资本表!BH70</f>
        <v>6.4423581808174812E-2</v>
      </c>
      <c r="BI46" s="57">
        <f>BI43/资产资本表!BI70</f>
        <v>5.8064860500882401E-2</v>
      </c>
      <c r="BJ46" s="57">
        <f>BJ43/资产资本表!BJ70</f>
        <v>6.3581664727022036E-2</v>
      </c>
      <c r="BK46" s="57">
        <f>BK43/资产资本表!BK70</f>
        <v>7.3637335113250602E-2</v>
      </c>
      <c r="BL46" s="57">
        <f>BL43/资产资本表!BL70</f>
        <v>7.5128799935262863E-2</v>
      </c>
      <c r="BM46" s="57">
        <f>BM43/资产资本表!BM70</f>
        <v>6.4714935413028071E-2</v>
      </c>
      <c r="BN46" s="57">
        <f>BN43/资产资本表!BN70</f>
        <v>6.753041554747985E-2</v>
      </c>
      <c r="BO46" s="57">
        <f>BO43/资产资本表!BO70</f>
        <v>7.3124907352824578E-2</v>
      </c>
      <c r="BP46" s="57">
        <f>BP43/资产资本表!BP70</f>
        <v>7.2686591460901437E-2</v>
      </c>
      <c r="BQ46" s="57">
        <f>BQ43/资产资本表!BQ70</f>
        <v>7.9324613522297263E-2</v>
      </c>
      <c r="BR46" s="57">
        <f>BR43/资产资本表!BR70</f>
        <v>0.13173915048655629</v>
      </c>
      <c r="BS46" s="57">
        <f>BS43/资产资本表!BS70</f>
        <v>0.14775025459343938</v>
      </c>
      <c r="BT46" s="57" t="e">
        <f>BT43/资产资本表!BT70</f>
        <v>#DIV/0!</v>
      </c>
      <c r="BU46" s="57" t="e">
        <f>BU43/资产资本表!BU70</f>
        <v>#DIV/0!</v>
      </c>
      <c r="BV46" s="57" t="e">
        <f>BV43/资产资本表!BV70</f>
        <v>#DIV/0!</v>
      </c>
      <c r="BW46" s="57" t="e">
        <f>BW43/资产资本表!BW70</f>
        <v>#DIV/0!</v>
      </c>
      <c r="BX46" s="57" t="e">
        <f>BX43/资产资本表!BX70</f>
        <v>#DIV/0!</v>
      </c>
      <c r="BY46" s="57" t="e">
        <f>BY43/资产资本表!BY70</f>
        <v>#DIV/0!</v>
      </c>
      <c r="BZ46" s="57" t="e">
        <f>BZ43/资产资本表!BZ70</f>
        <v>#DIV/0!</v>
      </c>
      <c r="CA46" s="57" t="e">
        <f>CA43/资产资本表!CA70</f>
        <v>#DIV/0!</v>
      </c>
      <c r="CB46" s="57" t="e">
        <f>CB43/资产资本表!CB70</f>
        <v>#DIV/0!</v>
      </c>
      <c r="CC46" s="57" t="e">
        <f>CC43/资产资本表!CC70</f>
        <v>#DIV/0!</v>
      </c>
      <c r="CD46" s="57" t="e">
        <f>CD43/资产资本表!CD70</f>
        <v>#DIV/0!</v>
      </c>
      <c r="CE46" s="57" t="e">
        <f>CE43/资产资本表!CE70</f>
        <v>#DIV/0!</v>
      </c>
      <c r="CF46" s="57" t="e">
        <f>CF43/资产资本表!CF70</f>
        <v>#DIV/0!</v>
      </c>
      <c r="CG46" s="57" t="e">
        <f>CG43/资产资本表!CG70</f>
        <v>#DIV/0!</v>
      </c>
      <c r="CH46" s="57" t="e">
        <f>CH43/资产资本表!CH70</f>
        <v>#DIV/0!</v>
      </c>
      <c r="CI46" s="57" t="e">
        <f>CI43/资产资本表!CI70</f>
        <v>#DIV/0!</v>
      </c>
      <c r="CJ46" s="57" t="e">
        <f>CJ43/资产资本表!CJ70</f>
        <v>#DIV/0!</v>
      </c>
      <c r="CK46" s="57" t="e">
        <f>CK43/资产资本表!CK70</f>
        <v>#DIV/0!</v>
      </c>
    </row>
    <row r="48" spans="1:89" s="116" customFormat="1" x14ac:dyDescent="0.25">
      <c r="A48" s="118" t="s">
        <v>462</v>
      </c>
      <c r="B48" s="1">
        <v>43373</v>
      </c>
      <c r="C48" s="1">
        <v>43281</v>
      </c>
      <c r="D48" s="1">
        <v>43190</v>
      </c>
      <c r="E48" s="1">
        <v>43100</v>
      </c>
      <c r="F48" s="1">
        <v>43008</v>
      </c>
      <c r="G48" s="1">
        <v>42916</v>
      </c>
      <c r="H48" s="1">
        <v>42825</v>
      </c>
      <c r="I48" s="1">
        <v>42735</v>
      </c>
      <c r="J48" s="1">
        <v>42643</v>
      </c>
      <c r="K48" s="1">
        <v>42551</v>
      </c>
      <c r="L48" s="1">
        <v>42460</v>
      </c>
      <c r="M48" s="1">
        <v>42369</v>
      </c>
      <c r="N48" s="1">
        <v>42277</v>
      </c>
      <c r="O48" s="1">
        <v>42185</v>
      </c>
      <c r="P48" s="1">
        <v>42094</v>
      </c>
      <c r="Q48" s="1">
        <v>42004</v>
      </c>
      <c r="R48" s="1">
        <v>41912</v>
      </c>
      <c r="S48" s="1">
        <v>41820</v>
      </c>
      <c r="T48" s="1">
        <v>41729</v>
      </c>
      <c r="U48" s="1">
        <v>41639</v>
      </c>
      <c r="V48" s="1">
        <v>41547</v>
      </c>
      <c r="W48" s="1">
        <v>41455</v>
      </c>
      <c r="X48" s="1">
        <v>41364</v>
      </c>
      <c r="Y48" s="1">
        <v>41274</v>
      </c>
      <c r="Z48" s="1">
        <v>41182</v>
      </c>
      <c r="AA48" s="1">
        <v>41090</v>
      </c>
      <c r="AB48" s="1">
        <v>40999</v>
      </c>
      <c r="AC48" s="1">
        <v>40908</v>
      </c>
      <c r="AD48" s="1">
        <v>40816</v>
      </c>
      <c r="AE48" s="1">
        <v>40724</v>
      </c>
      <c r="AF48" s="1">
        <v>40633</v>
      </c>
      <c r="AG48" s="1">
        <v>40543</v>
      </c>
      <c r="AH48" s="1">
        <v>40451</v>
      </c>
      <c r="AI48" s="1">
        <v>40359</v>
      </c>
      <c r="AJ48" s="1">
        <v>40268</v>
      </c>
      <c r="AK48" s="1">
        <v>40178</v>
      </c>
      <c r="AL48" s="1">
        <v>40086</v>
      </c>
      <c r="AM48" s="1">
        <v>39994</v>
      </c>
      <c r="AN48" s="1">
        <v>39903</v>
      </c>
      <c r="AO48" s="1">
        <v>39813</v>
      </c>
      <c r="AP48" s="1">
        <v>39721</v>
      </c>
      <c r="AQ48" s="1">
        <v>39629</v>
      </c>
      <c r="AR48" s="1">
        <v>39538</v>
      </c>
      <c r="AS48" s="1">
        <v>39447</v>
      </c>
      <c r="AT48" s="1">
        <v>39355</v>
      </c>
      <c r="AU48" s="1">
        <v>39263</v>
      </c>
      <c r="AV48" s="1">
        <v>39172</v>
      </c>
      <c r="AW48" s="1">
        <v>39082</v>
      </c>
      <c r="AX48" s="1">
        <v>38990</v>
      </c>
      <c r="AY48" s="1">
        <v>38898</v>
      </c>
      <c r="AZ48" s="1">
        <v>38807</v>
      </c>
      <c r="BA48" s="1">
        <v>38717</v>
      </c>
      <c r="BB48" s="1">
        <v>38625</v>
      </c>
      <c r="BC48" s="1">
        <v>38533</v>
      </c>
      <c r="BD48" s="1">
        <v>38442</v>
      </c>
      <c r="BE48" s="1">
        <v>38352</v>
      </c>
      <c r="BF48" s="1">
        <v>38260</v>
      </c>
      <c r="BG48" s="1">
        <v>38168</v>
      </c>
      <c r="BH48" s="1">
        <v>38077</v>
      </c>
      <c r="BI48" s="1">
        <v>37986</v>
      </c>
      <c r="BJ48" s="1">
        <v>37894</v>
      </c>
      <c r="BK48" s="1">
        <v>37802</v>
      </c>
      <c r="BL48" s="1">
        <v>37711</v>
      </c>
      <c r="BM48" s="1">
        <v>37621</v>
      </c>
      <c r="BN48" s="1">
        <v>37529</v>
      </c>
      <c r="BO48" s="1">
        <v>37437</v>
      </c>
      <c r="BP48" s="1">
        <v>37346</v>
      </c>
      <c r="BQ48" s="1">
        <v>37256</v>
      </c>
      <c r="BR48" s="1">
        <v>37072</v>
      </c>
      <c r="BS48" s="1">
        <v>36891</v>
      </c>
      <c r="BT48" s="1">
        <v>36525</v>
      </c>
      <c r="BU48" s="1">
        <v>36160</v>
      </c>
      <c r="BV48" s="1">
        <v>25569</v>
      </c>
      <c r="BW48" s="1"/>
      <c r="BX48" s="1"/>
      <c r="BY48" s="1"/>
      <c r="BZ48" s="1"/>
      <c r="CA48" s="1"/>
      <c r="CB48" s="1"/>
      <c r="CC48" s="1"/>
      <c r="CD48" s="1"/>
      <c r="CE48" s="1"/>
      <c r="CF48" s="1"/>
      <c r="CG48" s="1"/>
      <c r="CH48" s="1"/>
      <c r="CI48" s="1"/>
      <c r="CJ48" s="1"/>
      <c r="CK48" s="1"/>
    </row>
    <row r="49" spans="1:89" s="76" customFormat="1" x14ac:dyDescent="0.25">
      <c r="A49" s="147" t="s">
        <v>463</v>
      </c>
      <c r="E49" s="76">
        <f>利润表!E4</f>
        <v>2360193000000</v>
      </c>
      <c r="F49" s="76">
        <f>利润表!F4</f>
        <v>1744955000000</v>
      </c>
      <c r="G49" s="76">
        <f>利润表!G4</f>
        <v>1165837000000</v>
      </c>
      <c r="H49" s="76">
        <f>利润表!H4</f>
        <v>582185000000</v>
      </c>
      <c r="I49" s="76">
        <f>利润表!I4</f>
        <v>1930911000000</v>
      </c>
      <c r="J49" s="76">
        <f>利润表!J4</f>
        <v>1363945000000</v>
      </c>
      <c r="K49" s="76">
        <f>利润表!K4</f>
        <v>879220000000</v>
      </c>
      <c r="L49" s="76">
        <f>利润表!L4</f>
        <v>413790000000</v>
      </c>
      <c r="M49" s="76">
        <f>利润表!M4</f>
        <v>2018883000000</v>
      </c>
      <c r="N49" s="76">
        <f>利润表!N4</f>
        <v>1536837000000</v>
      </c>
      <c r="O49" s="76">
        <f>利润表!O4</f>
        <v>1040362000000</v>
      </c>
      <c r="P49" s="76">
        <f>利润表!P4</f>
        <v>478241000000</v>
      </c>
      <c r="Q49" s="76">
        <f>利润表!Q4</f>
        <v>2825914000000</v>
      </c>
      <c r="R49" s="76">
        <f>利润表!R4</f>
        <v>2115648000000</v>
      </c>
      <c r="S49" s="76">
        <f>利润表!S4</f>
        <v>1356172000000</v>
      </c>
      <c r="T49" s="76">
        <f>利润表!T4</f>
        <v>641065000000</v>
      </c>
      <c r="U49" s="76">
        <f>利润表!U4</f>
        <v>2880311000000</v>
      </c>
      <c r="V49" s="76">
        <f>利润表!V4</f>
        <v>2139924000000</v>
      </c>
      <c r="W49" s="76">
        <f>利润表!W4</f>
        <v>1415244000000</v>
      </c>
      <c r="X49" s="76">
        <f>利润表!X4</f>
        <v>695571000000</v>
      </c>
      <c r="Y49" s="76">
        <f>利润表!Y4</f>
        <v>2786045000000</v>
      </c>
      <c r="Z49" s="76">
        <f>利润表!Z4</f>
        <v>2024766000000</v>
      </c>
      <c r="AA49" s="76">
        <f>利润表!AA4</f>
        <v>1348072000000</v>
      </c>
      <c r="AB49" s="76">
        <f>利润表!AB4</f>
        <v>671365000000</v>
      </c>
      <c r="AC49" s="76">
        <f>利润表!AC4</f>
        <v>2505683000000</v>
      </c>
      <c r="AD49" s="76">
        <f>利润表!AD4</f>
        <v>1875102000000</v>
      </c>
      <c r="AE49" s="76">
        <f>利润表!AE4</f>
        <v>1233272000000</v>
      </c>
      <c r="AF49" s="76">
        <f>利润表!AF4</f>
        <v>588842000000</v>
      </c>
      <c r="AG49" s="76">
        <f>利润表!AG4</f>
        <v>1913182000000</v>
      </c>
      <c r="AH49" s="76">
        <f>利润表!AH4</f>
        <v>1427622000000</v>
      </c>
      <c r="AI49" s="76">
        <f>利润表!AI4</f>
        <v>936523000000</v>
      </c>
      <c r="AJ49" s="76">
        <f>利润表!AJ4</f>
        <v>438209000000</v>
      </c>
      <c r="AK49" s="76">
        <f>利润表!AK4</f>
        <v>1345052000000</v>
      </c>
      <c r="AL49" s="76">
        <f>利润表!AL4</f>
        <v>893448000000</v>
      </c>
      <c r="AM49" s="76">
        <f>利润表!AM4</f>
        <v>534025000000</v>
      </c>
      <c r="AN49" s="76">
        <f>利润表!AN4</f>
        <v>228585000000</v>
      </c>
      <c r="AO49" s="76">
        <f>利润表!AO4</f>
        <v>1452101000000</v>
      </c>
      <c r="AP49" s="76">
        <f>利润表!AP4</f>
        <v>1147397000000</v>
      </c>
      <c r="AQ49" s="76">
        <f>利润表!AQ4</f>
        <v>734783000000</v>
      </c>
      <c r="AR49" s="76">
        <f>利润表!AR4</f>
        <v>332010000000</v>
      </c>
      <c r="AS49" s="76">
        <f>利润表!AS4</f>
        <v>1204843000000</v>
      </c>
      <c r="AT49" s="76">
        <f>利润表!AT4</f>
        <v>875218000000</v>
      </c>
      <c r="AU49" s="76">
        <f>利润表!AU4</f>
        <v>566830000000</v>
      </c>
      <c r="AV49" s="76">
        <f>利润表!AV4</f>
        <v>272964000000</v>
      </c>
      <c r="AW49" s="76">
        <f>利润表!AW4</f>
        <v>1044579000000</v>
      </c>
      <c r="AX49" s="76">
        <f>利润表!AX4</f>
        <v>755219000000</v>
      </c>
      <c r="AY49" s="76">
        <f>利润表!AY4</f>
        <v>481988000000</v>
      </c>
      <c r="AZ49" s="76">
        <f>利润表!AZ4</f>
        <v>222699000000</v>
      </c>
      <c r="BA49" s="76">
        <f>利润表!BA4</f>
        <v>799115000000</v>
      </c>
      <c r="BB49" s="76">
        <f>利润表!BB4</f>
        <v>576990000000</v>
      </c>
      <c r="BC49" s="76">
        <f>利润表!BC4</f>
        <v>359248000000</v>
      </c>
      <c r="BD49" s="76">
        <f>利润表!BD4</f>
        <v>169040000000</v>
      </c>
      <c r="BE49" s="76">
        <f>利润表!BE4</f>
        <v>590632000000</v>
      </c>
      <c r="BF49" s="76">
        <f>利润表!BF4</f>
        <v>417695000000</v>
      </c>
      <c r="BG49" s="76">
        <f>利润表!BG4</f>
        <v>265709000000</v>
      </c>
      <c r="BH49" s="76">
        <f>利润表!BH4</f>
        <v>123490000000</v>
      </c>
      <c r="BI49" s="76">
        <f>利润表!BI4</f>
        <v>417191000000</v>
      </c>
      <c r="BJ49" s="76">
        <f>利润表!BJ4</f>
        <v>300662000000</v>
      </c>
      <c r="BK49" s="76">
        <f>利润表!BK4</f>
        <v>194842000000</v>
      </c>
      <c r="BL49" s="76">
        <f>利润表!BL4</f>
        <v>98519000000</v>
      </c>
      <c r="BM49" s="76">
        <f>利润表!BM4</f>
        <v>324184000000</v>
      </c>
      <c r="BN49" s="76">
        <f>利润表!BN4</f>
        <v>226183000000</v>
      </c>
      <c r="BO49" s="76">
        <f>利润表!BO4</f>
        <v>140628000000</v>
      </c>
      <c r="BP49" s="76">
        <f>利润表!BP4</f>
        <v>62995000000</v>
      </c>
      <c r="BQ49" s="76">
        <f>利润表!BQ4</f>
        <v>304347000000</v>
      </c>
      <c r="BR49" s="76">
        <f>利润表!BR4</f>
        <v>160314000000</v>
      </c>
      <c r="BS49" s="76">
        <f>利润表!BS4</f>
        <v>322932000000</v>
      </c>
      <c r="BT49" s="76">
        <f>利润表!BT4</f>
        <v>231047000000</v>
      </c>
      <c r="BU49" s="76">
        <f>利润表!BU4</f>
        <v>190220000000</v>
      </c>
      <c r="BV49" s="76">
        <f>利润表!BV4</f>
        <v>0</v>
      </c>
      <c r="BW49" s="76">
        <f>利润表!BW4</f>
        <v>0</v>
      </c>
      <c r="BX49" s="76">
        <f>利润表!BX4</f>
        <v>0</v>
      </c>
      <c r="BY49" s="76">
        <f>利润表!BY4</f>
        <v>0</v>
      </c>
      <c r="BZ49" s="76">
        <f>利润表!BZ4</f>
        <v>0</v>
      </c>
      <c r="CA49" s="76">
        <f>利润表!CA4</f>
        <v>0</v>
      </c>
      <c r="CB49" s="76">
        <f>利润表!CB4</f>
        <v>0</v>
      </c>
      <c r="CC49" s="76">
        <f>利润表!CC4</f>
        <v>0</v>
      </c>
      <c r="CD49" s="76">
        <f>利润表!CD4</f>
        <v>0</v>
      </c>
      <c r="CE49" s="76">
        <f>利润表!CE4</f>
        <v>0</v>
      </c>
      <c r="CF49" s="76">
        <f>利润表!CF4</f>
        <v>0</v>
      </c>
      <c r="CG49" s="76">
        <f>利润表!CG4</f>
        <v>0</v>
      </c>
      <c r="CH49" s="76">
        <f>利润表!CH4</f>
        <v>0</v>
      </c>
      <c r="CI49" s="76">
        <f>利润表!CI4</f>
        <v>0</v>
      </c>
      <c r="CJ49" s="76">
        <f>利润表!CJ4</f>
        <v>0</v>
      </c>
      <c r="CK49" s="76">
        <f>利润表!CK4</f>
        <v>0</v>
      </c>
    </row>
    <row r="50" spans="1:89" s="76" customFormat="1" x14ac:dyDescent="0.25">
      <c r="A50" s="147" t="s">
        <v>464</v>
      </c>
      <c r="E50" s="76">
        <f>资产资本表!E50</f>
        <v>-178372000000</v>
      </c>
      <c r="F50" s="76">
        <f>资产资本表!F50</f>
        <v>-105759000000</v>
      </c>
      <c r="G50" s="76">
        <f>资产资本表!G50</f>
        <v>-99198000000</v>
      </c>
      <c r="H50" s="76">
        <f>资产资本表!H50</f>
        <v>-95828000000</v>
      </c>
      <c r="I50" s="76">
        <f>资产资本表!I50</f>
        <v>-140433000000</v>
      </c>
      <c r="J50" s="76">
        <f>资产资本表!J50</f>
        <v>-83252000000</v>
      </c>
      <c r="K50" s="76">
        <f>资产资本表!K50</f>
        <v>-69030000000</v>
      </c>
      <c r="L50" s="76">
        <f>资产资本表!L50</f>
        <v>-57234000000</v>
      </c>
      <c r="M50" s="76">
        <f>资产资本表!M50</f>
        <v>-82788000000</v>
      </c>
      <c r="N50" s="76">
        <f>资产资本表!N50</f>
        <v>-32068000000</v>
      </c>
      <c r="O50" s="76">
        <f>资产资本表!O50</f>
        <v>-30331000000</v>
      </c>
      <c r="P50" s="76">
        <f>资产资本表!P50</f>
        <v>-26865000000</v>
      </c>
      <c r="Q50" s="76">
        <f>资产资本表!Q50</f>
        <v>-75635000000</v>
      </c>
      <c r="R50" s="76">
        <f>资产资本表!R50</f>
        <v>-14578000000</v>
      </c>
      <c r="S50" s="76">
        <f>资产资本表!S50</f>
        <v>1260000000</v>
      </c>
      <c r="T50" s="76">
        <f>资产资本表!T50</f>
        <v>1955000000</v>
      </c>
      <c r="U50" s="76">
        <f>资产资本表!U50</f>
        <v>-50043000000</v>
      </c>
      <c r="V50" s="76">
        <f>资产资本表!V50</f>
        <v>5468000000</v>
      </c>
      <c r="W50" s="76">
        <f>资产资本表!W50</f>
        <v>10938000000</v>
      </c>
      <c r="X50" s="76">
        <f>资产资本表!X50</f>
        <v>20256000000</v>
      </c>
      <c r="Y50" s="76">
        <f>资产资本表!Y50</f>
        <v>-43240000000</v>
      </c>
      <c r="Z50" s="76">
        <f>资产资本表!Z50</f>
        <v>-6886000000</v>
      </c>
      <c r="AA50" s="76">
        <f>资产资本表!AA50</f>
        <v>23404000000</v>
      </c>
      <c r="AB50" s="76">
        <f>资产资本表!AB50</f>
        <v>33355000000</v>
      </c>
      <c r="AC50" s="76">
        <f>资产资本表!AC50</f>
        <v>-46309000000</v>
      </c>
      <c r="AD50" s="76">
        <f>资产资本表!AD50</f>
        <v>-9884000000</v>
      </c>
      <c r="AE50" s="76">
        <f>资产资本表!AE50</f>
        <v>6139000000</v>
      </c>
      <c r="AF50" s="76">
        <f>资产资本表!AF50</f>
        <v>-17615000000</v>
      </c>
      <c r="AG50" s="76">
        <f>资产资本表!AG50</f>
        <v>-58489000000</v>
      </c>
      <c r="AH50" s="76">
        <f>资产资本表!AH50</f>
        <v>-17611000000</v>
      </c>
      <c r="AI50" s="76">
        <f>资产资本表!AI50</f>
        <v>-10716000000</v>
      </c>
      <c r="AJ50" s="76">
        <f>资产资本表!AJ50</f>
        <v>-17153000000</v>
      </c>
      <c r="AK50" s="76">
        <f>资产资本表!AK50</f>
        <v>-49584000000</v>
      </c>
      <c r="AL50" s="76">
        <f>资产资本表!AL50</f>
        <v>-26496000000</v>
      </c>
      <c r="AM50" s="76">
        <f>资产资本表!AM50</f>
        <v>-39223000000</v>
      </c>
      <c r="AN50" s="76">
        <f>资产资本表!AN50</f>
        <v>-47565000000</v>
      </c>
      <c r="AO50" s="76">
        <f>资产资本表!AO50</f>
        <v>-19443000000</v>
      </c>
      <c r="AP50" s="76">
        <f>资产资本表!AP50</f>
        <v>29568000000</v>
      </c>
      <c r="AQ50" s="76">
        <f>资产资本表!AQ50</f>
        <v>-3445000000</v>
      </c>
      <c r="AR50" s="76">
        <f>资产资本表!AR50</f>
        <v>-19124000000</v>
      </c>
      <c r="AS50" s="76">
        <f>资产资本表!AS50</f>
        <v>-28092000000</v>
      </c>
      <c r="AT50" s="76">
        <f>资产资本表!AT50</f>
        <v>-21598000000</v>
      </c>
      <c r="AU50" s="76">
        <f>资产资本表!AU50</f>
        <v>-9573000000</v>
      </c>
      <c r="AV50" s="76">
        <f>资产资本表!AV50</f>
        <v>-13764000000</v>
      </c>
      <c r="AW50" s="76">
        <f>资产资本表!AW50</f>
        <v>-11698000000</v>
      </c>
      <c r="AX50" s="76">
        <f>资产资本表!AX50</f>
        <v>22660000000</v>
      </c>
      <c r="AY50" s="76">
        <f>资产资本表!AY50</f>
        <v>18912000000</v>
      </c>
      <c r="AZ50" s="76">
        <f>资产资本表!AZ50</f>
        <v>20151000000</v>
      </c>
      <c r="BA50" s="76">
        <f>资产资本表!BA50</f>
        <v>2942000000</v>
      </c>
      <c r="BB50" s="76">
        <f>资产资本表!BB50</f>
        <v>10164000000</v>
      </c>
      <c r="BC50" s="76">
        <f>资产资本表!BC50</f>
        <v>14113000000</v>
      </c>
      <c r="BD50" s="76">
        <f>资产资本表!BD50</f>
        <v>6578000000</v>
      </c>
      <c r="BE50" s="76">
        <f>资产资本表!BE50</f>
        <v>-1942000000</v>
      </c>
      <c r="BF50" s="76">
        <f>资产资本表!BF50</f>
        <v>5892000000</v>
      </c>
      <c r="BG50" s="76">
        <f>资产资本表!BG50</f>
        <v>4701000000</v>
      </c>
      <c r="BH50" s="76">
        <f>资产资本表!BH50</f>
        <v>-2777000000</v>
      </c>
      <c r="BI50" s="76">
        <f>资产资本表!BI50</f>
        <v>-10660000000</v>
      </c>
      <c r="BJ50" s="76">
        <f>资产资本表!BJ50</f>
        <v>-2026000000</v>
      </c>
      <c r="BK50" s="76">
        <f>资产资本表!BK50</f>
        <v>-251000000</v>
      </c>
      <c r="BL50" s="76">
        <f>资产资本表!BL50</f>
        <v>2661000000</v>
      </c>
      <c r="BM50" s="76">
        <f>资产资本表!BM50</f>
        <v>1540000000</v>
      </c>
      <c r="BN50" s="76">
        <f>资产资本表!BN50</f>
        <v>2517000000</v>
      </c>
      <c r="BO50" s="76">
        <f>资产资本表!BO50</f>
        <v>8227000000</v>
      </c>
      <c r="BP50" s="76">
        <f>资产资本表!BP50</f>
        <v>9638000000</v>
      </c>
      <c r="BQ50" s="76">
        <f>资产资本表!BQ50</f>
        <v>12589000000</v>
      </c>
      <c r="BR50" s="76">
        <f>资产资本表!BR50</f>
        <v>45687000000</v>
      </c>
      <c r="BS50" s="76">
        <f>资产资本表!BS50</f>
        <v>28806000000</v>
      </c>
      <c r="BT50" s="76">
        <f>资产资本表!BT50</f>
        <v>0</v>
      </c>
      <c r="BU50" s="76">
        <f>资产资本表!BU50</f>
        <v>0</v>
      </c>
      <c r="BV50" s="76">
        <f>资产资本表!BV50</f>
        <v>0</v>
      </c>
      <c r="BW50" s="76">
        <f>资产资本表!BW50</f>
        <v>0</v>
      </c>
      <c r="BX50" s="76">
        <f>资产资本表!BX50</f>
        <v>0</v>
      </c>
      <c r="BY50" s="76">
        <f>资产资本表!BY50</f>
        <v>0</v>
      </c>
      <c r="BZ50" s="76">
        <f>资产资本表!BZ50</f>
        <v>0</v>
      </c>
      <c r="CA50" s="76">
        <f>资产资本表!CA50</f>
        <v>0</v>
      </c>
      <c r="CB50" s="76">
        <f>资产资本表!CB50</f>
        <v>0</v>
      </c>
      <c r="CC50" s="76">
        <f>资产资本表!CC50</f>
        <v>0</v>
      </c>
      <c r="CD50" s="76">
        <f>资产资本表!CD50</f>
        <v>0</v>
      </c>
      <c r="CE50" s="76">
        <f>资产资本表!CE50</f>
        <v>0</v>
      </c>
      <c r="CF50" s="76">
        <f>资产资本表!CF50</f>
        <v>0</v>
      </c>
      <c r="CG50" s="76">
        <f>资产资本表!CG50</f>
        <v>0</v>
      </c>
      <c r="CH50" s="76">
        <f>资产资本表!CH50</f>
        <v>0</v>
      </c>
      <c r="CI50" s="76">
        <f>资产资本表!CI50</f>
        <v>0</v>
      </c>
      <c r="CJ50" s="76">
        <f>资产资本表!CJ50</f>
        <v>0</v>
      </c>
      <c r="CK50" s="76">
        <f>资产资本表!CK50</f>
        <v>0</v>
      </c>
    </row>
    <row r="51" spans="1:89" s="44" customFormat="1" x14ac:dyDescent="0.25">
      <c r="A51" s="143" t="s">
        <v>465</v>
      </c>
      <c r="E51" s="44">
        <f>E49/E50</f>
        <v>-13.231858139169825</v>
      </c>
      <c r="F51" s="44">
        <f t="shared" ref="F51:BQ51" si="18">F49/F50</f>
        <v>-16.499352300986203</v>
      </c>
      <c r="G51" s="44">
        <f t="shared" si="18"/>
        <v>-11.752626061009295</v>
      </c>
      <c r="H51" s="44">
        <f t="shared" si="18"/>
        <v>-6.0753120173644444</v>
      </c>
      <c r="I51" s="44">
        <f t="shared" si="18"/>
        <v>-13.749695584371194</v>
      </c>
      <c r="J51" s="44">
        <f t="shared" si="18"/>
        <v>-16.383330130207082</v>
      </c>
      <c r="K51" s="44">
        <f t="shared" si="18"/>
        <v>-12.736781109662466</v>
      </c>
      <c r="L51" s="44">
        <f t="shared" si="18"/>
        <v>-7.2297934794003567</v>
      </c>
      <c r="M51" s="44">
        <f t="shared" si="18"/>
        <v>-24.386179156399479</v>
      </c>
      <c r="N51" s="44">
        <f t="shared" si="18"/>
        <v>-47.92431707621305</v>
      </c>
      <c r="O51" s="44">
        <f t="shared" si="18"/>
        <v>-34.300286835251065</v>
      </c>
      <c r="P51" s="44">
        <f t="shared" si="18"/>
        <v>-17.801637818723247</v>
      </c>
      <c r="Q51" s="44">
        <f t="shared" si="18"/>
        <v>-37.36251735307728</v>
      </c>
      <c r="R51" s="44">
        <f t="shared" si="18"/>
        <v>-145.12608039511593</v>
      </c>
      <c r="S51" s="44">
        <f t="shared" si="18"/>
        <v>1076.3269841269841</v>
      </c>
      <c r="T51" s="44">
        <f t="shared" si="18"/>
        <v>327.91048593350382</v>
      </c>
      <c r="U51" s="44">
        <f t="shared" si="18"/>
        <v>-57.556721219751012</v>
      </c>
      <c r="V51" s="44">
        <f t="shared" si="18"/>
        <v>391.35405998536942</v>
      </c>
      <c r="W51" s="44">
        <f t="shared" si="18"/>
        <v>129.3878222709819</v>
      </c>
      <c r="X51" s="44">
        <f t="shared" si="18"/>
        <v>34.339010663507111</v>
      </c>
      <c r="Y51" s="44">
        <f t="shared" si="18"/>
        <v>-64.432123034227573</v>
      </c>
      <c r="Z51" s="44">
        <f t="shared" si="18"/>
        <v>-294.04095265756609</v>
      </c>
      <c r="AA51" s="44">
        <f t="shared" si="18"/>
        <v>57.60006836438216</v>
      </c>
      <c r="AB51" s="44">
        <f t="shared" si="18"/>
        <v>20.127866886523758</v>
      </c>
      <c r="AC51" s="44">
        <f t="shared" si="18"/>
        <v>-54.107905590705911</v>
      </c>
      <c r="AD51" s="44">
        <f t="shared" si="18"/>
        <v>-189.71084581141238</v>
      </c>
      <c r="AE51" s="44">
        <f t="shared" si="18"/>
        <v>200.89135038279849</v>
      </c>
      <c r="AF51" s="44">
        <f t="shared" si="18"/>
        <v>-33.428441669032075</v>
      </c>
      <c r="AG51" s="44">
        <f t="shared" si="18"/>
        <v>-32.710116432149633</v>
      </c>
      <c r="AH51" s="44">
        <f t="shared" si="18"/>
        <v>-81.064221225370503</v>
      </c>
      <c r="AI51" s="44">
        <f t="shared" si="18"/>
        <v>-87.394830160507652</v>
      </c>
      <c r="AJ51" s="44">
        <f t="shared" si="18"/>
        <v>-25.547076313181368</v>
      </c>
      <c r="AK51" s="44">
        <f t="shared" si="18"/>
        <v>-27.12673443046144</v>
      </c>
      <c r="AL51" s="44">
        <f t="shared" si="18"/>
        <v>-33.720108695652172</v>
      </c>
      <c r="AM51" s="44">
        <f t="shared" si="18"/>
        <v>-13.615098284170003</v>
      </c>
      <c r="AN51" s="44">
        <f t="shared" si="18"/>
        <v>-4.8057395143487858</v>
      </c>
      <c r="AO51" s="44">
        <f t="shared" si="18"/>
        <v>-74.685028030653712</v>
      </c>
      <c r="AP51" s="44">
        <f t="shared" si="18"/>
        <v>38.805363906926409</v>
      </c>
      <c r="AQ51" s="44">
        <f t="shared" si="18"/>
        <v>-213.28969521044993</v>
      </c>
      <c r="AR51" s="44">
        <f t="shared" si="18"/>
        <v>-17.36090775988287</v>
      </c>
      <c r="AS51" s="44">
        <f t="shared" si="18"/>
        <v>-42.889185533247897</v>
      </c>
      <c r="AT51" s="44">
        <f t="shared" si="18"/>
        <v>-40.52310399111029</v>
      </c>
      <c r="AU51" s="44">
        <f t="shared" si="18"/>
        <v>-59.21132351404993</v>
      </c>
      <c r="AV51" s="44">
        <f t="shared" si="18"/>
        <v>-19.831734960767218</v>
      </c>
      <c r="AW51" s="44">
        <f t="shared" si="18"/>
        <v>-89.295520601812271</v>
      </c>
      <c r="AX51" s="44">
        <f t="shared" si="18"/>
        <v>33.328287731685791</v>
      </c>
      <c r="AY51" s="44">
        <f t="shared" si="18"/>
        <v>25.48582910321489</v>
      </c>
      <c r="AZ51" s="44">
        <f t="shared" si="18"/>
        <v>11.051511091260979</v>
      </c>
      <c r="BA51" s="44">
        <f t="shared" si="18"/>
        <v>271.62304554724676</v>
      </c>
      <c r="BB51" s="44">
        <f t="shared" si="18"/>
        <v>56.768004722550174</v>
      </c>
      <c r="BC51" s="44">
        <f t="shared" si="18"/>
        <v>25.455112307801318</v>
      </c>
      <c r="BD51" s="44">
        <f t="shared" si="18"/>
        <v>25.697780480389177</v>
      </c>
      <c r="BE51" s="44">
        <f t="shared" si="18"/>
        <v>-304.13594232749745</v>
      </c>
      <c r="BF51" s="44">
        <f t="shared" si="18"/>
        <v>70.891887304820102</v>
      </c>
      <c r="BG51" s="44">
        <f t="shared" si="18"/>
        <v>56.521803871516695</v>
      </c>
      <c r="BH51" s="44">
        <f t="shared" si="18"/>
        <v>-44.468851278357938</v>
      </c>
      <c r="BI51" s="44">
        <f t="shared" si="18"/>
        <v>-39.136116322701689</v>
      </c>
      <c r="BJ51" s="44">
        <f t="shared" si="18"/>
        <v>-148.40177690029614</v>
      </c>
      <c r="BK51" s="44">
        <f t="shared" si="18"/>
        <v>-776.26294820717135</v>
      </c>
      <c r="BL51" s="44">
        <f t="shared" si="18"/>
        <v>37.023299511461857</v>
      </c>
      <c r="BM51" s="44">
        <f t="shared" si="18"/>
        <v>210.5090909090909</v>
      </c>
      <c r="BN51" s="44">
        <f t="shared" si="18"/>
        <v>89.862137465236387</v>
      </c>
      <c r="BO51" s="44">
        <f t="shared" si="18"/>
        <v>17.093472711802601</v>
      </c>
      <c r="BP51" s="44">
        <f t="shared" si="18"/>
        <v>6.5361070761568794</v>
      </c>
      <c r="BQ51" s="44">
        <f t="shared" si="18"/>
        <v>24.17562951783303</v>
      </c>
      <c r="BR51" s="44">
        <f t="shared" ref="BR51:CJ51" si="19">BR49/BR50</f>
        <v>3.5089631623875501</v>
      </c>
      <c r="BS51" s="44">
        <f t="shared" si="19"/>
        <v>11.210581128931473</v>
      </c>
      <c r="BT51" s="44" t="e">
        <f t="shared" si="19"/>
        <v>#DIV/0!</v>
      </c>
      <c r="BU51" s="44" t="e">
        <f t="shared" si="19"/>
        <v>#DIV/0!</v>
      </c>
      <c r="BV51" s="44" t="e">
        <f t="shared" si="19"/>
        <v>#DIV/0!</v>
      </c>
      <c r="BW51" s="44" t="e">
        <f t="shared" si="19"/>
        <v>#DIV/0!</v>
      </c>
      <c r="BX51" s="44" t="e">
        <f t="shared" si="19"/>
        <v>#DIV/0!</v>
      </c>
      <c r="BY51" s="44" t="e">
        <f t="shared" si="19"/>
        <v>#DIV/0!</v>
      </c>
      <c r="BZ51" s="44" t="e">
        <f t="shared" si="19"/>
        <v>#DIV/0!</v>
      </c>
      <c r="CA51" s="44" t="e">
        <f t="shared" si="19"/>
        <v>#DIV/0!</v>
      </c>
      <c r="CB51" s="44" t="e">
        <f t="shared" si="19"/>
        <v>#DIV/0!</v>
      </c>
      <c r="CC51" s="44" t="e">
        <f t="shared" si="19"/>
        <v>#DIV/0!</v>
      </c>
      <c r="CD51" s="44" t="e">
        <f t="shared" si="19"/>
        <v>#DIV/0!</v>
      </c>
      <c r="CE51" s="44" t="e">
        <f t="shared" si="19"/>
        <v>#DIV/0!</v>
      </c>
      <c r="CF51" s="44" t="e">
        <f t="shared" si="19"/>
        <v>#DIV/0!</v>
      </c>
      <c r="CG51" s="44" t="e">
        <f t="shared" si="19"/>
        <v>#DIV/0!</v>
      </c>
      <c r="CH51" s="44" t="e">
        <f t="shared" si="19"/>
        <v>#DIV/0!</v>
      </c>
      <c r="CI51" s="44" t="e">
        <f t="shared" si="19"/>
        <v>#DIV/0!</v>
      </c>
      <c r="CJ51" s="44" t="e">
        <f t="shared" si="19"/>
        <v>#DIV/0!</v>
      </c>
    </row>
    <row r="52" spans="1:89" s="76" customFormat="1" x14ac:dyDescent="0.25">
      <c r="A52" s="147" t="s">
        <v>466</v>
      </c>
      <c r="E52" s="76">
        <f>资产资本表!E68</f>
        <v>927226000000</v>
      </c>
      <c r="F52" s="76">
        <f>资产资本表!F68</f>
        <v>896955000000</v>
      </c>
      <c r="G52" s="76">
        <f>资产资本表!G68</f>
        <v>913612000000</v>
      </c>
      <c r="H52" s="76">
        <f>资产资本表!H68</f>
        <v>927569000000</v>
      </c>
      <c r="I52" s="76">
        <f>资产资本表!I68</f>
        <v>950467000000</v>
      </c>
      <c r="J52" s="76">
        <f>资产资本表!J68</f>
        <v>964934000000</v>
      </c>
      <c r="K52" s="76">
        <f>资产资本表!K68</f>
        <v>976671000000</v>
      </c>
      <c r="L52" s="76">
        <f>资产资本表!L68</f>
        <v>986640000000</v>
      </c>
      <c r="M52" s="76">
        <f>资产资本表!M68</f>
        <v>1009169000000</v>
      </c>
      <c r="N52" s="76">
        <f>资产资本表!N68</f>
        <v>970128000000</v>
      </c>
      <c r="O52" s="76">
        <f>资产资本表!O68</f>
        <v>978810000000</v>
      </c>
      <c r="P52" s="76">
        <f>资产资本表!P68</f>
        <v>987802000000</v>
      </c>
      <c r="Q52" s="76">
        <f>资产资本表!Q68</f>
        <v>1001943000000</v>
      </c>
      <c r="R52" s="76">
        <f>资产资本表!R68</f>
        <v>943823000000</v>
      </c>
      <c r="S52" s="76">
        <f>资产资本表!S68</f>
        <v>920114000000</v>
      </c>
      <c r="T52" s="76">
        <f>资产资本表!T68</f>
        <v>915170000000</v>
      </c>
      <c r="U52" s="76">
        <f>资产资本表!U68</f>
        <v>924851000000</v>
      </c>
      <c r="V52" s="76">
        <f>资产资本表!V68</f>
        <v>877246000000</v>
      </c>
      <c r="W52" s="76">
        <f>资产资本表!W68</f>
        <v>845896000000</v>
      </c>
      <c r="X52" s="76">
        <f>资产资本表!X68</f>
        <v>834221000000</v>
      </c>
      <c r="Y52" s="76">
        <f>资产资本表!Y68</f>
        <v>834416000000</v>
      </c>
      <c r="Z52" s="76">
        <f>资产资本表!Z68</f>
        <v>775704000000</v>
      </c>
      <c r="AA52" s="76">
        <f>资产资本表!AA68</f>
        <v>761348000000</v>
      </c>
      <c r="AB52" s="76">
        <f>资产资本表!AB68</f>
        <v>742832000000</v>
      </c>
      <c r="AC52" s="76">
        <f>资产资本表!AC68</f>
        <v>739826000000</v>
      </c>
      <c r="AD52" s="76">
        <f>资产资本表!AD68</f>
        <v>686071000000</v>
      </c>
      <c r="AE52" s="76">
        <f>资产资本表!AE68</f>
        <v>679409000000</v>
      </c>
      <c r="AF52" s="76">
        <f>资产资本表!AF68</f>
        <v>673309000000</v>
      </c>
      <c r="AG52" s="76">
        <f>资产资本表!AG68</f>
        <v>675885000000</v>
      </c>
      <c r="AH52" s="76">
        <f>资产资本表!AH68</f>
        <v>641183000000</v>
      </c>
      <c r="AI52" s="76">
        <f>资产资本表!AI68</f>
        <v>625244000000</v>
      </c>
      <c r="AJ52" s="76">
        <f>资产资本表!AJ68</f>
        <v>623418000000</v>
      </c>
      <c r="AK52" s="76">
        <f>资产资本表!AK68</f>
        <v>638770000000</v>
      </c>
      <c r="AL52" s="76">
        <f>资产资本表!AL68</f>
        <v>604667000000</v>
      </c>
      <c r="AM52" s="76">
        <f>资产资本表!AM68</f>
        <v>594271000000</v>
      </c>
      <c r="AN52" s="76">
        <f>资产资本表!AN68</f>
        <v>573575000000</v>
      </c>
      <c r="AO52" s="76">
        <f>资产资本表!AO68</f>
        <v>570288000000</v>
      </c>
      <c r="AP52" s="76">
        <f>资产资本表!AP68</f>
        <v>535693000000</v>
      </c>
      <c r="AQ52" s="76">
        <f>资产资本表!AQ68</f>
        <v>527855000000</v>
      </c>
      <c r="AR52" s="76">
        <f>资产资本表!AR68</f>
        <v>509073000000</v>
      </c>
      <c r="AS52" s="76">
        <f>资产资本表!AS68</f>
        <v>504210000000</v>
      </c>
      <c r="AT52" s="76">
        <f>资产资本表!AT68</f>
        <v>463282000000</v>
      </c>
      <c r="AU52" s="76">
        <f>资产资本表!AU68</f>
        <v>448139000000</v>
      </c>
      <c r="AV52" s="76">
        <f>资产资本表!AV68</f>
        <v>438148000000</v>
      </c>
      <c r="AW52" s="76">
        <f>资产资本表!AW68</f>
        <v>424967000000</v>
      </c>
      <c r="AX52" s="76">
        <f>资产资本表!AX68</f>
        <v>385452000000</v>
      </c>
      <c r="AY52" s="76">
        <f>资产资本表!AY68</f>
        <v>380145000000</v>
      </c>
      <c r="AZ52" s="76">
        <f>资产资本表!AZ68</f>
        <v>371332000000</v>
      </c>
      <c r="BA52" s="76">
        <f>资产资本表!BA68</f>
        <v>364530000000</v>
      </c>
      <c r="BB52" s="76">
        <f>资产资本表!BB68</f>
        <v>353329000000</v>
      </c>
      <c r="BC52" s="76">
        <f>资产资本表!BC68</f>
        <v>347119000000</v>
      </c>
      <c r="BD52" s="76">
        <f>资产资本表!BD68</f>
        <v>341754000000</v>
      </c>
      <c r="BE52" s="76">
        <f>资产资本表!BE68</f>
        <v>329418000000</v>
      </c>
      <c r="BF52" s="76">
        <f>资产资本表!BF68</f>
        <v>301721000000</v>
      </c>
      <c r="BG52" s="76">
        <f>资产资本表!BG68</f>
        <v>293519000000</v>
      </c>
      <c r="BH52" s="76">
        <f>资产资本表!BH68</f>
        <v>287123000000</v>
      </c>
      <c r="BI52" s="76">
        <f>资产资本表!BI68</f>
        <v>281856000000</v>
      </c>
      <c r="BJ52" s="76">
        <f>资产资本表!BJ68</f>
        <v>265022000000</v>
      </c>
      <c r="BK52" s="76">
        <f>资产资本表!BK68</f>
        <v>264214000000</v>
      </c>
      <c r="BL52" s="76">
        <f>资产资本表!BL68</f>
        <v>260707000000</v>
      </c>
      <c r="BM52" s="76">
        <f>资产资本表!BM68</f>
        <v>257868000000</v>
      </c>
      <c r="BN52" s="76">
        <f>资产资本表!BN68</f>
        <v>252488000000</v>
      </c>
      <c r="BO52" s="76">
        <f>资产资本表!BO68</f>
        <v>250512000000</v>
      </c>
      <c r="BP52" s="76">
        <f>资产资本表!BP68</f>
        <v>248481000000</v>
      </c>
      <c r="BQ52" s="76">
        <f>资产资本表!BQ68</f>
        <v>243940000000</v>
      </c>
      <c r="BR52" s="76">
        <f>资产资本表!BR68</f>
        <v>210670000000</v>
      </c>
      <c r="BS52" s="76">
        <f>资产资本表!BS68</f>
        <v>203631000000</v>
      </c>
      <c r="BT52" s="76">
        <f>资产资本表!BT68</f>
        <v>0</v>
      </c>
      <c r="BU52" s="76">
        <f>资产资本表!BU68</f>
        <v>0</v>
      </c>
      <c r="BV52" s="76">
        <f>资产资本表!BV68</f>
        <v>0</v>
      </c>
      <c r="BW52" s="76">
        <f>资产资本表!BW68</f>
        <v>0</v>
      </c>
      <c r="BX52" s="76">
        <f>资产资本表!BX68</f>
        <v>0</v>
      </c>
      <c r="BY52" s="76">
        <f>资产资本表!BY68</f>
        <v>0</v>
      </c>
      <c r="BZ52" s="76">
        <f>资产资本表!BZ68</f>
        <v>0</v>
      </c>
      <c r="CA52" s="76">
        <f>资产资本表!CA68</f>
        <v>0</v>
      </c>
      <c r="CB52" s="76">
        <f>资产资本表!CB68</f>
        <v>0</v>
      </c>
      <c r="CC52" s="76">
        <f>资产资本表!CC68</f>
        <v>0</v>
      </c>
      <c r="CD52" s="76">
        <f>资产资本表!CD68</f>
        <v>0</v>
      </c>
      <c r="CE52" s="76">
        <f>资产资本表!CE68</f>
        <v>0</v>
      </c>
      <c r="CF52" s="76">
        <f>资产资本表!CF68</f>
        <v>0</v>
      </c>
      <c r="CG52" s="76">
        <f>资产资本表!CG68</f>
        <v>0</v>
      </c>
      <c r="CH52" s="76">
        <f>资产资本表!CH68</f>
        <v>0</v>
      </c>
      <c r="CI52" s="76">
        <f>资产资本表!CI68</f>
        <v>0</v>
      </c>
      <c r="CJ52" s="76">
        <f>资产资本表!CJ68</f>
        <v>0</v>
      </c>
      <c r="CK52" s="76">
        <f>资产资本表!CK68</f>
        <v>0</v>
      </c>
    </row>
    <row r="53" spans="1:89" s="44" customFormat="1" x14ac:dyDescent="0.25">
      <c r="A53" s="143" t="s">
        <v>467</v>
      </c>
      <c r="E53" s="44">
        <f>E49/E52</f>
        <v>2.5454344464024952</v>
      </c>
      <c r="F53" s="44">
        <f t="shared" ref="F53:BQ53" si="20">F49/F52</f>
        <v>1.9454208962545501</v>
      </c>
      <c r="G53" s="44">
        <f t="shared" si="20"/>
        <v>1.276074526166469</v>
      </c>
      <c r="H53" s="44">
        <f t="shared" si="20"/>
        <v>0.62764602956761173</v>
      </c>
      <c r="I53" s="44">
        <f t="shared" si="20"/>
        <v>2.031539232819235</v>
      </c>
      <c r="J53" s="44">
        <f t="shared" si="20"/>
        <v>1.4135111831482774</v>
      </c>
      <c r="K53" s="44">
        <f t="shared" si="20"/>
        <v>0.90022126181692708</v>
      </c>
      <c r="L53" s="44">
        <f t="shared" si="20"/>
        <v>0.41939309170518124</v>
      </c>
      <c r="M53" s="44">
        <f t="shared" si="20"/>
        <v>2.0005400482971631</v>
      </c>
      <c r="N53" s="44">
        <f t="shared" si="20"/>
        <v>1.5841589975755777</v>
      </c>
      <c r="O53" s="44">
        <f t="shared" si="20"/>
        <v>1.0628845230432873</v>
      </c>
      <c r="P53" s="44">
        <f t="shared" si="20"/>
        <v>0.48414662047657325</v>
      </c>
      <c r="Q53" s="44">
        <f t="shared" si="20"/>
        <v>2.820433896938249</v>
      </c>
      <c r="R53" s="44">
        <f t="shared" si="20"/>
        <v>2.2415728372798713</v>
      </c>
      <c r="S53" s="44">
        <f t="shared" si="20"/>
        <v>1.4739173624137878</v>
      </c>
      <c r="T53" s="44">
        <f t="shared" si="20"/>
        <v>0.70048734114973177</v>
      </c>
      <c r="U53" s="44">
        <f t="shared" si="20"/>
        <v>3.1143513928189512</v>
      </c>
      <c r="V53" s="44">
        <f t="shared" si="20"/>
        <v>2.4393659247235098</v>
      </c>
      <c r="W53" s="44">
        <f t="shared" si="20"/>
        <v>1.6730709212480022</v>
      </c>
      <c r="X53" s="44">
        <f t="shared" si="20"/>
        <v>0.83379703939363792</v>
      </c>
      <c r="Y53" s="44">
        <f t="shared" si="20"/>
        <v>3.3389160802285671</v>
      </c>
      <c r="Z53" s="44">
        <f t="shared" si="20"/>
        <v>2.6102301908975587</v>
      </c>
      <c r="AA53" s="44">
        <f t="shared" si="20"/>
        <v>1.7706383940064201</v>
      </c>
      <c r="AB53" s="44">
        <f t="shared" si="20"/>
        <v>0.90379116677795246</v>
      </c>
      <c r="AC53" s="44">
        <f t="shared" si="20"/>
        <v>3.386854476593145</v>
      </c>
      <c r="AD53" s="44">
        <f t="shared" si="20"/>
        <v>2.7331019675806147</v>
      </c>
      <c r="AE53" s="44">
        <f t="shared" si="20"/>
        <v>1.8152129277062858</v>
      </c>
      <c r="AF53" s="44">
        <f t="shared" si="20"/>
        <v>0.8745494267862155</v>
      </c>
      <c r="AG53" s="44">
        <f t="shared" si="20"/>
        <v>2.8306324300731633</v>
      </c>
      <c r="AH53" s="44">
        <f t="shared" si="20"/>
        <v>2.2265437480407311</v>
      </c>
      <c r="AI53" s="44">
        <f t="shared" si="20"/>
        <v>1.4978520385641445</v>
      </c>
      <c r="AJ53" s="44">
        <f t="shared" si="20"/>
        <v>0.70291361494214155</v>
      </c>
      <c r="AK53" s="44">
        <f t="shared" si="20"/>
        <v>2.1056906241683233</v>
      </c>
      <c r="AL53" s="44">
        <f t="shared" si="20"/>
        <v>1.4775868370524603</v>
      </c>
      <c r="AM53" s="44">
        <f t="shared" si="20"/>
        <v>0.89862200915070733</v>
      </c>
      <c r="AN53" s="44">
        <f t="shared" si="20"/>
        <v>0.39852678376846967</v>
      </c>
      <c r="AO53" s="44">
        <f t="shared" si="20"/>
        <v>2.5462590831299274</v>
      </c>
      <c r="AP53" s="44">
        <f t="shared" si="20"/>
        <v>2.1418928378754249</v>
      </c>
      <c r="AQ53" s="44">
        <f t="shared" si="20"/>
        <v>1.3920167470233302</v>
      </c>
      <c r="AR53" s="44">
        <f t="shared" si="20"/>
        <v>0.65218544295218961</v>
      </c>
      <c r="AS53" s="44">
        <f t="shared" si="20"/>
        <v>2.3895658554967176</v>
      </c>
      <c r="AT53" s="44">
        <f t="shared" si="20"/>
        <v>1.8891690158477989</v>
      </c>
      <c r="AU53" s="44">
        <f t="shared" si="20"/>
        <v>1.2648530924556889</v>
      </c>
      <c r="AV53" s="44">
        <f t="shared" si="20"/>
        <v>0.62299496973625346</v>
      </c>
      <c r="AW53" s="44">
        <f t="shared" si="20"/>
        <v>2.4580237994950198</v>
      </c>
      <c r="AX53" s="44">
        <f t="shared" si="20"/>
        <v>1.9593075142949057</v>
      </c>
      <c r="AY53" s="44">
        <f t="shared" si="20"/>
        <v>1.2679056675742151</v>
      </c>
      <c r="AZ53" s="44">
        <f t="shared" si="20"/>
        <v>0.5997301606109896</v>
      </c>
      <c r="BA53" s="44">
        <f t="shared" si="20"/>
        <v>2.1921789701807808</v>
      </c>
      <c r="BB53" s="44">
        <f t="shared" si="20"/>
        <v>1.633010593526147</v>
      </c>
      <c r="BC53" s="44">
        <f t="shared" si="20"/>
        <v>1.0349419075302706</v>
      </c>
      <c r="BD53" s="44">
        <f t="shared" si="20"/>
        <v>0.49462478859062364</v>
      </c>
      <c r="BE53" s="44">
        <f t="shared" si="20"/>
        <v>1.792956061903114</v>
      </c>
      <c r="BF53" s="44">
        <f t="shared" si="20"/>
        <v>1.3843749689282483</v>
      </c>
      <c r="BG53" s="44">
        <f t="shared" si="20"/>
        <v>0.90525315226612246</v>
      </c>
      <c r="BH53" s="44">
        <f t="shared" si="20"/>
        <v>0.43009441946482868</v>
      </c>
      <c r="BI53" s="44">
        <f t="shared" si="20"/>
        <v>1.4801565338328793</v>
      </c>
      <c r="BJ53" s="44">
        <f t="shared" si="20"/>
        <v>1.1344794017100468</v>
      </c>
      <c r="BK53" s="44">
        <f t="shared" si="20"/>
        <v>0.73744010536913263</v>
      </c>
      <c r="BL53" s="44">
        <f t="shared" si="20"/>
        <v>0.37789165615039105</v>
      </c>
      <c r="BM53" s="44">
        <f t="shared" si="20"/>
        <v>1.2571703352102626</v>
      </c>
      <c r="BN53" s="44">
        <f t="shared" si="20"/>
        <v>0.89581683089889419</v>
      </c>
      <c r="BO53" s="44">
        <f t="shared" si="20"/>
        <v>0.56136232994826596</v>
      </c>
      <c r="BP53" s="44">
        <f t="shared" si="20"/>
        <v>0.25352038988896536</v>
      </c>
      <c r="BQ53" s="44">
        <f t="shared" si="20"/>
        <v>1.2476305648930064</v>
      </c>
      <c r="BR53" s="44">
        <f t="shared" ref="BR53:CK53" si="21">BR49/BR52</f>
        <v>0.76097213651682727</v>
      </c>
      <c r="BS53" s="44">
        <f t="shared" si="21"/>
        <v>1.5858685563592969</v>
      </c>
      <c r="BT53" s="44" t="e">
        <f t="shared" si="21"/>
        <v>#DIV/0!</v>
      </c>
      <c r="BU53" s="44" t="e">
        <f t="shared" si="21"/>
        <v>#DIV/0!</v>
      </c>
      <c r="BV53" s="44" t="e">
        <f t="shared" si="21"/>
        <v>#DIV/0!</v>
      </c>
      <c r="BW53" s="44" t="e">
        <f t="shared" si="21"/>
        <v>#DIV/0!</v>
      </c>
      <c r="BX53" s="44" t="e">
        <f t="shared" si="21"/>
        <v>#DIV/0!</v>
      </c>
      <c r="BY53" s="44" t="e">
        <f t="shared" si="21"/>
        <v>#DIV/0!</v>
      </c>
      <c r="BZ53" s="44" t="e">
        <f t="shared" si="21"/>
        <v>#DIV/0!</v>
      </c>
      <c r="CA53" s="44" t="e">
        <f t="shared" si="21"/>
        <v>#DIV/0!</v>
      </c>
      <c r="CB53" s="44" t="e">
        <f t="shared" si="21"/>
        <v>#DIV/0!</v>
      </c>
      <c r="CC53" s="44" t="e">
        <f t="shared" si="21"/>
        <v>#DIV/0!</v>
      </c>
      <c r="CD53" s="44" t="e">
        <f t="shared" si="21"/>
        <v>#DIV/0!</v>
      </c>
      <c r="CE53" s="44" t="e">
        <f t="shared" si="21"/>
        <v>#DIV/0!</v>
      </c>
      <c r="CF53" s="44" t="e">
        <f t="shared" si="21"/>
        <v>#DIV/0!</v>
      </c>
      <c r="CG53" s="44" t="e">
        <f t="shared" si="21"/>
        <v>#DIV/0!</v>
      </c>
      <c r="CH53" s="44" t="e">
        <f t="shared" si="21"/>
        <v>#DIV/0!</v>
      </c>
      <c r="CI53" s="44" t="e">
        <f t="shared" si="21"/>
        <v>#DIV/0!</v>
      </c>
      <c r="CJ53" s="44" t="e">
        <f t="shared" si="21"/>
        <v>#DIV/0!</v>
      </c>
      <c r="CK53" s="44" t="e">
        <f t="shared" si="21"/>
        <v>#DIV/0!</v>
      </c>
    </row>
    <row r="54" spans="1:89" s="76" customFormat="1" x14ac:dyDescent="0.25">
      <c r="A54" s="147" t="s">
        <v>468</v>
      </c>
      <c r="E54" s="76">
        <f>资产资本表!E17</f>
        <v>217876000000</v>
      </c>
      <c r="F54" s="76">
        <f>资产资本表!F17</f>
        <v>173130000000</v>
      </c>
      <c r="G54" s="76">
        <f>资产资本表!G17</f>
        <v>172147000000</v>
      </c>
      <c r="H54" s="76">
        <f>资产资本表!H17</f>
        <v>146571000000</v>
      </c>
      <c r="I54" s="76">
        <f>资产资本表!I17</f>
        <v>153905000000</v>
      </c>
      <c r="J54" s="76">
        <f>资产资本表!J17</f>
        <v>97480000000</v>
      </c>
      <c r="K54" s="76">
        <f>资产资本表!K17</f>
        <v>88123000000</v>
      </c>
      <c r="L54" s="76">
        <f>资产资本表!L17</f>
        <v>74170000000</v>
      </c>
      <c r="M54" s="76">
        <f>资产资本表!M17</f>
        <v>78883000000</v>
      </c>
      <c r="N54" s="76">
        <f>资产资本表!N17</f>
        <v>58454000000</v>
      </c>
      <c r="O54" s="76">
        <f>资产资本表!O17</f>
        <v>75278000000</v>
      </c>
      <c r="P54" s="76">
        <f>资产资本表!P17</f>
        <v>74981000000</v>
      </c>
      <c r="Q54" s="76">
        <f>资产资本表!Q17</f>
        <v>10968000000</v>
      </c>
      <c r="R54" s="76">
        <f>资产资本表!R17</f>
        <v>22524000000</v>
      </c>
      <c r="S54" s="76">
        <f>资产资本表!S17</f>
        <v>14346000000</v>
      </c>
      <c r="T54" s="76">
        <f>资产资本表!T17</f>
        <v>20771000000</v>
      </c>
      <c r="U54" s="76">
        <f>资产资本表!U17</f>
        <v>15101000000</v>
      </c>
      <c r="V54" s="76">
        <f>资产资本表!V17</f>
        <v>12096000000</v>
      </c>
      <c r="W54" s="76">
        <f>资产资本表!W17</f>
        <v>11385000000</v>
      </c>
      <c r="X54" s="76">
        <f>资产资本表!X17</f>
        <v>14788000000</v>
      </c>
      <c r="Y54" s="76">
        <f>资产资本表!Y17</f>
        <v>10864000000</v>
      </c>
      <c r="Z54" s="76">
        <f>资产资本表!Z17</f>
        <v>14855000000</v>
      </c>
      <c r="AA54" s="76">
        <f>资产资本表!AA17</f>
        <v>13960000000</v>
      </c>
      <c r="AB54" s="76">
        <f>资产资本表!AB17</f>
        <v>24609000000</v>
      </c>
      <c r="AC54" s="76">
        <f>资产资本表!AC17</f>
        <v>25197000000</v>
      </c>
      <c r="AD54" s="76">
        <f>资产资本表!AD17</f>
        <v>27189000000</v>
      </c>
      <c r="AE54" s="76">
        <f>资产资本表!AE17</f>
        <v>14186000000</v>
      </c>
      <c r="AF54" s="76">
        <f>资产资本表!AF17</f>
        <v>27007000000</v>
      </c>
      <c r="AG54" s="76">
        <f>资产资本表!AG17</f>
        <v>18140000000</v>
      </c>
      <c r="AH54" s="76">
        <f>资产资本表!AH17</f>
        <v>11562000000</v>
      </c>
      <c r="AI54" s="76">
        <f>资产资本表!AI17</f>
        <v>16695000000</v>
      </c>
      <c r="AJ54" s="76">
        <f>资产资本表!AJ17</f>
        <v>11361000000</v>
      </c>
      <c r="AK54" s="76">
        <f>资产资本表!AK17</f>
        <v>9986000000</v>
      </c>
      <c r="AL54" s="76">
        <f>资产资本表!AL17</f>
        <v>8601000000</v>
      </c>
      <c r="AM54" s="76">
        <f>资产资本表!AM17</f>
        <v>9082000000</v>
      </c>
      <c r="AN54" s="76">
        <f>资产资本表!AN17</f>
        <v>12227000000</v>
      </c>
      <c r="AO54" s="76">
        <f>资产资本表!AO17</f>
        <v>7700000000</v>
      </c>
      <c r="AP54" s="76">
        <f>资产资本表!AP17</f>
        <v>11605000000</v>
      </c>
      <c r="AQ54" s="76">
        <f>资产资本表!AQ17</f>
        <v>9774000000</v>
      </c>
      <c r="AR54" s="76">
        <f>资产资本表!AR17</f>
        <v>28397000000</v>
      </c>
      <c r="AS54" s="76">
        <f>资产资本表!AS17</f>
        <v>8364000000</v>
      </c>
      <c r="AT54" s="76">
        <f>资产资本表!AT17</f>
        <v>8908000000</v>
      </c>
      <c r="AU54" s="76">
        <f>资产资本表!AU17</f>
        <v>12989000000</v>
      </c>
      <c r="AV54" s="76">
        <f>资产资本表!AV17</f>
        <v>15943000000</v>
      </c>
      <c r="AW54" s="76">
        <f>资产资本表!AW17</f>
        <v>8723000000</v>
      </c>
      <c r="AX54" s="76">
        <f>资产资本表!AX17</f>
        <v>10590000000</v>
      </c>
      <c r="AY54" s="76">
        <f>资产资本表!AY17</f>
        <v>10777000000</v>
      </c>
      <c r="AZ54" s="76">
        <f>资产资本表!AZ17</f>
        <v>13089000000</v>
      </c>
      <c r="BA54" s="76">
        <f>资产资本表!BA17</f>
        <v>14747000000</v>
      </c>
      <c r="BB54" s="76">
        <f>资产资本表!BB17</f>
        <v>16567000000</v>
      </c>
      <c r="BC54" s="76">
        <f>资产资本表!BC17</f>
        <v>15322000000</v>
      </c>
      <c r="BD54" s="76">
        <f>资产资本表!BD17</f>
        <v>19884000000</v>
      </c>
      <c r="BE54" s="76">
        <f>资产资本表!BE17</f>
        <v>18280000000</v>
      </c>
      <c r="BF54" s="76">
        <f>资产资本表!BF17</f>
        <v>17324000000</v>
      </c>
      <c r="BG54" s="76">
        <f>资产资本表!BG17</f>
        <v>17028000000</v>
      </c>
      <c r="BH54" s="76">
        <f>资产资本表!BH17</f>
        <v>20367000000</v>
      </c>
      <c r="BI54" s="76">
        <f>资产资本表!BI17</f>
        <v>17405000000</v>
      </c>
      <c r="BJ54" s="76">
        <f>资产资本表!BJ17</f>
        <v>18630000000</v>
      </c>
      <c r="BK54" s="76">
        <f>资产资本表!BK17</f>
        <v>21844000000</v>
      </c>
      <c r="BL54" s="76">
        <f>资产资本表!BL17</f>
        <v>22282000000</v>
      </c>
      <c r="BM54" s="76">
        <f>资产资本表!BM17</f>
        <v>18712000000</v>
      </c>
      <c r="BN54" s="76">
        <f>资产资本表!BN17</f>
        <v>19233000000</v>
      </c>
      <c r="BO54" s="76">
        <f>资产资本表!BO17</f>
        <v>21212000000</v>
      </c>
      <c r="BP54" s="76">
        <f>资产资本表!BP17</f>
        <v>20986000000</v>
      </c>
      <c r="BQ54" s="76">
        <f>资产资本表!BQ17</f>
        <v>22870000000</v>
      </c>
      <c r="BR54" s="76">
        <f>资产资本表!BR17</f>
        <v>39991000000</v>
      </c>
      <c r="BS54" s="76">
        <f>资产资本表!BS17</f>
        <v>41204000000</v>
      </c>
      <c r="BT54" s="76">
        <f>资产资本表!BT17</f>
        <v>0</v>
      </c>
      <c r="BU54" s="76">
        <f>资产资本表!BU17</f>
        <v>0</v>
      </c>
      <c r="BV54" s="76">
        <f>资产资本表!BV17</f>
        <v>0</v>
      </c>
      <c r="BW54" s="76">
        <f>资产资本表!BW17</f>
        <v>0</v>
      </c>
      <c r="BX54" s="76">
        <f>资产资本表!BX17</f>
        <v>0</v>
      </c>
      <c r="BY54" s="76">
        <f>资产资本表!BY17</f>
        <v>0</v>
      </c>
      <c r="BZ54" s="76">
        <f>资产资本表!BZ17</f>
        <v>0</v>
      </c>
      <c r="CA54" s="76">
        <f>资产资本表!CA17</f>
        <v>0</v>
      </c>
      <c r="CB54" s="76">
        <f>资产资本表!CB17</f>
        <v>0</v>
      </c>
      <c r="CC54" s="76">
        <f>资产资本表!CC17</f>
        <v>0</v>
      </c>
      <c r="CD54" s="76">
        <f>资产资本表!CD17</f>
        <v>0</v>
      </c>
      <c r="CE54" s="76">
        <f>资产资本表!CE17</f>
        <v>0</v>
      </c>
      <c r="CF54" s="76">
        <f>资产资本表!CF17</f>
        <v>0</v>
      </c>
      <c r="CG54" s="76">
        <f>资产资本表!CG17</f>
        <v>0</v>
      </c>
      <c r="CH54" s="76">
        <f>资产资本表!CH17</f>
        <v>0</v>
      </c>
      <c r="CI54" s="76">
        <f>资产资本表!CI17</f>
        <v>0</v>
      </c>
      <c r="CJ54" s="76">
        <f>资产资本表!CJ17</f>
        <v>0</v>
      </c>
      <c r="CK54" s="76">
        <f>资产资本表!CK17</f>
        <v>0</v>
      </c>
    </row>
    <row r="55" spans="1:89" s="44" customFormat="1" x14ac:dyDescent="0.25">
      <c r="A55" s="143" t="s">
        <v>469</v>
      </c>
      <c r="E55" s="44">
        <f>E49/E54</f>
        <v>10.8327351337458</v>
      </c>
      <c r="F55" s="44">
        <f t="shared" ref="F55:BQ55" si="22">F49/F54</f>
        <v>10.078871368335932</v>
      </c>
      <c r="G55" s="44">
        <f t="shared" si="22"/>
        <v>6.7723341098015064</v>
      </c>
      <c r="H55" s="44">
        <f t="shared" si="22"/>
        <v>3.9720340312885907</v>
      </c>
      <c r="I55" s="44">
        <f t="shared" si="22"/>
        <v>12.546122608102401</v>
      </c>
      <c r="J55" s="44">
        <f t="shared" si="22"/>
        <v>13.992049651210504</v>
      </c>
      <c r="K55" s="44">
        <f t="shared" si="22"/>
        <v>9.9771909717099962</v>
      </c>
      <c r="L55" s="44">
        <f t="shared" si="22"/>
        <v>5.5789402723473103</v>
      </c>
      <c r="M55" s="44">
        <f t="shared" si="22"/>
        <v>25.593385140017496</v>
      </c>
      <c r="N55" s="44">
        <f t="shared" si="22"/>
        <v>26.291391521538305</v>
      </c>
      <c r="O55" s="44">
        <f t="shared" si="22"/>
        <v>13.820266213236271</v>
      </c>
      <c r="P55" s="44">
        <f t="shared" si="22"/>
        <v>6.3781624678251827</v>
      </c>
      <c r="Q55" s="44">
        <f t="shared" si="22"/>
        <v>257.65080233406275</v>
      </c>
      <c r="R55" s="44">
        <f t="shared" si="22"/>
        <v>93.928609483217897</v>
      </c>
      <c r="S55" s="44">
        <f t="shared" si="22"/>
        <v>94.533110274641018</v>
      </c>
      <c r="T55" s="44">
        <f t="shared" si="22"/>
        <v>30.863463482740361</v>
      </c>
      <c r="U55" s="44">
        <f t="shared" si="22"/>
        <v>190.73644129527847</v>
      </c>
      <c r="V55" s="44">
        <f t="shared" si="22"/>
        <v>176.91170634920636</v>
      </c>
      <c r="W55" s="44">
        <f t="shared" si="22"/>
        <v>124.30777338603426</v>
      </c>
      <c r="X55" s="44">
        <f t="shared" si="22"/>
        <v>47.036177982147684</v>
      </c>
      <c r="Y55" s="44">
        <f t="shared" si="22"/>
        <v>256.44744108983798</v>
      </c>
      <c r="Z55" s="44">
        <f t="shared" si="22"/>
        <v>136.30198586334566</v>
      </c>
      <c r="AA55" s="44">
        <f t="shared" si="22"/>
        <v>96.566762177650432</v>
      </c>
      <c r="AB55" s="44">
        <f t="shared" si="22"/>
        <v>27.281279206794263</v>
      </c>
      <c r="AC55" s="44">
        <f t="shared" si="22"/>
        <v>99.44370361550979</v>
      </c>
      <c r="AD55" s="44">
        <f t="shared" si="22"/>
        <v>68.965463974401416</v>
      </c>
      <c r="AE55" s="44">
        <f t="shared" si="22"/>
        <v>86.935852248695895</v>
      </c>
      <c r="AF55" s="44">
        <f t="shared" si="22"/>
        <v>21.803310252897397</v>
      </c>
      <c r="AG55" s="44">
        <f t="shared" si="22"/>
        <v>105.46758544652701</v>
      </c>
      <c r="AH55" s="44">
        <f t="shared" si="22"/>
        <v>123.47535028541775</v>
      </c>
      <c r="AI55" s="44">
        <f t="shared" si="22"/>
        <v>56.096016771488472</v>
      </c>
      <c r="AJ55" s="44">
        <f t="shared" si="22"/>
        <v>38.571340551007836</v>
      </c>
      <c r="AK55" s="44">
        <f t="shared" si="22"/>
        <v>134.69377127979172</v>
      </c>
      <c r="AL55" s="44">
        <f t="shared" si="22"/>
        <v>103.87722357865364</v>
      </c>
      <c r="AM55" s="44">
        <f t="shared" si="22"/>
        <v>58.800374366879545</v>
      </c>
      <c r="AN55" s="44">
        <f t="shared" si="22"/>
        <v>18.695101005970393</v>
      </c>
      <c r="AO55" s="44">
        <f t="shared" si="22"/>
        <v>188.58454545454546</v>
      </c>
      <c r="AP55" s="44">
        <f t="shared" si="22"/>
        <v>98.87091770788453</v>
      </c>
      <c r="AQ55" s="44">
        <f t="shared" si="22"/>
        <v>75.177307141395545</v>
      </c>
      <c r="AR55" s="44">
        <f t="shared" si="22"/>
        <v>11.69172799943656</v>
      </c>
      <c r="AS55" s="44">
        <f t="shared" si="22"/>
        <v>144.05105212816835</v>
      </c>
      <c r="AT55" s="44">
        <f t="shared" si="22"/>
        <v>98.250785810507409</v>
      </c>
      <c r="AU55" s="44">
        <f t="shared" si="22"/>
        <v>43.639233197320813</v>
      </c>
      <c r="AV55" s="44">
        <f t="shared" si="22"/>
        <v>17.121244433293608</v>
      </c>
      <c r="AW55" s="44">
        <f t="shared" si="22"/>
        <v>119.74997134013527</v>
      </c>
      <c r="AX55" s="44">
        <f t="shared" si="22"/>
        <v>71.314353163361659</v>
      </c>
      <c r="AY55" s="44">
        <f t="shared" si="22"/>
        <v>44.723763570566945</v>
      </c>
      <c r="AZ55" s="44">
        <f t="shared" si="22"/>
        <v>17.014210405684164</v>
      </c>
      <c r="BA55" s="44">
        <f t="shared" si="22"/>
        <v>54.188309486675259</v>
      </c>
      <c r="BB55" s="44">
        <f t="shared" si="22"/>
        <v>34.827669463391082</v>
      </c>
      <c r="BC55" s="44">
        <f t="shared" si="22"/>
        <v>23.446547448113822</v>
      </c>
      <c r="BD55" s="44">
        <f t="shared" si="22"/>
        <v>8.5013075839871259</v>
      </c>
      <c r="BE55" s="44">
        <f t="shared" si="22"/>
        <v>32.310284463894966</v>
      </c>
      <c r="BF55" s="44">
        <f t="shared" si="22"/>
        <v>24.110771184483951</v>
      </c>
      <c r="BG55" s="44">
        <f t="shared" si="22"/>
        <v>15.604240075170308</v>
      </c>
      <c r="BH55" s="44">
        <f t="shared" si="22"/>
        <v>6.0632395541807824</v>
      </c>
      <c r="BI55" s="44">
        <f t="shared" si="22"/>
        <v>23.969606434932491</v>
      </c>
      <c r="BJ55" s="44">
        <f t="shared" si="22"/>
        <v>16.138593666129896</v>
      </c>
      <c r="BK55" s="44">
        <f t="shared" si="22"/>
        <v>8.9197033510346095</v>
      </c>
      <c r="BL55" s="44">
        <f t="shared" si="22"/>
        <v>4.4214612691858903</v>
      </c>
      <c r="BM55" s="44">
        <f t="shared" si="22"/>
        <v>17.32492518170158</v>
      </c>
      <c r="BN55" s="44">
        <f t="shared" si="22"/>
        <v>11.760151822388602</v>
      </c>
      <c r="BO55" s="44">
        <f t="shared" si="22"/>
        <v>6.6296435979634172</v>
      </c>
      <c r="BP55" s="44">
        <f t="shared" si="22"/>
        <v>3.0017630801486703</v>
      </c>
      <c r="BQ55" s="44">
        <f t="shared" si="22"/>
        <v>13.307695671184959</v>
      </c>
      <c r="BR55" s="44">
        <f t="shared" ref="BR55:CK55" si="23">BR49/BR54</f>
        <v>4.0087519691930682</v>
      </c>
      <c r="BS55" s="44">
        <f t="shared" si="23"/>
        <v>7.8373944277254637</v>
      </c>
      <c r="BT55" s="44" t="e">
        <f t="shared" si="23"/>
        <v>#DIV/0!</v>
      </c>
      <c r="BU55" s="44" t="e">
        <f t="shared" si="23"/>
        <v>#DIV/0!</v>
      </c>
      <c r="BV55" s="44" t="e">
        <f t="shared" si="23"/>
        <v>#DIV/0!</v>
      </c>
      <c r="BW55" s="44" t="e">
        <f t="shared" si="23"/>
        <v>#DIV/0!</v>
      </c>
      <c r="BX55" s="44" t="e">
        <f t="shared" si="23"/>
        <v>#DIV/0!</v>
      </c>
      <c r="BY55" s="44" t="e">
        <f t="shared" si="23"/>
        <v>#DIV/0!</v>
      </c>
      <c r="BZ55" s="44" t="e">
        <f t="shared" si="23"/>
        <v>#DIV/0!</v>
      </c>
      <c r="CA55" s="44" t="e">
        <f t="shared" si="23"/>
        <v>#DIV/0!</v>
      </c>
      <c r="CB55" s="44" t="e">
        <f t="shared" si="23"/>
        <v>#DIV/0!</v>
      </c>
      <c r="CC55" s="44" t="e">
        <f t="shared" si="23"/>
        <v>#DIV/0!</v>
      </c>
      <c r="CD55" s="44" t="e">
        <f t="shared" si="23"/>
        <v>#DIV/0!</v>
      </c>
      <c r="CE55" s="44" t="e">
        <f t="shared" si="23"/>
        <v>#DIV/0!</v>
      </c>
      <c r="CF55" s="44" t="e">
        <f t="shared" si="23"/>
        <v>#DIV/0!</v>
      </c>
      <c r="CG55" s="44" t="e">
        <f t="shared" si="23"/>
        <v>#DIV/0!</v>
      </c>
      <c r="CH55" s="44" t="e">
        <f t="shared" si="23"/>
        <v>#DIV/0!</v>
      </c>
      <c r="CI55" s="44" t="e">
        <f t="shared" si="23"/>
        <v>#DIV/0!</v>
      </c>
      <c r="CJ55" s="44" t="e">
        <f t="shared" si="23"/>
        <v>#DIV/0!</v>
      </c>
      <c r="CK55" s="44" t="e">
        <f t="shared" si="23"/>
        <v>#DIV/0!</v>
      </c>
    </row>
    <row r="56" spans="1:89" s="76" customFormat="1" x14ac:dyDescent="0.25">
      <c r="A56" s="147" t="s">
        <v>443</v>
      </c>
      <c r="E56" s="76">
        <f>资产资本表!E19</f>
        <v>131087000000</v>
      </c>
      <c r="F56" s="76">
        <f>资产资本表!F19</f>
        <v>125971000000</v>
      </c>
      <c r="G56" s="76">
        <f>资产资本表!G19</f>
        <v>122296000000</v>
      </c>
      <c r="H56" s="76">
        <f>资产资本表!H19</f>
        <v>120161000000</v>
      </c>
      <c r="I56" s="76">
        <f>资产资本表!I19</f>
        <v>116812000000</v>
      </c>
      <c r="J56" s="76">
        <f>资产资本表!J19</f>
        <v>90168000000</v>
      </c>
      <c r="K56" s="76">
        <f>资产资本表!K19</f>
        <v>88711000000</v>
      </c>
      <c r="L56" s="76">
        <f>资产资本表!L19</f>
        <v>85256000000</v>
      </c>
      <c r="M56" s="76">
        <f>资产资本表!M19</f>
        <v>82970000000</v>
      </c>
      <c r="N56" s="76">
        <f>资产资本表!N19</f>
        <v>85670000000</v>
      </c>
      <c r="O56" s="76">
        <f>资产资本表!O19</f>
        <v>84844000000</v>
      </c>
      <c r="P56" s="76">
        <f>资产资本表!P19</f>
        <v>82656000000</v>
      </c>
      <c r="Q56" s="76">
        <f>资产资本表!Q19</f>
        <v>80593000000</v>
      </c>
      <c r="R56" s="76">
        <f>资产资本表!R19</f>
        <v>77270000000</v>
      </c>
      <c r="S56" s="76">
        <f>资产资本表!S19</f>
        <v>79477000000</v>
      </c>
      <c r="T56" s="76">
        <f>资产资本表!T19</f>
        <v>79408000000</v>
      </c>
      <c r="U56" s="76">
        <f>资产资本表!U19</f>
        <v>77078000000</v>
      </c>
      <c r="V56" s="76">
        <f>资产资本表!V19</f>
        <v>58560000000</v>
      </c>
      <c r="W56" s="76">
        <f>资产资本表!W19</f>
        <v>56138000000</v>
      </c>
      <c r="X56" s="76">
        <f>资产资本表!X19</f>
        <v>54512000000</v>
      </c>
      <c r="Y56" s="76">
        <f>资产资本表!Y19</f>
        <v>52061000000</v>
      </c>
      <c r="Z56" s="76">
        <f>资产资本表!Z19</f>
        <v>47731000000</v>
      </c>
      <c r="AA56" s="76">
        <f>资产资本表!AA19</f>
        <v>47498000000</v>
      </c>
      <c r="AB56" s="76">
        <f>资产资本表!AB19</f>
        <v>48482000000</v>
      </c>
      <c r="AC56" s="76">
        <f>资产资本表!AC19</f>
        <v>47458000000</v>
      </c>
      <c r="AD56" s="76">
        <f>资产资本表!AD19</f>
        <v>46822000000</v>
      </c>
      <c r="AE56" s="76">
        <f>资产资本表!AE19</f>
        <v>45706000000</v>
      </c>
      <c r="AF56" s="76">
        <f>资产资本表!AF19</f>
        <v>46799000000</v>
      </c>
      <c r="AG56" s="76">
        <f>资产资本表!AG19</f>
        <v>45037000000</v>
      </c>
      <c r="AH56" s="76">
        <f>资产资本表!AH19</f>
        <v>40305000000</v>
      </c>
      <c r="AI56" s="76">
        <f>资产资本表!AI19</f>
        <v>39107000000</v>
      </c>
      <c r="AJ56" s="76">
        <f>资产资本表!AJ19</f>
        <v>37745000000</v>
      </c>
      <c r="AK56" s="76">
        <f>资产资本表!AK19</f>
        <v>33503000000</v>
      </c>
      <c r="AL56" s="76">
        <f>资产资本表!AL19</f>
        <v>31775000000</v>
      </c>
      <c r="AM56" s="76">
        <f>资产资本表!AM19</f>
        <v>30582000000</v>
      </c>
      <c r="AN56" s="76">
        <f>资产资本表!AN19</f>
        <v>29770000000</v>
      </c>
      <c r="AO56" s="76">
        <f>资产资本表!AO19</f>
        <v>28705000000</v>
      </c>
      <c r="AP56" s="76">
        <f>资产资本表!AP19</f>
        <v>31369000000</v>
      </c>
      <c r="AQ56" s="76">
        <f>资产资本表!AQ19</f>
        <v>31189000000</v>
      </c>
      <c r="AR56" s="76">
        <f>资产资本表!AR19</f>
        <v>33317000000</v>
      </c>
      <c r="AS56" s="76">
        <f>资产资本表!AS19</f>
        <v>31335000000</v>
      </c>
      <c r="AT56" s="76">
        <f>资产资本表!AT19</f>
        <v>24663000000</v>
      </c>
      <c r="AU56" s="76">
        <f>资产资本表!AU19</f>
        <v>24408000000</v>
      </c>
      <c r="AV56" s="76">
        <f>资产资本表!AV19</f>
        <v>24520000000</v>
      </c>
      <c r="AW56" s="76">
        <f>资产资本表!AW19</f>
        <v>27483000000</v>
      </c>
      <c r="AX56" s="76">
        <f>资产资本表!AX19</f>
        <v>27298000000</v>
      </c>
      <c r="AY56" s="76">
        <f>资产资本表!AY19</f>
        <v>27392000000</v>
      </c>
      <c r="AZ56" s="76">
        <f>资产资本表!AZ19</f>
        <v>14553000000</v>
      </c>
      <c r="BA56" s="76">
        <f>资产资本表!BA19</f>
        <v>14146000000</v>
      </c>
      <c r="BB56" s="76">
        <f>资产资本表!BB19</f>
        <v>11917000000</v>
      </c>
      <c r="BC56" s="76">
        <f>资产资本表!BC19</f>
        <v>10549000000</v>
      </c>
      <c r="BD56" s="76">
        <f>资产资本表!BD19</f>
        <v>10814000000</v>
      </c>
      <c r="BE56" s="76">
        <f>资产资本表!BE19</f>
        <v>13409000000</v>
      </c>
      <c r="BF56" s="76">
        <f>资产资本表!BF19</f>
        <v>12534000000</v>
      </c>
      <c r="BG56" s="76">
        <f>资产资本表!BG19</f>
        <v>12106000000</v>
      </c>
      <c r="BH56" s="76">
        <f>资产资本表!BH19</f>
        <v>11429000000</v>
      </c>
      <c r="BI56" s="76">
        <f>资产资本表!BI19</f>
        <v>11150000000</v>
      </c>
      <c r="BJ56" s="76">
        <f>资产资本表!BJ19</f>
        <v>11383000000</v>
      </c>
      <c r="BK56" s="76">
        <f>资产资本表!BK19</f>
        <v>10836000000</v>
      </c>
      <c r="BL56" s="76">
        <f>资产资本表!BL19</f>
        <v>10934000000</v>
      </c>
      <c r="BM56" s="76">
        <f>资产资本表!BM19</f>
        <v>11025000000</v>
      </c>
      <c r="BN56" s="76">
        <f>资产资本表!BN19</f>
        <v>10567000000</v>
      </c>
      <c r="BO56" s="76">
        <f>资产资本表!BO19</f>
        <v>10128000000</v>
      </c>
      <c r="BP56" s="76">
        <f>资产资本表!BP19</f>
        <v>9614000000</v>
      </c>
      <c r="BQ56" s="76">
        <f>资产资本表!BQ19</f>
        <v>8910000000</v>
      </c>
      <c r="BR56" s="76">
        <f>资产资本表!BR19</f>
        <v>7214000000</v>
      </c>
      <c r="BS56" s="76">
        <f>资产资本表!BS19</f>
        <v>5235000000</v>
      </c>
      <c r="BT56" s="76">
        <f>资产资本表!BT19</f>
        <v>0</v>
      </c>
      <c r="BU56" s="76">
        <f>资产资本表!BU19</f>
        <v>0</v>
      </c>
      <c r="BV56" s="76">
        <f>资产资本表!BV19</f>
        <v>0</v>
      </c>
      <c r="BW56" s="76">
        <f>资产资本表!BW19</f>
        <v>0</v>
      </c>
      <c r="BX56" s="76">
        <f>资产资本表!BX19</f>
        <v>0</v>
      </c>
      <c r="BY56" s="76">
        <f>资产资本表!BY19</f>
        <v>0</v>
      </c>
      <c r="BZ56" s="76">
        <f>资产资本表!BZ19</f>
        <v>0</v>
      </c>
      <c r="CA56" s="76">
        <f>资产资本表!CA19</f>
        <v>0</v>
      </c>
      <c r="CB56" s="76">
        <f>资产资本表!CB19</f>
        <v>0</v>
      </c>
      <c r="CC56" s="76">
        <f>资产资本表!CC19</f>
        <v>0</v>
      </c>
      <c r="CD56" s="76">
        <f>资产资本表!CD19</f>
        <v>0</v>
      </c>
      <c r="CE56" s="76">
        <f>资产资本表!CE19</f>
        <v>0</v>
      </c>
      <c r="CF56" s="76">
        <f>资产资本表!CF19</f>
        <v>0</v>
      </c>
      <c r="CG56" s="76">
        <f>资产资本表!CG19</f>
        <v>0</v>
      </c>
      <c r="CH56" s="76">
        <f>资产资本表!CH19</f>
        <v>0</v>
      </c>
      <c r="CI56" s="76">
        <f>资产资本表!CI19</f>
        <v>0</v>
      </c>
      <c r="CJ56" s="76">
        <f>资产资本表!CJ19</f>
        <v>0</v>
      </c>
    </row>
    <row r="57" spans="1:89" s="117" customFormat="1" x14ac:dyDescent="0.25">
      <c r="A57" s="145" t="s">
        <v>470</v>
      </c>
      <c r="E57" s="117">
        <f>E49/E56</f>
        <v>18.004783082990684</v>
      </c>
      <c r="F57" s="117">
        <f t="shared" ref="F57:BQ57" si="24">F49/F56</f>
        <v>13.852037373681243</v>
      </c>
      <c r="G57" s="117">
        <f t="shared" si="24"/>
        <v>9.5329119513311973</v>
      </c>
      <c r="H57" s="117">
        <f t="shared" si="24"/>
        <v>4.8450412363412418</v>
      </c>
      <c r="I57" s="117">
        <f t="shared" si="24"/>
        <v>16.530073965003595</v>
      </c>
      <c r="J57" s="117">
        <f t="shared" si="24"/>
        <v>15.126707922988199</v>
      </c>
      <c r="K57" s="117">
        <f t="shared" si="24"/>
        <v>9.911059507840065</v>
      </c>
      <c r="L57" s="117">
        <f t="shared" si="24"/>
        <v>4.8535000469175191</v>
      </c>
      <c r="M57" s="117">
        <f t="shared" si="24"/>
        <v>24.33268651319754</v>
      </c>
      <c r="N57" s="117">
        <f t="shared" si="24"/>
        <v>17.939033500641997</v>
      </c>
      <c r="O57" s="117">
        <f t="shared" si="24"/>
        <v>12.262057423035218</v>
      </c>
      <c r="P57" s="117">
        <f t="shared" si="24"/>
        <v>5.78591995741386</v>
      </c>
      <c r="Q57" s="117">
        <f t="shared" si="24"/>
        <v>35.064013003610732</v>
      </c>
      <c r="R57" s="117">
        <f t="shared" si="24"/>
        <v>27.379940468487124</v>
      </c>
      <c r="S57" s="117">
        <f t="shared" si="24"/>
        <v>17.063703964669024</v>
      </c>
      <c r="T57" s="117">
        <f t="shared" si="24"/>
        <v>8.0730530928873669</v>
      </c>
      <c r="U57" s="117">
        <f t="shared" si="24"/>
        <v>37.368782272503175</v>
      </c>
      <c r="V57" s="117">
        <f t="shared" si="24"/>
        <v>36.542418032786884</v>
      </c>
      <c r="W57" s="117">
        <f t="shared" si="24"/>
        <v>25.210089422494566</v>
      </c>
      <c r="X57" s="117">
        <f t="shared" si="24"/>
        <v>12.759961109480482</v>
      </c>
      <c r="Y57" s="117">
        <f t="shared" si="24"/>
        <v>53.515011236818346</v>
      </c>
      <c r="Z57" s="117">
        <f t="shared" si="24"/>
        <v>42.420355743646688</v>
      </c>
      <c r="AA57" s="117">
        <f t="shared" si="24"/>
        <v>28.381658175081057</v>
      </c>
      <c r="AB57" s="117">
        <f t="shared" si="24"/>
        <v>13.847716678354853</v>
      </c>
      <c r="AC57" s="117">
        <f t="shared" si="24"/>
        <v>52.797905516456659</v>
      </c>
      <c r="AD57" s="117">
        <f t="shared" si="24"/>
        <v>40.047456323950279</v>
      </c>
      <c r="AE57" s="117">
        <f t="shared" si="24"/>
        <v>26.982715617205617</v>
      </c>
      <c r="AF57" s="117">
        <f t="shared" si="24"/>
        <v>12.582362871001518</v>
      </c>
      <c r="AG57" s="117">
        <f t="shared" si="24"/>
        <v>42.480227368608034</v>
      </c>
      <c r="AH57" s="117">
        <f t="shared" si="24"/>
        <v>35.420468924451058</v>
      </c>
      <c r="AI57" s="117">
        <f t="shared" si="24"/>
        <v>23.947707571534508</v>
      </c>
      <c r="AJ57" s="117">
        <f t="shared" si="24"/>
        <v>11.609723142138032</v>
      </c>
      <c r="AK57" s="117">
        <f t="shared" si="24"/>
        <v>40.147210697549475</v>
      </c>
      <c r="AL57" s="117">
        <f t="shared" si="24"/>
        <v>28.11795436664044</v>
      </c>
      <c r="AM57" s="117">
        <f t="shared" si="24"/>
        <v>17.462069191027403</v>
      </c>
      <c r="AN57" s="117">
        <f t="shared" si="24"/>
        <v>7.6783674840443403</v>
      </c>
      <c r="AO57" s="117">
        <f t="shared" si="24"/>
        <v>50.587040585263892</v>
      </c>
      <c r="AP57" s="117">
        <f t="shared" si="24"/>
        <v>36.577417195320223</v>
      </c>
      <c r="AQ57" s="117">
        <f t="shared" si="24"/>
        <v>23.55904325242874</v>
      </c>
      <c r="AR57" s="117">
        <f t="shared" si="24"/>
        <v>9.9651829396404246</v>
      </c>
      <c r="AS57" s="117">
        <f t="shared" si="24"/>
        <v>38.450390936652305</v>
      </c>
      <c r="AT57" s="117">
        <f t="shared" si="24"/>
        <v>35.487085918177023</v>
      </c>
      <c r="AU57" s="117">
        <f t="shared" si="24"/>
        <v>23.22312356604392</v>
      </c>
      <c r="AV57" s="117">
        <f t="shared" si="24"/>
        <v>11.132300163132138</v>
      </c>
      <c r="AW57" s="117">
        <f t="shared" si="24"/>
        <v>38.008186879161663</v>
      </c>
      <c r="AX57" s="117">
        <f t="shared" si="24"/>
        <v>27.665726426844458</v>
      </c>
      <c r="AY57" s="117">
        <f t="shared" si="24"/>
        <v>17.595940420560748</v>
      </c>
      <c r="AZ57" s="117">
        <f t="shared" si="24"/>
        <v>15.302618016903731</v>
      </c>
      <c r="BA57" s="117">
        <f t="shared" si="24"/>
        <v>56.490527357556907</v>
      </c>
      <c r="BB57" s="117">
        <f t="shared" si="24"/>
        <v>48.417386926239828</v>
      </c>
      <c r="BC57" s="117">
        <f t="shared" si="24"/>
        <v>34.055171106265995</v>
      </c>
      <c r="BD57" s="117">
        <f t="shared" si="24"/>
        <v>15.631588681339005</v>
      </c>
      <c r="BE57" s="117">
        <f t="shared" si="24"/>
        <v>44.047430830039524</v>
      </c>
      <c r="BF57" s="117">
        <f t="shared" si="24"/>
        <v>33.324956119355356</v>
      </c>
      <c r="BG57" s="117">
        <f t="shared" si="24"/>
        <v>21.948537915083431</v>
      </c>
      <c r="BH57" s="117">
        <f t="shared" si="24"/>
        <v>10.804969813631988</v>
      </c>
      <c r="BI57" s="117">
        <f t="shared" si="24"/>
        <v>37.416233183856505</v>
      </c>
      <c r="BJ57" s="117">
        <f t="shared" si="24"/>
        <v>26.413247825705</v>
      </c>
      <c r="BK57" s="117">
        <f t="shared" si="24"/>
        <v>17.980989294942784</v>
      </c>
      <c r="BL57" s="117">
        <f t="shared" si="24"/>
        <v>9.0103347356868486</v>
      </c>
      <c r="BM57" s="117">
        <f t="shared" si="24"/>
        <v>29.404444444444444</v>
      </c>
      <c r="BN57" s="117">
        <f t="shared" si="24"/>
        <v>21.404656004542442</v>
      </c>
      <c r="BO57" s="117">
        <f t="shared" si="24"/>
        <v>13.885071090047393</v>
      </c>
      <c r="BP57" s="117">
        <f t="shared" si="24"/>
        <v>6.5524235489910545</v>
      </c>
      <c r="BQ57" s="117">
        <f t="shared" si="24"/>
        <v>34.15791245791246</v>
      </c>
      <c r="BR57" s="117">
        <f t="shared" ref="BR57:CK57" si="25">BR49/BR56</f>
        <v>22.222622678125866</v>
      </c>
      <c r="BS57" s="117">
        <f t="shared" si="25"/>
        <v>61.687106017191979</v>
      </c>
      <c r="BT57" s="117" t="e">
        <f t="shared" si="25"/>
        <v>#DIV/0!</v>
      </c>
      <c r="BU57" s="117" t="e">
        <f t="shared" si="25"/>
        <v>#DIV/0!</v>
      </c>
      <c r="BV57" s="117" t="e">
        <f t="shared" si="25"/>
        <v>#DIV/0!</v>
      </c>
      <c r="BW57" s="117" t="e">
        <f t="shared" si="25"/>
        <v>#DIV/0!</v>
      </c>
      <c r="BX57" s="117" t="e">
        <f t="shared" si="25"/>
        <v>#DIV/0!</v>
      </c>
      <c r="BY57" s="117" t="e">
        <f t="shared" si="25"/>
        <v>#DIV/0!</v>
      </c>
      <c r="BZ57" s="117" t="e">
        <f t="shared" si="25"/>
        <v>#DIV/0!</v>
      </c>
      <c r="CA57" s="117" t="e">
        <f t="shared" si="25"/>
        <v>#DIV/0!</v>
      </c>
      <c r="CB57" s="117" t="e">
        <f t="shared" si="25"/>
        <v>#DIV/0!</v>
      </c>
      <c r="CC57" s="117" t="e">
        <f t="shared" si="25"/>
        <v>#DIV/0!</v>
      </c>
      <c r="CD57" s="117" t="e">
        <f t="shared" si="25"/>
        <v>#DIV/0!</v>
      </c>
      <c r="CE57" s="117" t="e">
        <f t="shared" si="25"/>
        <v>#DIV/0!</v>
      </c>
      <c r="CF57" s="117" t="e">
        <f t="shared" si="25"/>
        <v>#DIV/0!</v>
      </c>
      <c r="CG57" s="117" t="e">
        <f t="shared" si="25"/>
        <v>#DIV/0!</v>
      </c>
      <c r="CH57" s="117" t="e">
        <f t="shared" si="25"/>
        <v>#DIV/0!</v>
      </c>
      <c r="CI57" s="117" t="e">
        <f t="shared" si="25"/>
        <v>#DIV/0!</v>
      </c>
      <c r="CJ57" s="117" t="e">
        <f t="shared" si="25"/>
        <v>#DIV/0!</v>
      </c>
      <c r="CK57" s="117" t="e">
        <f t="shared" si="25"/>
        <v>#DIV/0!</v>
      </c>
    </row>
    <row r="58" spans="1:89" s="16" customFormat="1" ht="44.4" customHeight="1" x14ac:dyDescent="0.25">
      <c r="A58" s="278" t="s">
        <v>694</v>
      </c>
      <c r="B58" s="277"/>
      <c r="C58" s="277"/>
      <c r="D58" s="277"/>
      <c r="E58" s="277"/>
      <c r="F58" s="277"/>
      <c r="G58" s="277"/>
      <c r="H58" s="277"/>
      <c r="I58" s="277"/>
      <c r="J58" s="277"/>
      <c r="K58" s="277"/>
      <c r="L58" s="277"/>
      <c r="M58" s="277"/>
      <c r="N58" s="277"/>
      <c r="O58" s="277"/>
      <c r="P58" s="277"/>
      <c r="Q58" s="277"/>
      <c r="R58" s="277"/>
      <c r="S58" s="277"/>
      <c r="T58" s="277"/>
      <c r="U58" s="277"/>
      <c r="V58" s="277"/>
      <c r="W58" s="277"/>
      <c r="X58" s="277"/>
      <c r="Y58" s="277"/>
      <c r="Z58" s="277"/>
      <c r="AA58" s="277"/>
      <c r="AB58" s="277"/>
      <c r="AC58" s="277"/>
      <c r="AD58" s="277"/>
      <c r="AE58" s="277"/>
      <c r="AF58" s="277"/>
      <c r="AG58" s="277"/>
    </row>
    <row r="61" spans="1:89" s="119" customFormat="1" x14ac:dyDescent="0.25">
      <c r="A61" s="118" t="s">
        <v>471</v>
      </c>
      <c r="B61" s="1">
        <v>43373</v>
      </c>
      <c r="C61" s="1">
        <v>43281</v>
      </c>
      <c r="D61" s="1">
        <v>43190</v>
      </c>
      <c r="E61" s="1">
        <v>43100</v>
      </c>
      <c r="F61" s="1">
        <v>43008</v>
      </c>
      <c r="G61" s="1">
        <v>42916</v>
      </c>
      <c r="H61" s="1">
        <v>42825</v>
      </c>
      <c r="I61" s="1">
        <v>42735</v>
      </c>
      <c r="J61" s="1">
        <v>42643</v>
      </c>
      <c r="K61" s="1">
        <v>42551</v>
      </c>
      <c r="L61" s="1">
        <v>42460</v>
      </c>
      <c r="M61" s="1">
        <v>42369</v>
      </c>
      <c r="N61" s="1">
        <v>42277</v>
      </c>
      <c r="O61" s="1">
        <v>42185</v>
      </c>
      <c r="P61" s="1">
        <v>42094</v>
      </c>
      <c r="Q61" s="1">
        <v>42004</v>
      </c>
      <c r="R61" s="1">
        <v>41912</v>
      </c>
      <c r="S61" s="1">
        <v>41820</v>
      </c>
      <c r="T61" s="1">
        <v>41729</v>
      </c>
      <c r="U61" s="1">
        <v>41639</v>
      </c>
      <c r="V61" s="1">
        <v>41547</v>
      </c>
      <c r="W61" s="1">
        <v>41455</v>
      </c>
      <c r="X61" s="1">
        <v>41364</v>
      </c>
      <c r="Y61" s="1">
        <v>41274</v>
      </c>
      <c r="Z61" s="1">
        <v>41182</v>
      </c>
      <c r="AA61" s="1">
        <v>41090</v>
      </c>
      <c r="AB61" s="1">
        <v>40999</v>
      </c>
      <c r="AC61" s="1">
        <v>40908</v>
      </c>
      <c r="AD61" s="1">
        <v>40816</v>
      </c>
      <c r="AE61" s="1">
        <v>40724</v>
      </c>
      <c r="AF61" s="1">
        <v>40633</v>
      </c>
      <c r="AG61" s="1">
        <v>40543</v>
      </c>
      <c r="AH61" s="1">
        <v>40451</v>
      </c>
      <c r="AI61" s="1">
        <v>40359</v>
      </c>
      <c r="AJ61" s="1">
        <v>40268</v>
      </c>
      <c r="AK61" s="1">
        <v>40178</v>
      </c>
      <c r="AL61" s="1">
        <v>40086</v>
      </c>
      <c r="AM61" s="1">
        <v>39994</v>
      </c>
      <c r="AN61" s="1">
        <v>39903</v>
      </c>
      <c r="AO61" s="1">
        <v>39813</v>
      </c>
      <c r="AP61" s="1">
        <v>39721</v>
      </c>
      <c r="AQ61" s="1">
        <v>39629</v>
      </c>
      <c r="AR61" s="1">
        <v>39538</v>
      </c>
      <c r="AS61" s="1">
        <v>39447</v>
      </c>
      <c r="AT61" s="1">
        <v>39355</v>
      </c>
      <c r="AU61" s="1">
        <v>39263</v>
      </c>
      <c r="AV61" s="1">
        <v>39172</v>
      </c>
      <c r="AW61" s="1">
        <v>39082</v>
      </c>
      <c r="AX61" s="1">
        <v>38990</v>
      </c>
      <c r="AY61" s="1">
        <v>38898</v>
      </c>
      <c r="AZ61" s="1">
        <v>38807</v>
      </c>
      <c r="BA61" s="1">
        <v>38717</v>
      </c>
      <c r="BB61" s="1">
        <v>38625</v>
      </c>
      <c r="BC61" s="1">
        <v>38533</v>
      </c>
      <c r="BD61" s="1">
        <v>38442</v>
      </c>
      <c r="BE61" s="1">
        <v>38352</v>
      </c>
      <c r="BF61" s="1">
        <v>38260</v>
      </c>
      <c r="BG61" s="1">
        <v>38168</v>
      </c>
      <c r="BH61" s="1">
        <v>38077</v>
      </c>
      <c r="BI61" s="1">
        <v>37986</v>
      </c>
      <c r="BJ61" s="1">
        <v>37894</v>
      </c>
      <c r="BK61" s="1">
        <v>37802</v>
      </c>
      <c r="BL61" s="1">
        <v>37711</v>
      </c>
      <c r="BM61" s="1">
        <v>37621</v>
      </c>
      <c r="BN61" s="1">
        <v>37529</v>
      </c>
      <c r="BO61" s="1">
        <v>37437</v>
      </c>
      <c r="BP61" s="1">
        <v>37346</v>
      </c>
      <c r="BQ61" s="1">
        <v>37256</v>
      </c>
      <c r="BR61" s="1">
        <v>37072</v>
      </c>
      <c r="BS61" s="1">
        <v>36891</v>
      </c>
      <c r="BT61" s="1">
        <v>36525</v>
      </c>
      <c r="BU61" s="1">
        <v>36160</v>
      </c>
      <c r="BV61" s="1">
        <v>25569</v>
      </c>
      <c r="BW61" s="1"/>
      <c r="BX61" s="1"/>
      <c r="BY61" s="1"/>
      <c r="BZ61" s="1"/>
      <c r="CA61" s="1"/>
      <c r="CB61" s="1"/>
      <c r="CC61" s="1"/>
      <c r="CD61" s="1"/>
      <c r="CE61" s="1"/>
      <c r="CF61" s="1"/>
      <c r="CG61" s="1"/>
      <c r="CH61" s="1"/>
      <c r="CI61" s="1"/>
      <c r="CJ61" s="1"/>
      <c r="CK61" s="1"/>
    </row>
    <row r="62" spans="1:89" s="76" customFormat="1" x14ac:dyDescent="0.25">
      <c r="A62" s="147" t="s">
        <v>472</v>
      </c>
      <c r="E62" s="76">
        <v>365</v>
      </c>
      <c r="F62" s="76">
        <v>365</v>
      </c>
      <c r="G62" s="76">
        <v>365</v>
      </c>
      <c r="H62" s="76">
        <v>365</v>
      </c>
      <c r="I62" s="76">
        <v>365</v>
      </c>
      <c r="J62" s="76">
        <v>365</v>
      </c>
      <c r="K62" s="76">
        <v>365</v>
      </c>
      <c r="L62" s="76">
        <v>365</v>
      </c>
      <c r="M62" s="76">
        <v>365</v>
      </c>
      <c r="N62" s="76">
        <v>365</v>
      </c>
      <c r="O62" s="76">
        <v>365</v>
      </c>
      <c r="P62" s="76">
        <v>365</v>
      </c>
      <c r="Q62" s="76">
        <v>365</v>
      </c>
      <c r="R62" s="76">
        <v>365</v>
      </c>
      <c r="S62" s="76">
        <v>365</v>
      </c>
      <c r="T62" s="76">
        <v>365</v>
      </c>
      <c r="U62" s="76">
        <v>365</v>
      </c>
      <c r="V62" s="76">
        <v>365</v>
      </c>
      <c r="W62" s="76">
        <v>365</v>
      </c>
      <c r="X62" s="76">
        <v>365</v>
      </c>
      <c r="Y62" s="76">
        <v>365</v>
      </c>
      <c r="Z62" s="76">
        <v>365</v>
      </c>
      <c r="AA62" s="76">
        <v>365</v>
      </c>
      <c r="AB62" s="76">
        <v>365</v>
      </c>
      <c r="AC62" s="76">
        <v>365</v>
      </c>
      <c r="AD62" s="76">
        <v>365</v>
      </c>
      <c r="AE62" s="76">
        <v>365</v>
      </c>
      <c r="AF62" s="76">
        <v>365</v>
      </c>
      <c r="AG62" s="76">
        <v>365</v>
      </c>
      <c r="AH62" s="76">
        <v>365</v>
      </c>
      <c r="AI62" s="76">
        <v>365</v>
      </c>
      <c r="AJ62" s="76">
        <v>365</v>
      </c>
      <c r="AK62" s="76">
        <v>365</v>
      </c>
      <c r="AL62" s="76">
        <v>365</v>
      </c>
      <c r="AM62" s="76">
        <v>365</v>
      </c>
      <c r="AN62" s="76">
        <v>365</v>
      </c>
      <c r="AO62" s="76">
        <v>365</v>
      </c>
      <c r="AP62" s="76">
        <v>365</v>
      </c>
      <c r="AQ62" s="76">
        <v>365</v>
      </c>
      <c r="AR62" s="76">
        <v>365</v>
      </c>
      <c r="AS62" s="76">
        <v>365</v>
      </c>
      <c r="AT62" s="76">
        <v>365</v>
      </c>
      <c r="AU62" s="76">
        <v>365</v>
      </c>
      <c r="AV62" s="76">
        <v>365</v>
      </c>
      <c r="AW62" s="76">
        <v>365</v>
      </c>
      <c r="AX62" s="76">
        <v>365</v>
      </c>
      <c r="AY62" s="76">
        <v>365</v>
      </c>
      <c r="AZ62" s="76">
        <v>365</v>
      </c>
      <c r="BA62" s="76">
        <v>365</v>
      </c>
      <c r="BB62" s="76">
        <v>365</v>
      </c>
      <c r="BC62" s="76">
        <v>365</v>
      </c>
      <c r="BD62" s="76">
        <v>365</v>
      </c>
      <c r="BE62" s="76">
        <v>365</v>
      </c>
      <c r="BF62" s="76">
        <v>365</v>
      </c>
      <c r="BG62" s="76">
        <v>365</v>
      </c>
      <c r="BH62" s="76">
        <v>365</v>
      </c>
      <c r="BI62" s="76">
        <v>365</v>
      </c>
      <c r="BJ62" s="76">
        <v>365</v>
      </c>
      <c r="BK62" s="76">
        <v>365</v>
      </c>
      <c r="BL62" s="76">
        <v>365</v>
      </c>
      <c r="BM62" s="76">
        <v>365</v>
      </c>
      <c r="BN62" s="76">
        <v>365</v>
      </c>
      <c r="BO62" s="76">
        <v>365</v>
      </c>
      <c r="BP62" s="76">
        <v>365</v>
      </c>
      <c r="BQ62" s="76">
        <v>365</v>
      </c>
      <c r="BR62" s="76">
        <v>365</v>
      </c>
      <c r="BS62" s="76">
        <v>365</v>
      </c>
      <c r="BT62" s="76">
        <v>365</v>
      </c>
      <c r="BU62" s="76">
        <v>365</v>
      </c>
      <c r="BV62" s="76">
        <v>365</v>
      </c>
      <c r="BW62" s="76">
        <v>365</v>
      </c>
      <c r="BX62" s="76">
        <v>365</v>
      </c>
      <c r="BY62" s="76">
        <v>365</v>
      </c>
      <c r="BZ62" s="76">
        <v>365</v>
      </c>
      <c r="CA62" s="76">
        <v>365</v>
      </c>
      <c r="CB62" s="76">
        <v>365</v>
      </c>
      <c r="CC62" s="76">
        <v>365</v>
      </c>
      <c r="CD62" s="76">
        <v>365</v>
      </c>
      <c r="CE62" s="76">
        <v>365</v>
      </c>
      <c r="CF62" s="76">
        <v>365</v>
      </c>
      <c r="CG62" s="76">
        <v>365</v>
      </c>
      <c r="CH62" s="76">
        <v>365</v>
      </c>
      <c r="CI62" s="76">
        <v>365</v>
      </c>
      <c r="CJ62" s="76">
        <v>365</v>
      </c>
    </row>
    <row r="63" spans="1:89" s="76" customFormat="1" x14ac:dyDescent="0.25">
      <c r="A63" s="147" t="s">
        <v>463</v>
      </c>
      <c r="E63" s="76">
        <f>E49</f>
        <v>2360193000000</v>
      </c>
      <c r="F63" s="76">
        <f t="shared" ref="F63:BQ63" si="26">F49</f>
        <v>1744955000000</v>
      </c>
      <c r="G63" s="76">
        <f t="shared" si="26"/>
        <v>1165837000000</v>
      </c>
      <c r="H63" s="76">
        <f t="shared" si="26"/>
        <v>582185000000</v>
      </c>
      <c r="I63" s="76">
        <f t="shared" si="26"/>
        <v>1930911000000</v>
      </c>
      <c r="J63" s="76">
        <f t="shared" si="26"/>
        <v>1363945000000</v>
      </c>
      <c r="K63" s="76">
        <f t="shared" si="26"/>
        <v>879220000000</v>
      </c>
      <c r="L63" s="76">
        <f t="shared" si="26"/>
        <v>413790000000</v>
      </c>
      <c r="M63" s="76">
        <f t="shared" si="26"/>
        <v>2018883000000</v>
      </c>
      <c r="N63" s="76">
        <f t="shared" si="26"/>
        <v>1536837000000</v>
      </c>
      <c r="O63" s="76">
        <f t="shared" si="26"/>
        <v>1040362000000</v>
      </c>
      <c r="P63" s="76">
        <f t="shared" si="26"/>
        <v>478241000000</v>
      </c>
      <c r="Q63" s="76">
        <f t="shared" si="26"/>
        <v>2825914000000</v>
      </c>
      <c r="R63" s="76">
        <f t="shared" si="26"/>
        <v>2115648000000</v>
      </c>
      <c r="S63" s="76">
        <f t="shared" si="26"/>
        <v>1356172000000</v>
      </c>
      <c r="T63" s="76">
        <f t="shared" si="26"/>
        <v>641065000000</v>
      </c>
      <c r="U63" s="76">
        <f t="shared" si="26"/>
        <v>2880311000000</v>
      </c>
      <c r="V63" s="76">
        <f t="shared" si="26"/>
        <v>2139924000000</v>
      </c>
      <c r="W63" s="76">
        <f t="shared" si="26"/>
        <v>1415244000000</v>
      </c>
      <c r="X63" s="76">
        <f t="shared" si="26"/>
        <v>695571000000</v>
      </c>
      <c r="Y63" s="76">
        <f t="shared" si="26"/>
        <v>2786045000000</v>
      </c>
      <c r="Z63" s="76">
        <f t="shared" si="26"/>
        <v>2024766000000</v>
      </c>
      <c r="AA63" s="76">
        <f t="shared" si="26"/>
        <v>1348072000000</v>
      </c>
      <c r="AB63" s="76">
        <f t="shared" si="26"/>
        <v>671365000000</v>
      </c>
      <c r="AC63" s="76">
        <f t="shared" si="26"/>
        <v>2505683000000</v>
      </c>
      <c r="AD63" s="76">
        <f t="shared" si="26"/>
        <v>1875102000000</v>
      </c>
      <c r="AE63" s="76">
        <f t="shared" si="26"/>
        <v>1233272000000</v>
      </c>
      <c r="AF63" s="76">
        <f t="shared" si="26"/>
        <v>588842000000</v>
      </c>
      <c r="AG63" s="76">
        <f t="shared" si="26"/>
        <v>1913182000000</v>
      </c>
      <c r="AH63" s="76">
        <f t="shared" si="26"/>
        <v>1427622000000</v>
      </c>
      <c r="AI63" s="76">
        <f t="shared" si="26"/>
        <v>936523000000</v>
      </c>
      <c r="AJ63" s="76">
        <f t="shared" si="26"/>
        <v>438209000000</v>
      </c>
      <c r="AK63" s="76">
        <f t="shared" si="26"/>
        <v>1345052000000</v>
      </c>
      <c r="AL63" s="76">
        <f t="shared" si="26"/>
        <v>893448000000</v>
      </c>
      <c r="AM63" s="76">
        <f t="shared" si="26"/>
        <v>534025000000</v>
      </c>
      <c r="AN63" s="76">
        <f t="shared" si="26"/>
        <v>228585000000</v>
      </c>
      <c r="AO63" s="76">
        <f t="shared" si="26"/>
        <v>1452101000000</v>
      </c>
      <c r="AP63" s="76">
        <f t="shared" si="26"/>
        <v>1147397000000</v>
      </c>
      <c r="AQ63" s="76">
        <f t="shared" si="26"/>
        <v>734783000000</v>
      </c>
      <c r="AR63" s="76">
        <f t="shared" si="26"/>
        <v>332010000000</v>
      </c>
      <c r="AS63" s="76">
        <f t="shared" si="26"/>
        <v>1204843000000</v>
      </c>
      <c r="AT63" s="76">
        <f t="shared" si="26"/>
        <v>875218000000</v>
      </c>
      <c r="AU63" s="76">
        <f t="shared" si="26"/>
        <v>566830000000</v>
      </c>
      <c r="AV63" s="76">
        <f t="shared" si="26"/>
        <v>272964000000</v>
      </c>
      <c r="AW63" s="76">
        <f t="shared" si="26"/>
        <v>1044579000000</v>
      </c>
      <c r="AX63" s="76">
        <f t="shared" si="26"/>
        <v>755219000000</v>
      </c>
      <c r="AY63" s="76">
        <f t="shared" si="26"/>
        <v>481988000000</v>
      </c>
      <c r="AZ63" s="76">
        <f t="shared" si="26"/>
        <v>222699000000</v>
      </c>
      <c r="BA63" s="76">
        <f t="shared" si="26"/>
        <v>799115000000</v>
      </c>
      <c r="BB63" s="76">
        <f t="shared" si="26"/>
        <v>576990000000</v>
      </c>
      <c r="BC63" s="76">
        <f t="shared" si="26"/>
        <v>359248000000</v>
      </c>
      <c r="BD63" s="76">
        <f t="shared" si="26"/>
        <v>169040000000</v>
      </c>
      <c r="BE63" s="76">
        <f t="shared" si="26"/>
        <v>590632000000</v>
      </c>
      <c r="BF63" s="76">
        <f t="shared" si="26"/>
        <v>417695000000</v>
      </c>
      <c r="BG63" s="76">
        <f t="shared" si="26"/>
        <v>265709000000</v>
      </c>
      <c r="BH63" s="76">
        <f t="shared" si="26"/>
        <v>123490000000</v>
      </c>
      <c r="BI63" s="76">
        <f t="shared" si="26"/>
        <v>417191000000</v>
      </c>
      <c r="BJ63" s="76">
        <f t="shared" si="26"/>
        <v>300662000000</v>
      </c>
      <c r="BK63" s="76">
        <f t="shared" si="26"/>
        <v>194842000000</v>
      </c>
      <c r="BL63" s="76">
        <f t="shared" si="26"/>
        <v>98519000000</v>
      </c>
      <c r="BM63" s="76">
        <f t="shared" si="26"/>
        <v>324184000000</v>
      </c>
      <c r="BN63" s="76">
        <f t="shared" si="26"/>
        <v>226183000000</v>
      </c>
      <c r="BO63" s="76">
        <f t="shared" si="26"/>
        <v>140628000000</v>
      </c>
      <c r="BP63" s="76">
        <f t="shared" si="26"/>
        <v>62995000000</v>
      </c>
      <c r="BQ63" s="76">
        <f t="shared" si="26"/>
        <v>304347000000</v>
      </c>
      <c r="BR63" s="76">
        <f t="shared" ref="BR63:CJ63" si="27">BR49</f>
        <v>160314000000</v>
      </c>
      <c r="BS63" s="76">
        <f t="shared" si="27"/>
        <v>322932000000</v>
      </c>
      <c r="BT63" s="76">
        <f t="shared" si="27"/>
        <v>231047000000</v>
      </c>
      <c r="BU63" s="76">
        <f t="shared" si="27"/>
        <v>190220000000</v>
      </c>
      <c r="BV63" s="76">
        <f t="shared" si="27"/>
        <v>0</v>
      </c>
      <c r="BW63" s="76">
        <f t="shared" si="27"/>
        <v>0</v>
      </c>
      <c r="BX63" s="76">
        <f t="shared" si="27"/>
        <v>0</v>
      </c>
      <c r="BY63" s="76">
        <f t="shared" si="27"/>
        <v>0</v>
      </c>
      <c r="BZ63" s="76">
        <f t="shared" si="27"/>
        <v>0</v>
      </c>
      <c r="CA63" s="76">
        <f t="shared" si="27"/>
        <v>0</v>
      </c>
      <c r="CB63" s="76">
        <f t="shared" si="27"/>
        <v>0</v>
      </c>
      <c r="CC63" s="76">
        <f t="shared" si="27"/>
        <v>0</v>
      </c>
      <c r="CD63" s="76">
        <f t="shared" si="27"/>
        <v>0</v>
      </c>
      <c r="CE63" s="76">
        <f t="shared" si="27"/>
        <v>0</v>
      </c>
      <c r="CF63" s="76">
        <f t="shared" si="27"/>
        <v>0</v>
      </c>
      <c r="CG63" s="76">
        <f t="shared" si="27"/>
        <v>0</v>
      </c>
      <c r="CH63" s="76">
        <f t="shared" si="27"/>
        <v>0</v>
      </c>
      <c r="CI63" s="76">
        <f t="shared" si="27"/>
        <v>0</v>
      </c>
      <c r="CJ63" s="76">
        <f t="shared" si="27"/>
        <v>0</v>
      </c>
    </row>
    <row r="64" spans="1:89" s="76" customFormat="1" x14ac:dyDescent="0.25">
      <c r="A64" s="147" t="s">
        <v>473</v>
      </c>
      <c r="E64" s="76">
        <f>资产资本表!E22+资产资本表!E23-资产资本表!E37</f>
        <v>-36033000000</v>
      </c>
      <c r="F64" s="76">
        <f>资产资本表!F22+资产资本表!F23-资产资本表!F37</f>
        <v>-39374000000</v>
      </c>
      <c r="G64" s="76">
        <f>资产资本表!G22+资产资本表!G23-资产资本表!G37</f>
        <v>-35660000000</v>
      </c>
      <c r="H64" s="76">
        <f>资产资本表!H22+资产资本表!H23-资产资本表!H37</f>
        <v>-25414000000</v>
      </c>
      <c r="I64" s="76">
        <f>资产资本表!I22+资产资本表!I23-资产资本表!I37</f>
        <v>-32442000000</v>
      </c>
      <c r="J64" s="76">
        <f>资产资本表!J22+资产资本表!J23-资产资本表!J37</f>
        <v>-23045000000</v>
      </c>
      <c r="K64" s="76">
        <f>资产资本表!K22+资产资本表!K23-资产资本表!K37</f>
        <v>-10753000000</v>
      </c>
      <c r="L64" s="76">
        <f>资产资本表!L22+资产资本表!L23-资产资本表!L37</f>
        <v>-36036000000</v>
      </c>
      <c r="M64" s="76">
        <f>资产资本表!M22+资产资本表!M23-资产资本表!M37</f>
        <v>-25574000000</v>
      </c>
      <c r="N64" s="76">
        <f>资产资本表!N22+资产资本表!N23-资产资本表!N37</f>
        <v>-14919000000</v>
      </c>
      <c r="O64" s="76">
        <f>资产资本表!O22+资产资本表!O23-资产资本表!O37</f>
        <v>22567000000</v>
      </c>
      <c r="P64" s="76">
        <f>资产资本表!P22+资产资本表!P23-资产资本表!P37</f>
        <v>-4280000000</v>
      </c>
      <c r="Q64" s="76">
        <f>资产资本表!Q22+资产资本表!Q23-资产资本表!Q37</f>
        <v>14876000000</v>
      </c>
      <c r="R64" s="76">
        <f>资产资本表!R22+资产资本表!R23-资产资本表!R37</f>
        <v>31169000000</v>
      </c>
      <c r="S64" s="76">
        <f>资产资本表!S22+资产资本表!S23-资产资本表!S37</f>
        <v>41280000000</v>
      </c>
      <c r="T64" s="76">
        <f>资产资本表!T22+资产资本表!T23-资产资本表!T37</f>
        <v>31707000000</v>
      </c>
      <c r="U64" s="76">
        <f>资产资本表!U22+资产资本表!U23-资产资本表!U37</f>
        <v>16158000000</v>
      </c>
      <c r="V64" s="76">
        <f>资产资本表!V22+资产资本表!V23-资产资本表!V37</f>
        <v>31531000000</v>
      </c>
      <c r="W64" s="76">
        <f>资产资本表!W22+资产资本表!W23-资产资本表!W37</f>
        <v>44027000000</v>
      </c>
      <c r="X64" s="76">
        <f>资产资本表!X22+资产资本表!X23-资产资本表!X37</f>
        <v>58258000000</v>
      </c>
      <c r="Y64" s="76">
        <f>资产资本表!Y22+资产资本表!Y23-资产资本表!Y37</f>
        <v>32141000000</v>
      </c>
      <c r="Z64" s="76">
        <f>资产资本表!Z22+资产资本表!Z23-资产资本表!Z37</f>
        <v>44666000000</v>
      </c>
      <c r="AA64" s="76">
        <f>资产资本表!AA22+资产资本表!AA23-资产资本表!AA37</f>
        <v>46211000000</v>
      </c>
      <c r="AB64" s="76">
        <f>资产资本表!AB22+资产资本表!AB23-资产资本表!AB37</f>
        <v>55257000000</v>
      </c>
      <c r="AC64" s="76">
        <f>资产资本表!AC22+资产资本表!AC23-资产资本表!AC37</f>
        <v>19996000000</v>
      </c>
      <c r="AD64" s="76">
        <f>资产资本表!AD22+资产资本表!AD23-资产资本表!AD37</f>
        <v>39927000000</v>
      </c>
      <c r="AE64" s="76">
        <f>资产资本表!AE22+资产资本表!AE23-资产资本表!AE37</f>
        <v>45550000000</v>
      </c>
      <c r="AF64" s="76">
        <f>资产资本表!AF22+资产资本表!AF23-资产资本表!AF37</f>
        <v>34346000000</v>
      </c>
      <c r="AG64" s="76">
        <f>资产资本表!AG22+资产资本表!AG23-资产资本表!AG37</f>
        <v>1719000000</v>
      </c>
      <c r="AH64" s="76">
        <f>资产资本表!AH22+资产资本表!AH23-资产资本表!AH37</f>
        <v>12468000000</v>
      </c>
      <c r="AI64" s="76">
        <f>资产资本表!AI22+资产资本表!AI23-资产资本表!AI37</f>
        <v>19843000000</v>
      </c>
      <c r="AJ64" s="76">
        <f>资产资本表!AJ22+资产资本表!AJ23-资产资本表!AJ37</f>
        <v>16701000000</v>
      </c>
      <c r="AK64" s="76">
        <f>资产资本表!AK22+资产资本表!AK23-资产资本表!AK37</f>
        <v>-8568000000</v>
      </c>
      <c r="AL64" s="76">
        <f>资产资本表!AL22+资产资本表!AL23-资产资本表!AL37</f>
        <v>-232000000</v>
      </c>
      <c r="AM64" s="76">
        <f>资产资本表!AM22+资产资本表!AM23-资产资本表!AM37</f>
        <v>5732000000</v>
      </c>
      <c r="AN64" s="76">
        <f>资产资本表!AN22+资产资本表!AN23-资产资本表!AN37</f>
        <v>-6481000000</v>
      </c>
      <c r="AO64" s="76">
        <f>资产资本表!AO22+资产资本表!AO23-资产资本表!AO37</f>
        <v>-13135000000</v>
      </c>
      <c r="AP64" s="76">
        <f>资产资本表!AP22+资产资本表!AP23-资产资本表!AP37</f>
        <v>13296000000</v>
      </c>
      <c r="AQ64" s="76">
        <f>资产资本表!AQ22+资产资本表!AQ23-资产资本表!AQ37</f>
        <v>24574000000</v>
      </c>
      <c r="AR64" s="76">
        <f>资产资本表!AR22+资产资本表!AR23-资产资本表!AR37</f>
        <v>11953000000</v>
      </c>
      <c r="AS64" s="76">
        <f>资产资本表!AS22+资产资本表!AS23-资产资本表!AS37</f>
        <v>10716000000</v>
      </c>
      <c r="AT64" s="76">
        <f>资产资本表!AT22+资产资本表!AT23-资产资本表!AT37</f>
        <v>7062000000</v>
      </c>
      <c r="AU64" s="76">
        <f>资产资本表!AU22+资产资本表!AU23-资产资本表!AU37</f>
        <v>18482000000</v>
      </c>
      <c r="AV64" s="76">
        <f>资产资本表!AV22+资产资本表!AV23-资产资本表!AV37</f>
        <v>14036000000</v>
      </c>
      <c r="AW64" s="76">
        <f>资产资本表!AW22+资产资本表!AW23-资产资本表!AW37</f>
        <v>4658000000</v>
      </c>
      <c r="AX64" s="76">
        <f>资产资本表!AX22+资产资本表!AX23-资产资本表!AX37</f>
        <v>7872000000</v>
      </c>
      <c r="AY64" s="76">
        <f>资产资本表!AY22+资产资本表!AY23-资产资本表!AY37</f>
        <v>10650000000</v>
      </c>
      <c r="AZ64" s="76">
        <f>资产资本表!AZ22+资产资本表!AZ23-资产资本表!AZ37</f>
        <v>9553000000</v>
      </c>
      <c r="BA64" s="76">
        <f>资产资本表!BA22+资产资本表!BA23-资产资本表!BA37</f>
        <v>7589000000</v>
      </c>
      <c r="BB64" s="76">
        <f>资产资本表!BB22+资产资本表!BB23-资产资本表!BB37</f>
        <v>10290000000</v>
      </c>
      <c r="BC64" s="76">
        <f>资产资本表!BC22+资产资本表!BC23-资产资本表!BC37</f>
        <v>14414000000</v>
      </c>
      <c r="BD64" s="76">
        <f>资产资本表!BD22+资产资本表!BD23-资产资本表!BD37</f>
        <v>15593000000</v>
      </c>
      <c r="BE64" s="76">
        <f>资产资本表!BE22+资产资本表!BE23-资产资本表!BE37</f>
        <v>8963000000</v>
      </c>
      <c r="BF64" s="76">
        <f>资产资本表!BF22+资产资本表!BF23-资产资本表!BF37</f>
        <v>10954000000</v>
      </c>
      <c r="BG64" s="76">
        <f>资产资本表!BG22+资产资本表!BG23-资产资本表!BG37</f>
        <v>16020000000</v>
      </c>
      <c r="BH64" s="76">
        <f>资产资本表!BH22+资产资本表!BH23-资产资本表!BH37</f>
        <v>14045000000</v>
      </c>
      <c r="BI64" s="76">
        <f>资产资本表!BI22+资产资本表!BI23-资产资本表!BI37</f>
        <v>9329000000</v>
      </c>
      <c r="BJ64" s="76">
        <f>资产资本表!BJ22+资产资本表!BJ23-资产资本表!BJ37</f>
        <v>11900000000</v>
      </c>
      <c r="BK64" s="76">
        <f>资产资本表!BK22+资产资本表!BK23-资产资本表!BK37</f>
        <v>13048000000</v>
      </c>
      <c r="BL64" s="76">
        <f>资产资本表!BL22+资产资本表!BL23-资产资本表!BL37</f>
        <v>15659000000</v>
      </c>
      <c r="BM64" s="76">
        <f>资产资本表!BM22+资产资本表!BM23-资产资本表!BM37</f>
        <v>11587000000</v>
      </c>
      <c r="BN64" s="76">
        <f>资产资本表!BN22+资产资本表!BN23-资产资本表!BN37</f>
        <v>13430000000</v>
      </c>
      <c r="BO64" s="76">
        <f>资产资本表!BO22+资产资本表!BO23-资产资本表!BO37</f>
        <v>14506000000</v>
      </c>
      <c r="BP64" s="76">
        <f>资产资本表!BP22+资产资本表!BP23-资产资本表!BP37</f>
        <v>11508000000</v>
      </c>
      <c r="BQ64" s="76">
        <f>资产资本表!BQ22+资产资本表!BQ23-资产资本表!BQ37</f>
        <v>11740000000</v>
      </c>
      <c r="BR64" s="76">
        <f>资产资本表!BR22+资产资本表!BR23-资产资本表!BR37</f>
        <v>17574000000</v>
      </c>
      <c r="BS64" s="76">
        <f>资产资本表!BS22+资产资本表!BS23-资产资本表!BS37</f>
        <v>12834000000</v>
      </c>
      <c r="BT64" s="76">
        <f>资产资本表!BT22+资产资本表!BT23-资产资本表!BT37</f>
        <v>0</v>
      </c>
      <c r="BU64" s="76">
        <f>资产资本表!BU22+资产资本表!BU23-资产资本表!BU37</f>
        <v>0</v>
      </c>
      <c r="BV64" s="76">
        <f>资产资本表!BV22+资产资本表!BV23-资产资本表!BV37</f>
        <v>0</v>
      </c>
      <c r="BW64" s="76">
        <f>资产资本表!BW22+资产资本表!BW23-资产资本表!BW37</f>
        <v>0</v>
      </c>
      <c r="BX64" s="76">
        <f>资产资本表!BX22+资产资本表!BX23-资产资本表!BX37</f>
        <v>0</v>
      </c>
      <c r="BY64" s="76">
        <f>资产资本表!BY22+资产资本表!BY23-资产资本表!BY37</f>
        <v>0</v>
      </c>
      <c r="BZ64" s="76">
        <f>资产资本表!BZ22+资产资本表!BZ23-资产资本表!BZ37</f>
        <v>0</v>
      </c>
      <c r="CA64" s="76">
        <f>资产资本表!CA22+资产资本表!CA23-资产资本表!CA37</f>
        <v>0</v>
      </c>
      <c r="CB64" s="76">
        <f>资产资本表!CB22+资产资本表!CB23-资产资本表!CB37</f>
        <v>0</v>
      </c>
      <c r="CC64" s="76">
        <f>资产资本表!CC22+资产资本表!CC23-资产资本表!CC37</f>
        <v>0</v>
      </c>
      <c r="CD64" s="76">
        <f>资产资本表!CD22+资产资本表!CD23-资产资本表!CD37</f>
        <v>0</v>
      </c>
      <c r="CE64" s="76">
        <f>资产资本表!CE22+资产资本表!CE23-资产资本表!CE37</f>
        <v>0</v>
      </c>
      <c r="CF64" s="76">
        <f>资产资本表!CF22+资产资本表!CF23-资产资本表!CF37</f>
        <v>0</v>
      </c>
      <c r="CG64" s="76">
        <f>资产资本表!CG22+资产资本表!CG23-资产资本表!CG37</f>
        <v>0</v>
      </c>
      <c r="CH64" s="76">
        <f>资产资本表!CH22+资产资本表!CH23-资产资本表!CH37</f>
        <v>0</v>
      </c>
      <c r="CI64" s="76">
        <f>资产资本表!CI22+资产资本表!CI23-资产资本表!CI37</f>
        <v>0</v>
      </c>
      <c r="CJ64" s="76">
        <f>资产资本表!CJ22+资产资本表!CJ23-资产资本表!CJ37</f>
        <v>0</v>
      </c>
      <c r="CK64" s="76">
        <f>资产资本表!CK22+资产资本表!CK23-资产资本表!CK37</f>
        <v>0</v>
      </c>
    </row>
    <row r="65" spans="1:89" s="155" customFormat="1" x14ac:dyDescent="0.25">
      <c r="A65" s="154" t="s">
        <v>692</v>
      </c>
      <c r="E65" s="155">
        <f>E63/(E64+I64)*2</f>
        <v>-68.935903614457828</v>
      </c>
      <c r="F65" s="155">
        <f t="shared" ref="F65:BQ65" si="28">F63/(F64+J64)*2</f>
        <v>-55.911020682804917</v>
      </c>
      <c r="G65" s="155">
        <f t="shared" si="28"/>
        <v>-50.237519660439965</v>
      </c>
      <c r="H65" s="155">
        <f t="shared" si="28"/>
        <v>-18.948250610252238</v>
      </c>
      <c r="I65" s="155">
        <f t="shared" si="28"/>
        <v>-66.564775234418093</v>
      </c>
      <c r="J65" s="155">
        <f t="shared" si="28"/>
        <v>-71.854651775366136</v>
      </c>
      <c r="K65" s="155">
        <f t="shared" si="28"/>
        <v>148.84374470966651</v>
      </c>
      <c r="L65" s="155">
        <f t="shared" si="28"/>
        <v>-20.527334060918744</v>
      </c>
      <c r="M65" s="155">
        <f t="shared" si="28"/>
        <v>-377.4318564217611</v>
      </c>
      <c r="N65" s="155">
        <f t="shared" si="28"/>
        <v>189.14916923076922</v>
      </c>
      <c r="O65" s="155">
        <f t="shared" si="28"/>
        <v>32.589221106708223</v>
      </c>
      <c r="P65" s="155">
        <f t="shared" si="28"/>
        <v>34.873737557880922</v>
      </c>
      <c r="Q65" s="155">
        <f t="shared" si="28"/>
        <v>182.11729071341111</v>
      </c>
      <c r="R65" s="155">
        <f t="shared" si="28"/>
        <v>67.484784688995219</v>
      </c>
      <c r="S65" s="155">
        <f t="shared" si="28"/>
        <v>31.79509301698571</v>
      </c>
      <c r="T65" s="155">
        <f t="shared" si="28"/>
        <v>14.25143111209915</v>
      </c>
      <c r="U65" s="155">
        <f t="shared" si="28"/>
        <v>119.27000559017785</v>
      </c>
      <c r="V65" s="155">
        <f t="shared" si="28"/>
        <v>56.168195598251899</v>
      </c>
      <c r="W65" s="155">
        <f t="shared" si="28"/>
        <v>31.366918593053924</v>
      </c>
      <c r="X65" s="155">
        <f t="shared" si="28"/>
        <v>12.255138087477427</v>
      </c>
      <c r="Y65" s="155">
        <f t="shared" si="28"/>
        <v>106.874005025222</v>
      </c>
      <c r="Z65" s="155">
        <f t="shared" si="28"/>
        <v>47.870769449008783</v>
      </c>
      <c r="AA65" s="155">
        <f t="shared" si="28"/>
        <v>29.382243000839136</v>
      </c>
      <c r="AB65" s="155">
        <f t="shared" si="28"/>
        <v>14.985324152093122</v>
      </c>
      <c r="AC65" s="155">
        <f t="shared" si="28"/>
        <v>230.77900069076676</v>
      </c>
      <c r="AD65" s="155">
        <f t="shared" si="28"/>
        <v>71.575608359576293</v>
      </c>
      <c r="AE65" s="155">
        <f t="shared" si="28"/>
        <v>37.718777239154036</v>
      </c>
      <c r="AF65" s="155">
        <f t="shared" si="28"/>
        <v>23.070582012655006</v>
      </c>
      <c r="AG65" s="155">
        <f t="shared" si="28"/>
        <v>-558.67484304277991</v>
      </c>
      <c r="AH65" s="155">
        <f t="shared" si="28"/>
        <v>233.34782608695653</v>
      </c>
      <c r="AI65" s="155">
        <f t="shared" si="28"/>
        <v>73.237380254154445</v>
      </c>
      <c r="AJ65" s="155">
        <f t="shared" si="28"/>
        <v>85.755185909980426</v>
      </c>
      <c r="AK65" s="155">
        <f t="shared" si="28"/>
        <v>-123.95079021333456</v>
      </c>
      <c r="AL65" s="155">
        <f t="shared" si="28"/>
        <v>136.78015921616657</v>
      </c>
      <c r="AM65" s="155">
        <f t="shared" si="28"/>
        <v>35.242196264766051</v>
      </c>
      <c r="AN65" s="155">
        <f t="shared" si="28"/>
        <v>83.547149122807014</v>
      </c>
      <c r="AO65" s="155">
        <f t="shared" si="28"/>
        <v>-1200.5795783381564</v>
      </c>
      <c r="AP65" s="155">
        <f t="shared" si="28"/>
        <v>112.72197661852834</v>
      </c>
      <c r="AQ65" s="155">
        <f t="shared" si="28"/>
        <v>34.13150315867707</v>
      </c>
      <c r="AR65" s="155">
        <f t="shared" si="28"/>
        <v>25.550040401708415</v>
      </c>
      <c r="AS65" s="155">
        <f t="shared" si="28"/>
        <v>156.73773903993757</v>
      </c>
      <c r="AT65" s="155">
        <f t="shared" si="28"/>
        <v>117.21146377393866</v>
      </c>
      <c r="AU65" s="155">
        <f t="shared" si="28"/>
        <v>38.914595633667446</v>
      </c>
      <c r="AV65" s="155">
        <f t="shared" si="28"/>
        <v>23.143329517995674</v>
      </c>
      <c r="AW65" s="155">
        <f t="shared" si="28"/>
        <v>170.58528619253696</v>
      </c>
      <c r="AX65" s="155">
        <f t="shared" si="28"/>
        <v>83.164739566127082</v>
      </c>
      <c r="AY65" s="155">
        <f t="shared" si="28"/>
        <v>38.460580912863072</v>
      </c>
      <c r="AZ65" s="155">
        <f t="shared" si="28"/>
        <v>17.712479121927942</v>
      </c>
      <c r="BA65" s="155">
        <f t="shared" si="28"/>
        <v>96.558119864668924</v>
      </c>
      <c r="BB65" s="155">
        <f t="shared" si="28"/>
        <v>54.320278666917716</v>
      </c>
      <c r="BC65" s="155">
        <f t="shared" si="28"/>
        <v>23.608332785700203</v>
      </c>
      <c r="BD65" s="155">
        <f t="shared" si="28"/>
        <v>11.406977528848101</v>
      </c>
      <c r="BE65" s="155">
        <f t="shared" si="28"/>
        <v>64.578176251913405</v>
      </c>
      <c r="BF65" s="155">
        <f t="shared" si="28"/>
        <v>36.553338584055311</v>
      </c>
      <c r="BG65" s="155">
        <f t="shared" si="28"/>
        <v>18.281890738956928</v>
      </c>
      <c r="BH65" s="155">
        <f t="shared" si="28"/>
        <v>8.3147050902235389</v>
      </c>
      <c r="BI65" s="155">
        <f t="shared" si="28"/>
        <v>39.892044367947982</v>
      </c>
      <c r="BJ65" s="155">
        <f t="shared" si="28"/>
        <v>23.739597315436242</v>
      </c>
      <c r="BK65" s="155">
        <f t="shared" si="28"/>
        <v>14.14255643463744</v>
      </c>
      <c r="BL65" s="155">
        <f t="shared" si="28"/>
        <v>7.2528435233923512</v>
      </c>
      <c r="BM65" s="155">
        <f t="shared" si="28"/>
        <v>27.794744287735242</v>
      </c>
      <c r="BN65" s="155">
        <f t="shared" si="28"/>
        <v>14.59056895884402</v>
      </c>
      <c r="BO65" s="155">
        <f t="shared" si="28"/>
        <v>10.287344550109729</v>
      </c>
      <c r="BP65" s="155">
        <f t="shared" si="28"/>
        <v>10.948036148766075</v>
      </c>
      <c r="BQ65" s="155">
        <f t="shared" si="28"/>
        <v>51.847870528109027</v>
      </c>
      <c r="BR65" s="155">
        <f t="shared" ref="BR65:CK65" si="29">BR63/(BR64+BV64)*2</f>
        <v>18.244452031410038</v>
      </c>
      <c r="BS65" s="155">
        <f t="shared" si="29"/>
        <v>50.324450677886865</v>
      </c>
      <c r="BT65" s="155" t="e">
        <f t="shared" si="29"/>
        <v>#DIV/0!</v>
      </c>
      <c r="BU65" s="155" t="e">
        <f t="shared" si="29"/>
        <v>#DIV/0!</v>
      </c>
      <c r="BV65" s="155" t="e">
        <f t="shared" si="29"/>
        <v>#DIV/0!</v>
      </c>
      <c r="BW65" s="155" t="e">
        <f t="shared" si="29"/>
        <v>#DIV/0!</v>
      </c>
      <c r="BX65" s="155" t="e">
        <f t="shared" si="29"/>
        <v>#DIV/0!</v>
      </c>
      <c r="BY65" s="155" t="e">
        <f t="shared" si="29"/>
        <v>#DIV/0!</v>
      </c>
      <c r="BZ65" s="155" t="e">
        <f t="shared" si="29"/>
        <v>#DIV/0!</v>
      </c>
      <c r="CA65" s="155" t="e">
        <f t="shared" si="29"/>
        <v>#DIV/0!</v>
      </c>
      <c r="CB65" s="155" t="e">
        <f t="shared" si="29"/>
        <v>#DIV/0!</v>
      </c>
      <c r="CC65" s="155" t="e">
        <f t="shared" si="29"/>
        <v>#DIV/0!</v>
      </c>
      <c r="CD65" s="155" t="e">
        <f t="shared" si="29"/>
        <v>#DIV/0!</v>
      </c>
      <c r="CE65" s="155" t="e">
        <f t="shared" si="29"/>
        <v>#DIV/0!</v>
      </c>
      <c r="CF65" s="155" t="e">
        <f t="shared" si="29"/>
        <v>#DIV/0!</v>
      </c>
      <c r="CG65" s="155" t="e">
        <f t="shared" si="29"/>
        <v>#DIV/0!</v>
      </c>
      <c r="CH65" s="155" t="e">
        <f t="shared" si="29"/>
        <v>#DIV/0!</v>
      </c>
      <c r="CI65" s="155" t="e">
        <f t="shared" si="29"/>
        <v>#DIV/0!</v>
      </c>
      <c r="CJ65" s="155" t="e">
        <f t="shared" si="29"/>
        <v>#DIV/0!</v>
      </c>
      <c r="CK65" s="155" t="e">
        <f t="shared" si="29"/>
        <v>#DIV/0!</v>
      </c>
    </row>
    <row r="66" spans="1:89" s="83" customFormat="1" x14ac:dyDescent="0.25">
      <c r="A66" s="148" t="s">
        <v>474</v>
      </c>
      <c r="E66" s="83">
        <f>E62/E65</f>
        <v>-5.2947735630094659</v>
      </c>
      <c r="F66" s="83">
        <f t="shared" ref="F66:BQ66" si="30">F62/F65</f>
        <v>-6.5282299543541233</v>
      </c>
      <c r="G66" s="83">
        <f t="shared" si="30"/>
        <v>-7.2654860842467688</v>
      </c>
      <c r="H66" s="83">
        <f t="shared" si="30"/>
        <v>-19.262992004259814</v>
      </c>
      <c r="I66" s="83">
        <f t="shared" si="30"/>
        <v>-5.4833806426085925</v>
      </c>
      <c r="J66" s="83">
        <f t="shared" si="30"/>
        <v>-5.0796989614683881</v>
      </c>
      <c r="K66" s="83">
        <f t="shared" si="30"/>
        <v>2.4522360728827821</v>
      </c>
      <c r="L66" s="83">
        <f t="shared" si="30"/>
        <v>-17.781169192102272</v>
      </c>
      <c r="M66" s="83">
        <f t="shared" si="30"/>
        <v>-0.96706198427546319</v>
      </c>
      <c r="N66" s="83">
        <f t="shared" si="30"/>
        <v>1.9296939102845652</v>
      </c>
      <c r="O66" s="83">
        <f t="shared" si="30"/>
        <v>11.200022203809828</v>
      </c>
      <c r="P66" s="83">
        <f t="shared" si="30"/>
        <v>10.466328692019296</v>
      </c>
      <c r="Q66" s="83">
        <f t="shared" si="30"/>
        <v>2.0042028879859752</v>
      </c>
      <c r="R66" s="83">
        <f t="shared" si="30"/>
        <v>5.4086265768218524</v>
      </c>
      <c r="S66" s="83">
        <f t="shared" si="30"/>
        <v>11.479758835899871</v>
      </c>
      <c r="T66" s="83">
        <f t="shared" si="30"/>
        <v>25.611462956174492</v>
      </c>
      <c r="U66" s="83">
        <f t="shared" si="30"/>
        <v>3.0602832471910153</v>
      </c>
      <c r="V66" s="83">
        <f t="shared" si="30"/>
        <v>6.4983394270076884</v>
      </c>
      <c r="W66" s="83">
        <f t="shared" si="30"/>
        <v>11.636463394298085</v>
      </c>
      <c r="X66" s="83">
        <f t="shared" si="30"/>
        <v>29.783426134787099</v>
      </c>
      <c r="Y66" s="83">
        <f t="shared" si="30"/>
        <v>3.4152364732084375</v>
      </c>
      <c r="Z66" s="83">
        <f t="shared" si="30"/>
        <v>7.6246946560738378</v>
      </c>
      <c r="AA66" s="83">
        <f t="shared" si="30"/>
        <v>12.42246890373808</v>
      </c>
      <c r="AB66" s="83">
        <f t="shared" si="30"/>
        <v>24.357164135753276</v>
      </c>
      <c r="AC66" s="83">
        <f t="shared" si="30"/>
        <v>1.5815997075448089</v>
      </c>
      <c r="AD66" s="83">
        <f t="shared" si="30"/>
        <v>5.0995025870592645</v>
      </c>
      <c r="AE66" s="83">
        <f t="shared" si="30"/>
        <v>9.6768778501417376</v>
      </c>
      <c r="AF66" s="83">
        <f t="shared" si="30"/>
        <v>15.821013956205569</v>
      </c>
      <c r="AG66" s="83">
        <f t="shared" si="30"/>
        <v>-0.65333172693449981</v>
      </c>
      <c r="AH66" s="83">
        <f t="shared" si="30"/>
        <v>1.5641885597167877</v>
      </c>
      <c r="AI66" s="83">
        <f t="shared" si="30"/>
        <v>4.9837937776221191</v>
      </c>
      <c r="AJ66" s="83">
        <f t="shared" si="30"/>
        <v>4.2563023580072521</v>
      </c>
      <c r="AK66" s="83">
        <f t="shared" si="30"/>
        <v>-2.9447170072235127</v>
      </c>
      <c r="AL66" s="83">
        <f t="shared" si="30"/>
        <v>2.6685156830615773</v>
      </c>
      <c r="AM66" s="83">
        <f t="shared" si="30"/>
        <v>10.356902766724405</v>
      </c>
      <c r="AN66" s="83">
        <f t="shared" si="30"/>
        <v>4.3687906030579438</v>
      </c>
      <c r="AO66" s="83">
        <f t="shared" si="30"/>
        <v>-0.30401983057652321</v>
      </c>
      <c r="AP66" s="83">
        <f t="shared" si="30"/>
        <v>3.2380553548597391</v>
      </c>
      <c r="AQ66" s="83">
        <f t="shared" si="30"/>
        <v>10.69393276654468</v>
      </c>
      <c r="AR66" s="83">
        <f t="shared" si="30"/>
        <v>14.285691696033252</v>
      </c>
      <c r="AS66" s="83">
        <f t="shared" si="30"/>
        <v>2.3287307972906013</v>
      </c>
      <c r="AT66" s="83">
        <f t="shared" si="30"/>
        <v>3.114029875985183</v>
      </c>
      <c r="AU66" s="83">
        <f t="shared" si="30"/>
        <v>9.3795141400419872</v>
      </c>
      <c r="AV66" s="83">
        <f t="shared" si="30"/>
        <v>15.771283026333144</v>
      </c>
      <c r="AW66" s="83">
        <f t="shared" si="30"/>
        <v>2.1396921630628225</v>
      </c>
      <c r="AX66" s="83">
        <f t="shared" si="30"/>
        <v>4.388879252243389</v>
      </c>
      <c r="AY66" s="83">
        <f t="shared" si="30"/>
        <v>9.4902362714424413</v>
      </c>
      <c r="AZ66" s="83">
        <f t="shared" si="30"/>
        <v>20.606940309565825</v>
      </c>
      <c r="BA66" s="83">
        <f t="shared" si="30"/>
        <v>3.780106743084537</v>
      </c>
      <c r="BB66" s="83">
        <f t="shared" si="30"/>
        <v>6.7194058822509923</v>
      </c>
      <c r="BC66" s="83">
        <f t="shared" si="30"/>
        <v>15.460642787155392</v>
      </c>
      <c r="BD66" s="83">
        <f t="shared" si="30"/>
        <v>31.997959062943682</v>
      </c>
      <c r="BE66" s="83">
        <f t="shared" si="30"/>
        <v>5.6520642295033117</v>
      </c>
      <c r="BF66" s="83">
        <f t="shared" si="30"/>
        <v>9.9854080130238554</v>
      </c>
      <c r="BG66" s="83">
        <f t="shared" si="30"/>
        <v>19.965112209221367</v>
      </c>
      <c r="BH66" s="83">
        <f t="shared" si="30"/>
        <v>43.898129403190545</v>
      </c>
      <c r="BI66" s="83">
        <f t="shared" si="30"/>
        <v>9.1496940250388921</v>
      </c>
      <c r="BJ66" s="83">
        <f t="shared" si="30"/>
        <v>15.375155490218251</v>
      </c>
      <c r="BK66" s="83">
        <f t="shared" si="30"/>
        <v>25.808629556255838</v>
      </c>
      <c r="BL66" s="83">
        <f t="shared" si="30"/>
        <v>50.325089576629885</v>
      </c>
      <c r="BM66" s="83">
        <f t="shared" si="30"/>
        <v>13.131979061273844</v>
      </c>
      <c r="BN66" s="83">
        <f t="shared" si="30"/>
        <v>25.016159481481807</v>
      </c>
      <c r="BO66" s="83">
        <f t="shared" si="30"/>
        <v>35.480487527377193</v>
      </c>
      <c r="BP66" s="83">
        <f t="shared" si="30"/>
        <v>33.339312643860623</v>
      </c>
      <c r="BQ66" s="83">
        <f t="shared" si="30"/>
        <v>7.0398262509569669</v>
      </c>
      <c r="BR66" s="83">
        <f t="shared" ref="BR66:CJ66" si="31">BR62/BR65</f>
        <v>20.006081814439163</v>
      </c>
      <c r="BS66" s="83">
        <f t="shared" si="31"/>
        <v>7.2529356025417115</v>
      </c>
      <c r="BT66" s="83" t="e">
        <f t="shared" si="31"/>
        <v>#DIV/0!</v>
      </c>
      <c r="BU66" s="83" t="e">
        <f t="shared" si="31"/>
        <v>#DIV/0!</v>
      </c>
      <c r="BV66" s="83" t="e">
        <f t="shared" si="31"/>
        <v>#DIV/0!</v>
      </c>
      <c r="BW66" s="83" t="e">
        <f t="shared" si="31"/>
        <v>#DIV/0!</v>
      </c>
      <c r="BX66" s="83" t="e">
        <f t="shared" si="31"/>
        <v>#DIV/0!</v>
      </c>
      <c r="BY66" s="83" t="e">
        <f t="shared" si="31"/>
        <v>#DIV/0!</v>
      </c>
      <c r="BZ66" s="83" t="e">
        <f t="shared" si="31"/>
        <v>#DIV/0!</v>
      </c>
      <c r="CA66" s="83" t="e">
        <f t="shared" si="31"/>
        <v>#DIV/0!</v>
      </c>
      <c r="CB66" s="83" t="e">
        <f t="shared" si="31"/>
        <v>#DIV/0!</v>
      </c>
      <c r="CC66" s="83" t="e">
        <f t="shared" si="31"/>
        <v>#DIV/0!</v>
      </c>
      <c r="CD66" s="83" t="e">
        <f t="shared" si="31"/>
        <v>#DIV/0!</v>
      </c>
      <c r="CE66" s="83" t="e">
        <f t="shared" si="31"/>
        <v>#DIV/0!</v>
      </c>
      <c r="CF66" s="83" t="e">
        <f t="shared" si="31"/>
        <v>#DIV/0!</v>
      </c>
      <c r="CG66" s="83" t="e">
        <f t="shared" si="31"/>
        <v>#DIV/0!</v>
      </c>
      <c r="CH66" s="83" t="e">
        <f t="shared" si="31"/>
        <v>#DIV/0!</v>
      </c>
      <c r="CI66" s="83" t="e">
        <f t="shared" si="31"/>
        <v>#DIV/0!</v>
      </c>
      <c r="CJ66" s="83" t="e">
        <f t="shared" si="31"/>
        <v>#DIV/0!</v>
      </c>
    </row>
    <row r="67" spans="1:89" s="76" customFormat="1" x14ac:dyDescent="0.25">
      <c r="A67" s="147" t="s">
        <v>475</v>
      </c>
      <c r="E67" s="76">
        <f>股权价值增加表!E5</f>
        <v>1890398000000</v>
      </c>
      <c r="F67" s="76">
        <f>股权价值增加表!F5</f>
        <v>1405556000000</v>
      </c>
      <c r="G67" s="76">
        <f>股权价值增加表!G5</f>
        <v>942602000000</v>
      </c>
      <c r="H67" s="76">
        <f>股权价值增加表!H5</f>
        <v>466318000000</v>
      </c>
      <c r="I67" s="76">
        <f>股权价值增加表!I5</f>
        <v>1492165000000</v>
      </c>
      <c r="J67" s="76">
        <f>股权价值增加表!J5</f>
        <v>1042208000000</v>
      </c>
      <c r="K67" s="76">
        <f>股权价值增加表!K5</f>
        <v>665193000000</v>
      </c>
      <c r="L67" s="76">
        <f>股权价值增加表!L5</f>
        <v>313289000000</v>
      </c>
      <c r="M67" s="76">
        <f>股权价值增加表!M5</f>
        <v>1592771000000</v>
      </c>
      <c r="N67" s="76">
        <f>股权价值增加表!N5</f>
        <v>1217056000000</v>
      </c>
      <c r="O67" s="76">
        <f>股权价值增加表!O5</f>
        <v>819733000000</v>
      </c>
      <c r="P67" s="76">
        <f>股权价值增加表!P5</f>
        <v>385281000000</v>
      </c>
      <c r="Q67" s="76">
        <f>股权价值增加表!Q5</f>
        <v>2429017000000</v>
      </c>
      <c r="R67" s="76">
        <f>股权价值增加表!R5</f>
        <v>1803729000000</v>
      </c>
      <c r="S67" s="76">
        <f>股权价值增加表!S5</f>
        <v>1148049000000</v>
      </c>
      <c r="T67" s="76">
        <f>股权价值增加表!T5</f>
        <v>540340000000</v>
      </c>
      <c r="U67" s="76">
        <f>股权价值增加表!U5</f>
        <v>2457041000000</v>
      </c>
      <c r="V67" s="76">
        <f>股权价值增加表!V5</f>
        <v>1827437000000</v>
      </c>
      <c r="W67" s="76">
        <f>股权价值增加表!W5</f>
        <v>1213550000000</v>
      </c>
      <c r="X67" s="76">
        <f>股权价值增加表!X5</f>
        <v>590055000000</v>
      </c>
      <c r="Y67" s="76">
        <f>股权价值增加表!Y5</f>
        <v>2372235000000</v>
      </c>
      <c r="Z67" s="76">
        <f>股权价值增加表!Z5</f>
        <v>1724711000000</v>
      </c>
      <c r="AA67" s="76">
        <f>股权价值增加表!AA5</f>
        <v>1152431000000</v>
      </c>
      <c r="AB67" s="76">
        <f>股权价值增加表!AB5</f>
        <v>574798000000</v>
      </c>
      <c r="AC67" s="76">
        <f>股权价值增加表!AC5</f>
        <v>2093199000000</v>
      </c>
      <c r="AD67" s="76">
        <f>股权价值增加表!AD5</f>
        <v>1564326000000</v>
      </c>
      <c r="AE67" s="76">
        <f>股权价值增加表!AE5</f>
        <v>1029875000000</v>
      </c>
      <c r="AF67" s="76">
        <f>股权价值增加表!AF5</f>
        <v>487346000000</v>
      </c>
      <c r="AG67" s="76">
        <f>股权价值增加表!AG5</f>
        <v>1537131000000</v>
      </c>
      <c r="AH67" s="76">
        <f>股权价值增加表!AH5</f>
        <v>1161324000000</v>
      </c>
      <c r="AI67" s="76">
        <f>股权价值增加表!AI5</f>
        <v>767032000000</v>
      </c>
      <c r="AJ67" s="76">
        <f>股权价值增加表!AJ5</f>
        <v>358379000000</v>
      </c>
      <c r="AK67" s="76">
        <f>股权价值增加表!AK5</f>
        <v>1035815000000</v>
      </c>
      <c r="AL67" s="76">
        <f>股权价值增加表!AL5</f>
        <v>667113000000</v>
      </c>
      <c r="AM67" s="76">
        <f>股权价值增加表!AM5</f>
        <v>389325000000</v>
      </c>
      <c r="AN67" s="76">
        <f>股权价值增加表!AN5</f>
        <v>166444000000</v>
      </c>
      <c r="AO67" s="76">
        <f>股权价值增加表!AO5</f>
        <v>1326783000000</v>
      </c>
      <c r="AP67" s="76">
        <f>股权价值增加表!AP5</f>
        <v>1060029000000</v>
      </c>
      <c r="AQ67" s="76">
        <f>股权价值增加表!AQ5</f>
        <v>679678000000</v>
      </c>
      <c r="AR67" s="76">
        <f>股权价值增加表!AR5</f>
        <v>295510000000</v>
      </c>
      <c r="AS67" s="76">
        <f>股权价值增加表!AS5</f>
        <v>1012961000000</v>
      </c>
      <c r="AT67" s="76">
        <f>股权价值增加表!AT5</f>
        <v>727637000000</v>
      </c>
      <c r="AU67" s="76">
        <f>股权价值增加表!AU5</f>
        <v>465105000000</v>
      </c>
      <c r="AV67" s="76">
        <f>股权价值增加表!AV5</f>
        <v>228232000000</v>
      </c>
      <c r="AW67" s="76">
        <f>股权价值增加表!AW5</f>
        <v>880029000000</v>
      </c>
      <c r="AX67" s="76">
        <f>股权价值增加表!AX5</f>
        <v>639519000000</v>
      </c>
      <c r="AY67" s="76">
        <f>股权价值增加表!AY5</f>
        <v>409298000000</v>
      </c>
      <c r="AZ67" s="76">
        <f>股权价值增加表!AZ5</f>
        <v>191137000000</v>
      </c>
      <c r="BA67" s="76">
        <f>股权价值增加表!BA5</f>
        <v>668249000000</v>
      </c>
      <c r="BB67" s="76">
        <f>股权价值增加表!BB5</f>
        <v>479614000000</v>
      </c>
      <c r="BC67" s="76">
        <f>股权价值增加表!BC5</f>
        <v>293181000000</v>
      </c>
      <c r="BD67" s="76">
        <f>股权价值增加表!BD5</f>
        <v>136187000000</v>
      </c>
      <c r="BE67" s="76">
        <f>股权价值增加表!BE5</f>
        <v>459207000000</v>
      </c>
      <c r="BF67" s="76">
        <f>股权价值增加表!BF5</f>
        <v>323054000000</v>
      </c>
      <c r="BG67" s="76">
        <f>股权价值增加表!BG5</f>
        <v>206098000000</v>
      </c>
      <c r="BH67" s="76">
        <f>股权价值增加表!BH5</f>
        <v>94583000000</v>
      </c>
      <c r="BI67" s="76">
        <f>股权价值增加表!BI5</f>
        <v>323104000000</v>
      </c>
      <c r="BJ67" s="76">
        <f>股权价值增加表!BJ5</f>
        <v>234209000000</v>
      </c>
      <c r="BK67" s="76">
        <f>股权价值增加表!BK5</f>
        <v>152303000000</v>
      </c>
      <c r="BL67" s="76">
        <f>股权价值增加表!BL5</f>
        <v>76178000000</v>
      </c>
      <c r="BM67" s="76">
        <f>股权价值增加表!BM5</f>
        <v>251182000000</v>
      </c>
      <c r="BN67" s="76">
        <f>股权价值增加表!BN5</f>
        <v>175233000000</v>
      </c>
      <c r="BO67" s="76">
        <f>股权价值增加表!BO5</f>
        <v>109372000000</v>
      </c>
      <c r="BP67" s="76">
        <f>股权价值增加表!BP5</f>
        <v>51667000000</v>
      </c>
      <c r="BQ67" s="76">
        <f>股权价值增加表!BQ5</f>
        <v>236135000000</v>
      </c>
      <c r="BR67" s="76">
        <f>股权价值增加表!BR5</f>
        <v>124248000000</v>
      </c>
      <c r="BS67" s="76">
        <f>股权价值增加表!BS5</f>
        <v>249234000000</v>
      </c>
      <c r="BT67" s="76">
        <f>股权价值增加表!BT5</f>
        <v>175259000000</v>
      </c>
      <c r="BU67" s="76">
        <f>股权价值增加表!BU5</f>
        <v>146753000000</v>
      </c>
      <c r="BV67" s="76">
        <f>股权价值增加表!BV5</f>
        <v>0</v>
      </c>
      <c r="BW67" s="76">
        <f>股权价值增加表!BW5</f>
        <v>0</v>
      </c>
      <c r="BX67" s="76">
        <f>股权价值增加表!BX5</f>
        <v>0</v>
      </c>
      <c r="BY67" s="76">
        <f>股权价值增加表!BY5</f>
        <v>0</v>
      </c>
      <c r="BZ67" s="76">
        <f>股权价值增加表!BZ5</f>
        <v>0</v>
      </c>
      <c r="CA67" s="76">
        <f>股权价值增加表!CA5</f>
        <v>0</v>
      </c>
      <c r="CB67" s="76">
        <f>股权价值增加表!CB5</f>
        <v>0</v>
      </c>
      <c r="CC67" s="76">
        <f>股权价值增加表!CC5</f>
        <v>0</v>
      </c>
      <c r="CD67" s="76">
        <f>股权价值增加表!CD5</f>
        <v>0</v>
      </c>
      <c r="CE67" s="76">
        <f>股权价值增加表!CE5</f>
        <v>0</v>
      </c>
      <c r="CF67" s="76">
        <f>股权价值增加表!CF5</f>
        <v>0</v>
      </c>
      <c r="CG67" s="76">
        <f>股权价值增加表!CG5</f>
        <v>0</v>
      </c>
      <c r="CH67" s="76">
        <f>股权价值增加表!CH5</f>
        <v>0</v>
      </c>
      <c r="CI67" s="76">
        <f>股权价值增加表!CI5</f>
        <v>0</v>
      </c>
      <c r="CJ67" s="76">
        <f>股权价值增加表!CJ5</f>
        <v>0</v>
      </c>
      <c r="CK67" s="76">
        <f>股权价值增加表!CK5</f>
        <v>0</v>
      </c>
    </row>
    <row r="68" spans="1:89" s="76" customFormat="1" x14ac:dyDescent="0.25">
      <c r="A68" s="147" t="s">
        <v>476</v>
      </c>
      <c r="E68" s="76">
        <f>资产资本表!E26</f>
        <v>186693000000</v>
      </c>
      <c r="F68" s="76">
        <f>资产资本表!F26</f>
        <v>160871000000</v>
      </c>
      <c r="G68" s="76">
        <f>资产资本表!G26</f>
        <v>167058000000</v>
      </c>
      <c r="H68" s="76">
        <f>资产资本表!H26</f>
        <v>159934000000</v>
      </c>
      <c r="I68" s="76">
        <f>资产资本表!I26</f>
        <v>156511000000</v>
      </c>
      <c r="J68" s="76">
        <f>资产资本表!J26</f>
        <v>141790000000</v>
      </c>
      <c r="K68" s="76">
        <f>资产资本表!K26</f>
        <v>149443000000</v>
      </c>
      <c r="L68" s="76">
        <f>资产资本表!L26</f>
        <v>138540000000</v>
      </c>
      <c r="M68" s="76">
        <f>资产资本表!M26</f>
        <v>145498000000</v>
      </c>
      <c r="N68" s="76">
        <f>资产资本表!N26</f>
        <v>155084000000</v>
      </c>
      <c r="O68" s="76">
        <f>资产资本表!O26</f>
        <v>174829000000</v>
      </c>
      <c r="P68" s="76">
        <f>资产资本表!P26</f>
        <v>160332000000</v>
      </c>
      <c r="Q68" s="76">
        <f>资产资本表!Q26</f>
        <v>188223000000</v>
      </c>
      <c r="R68" s="76">
        <f>资产资本表!R26</f>
        <v>232087000000</v>
      </c>
      <c r="S68" s="76">
        <f>资产资本表!S26</f>
        <v>244275000000</v>
      </c>
      <c r="T68" s="76">
        <f>资产资本表!T26</f>
        <v>244094000000</v>
      </c>
      <c r="U68" s="76">
        <f>资产资本表!U26</f>
        <v>221906000000</v>
      </c>
      <c r="V68" s="76">
        <f>资产资本表!V26</f>
        <v>225104000000</v>
      </c>
      <c r="W68" s="76">
        <f>资产资本表!W26</f>
        <v>216028000000</v>
      </c>
      <c r="X68" s="76">
        <f>资产资本表!X26</f>
        <v>231400000000</v>
      </c>
      <c r="Y68" s="76">
        <f>资产资本表!Y26</f>
        <v>218262000000</v>
      </c>
      <c r="Z68" s="76">
        <f>资产资本表!Z26</f>
        <v>197799000000</v>
      </c>
      <c r="AA68" s="76">
        <f>资产资本表!AA26</f>
        <v>207230000000</v>
      </c>
      <c r="AB68" s="76">
        <f>资产资本表!AB26</f>
        <v>238502000000</v>
      </c>
      <c r="AC68" s="76">
        <f>资产资本表!AC26</f>
        <v>203417000000</v>
      </c>
      <c r="AD68" s="76">
        <f>资产资本表!AD26</f>
        <v>188807000000</v>
      </c>
      <c r="AE68" s="76">
        <f>资产资本表!AE26</f>
        <v>207962000000</v>
      </c>
      <c r="AF68" s="76">
        <f>资产资本表!AF26</f>
        <v>189463000000</v>
      </c>
      <c r="AG68" s="76">
        <f>资产资本表!AG26</f>
        <v>156546000000</v>
      </c>
      <c r="AH68" s="76">
        <f>资产资本表!AH26</f>
        <v>155148000000</v>
      </c>
      <c r="AI68" s="76">
        <f>资产资本表!AI26</f>
        <v>162542000000</v>
      </c>
      <c r="AJ68" s="76">
        <f>资产资本表!AJ26</f>
        <v>156485000000</v>
      </c>
      <c r="AK68" s="76">
        <f>资产资本表!AK26</f>
        <v>141611000000</v>
      </c>
      <c r="AL68" s="76">
        <f>资产资本表!AL26</f>
        <v>135940000000</v>
      </c>
      <c r="AM68" s="76">
        <f>资产资本表!AM26</f>
        <v>120305000000</v>
      </c>
      <c r="AN68" s="76">
        <f>资产资本表!AN26</f>
        <v>100164000000</v>
      </c>
      <c r="AO68" s="76">
        <f>资产资本表!AO26</f>
        <v>95255000000</v>
      </c>
      <c r="AP68" s="76">
        <f>资产资本表!AP26</f>
        <v>164975000000</v>
      </c>
      <c r="AQ68" s="76">
        <f>资产资本表!AQ26</f>
        <v>163488000000</v>
      </c>
      <c r="AR68" s="76">
        <f>资产资本表!AR26</f>
        <v>140686000000</v>
      </c>
      <c r="AS68" s="76">
        <f>资产资本表!AS26</f>
        <v>116049000000</v>
      </c>
      <c r="AT68" s="76">
        <f>资产资本表!AT26</f>
        <v>108992000000</v>
      </c>
      <c r="AU68" s="76">
        <f>资产资本表!AU26</f>
        <v>104198000000</v>
      </c>
      <c r="AV68" s="76">
        <f>资产资本表!AV26</f>
        <v>93460000000</v>
      </c>
      <c r="AW68" s="76">
        <f>资产资本表!AW26</f>
        <v>93041000000</v>
      </c>
      <c r="AX68" s="76">
        <f>资产资本表!AX26</f>
        <v>109414000000</v>
      </c>
      <c r="AY68" s="76">
        <f>资产资本表!AY26</f>
        <v>105496000000</v>
      </c>
      <c r="AZ68" s="76">
        <f>资产资本表!AZ26</f>
        <v>96946000000</v>
      </c>
      <c r="BA68" s="76">
        <f>资产资本表!BA26</f>
        <v>88936000000</v>
      </c>
      <c r="BB68" s="76">
        <f>资产资本表!BB26</f>
        <v>75283000000</v>
      </c>
      <c r="BC68" s="76">
        <f>资产资本表!BC26</f>
        <v>78467000000</v>
      </c>
      <c r="BD68" s="76">
        <f>资产资本表!BD26</f>
        <v>64416000000</v>
      </c>
      <c r="BE68" s="76">
        <f>资产资本表!BE26</f>
        <v>63918000000</v>
      </c>
      <c r="BF68" s="76">
        <f>资产资本表!BF26</f>
        <v>58287000000</v>
      </c>
      <c r="BG68" s="76">
        <f>资产资本表!BG26</f>
        <v>58990000000</v>
      </c>
      <c r="BH68" s="76">
        <f>资产资本表!BH26</f>
        <v>47671000000</v>
      </c>
      <c r="BI68" s="76">
        <f>资产资本表!BI26</f>
        <v>44915000000</v>
      </c>
      <c r="BJ68" s="76">
        <f>资产资本表!BJ26</f>
        <v>41275000000</v>
      </c>
      <c r="BK68" s="76">
        <f>资产资本表!BK26</f>
        <v>44803000000</v>
      </c>
      <c r="BL68" s="76">
        <f>资产资本表!BL26</f>
        <v>46165000000</v>
      </c>
      <c r="BM68" s="76">
        <f>资产资本表!BM26</f>
        <v>44932000000</v>
      </c>
      <c r="BN68" s="76">
        <f>资产资本表!BN26</f>
        <v>42450000000</v>
      </c>
      <c r="BO68" s="76">
        <f>资产资本表!BO26</f>
        <v>46874000000</v>
      </c>
      <c r="BP68" s="76">
        <f>资产资本表!BP26</f>
        <v>42826000000</v>
      </c>
      <c r="BQ68" s="76">
        <f>资产资本表!BQ26</f>
        <v>45448000000</v>
      </c>
      <c r="BR68" s="76">
        <f>资产资本表!BR26</f>
        <v>54444000000</v>
      </c>
      <c r="BS68" s="76">
        <f>资产资本表!BS26</f>
        <v>49761000000</v>
      </c>
      <c r="BT68" s="76">
        <f>资产资本表!BT26</f>
        <v>0</v>
      </c>
      <c r="BU68" s="76">
        <f>资产资本表!BU26</f>
        <v>0</v>
      </c>
      <c r="BV68" s="76">
        <f>资产资本表!BV26</f>
        <v>0</v>
      </c>
      <c r="BW68" s="76">
        <f>资产资本表!BW26</f>
        <v>0</v>
      </c>
      <c r="BX68" s="76">
        <f>资产资本表!BX26</f>
        <v>0</v>
      </c>
      <c r="BY68" s="76">
        <f>资产资本表!BY26</f>
        <v>0</v>
      </c>
      <c r="BZ68" s="76">
        <f>资产资本表!BZ26</f>
        <v>0</v>
      </c>
      <c r="CA68" s="76">
        <f>资产资本表!CA26</f>
        <v>0</v>
      </c>
      <c r="CB68" s="76">
        <f>资产资本表!CB26</f>
        <v>0</v>
      </c>
      <c r="CC68" s="76">
        <f>资产资本表!CC26</f>
        <v>0</v>
      </c>
      <c r="CD68" s="76">
        <f>资产资本表!CD26</f>
        <v>0</v>
      </c>
      <c r="CE68" s="76">
        <f>资产资本表!CE26</f>
        <v>0</v>
      </c>
      <c r="CF68" s="76">
        <f>资产资本表!CF26</f>
        <v>0</v>
      </c>
      <c r="CG68" s="76">
        <f>资产资本表!CG26</f>
        <v>0</v>
      </c>
      <c r="CH68" s="76">
        <f>资产资本表!CH26</f>
        <v>0</v>
      </c>
      <c r="CI68" s="76">
        <f>资产资本表!CI26</f>
        <v>0</v>
      </c>
      <c r="CJ68" s="76">
        <f>资产资本表!CJ26</f>
        <v>0</v>
      </c>
    </row>
    <row r="69" spans="1:89" s="155" customFormat="1" x14ac:dyDescent="0.25">
      <c r="A69" s="154" t="s">
        <v>477</v>
      </c>
      <c r="E69" s="155">
        <f>E67/(E68+I68)*2</f>
        <v>11.01617696763441</v>
      </c>
      <c r="F69" s="155">
        <f t="shared" ref="F69:BQ69" si="32">F67/(F68+J68)*2</f>
        <v>9.287988872038353</v>
      </c>
      <c r="G69" s="155">
        <f t="shared" si="32"/>
        <v>5.9563919229323128</v>
      </c>
      <c r="H69" s="155">
        <f t="shared" si="32"/>
        <v>3.124680876726281</v>
      </c>
      <c r="I69" s="155">
        <f t="shared" si="32"/>
        <v>9.8815929326609471</v>
      </c>
      <c r="J69" s="155">
        <f t="shared" si="32"/>
        <v>7.0212143872484623</v>
      </c>
      <c r="K69" s="155">
        <f t="shared" si="32"/>
        <v>4.1026853999111861</v>
      </c>
      <c r="L69" s="155">
        <f t="shared" si="32"/>
        <v>2.0964760834069436</v>
      </c>
      <c r="M69" s="155">
        <f t="shared" si="32"/>
        <v>9.5455245549426024</v>
      </c>
      <c r="N69" s="155">
        <f t="shared" si="32"/>
        <v>6.2869171503030961</v>
      </c>
      <c r="O69" s="155">
        <f t="shared" si="32"/>
        <v>3.9118357257387188</v>
      </c>
      <c r="P69" s="155">
        <f t="shared" si="32"/>
        <v>1.9053226053715637</v>
      </c>
      <c r="Q69" s="155">
        <f t="shared" si="32"/>
        <v>11.845136530213665</v>
      </c>
      <c r="R69" s="155">
        <f t="shared" si="32"/>
        <v>7.8904834084660456</v>
      </c>
      <c r="S69" s="155">
        <f t="shared" si="32"/>
        <v>4.9882316647947116</v>
      </c>
      <c r="T69" s="155">
        <f t="shared" si="32"/>
        <v>2.2727521272613322</v>
      </c>
      <c r="U69" s="155">
        <f t="shared" si="32"/>
        <v>11.164105523345631</v>
      </c>
      <c r="V69" s="155">
        <f t="shared" si="32"/>
        <v>8.6423458807338793</v>
      </c>
      <c r="W69" s="155">
        <f t="shared" si="32"/>
        <v>5.7343275260006896</v>
      </c>
      <c r="X69" s="155">
        <f t="shared" si="32"/>
        <v>2.5113959932070942</v>
      </c>
      <c r="Y69" s="155">
        <f t="shared" si="32"/>
        <v>11.251378418180654</v>
      </c>
      <c r="Z69" s="155">
        <f t="shared" si="32"/>
        <v>8.9223188465776531</v>
      </c>
      <c r="AA69" s="155">
        <f t="shared" si="32"/>
        <v>5.5513160176496656</v>
      </c>
      <c r="AB69" s="155">
        <f t="shared" si="32"/>
        <v>2.686191627820032</v>
      </c>
      <c r="AC69" s="155">
        <f t="shared" si="32"/>
        <v>11.63007864697205</v>
      </c>
      <c r="AD69" s="155">
        <f t="shared" si="32"/>
        <v>9.0961085025657429</v>
      </c>
      <c r="AE69" s="155">
        <f t="shared" si="32"/>
        <v>5.5593191976334939</v>
      </c>
      <c r="AF69" s="155">
        <f t="shared" si="32"/>
        <v>2.8174523338767674</v>
      </c>
      <c r="AG69" s="155">
        <f t="shared" si="32"/>
        <v>10.310883192412051</v>
      </c>
      <c r="AH69" s="155">
        <f t="shared" si="32"/>
        <v>7.97919529489364</v>
      </c>
      <c r="AI69" s="155">
        <f t="shared" si="32"/>
        <v>5.4236530703878776</v>
      </c>
      <c r="AJ69" s="155">
        <f t="shared" si="32"/>
        <v>2.7927558650140853</v>
      </c>
      <c r="AK69" s="155">
        <f t="shared" si="32"/>
        <v>8.7459998480153338</v>
      </c>
      <c r="AL69" s="155">
        <f t="shared" si="32"/>
        <v>4.4338966153232642</v>
      </c>
      <c r="AM69" s="155">
        <f t="shared" si="32"/>
        <v>2.7437251799727265</v>
      </c>
      <c r="AN69" s="155">
        <f t="shared" si="32"/>
        <v>1.382138260328005</v>
      </c>
      <c r="AO69" s="155">
        <f t="shared" si="32"/>
        <v>12.558049066747435</v>
      </c>
      <c r="AP69" s="155">
        <f t="shared" si="32"/>
        <v>7.7383699496654703</v>
      </c>
      <c r="AQ69" s="155">
        <f t="shared" si="32"/>
        <v>5.0781736811039799</v>
      </c>
      <c r="AR69" s="155">
        <f t="shared" si="32"/>
        <v>2.52415159772108</v>
      </c>
      <c r="AS69" s="155">
        <f t="shared" si="32"/>
        <v>9.6892343010187005</v>
      </c>
      <c r="AT69" s="155">
        <f t="shared" si="32"/>
        <v>6.6631594370118039</v>
      </c>
      <c r="AU69" s="155">
        <f t="shared" si="32"/>
        <v>4.4360353658187641</v>
      </c>
      <c r="AV69" s="155">
        <f t="shared" si="32"/>
        <v>2.3973194122033972</v>
      </c>
      <c r="AW69" s="155">
        <f t="shared" si="32"/>
        <v>9.6718706210125447</v>
      </c>
      <c r="AX69" s="155">
        <f t="shared" si="32"/>
        <v>6.9250610459292785</v>
      </c>
      <c r="AY69" s="155">
        <f t="shared" si="32"/>
        <v>4.4497860982915043</v>
      </c>
      <c r="AZ69" s="155">
        <f t="shared" si="32"/>
        <v>2.3690459959593957</v>
      </c>
      <c r="BA69" s="155">
        <f t="shared" si="32"/>
        <v>8.7436246352728748</v>
      </c>
      <c r="BB69" s="155">
        <f t="shared" si="32"/>
        <v>7.18146290334656</v>
      </c>
      <c r="BC69" s="155">
        <f t="shared" si="32"/>
        <v>4.2657849363801041</v>
      </c>
      <c r="BD69" s="155">
        <f t="shared" si="32"/>
        <v>2.430023107050773</v>
      </c>
      <c r="BE69" s="155">
        <f t="shared" si="32"/>
        <v>8.4387456010585034</v>
      </c>
      <c r="BF69" s="155">
        <f t="shared" si="32"/>
        <v>6.4895040276410683</v>
      </c>
      <c r="BG69" s="155">
        <f t="shared" si="32"/>
        <v>3.9713275461736339</v>
      </c>
      <c r="BH69" s="155">
        <f t="shared" si="32"/>
        <v>2.0159213947738608</v>
      </c>
      <c r="BI69" s="155">
        <f t="shared" si="32"/>
        <v>7.1923158257927362</v>
      </c>
      <c r="BJ69" s="155">
        <f t="shared" si="32"/>
        <v>5.5947208121827412</v>
      </c>
      <c r="BK69" s="155">
        <f t="shared" si="32"/>
        <v>3.3225999978184277</v>
      </c>
      <c r="BL69" s="155">
        <f t="shared" si="32"/>
        <v>1.7120382960074614</v>
      </c>
      <c r="BM69" s="155">
        <f t="shared" si="32"/>
        <v>5.558353618057092</v>
      </c>
      <c r="BN69" s="155">
        <f t="shared" si="32"/>
        <v>3.6170041488637068</v>
      </c>
      <c r="BO69" s="155">
        <f t="shared" si="32"/>
        <v>2.2636104930925649</v>
      </c>
      <c r="BP69" s="155">
        <f t="shared" si="32"/>
        <v>2.4128800261523375</v>
      </c>
      <c r="BQ69" s="155">
        <f t="shared" si="32"/>
        <v>10.391436366836825</v>
      </c>
      <c r="BR69" s="155">
        <f t="shared" ref="BR69:CJ69" si="33">BR67/(BR68+BV68)*2</f>
        <v>4.5642495040775843</v>
      </c>
      <c r="BS69" s="155">
        <f t="shared" si="33"/>
        <v>10.017242418761681</v>
      </c>
      <c r="BT69" s="155" t="e">
        <f t="shared" si="33"/>
        <v>#DIV/0!</v>
      </c>
      <c r="BU69" s="155" t="e">
        <f t="shared" si="33"/>
        <v>#DIV/0!</v>
      </c>
      <c r="BV69" s="155" t="e">
        <f t="shared" si="33"/>
        <v>#DIV/0!</v>
      </c>
      <c r="BW69" s="155" t="e">
        <f t="shared" si="33"/>
        <v>#DIV/0!</v>
      </c>
      <c r="BX69" s="155" t="e">
        <f t="shared" si="33"/>
        <v>#DIV/0!</v>
      </c>
      <c r="BY69" s="155" t="e">
        <f t="shared" si="33"/>
        <v>#DIV/0!</v>
      </c>
      <c r="BZ69" s="155" t="e">
        <f t="shared" si="33"/>
        <v>#DIV/0!</v>
      </c>
      <c r="CA69" s="155" t="e">
        <f t="shared" si="33"/>
        <v>#DIV/0!</v>
      </c>
      <c r="CB69" s="155" t="e">
        <f t="shared" si="33"/>
        <v>#DIV/0!</v>
      </c>
      <c r="CC69" s="155" t="e">
        <f t="shared" si="33"/>
        <v>#DIV/0!</v>
      </c>
      <c r="CD69" s="155" t="e">
        <f t="shared" si="33"/>
        <v>#DIV/0!</v>
      </c>
      <c r="CE69" s="155" t="e">
        <f t="shared" si="33"/>
        <v>#DIV/0!</v>
      </c>
      <c r="CF69" s="155" t="e">
        <f t="shared" si="33"/>
        <v>#DIV/0!</v>
      </c>
      <c r="CG69" s="155" t="e">
        <f t="shared" si="33"/>
        <v>#DIV/0!</v>
      </c>
      <c r="CH69" s="155" t="e">
        <f t="shared" si="33"/>
        <v>#DIV/0!</v>
      </c>
      <c r="CI69" s="155" t="e">
        <f t="shared" si="33"/>
        <v>#DIV/0!</v>
      </c>
      <c r="CJ69" s="155" t="e">
        <f t="shared" si="33"/>
        <v>#DIV/0!</v>
      </c>
    </row>
    <row r="70" spans="1:89" s="83" customFormat="1" x14ac:dyDescent="0.25">
      <c r="A70" s="148" t="s">
        <v>478</v>
      </c>
      <c r="E70" s="83">
        <f>E62/E69</f>
        <v>33.133091550033377</v>
      </c>
      <c r="F70" s="83">
        <f t="shared" ref="F70:BQ70" si="34">F62/F69</f>
        <v>39.298066032232086</v>
      </c>
      <c r="G70" s="83">
        <f t="shared" si="34"/>
        <v>61.27870776849614</v>
      </c>
      <c r="H70" s="83">
        <f t="shared" si="34"/>
        <v>116.81192876963789</v>
      </c>
      <c r="I70" s="83">
        <f t="shared" si="34"/>
        <v>36.937364500574667</v>
      </c>
      <c r="J70" s="83">
        <f t="shared" si="34"/>
        <v>51.985309074580123</v>
      </c>
      <c r="K70" s="83">
        <f t="shared" si="34"/>
        <v>88.96611960739213</v>
      </c>
      <c r="L70" s="83">
        <f t="shared" si="34"/>
        <v>174.10167608821246</v>
      </c>
      <c r="M70" s="83">
        <f t="shared" si="34"/>
        <v>38.237814789445558</v>
      </c>
      <c r="N70" s="83">
        <f t="shared" si="34"/>
        <v>58.057071737044147</v>
      </c>
      <c r="O70" s="83">
        <f t="shared" si="34"/>
        <v>93.306576653617697</v>
      </c>
      <c r="P70" s="83">
        <f t="shared" si="34"/>
        <v>191.56860836636116</v>
      </c>
      <c r="Q70" s="83">
        <f t="shared" si="34"/>
        <v>30.81433456414673</v>
      </c>
      <c r="R70" s="83">
        <f t="shared" si="34"/>
        <v>46.258255813373296</v>
      </c>
      <c r="S70" s="83">
        <f t="shared" si="34"/>
        <v>73.172223049713025</v>
      </c>
      <c r="T70" s="83">
        <f t="shared" si="34"/>
        <v>160.59824369841212</v>
      </c>
      <c r="U70" s="83">
        <f t="shared" si="34"/>
        <v>32.69406574819061</v>
      </c>
      <c r="V70" s="83">
        <f t="shared" si="34"/>
        <v>42.233903275461756</v>
      </c>
      <c r="W70" s="83">
        <f t="shared" si="34"/>
        <v>63.65175312100861</v>
      </c>
      <c r="X70" s="83">
        <f t="shared" si="34"/>
        <v>145.33749396242723</v>
      </c>
      <c r="Y70" s="83">
        <f t="shared" si="34"/>
        <v>32.440469641498417</v>
      </c>
      <c r="Z70" s="83">
        <f t="shared" si="34"/>
        <v>40.908647883616439</v>
      </c>
      <c r="AA70" s="83">
        <f t="shared" si="34"/>
        <v>65.75017506471103</v>
      </c>
      <c r="AB70" s="83">
        <f t="shared" si="34"/>
        <v>135.88010483682964</v>
      </c>
      <c r="AC70" s="83">
        <f t="shared" si="34"/>
        <v>31.384138584052447</v>
      </c>
      <c r="AD70" s="83">
        <f t="shared" si="34"/>
        <v>40.127049924376372</v>
      </c>
      <c r="AE70" s="83">
        <f t="shared" si="34"/>
        <v>65.655521301128772</v>
      </c>
      <c r="AF70" s="83">
        <f t="shared" si="34"/>
        <v>129.54966286785981</v>
      </c>
      <c r="AG70" s="83">
        <f t="shared" si="34"/>
        <v>35.399489373384576</v>
      </c>
      <c r="AH70" s="83">
        <f t="shared" si="34"/>
        <v>45.743961202902895</v>
      </c>
      <c r="AI70" s="83">
        <f t="shared" si="34"/>
        <v>67.297814823892608</v>
      </c>
      <c r="AJ70" s="83">
        <f t="shared" si="34"/>
        <v>130.69527650894725</v>
      </c>
      <c r="AK70" s="83">
        <f t="shared" si="34"/>
        <v>41.733364548688712</v>
      </c>
      <c r="AL70" s="83">
        <f t="shared" si="34"/>
        <v>82.320367763782144</v>
      </c>
      <c r="AM70" s="83">
        <f t="shared" si="34"/>
        <v>133.03081615616773</v>
      </c>
      <c r="AN70" s="83">
        <f t="shared" si="34"/>
        <v>264.08356564369996</v>
      </c>
      <c r="AO70" s="83">
        <f t="shared" si="34"/>
        <v>29.065024197626894</v>
      </c>
      <c r="AP70" s="83">
        <f t="shared" si="34"/>
        <v>47.167556264970109</v>
      </c>
      <c r="AQ70" s="83">
        <f t="shared" si="34"/>
        <v>71.876234040236696</v>
      </c>
      <c r="AR70" s="83">
        <f t="shared" si="34"/>
        <v>144.60304219823357</v>
      </c>
      <c r="AS70" s="83">
        <f t="shared" si="34"/>
        <v>37.670675376445885</v>
      </c>
      <c r="AT70" s="83">
        <f t="shared" si="34"/>
        <v>54.778818284391804</v>
      </c>
      <c r="AU70" s="83">
        <f t="shared" si="34"/>
        <v>82.280678556455001</v>
      </c>
      <c r="AV70" s="83">
        <f t="shared" si="34"/>
        <v>152.25338690455325</v>
      </c>
      <c r="AW70" s="83">
        <f t="shared" si="34"/>
        <v>37.738304646778687</v>
      </c>
      <c r="AX70" s="83">
        <f t="shared" si="34"/>
        <v>52.707116598568611</v>
      </c>
      <c r="AY70" s="83">
        <f t="shared" si="34"/>
        <v>82.026414739383043</v>
      </c>
      <c r="AZ70" s="83">
        <f t="shared" si="34"/>
        <v>154.07045731595662</v>
      </c>
      <c r="BA70" s="83">
        <f t="shared" si="34"/>
        <v>41.744701451105797</v>
      </c>
      <c r="BB70" s="83">
        <f t="shared" si="34"/>
        <v>50.825299094688646</v>
      </c>
      <c r="BC70" s="83">
        <f t="shared" si="34"/>
        <v>85.564557389462479</v>
      </c>
      <c r="BD70" s="83">
        <f t="shared" si="34"/>
        <v>150.2043330126958</v>
      </c>
      <c r="BE70" s="83">
        <f t="shared" si="34"/>
        <v>43.252873976224222</v>
      </c>
      <c r="BF70" s="83">
        <f t="shared" si="34"/>
        <v>56.244668074068109</v>
      </c>
      <c r="BG70" s="83">
        <f t="shared" si="34"/>
        <v>91.908812797795221</v>
      </c>
      <c r="BH70" s="83">
        <f t="shared" si="34"/>
        <v>181.05864690272037</v>
      </c>
      <c r="BI70" s="83">
        <f t="shared" si="34"/>
        <v>50.748605712092704</v>
      </c>
      <c r="BJ70" s="83">
        <f t="shared" si="34"/>
        <v>65.240074036437534</v>
      </c>
      <c r="BK70" s="83">
        <f t="shared" si="34"/>
        <v>109.85372907953224</v>
      </c>
      <c r="BL70" s="83">
        <f t="shared" si="34"/>
        <v>213.19616555961039</v>
      </c>
      <c r="BM70" s="83">
        <f t="shared" si="34"/>
        <v>65.666926770230347</v>
      </c>
      <c r="BN70" s="83">
        <f t="shared" si="34"/>
        <v>100.91224255705261</v>
      </c>
      <c r="BO70" s="83">
        <f t="shared" si="34"/>
        <v>161.24682276999596</v>
      </c>
      <c r="BP70" s="83">
        <f t="shared" si="34"/>
        <v>151.27150792575532</v>
      </c>
      <c r="BQ70" s="83">
        <f t="shared" si="34"/>
        <v>35.125076756939883</v>
      </c>
      <c r="BR70" s="83">
        <f t="shared" ref="BR70:CJ70" si="35">BR62/BR69</f>
        <v>79.969335522503386</v>
      </c>
      <c r="BS70" s="83">
        <f t="shared" si="35"/>
        <v>36.437173499602785</v>
      </c>
      <c r="BT70" s="83" t="e">
        <f t="shared" si="35"/>
        <v>#DIV/0!</v>
      </c>
      <c r="BU70" s="83" t="e">
        <f t="shared" si="35"/>
        <v>#DIV/0!</v>
      </c>
      <c r="BV70" s="83" t="e">
        <f t="shared" si="35"/>
        <v>#DIV/0!</v>
      </c>
      <c r="BW70" s="83" t="e">
        <f t="shared" si="35"/>
        <v>#DIV/0!</v>
      </c>
      <c r="BX70" s="83" t="e">
        <f t="shared" si="35"/>
        <v>#DIV/0!</v>
      </c>
      <c r="BY70" s="83" t="e">
        <f t="shared" si="35"/>
        <v>#DIV/0!</v>
      </c>
      <c r="BZ70" s="83" t="e">
        <f t="shared" si="35"/>
        <v>#DIV/0!</v>
      </c>
      <c r="CA70" s="83" t="e">
        <f t="shared" si="35"/>
        <v>#DIV/0!</v>
      </c>
      <c r="CB70" s="83" t="e">
        <f t="shared" si="35"/>
        <v>#DIV/0!</v>
      </c>
      <c r="CC70" s="83" t="e">
        <f t="shared" si="35"/>
        <v>#DIV/0!</v>
      </c>
      <c r="CD70" s="83" t="e">
        <f t="shared" si="35"/>
        <v>#DIV/0!</v>
      </c>
      <c r="CE70" s="83" t="e">
        <f t="shared" si="35"/>
        <v>#DIV/0!</v>
      </c>
      <c r="CF70" s="83" t="e">
        <f t="shared" si="35"/>
        <v>#DIV/0!</v>
      </c>
      <c r="CG70" s="83" t="e">
        <f t="shared" si="35"/>
        <v>#DIV/0!</v>
      </c>
      <c r="CH70" s="83" t="e">
        <f t="shared" si="35"/>
        <v>#DIV/0!</v>
      </c>
      <c r="CI70" s="83" t="e">
        <f t="shared" si="35"/>
        <v>#DIV/0!</v>
      </c>
      <c r="CJ70" s="83" t="e">
        <f t="shared" si="35"/>
        <v>#DIV/0!</v>
      </c>
    </row>
    <row r="71" spans="1:89" s="76" customFormat="1" x14ac:dyDescent="0.25">
      <c r="A71" s="147" t="s">
        <v>479</v>
      </c>
      <c r="E71" s="76">
        <f>资产资本表!E35+资产资本表!E36-资产资本表!E24</f>
        <v>201634000000</v>
      </c>
      <c r="F71" s="76">
        <f>资产资本表!F35+资产资本表!F36-资产资本表!F24</f>
        <v>156838000000</v>
      </c>
      <c r="G71" s="76">
        <f>资产资本表!G35+资产资本表!G36-资产资本表!G24</f>
        <v>172124000000</v>
      </c>
      <c r="H71" s="76">
        <f>资产资本表!H35+资产资本表!H36-资产资本表!H24</f>
        <v>159282000000</v>
      </c>
      <c r="I71" s="76">
        <f>资产资本表!I35+资产资本表!I36-资产资本表!I24</f>
        <v>176380000000</v>
      </c>
      <c r="J71" s="76">
        <f>资产资本表!J35+资产资本表!J36-资产资本表!J24</f>
        <v>140062000000</v>
      </c>
      <c r="K71" s="76">
        <f>资产资本表!K35+资产资本表!K36-资产资本表!K24</f>
        <v>151839000000</v>
      </c>
      <c r="L71" s="76">
        <f>资产资本表!L35+资产资本表!L36-资产资本表!L24</f>
        <v>118665000000</v>
      </c>
      <c r="M71" s="76">
        <f>资产资本表!M35+资产资本表!M36-资产资本表!M24</f>
        <v>131093000000</v>
      </c>
      <c r="N71" s="76">
        <f>资产资本表!N35+资产资本表!N36-资产资本表!N24</f>
        <v>127229000000</v>
      </c>
      <c r="O71" s="76">
        <f>资产资本表!O35+资产资本表!O36-资产资本表!O24</f>
        <v>163076000000</v>
      </c>
      <c r="P71" s="76">
        <f>资产资本表!P35+资产资本表!P36-资产资本表!P24</f>
        <v>130950000000</v>
      </c>
      <c r="Q71" s="76">
        <f>资产资本表!Q35+资产资本表!Q36-资产资本表!Q24</f>
        <v>199163000000</v>
      </c>
      <c r="R71" s="76">
        <f>资产资本表!R35+资产资本表!R36-资产资本表!R24</f>
        <v>204908000000</v>
      </c>
      <c r="S71" s="76">
        <f>资产资本表!S35+资产资本表!S36-资产资本表!S24</f>
        <v>219105000000</v>
      </c>
      <c r="T71" s="76">
        <f>资产资本表!T35+资产资本表!T36-资产资本表!T24</f>
        <v>208200000000</v>
      </c>
      <c r="U71" s="76">
        <f>资产资本表!U35+资产资本表!U36-资产资本表!U24</f>
        <v>203034000000</v>
      </c>
      <c r="V71" s="76">
        <f>资产资本表!V35+资产资本表!V36-资产资本表!V24</f>
        <v>182137000000</v>
      </c>
      <c r="W71" s="76">
        <f>资产资本表!W35+资产资本表!W36-资产资本表!W24</f>
        <v>188209000000</v>
      </c>
      <c r="X71" s="76">
        <f>资产资本表!X35+资产资本表!X36-资产资本表!X24</f>
        <v>209184000000</v>
      </c>
      <c r="Y71" s="76">
        <f>资产资本表!Y35+资产资本表!Y36-资产资本表!Y24</f>
        <v>217914000000</v>
      </c>
      <c r="Z71" s="76">
        <f>资产资本表!Z35+资产资本表!Z36-资产资本表!Z24</f>
        <v>187482000000</v>
      </c>
      <c r="AA71" s="76">
        <f>资产资本表!AA35+资产资本表!AA36-资产资本表!AA24</f>
        <v>170471000000</v>
      </c>
      <c r="AB71" s="76">
        <f>资产资本表!AB35+资产资本表!AB36-资产资本表!AB24</f>
        <v>184311000000</v>
      </c>
      <c r="AC71" s="76">
        <f>资产资本表!AC35+资产资本表!AC36-资产资本表!AC24</f>
        <v>178839000000</v>
      </c>
      <c r="AD71" s="76">
        <f>资产资本表!AD35+资产资本表!AD36-资产资本表!AD24</f>
        <v>159439000000</v>
      </c>
      <c r="AE71" s="76">
        <f>资产资本表!AE35+资产资本表!AE36-资产资本表!AE24</f>
        <v>166464000000</v>
      </c>
      <c r="AF71" s="76">
        <f>资产资本表!AF35+资产资本表!AF36-资产资本表!AF24</f>
        <v>163651000000</v>
      </c>
      <c r="AG71" s="76">
        <f>资产资本表!AG35+资产资本表!AG36-资产资本表!AG24</f>
        <v>131099000000</v>
      </c>
      <c r="AH71" s="76">
        <f>资产资本表!AH35+资产资本表!AH36-资产资本表!AH24</f>
        <v>116767000000</v>
      </c>
      <c r="AI71" s="76">
        <f>资产资本表!AI35+资产资本表!AI36-资产资本表!AI24</f>
        <v>128928000000</v>
      </c>
      <c r="AJ71" s="76">
        <f>资产资本表!AJ35+资产资本表!AJ36-资产资本表!AJ24</f>
        <v>146100000000</v>
      </c>
      <c r="AK71" s="76">
        <f>资产资本表!AK35+资产资本表!AK36-资产资本表!AK24</f>
        <v>117246000000</v>
      </c>
      <c r="AL71" s="76">
        <f>资产资本表!AL35+资产资本表!AL36-资产资本表!AL24</f>
        <v>111802000000</v>
      </c>
      <c r="AM71" s="76">
        <f>资产资本表!AM35+资产资本表!AM36-资产资本表!AM24</f>
        <v>110070000000</v>
      </c>
      <c r="AN71" s="76">
        <f>资产资本表!AN35+资产资本表!AN36-资产资本表!AN24</f>
        <v>97630000000</v>
      </c>
      <c r="AO71" s="76">
        <f>资产资本表!AO35+资产资本表!AO36-资产资本表!AO24</f>
        <v>66563000000</v>
      </c>
      <c r="AP71" s="76">
        <f>资产资本表!AP35+资产资本表!AP36-资产资本表!AP24</f>
        <v>106383000000</v>
      </c>
      <c r="AQ71" s="76">
        <f>资产资本表!AQ35+资产资本表!AQ36-资产资本表!AQ24</f>
        <v>129826000000</v>
      </c>
      <c r="AR71" s="76">
        <f>资产资本表!AR35+资产资本表!AR36-资产资本表!AR24</f>
        <v>114734000000</v>
      </c>
      <c r="AS71" s="76">
        <f>资产资本表!AS35+资产资本表!AS36-资产资本表!AS24</f>
        <v>95809000000</v>
      </c>
      <c r="AT71" s="76">
        <f>资产资本表!AT35+资产资本表!AT36-资产资本表!AT24</f>
        <v>80083000000</v>
      </c>
      <c r="AU71" s="76">
        <f>资产资本表!AU35+资产资本表!AU36-资产资本表!AU24</f>
        <v>79638000000</v>
      </c>
      <c r="AV71" s="76">
        <f>资产资本表!AV35+资产资本表!AV36-资产资本表!AV24</f>
        <v>75717000000</v>
      </c>
      <c r="AW71" s="76">
        <f>资产资本表!AW35+资产资本表!AW36-资产资本表!AW24</f>
        <v>68418000000</v>
      </c>
      <c r="AX71" s="76">
        <f>资产资本表!AX35+资产资本表!AX36-资产资本表!AX24</f>
        <v>71247000000</v>
      </c>
      <c r="AY71" s="76">
        <f>资产资本表!AY35+资产资本表!AY36-资产资本表!AY24</f>
        <v>70521000000</v>
      </c>
      <c r="AZ71" s="76">
        <f>资产资本表!AZ35+资产资本表!AZ36-资产资本表!AZ24</f>
        <v>66756000000</v>
      </c>
      <c r="BA71" s="76">
        <f>资产资本表!BA35+资产资本表!BA36-资产资本表!BA24</f>
        <v>71159000000</v>
      </c>
      <c r="BB71" s="76">
        <f>资产资本表!BB35+资产资本表!BB36-资产资本表!BB24</f>
        <v>52212000000</v>
      </c>
      <c r="BC71" s="76">
        <f>资产资本表!BC35+资产资本表!BC36-资产资本表!BC24</f>
        <v>54804000000</v>
      </c>
      <c r="BD71" s="76">
        <f>资产资本表!BD35+资产资本表!BD36-资产资本表!BD24</f>
        <v>50147000000</v>
      </c>
      <c r="BE71" s="76">
        <f>资产资本表!BE35+资产资本表!BE36-资产资本表!BE24</f>
        <v>49761000000</v>
      </c>
      <c r="BF71" s="76">
        <f>资产资本表!BF35+资产资本表!BF36-资产资本表!BF24</f>
        <v>41296000000</v>
      </c>
      <c r="BG71" s="76">
        <f>资产资本表!BG35+资产资本表!BG36-资产资本表!BG24</f>
        <v>47560000000</v>
      </c>
      <c r="BH71" s="76">
        <f>资产资本表!BH35+资产资本表!BH36-资产资本表!BH24</f>
        <v>41977000000</v>
      </c>
      <c r="BI71" s="76">
        <f>资产资本表!BI35+资产资本表!BI36-资产资本表!BI24</f>
        <v>42758000000</v>
      </c>
      <c r="BJ71" s="76">
        <f>资产资本表!BJ35+资产资本表!BJ36-资产资本表!BJ24</f>
        <v>42688000000</v>
      </c>
      <c r="BK71" s="76">
        <f>资产资本表!BK35+资产资本表!BK36-资产资本表!BK24</f>
        <v>43691000000</v>
      </c>
      <c r="BL71" s="76">
        <f>资产资本表!BL35+资产资本表!BL36-资产资本表!BL24</f>
        <v>48469000000</v>
      </c>
      <c r="BM71" s="76">
        <f>资产资本表!BM35+资产资本表!BM36-资产资本表!BM24</f>
        <v>46158000000</v>
      </c>
      <c r="BN71" s="76">
        <f>资产资本表!BN35+资产资本表!BN36-资产资本表!BN24</f>
        <v>45404000000</v>
      </c>
      <c r="BO71" s="76">
        <f>资产资本表!BO35+资产资本表!BO36-资产资本表!BO24</f>
        <v>46960000000</v>
      </c>
      <c r="BP71" s="76">
        <f>资产资本表!BP35+资产资本表!BP36-资产资本表!BP24</f>
        <v>39633000000</v>
      </c>
      <c r="BQ71" s="76">
        <f>资产资本表!BQ35+资产资本表!BQ36-资产资本表!BQ24</f>
        <v>38794000000</v>
      </c>
      <c r="BR71" s="76">
        <f>资产资本表!BR35+资产资本表!BR36-资产资本表!BR24</f>
        <v>25873000000</v>
      </c>
      <c r="BS71" s="76">
        <f>资产资本表!BS35+资产资本表!BS36-资产资本表!BS24</f>
        <v>25341000000</v>
      </c>
      <c r="BT71" s="76">
        <f>资产资本表!BT35+资产资本表!BT36-资产资本表!BT24</f>
        <v>0</v>
      </c>
      <c r="BU71" s="76">
        <f>资产资本表!BU35+资产资本表!BU36-资产资本表!BU24</f>
        <v>0</v>
      </c>
      <c r="BV71" s="76">
        <f>资产资本表!BV35+资产资本表!BV36-资产资本表!BV24</f>
        <v>0</v>
      </c>
      <c r="BW71" s="76">
        <f>资产资本表!BW35+资产资本表!BW36-资产资本表!BW24</f>
        <v>0</v>
      </c>
      <c r="BX71" s="76">
        <f>资产资本表!BX35+资产资本表!BX36-资产资本表!BX24</f>
        <v>0</v>
      </c>
      <c r="BY71" s="76">
        <f>资产资本表!BY35+资产资本表!BY36-资产资本表!BY24</f>
        <v>0</v>
      </c>
      <c r="BZ71" s="76">
        <f>资产资本表!BZ35+资产资本表!BZ36-资产资本表!BZ24</f>
        <v>0</v>
      </c>
      <c r="CA71" s="76">
        <f>资产资本表!CA35+资产资本表!CA36-资产资本表!CA24</f>
        <v>0</v>
      </c>
      <c r="CB71" s="76">
        <f>资产资本表!CB35+资产资本表!CB36-资产资本表!CB24</f>
        <v>0</v>
      </c>
      <c r="CC71" s="76">
        <f>资产资本表!CC35+资产资本表!CC36-资产资本表!CC24</f>
        <v>0</v>
      </c>
      <c r="CD71" s="76">
        <f>资产资本表!CD35+资产资本表!CD36-资产资本表!CD24</f>
        <v>0</v>
      </c>
      <c r="CE71" s="76">
        <f>资产资本表!CE35+资产资本表!CE36-资产资本表!CE24</f>
        <v>0</v>
      </c>
      <c r="CF71" s="76">
        <f>资产资本表!CF35+资产资本表!CF36-资产资本表!CF24</f>
        <v>0</v>
      </c>
      <c r="CG71" s="76">
        <f>资产资本表!CG35+资产资本表!CG36-资产资本表!CG24</f>
        <v>0</v>
      </c>
      <c r="CH71" s="76">
        <f>资产资本表!CH35+资产资本表!CH36-资产资本表!CH24</f>
        <v>0</v>
      </c>
      <c r="CI71" s="76">
        <f>资产资本表!CI35+资产资本表!CI36-资产资本表!CI24</f>
        <v>0</v>
      </c>
      <c r="CJ71" s="76">
        <f>资产资本表!CJ35+资产资本表!CJ36-资产资本表!CJ24</f>
        <v>0</v>
      </c>
      <c r="CK71" s="76">
        <f>资产资本表!CK35+资产资本表!CK36-资产资本表!CK24</f>
        <v>0</v>
      </c>
    </row>
    <row r="72" spans="1:89" s="155" customFormat="1" x14ac:dyDescent="0.25">
      <c r="A72" s="154" t="s">
        <v>480</v>
      </c>
      <c r="E72" s="155">
        <f>E67/(E71+I71)*2</f>
        <v>10.001735385461915</v>
      </c>
      <c r="F72" s="155">
        <f t="shared" ref="F72:BQ72" si="36">F67/(F71+J71)*2</f>
        <v>9.4682115190299765</v>
      </c>
      <c r="G72" s="155">
        <f t="shared" si="36"/>
        <v>5.8191954019440493</v>
      </c>
      <c r="H72" s="155">
        <f t="shared" si="36"/>
        <v>3.3554454626241692</v>
      </c>
      <c r="I72" s="155">
        <f t="shared" si="36"/>
        <v>9.7059904446894532</v>
      </c>
      <c r="J72" s="155">
        <f t="shared" si="36"/>
        <v>7.7983022249159157</v>
      </c>
      <c r="K72" s="155">
        <f t="shared" si="36"/>
        <v>4.2245875871266847</v>
      </c>
      <c r="L72" s="155">
        <f t="shared" si="36"/>
        <v>2.5101776736173709</v>
      </c>
      <c r="M72" s="155">
        <f t="shared" si="36"/>
        <v>9.6456748704035657</v>
      </c>
      <c r="N72" s="155">
        <f t="shared" si="36"/>
        <v>7.3286384835173441</v>
      </c>
      <c r="O72" s="155">
        <f t="shared" si="36"/>
        <v>4.2897632273713242</v>
      </c>
      <c r="P72" s="155">
        <f t="shared" si="36"/>
        <v>2.2720389208314904</v>
      </c>
      <c r="Q72" s="155">
        <f t="shared" si="36"/>
        <v>12.078742506781502</v>
      </c>
      <c r="R72" s="155">
        <f t="shared" si="36"/>
        <v>9.3205131186296164</v>
      </c>
      <c r="S72" s="155">
        <f t="shared" si="36"/>
        <v>5.6371693582837814</v>
      </c>
      <c r="T72" s="155">
        <f t="shared" si="36"/>
        <v>2.589174477220018</v>
      </c>
      <c r="U72" s="155">
        <f t="shared" si="36"/>
        <v>11.673845700656614</v>
      </c>
      <c r="V72" s="155">
        <f t="shared" si="36"/>
        <v>9.8882200319788751</v>
      </c>
      <c r="W72" s="155">
        <f t="shared" si="36"/>
        <v>6.7667558826809415</v>
      </c>
      <c r="X72" s="155">
        <f t="shared" si="36"/>
        <v>2.9990470018678765</v>
      </c>
      <c r="Y72" s="155">
        <f t="shared" si="36"/>
        <v>11.958246062411627</v>
      </c>
      <c r="Z72" s="155">
        <f t="shared" si="36"/>
        <v>9.9429610775940347</v>
      </c>
      <c r="AA72" s="155">
        <f t="shared" si="36"/>
        <v>6.8406725332779317</v>
      </c>
      <c r="AB72" s="155">
        <f t="shared" si="36"/>
        <v>3.3037975411108111</v>
      </c>
      <c r="AC72" s="155">
        <f t="shared" si="36"/>
        <v>13.507211119643284</v>
      </c>
      <c r="AD72" s="155">
        <f t="shared" si="36"/>
        <v>11.327241261956656</v>
      </c>
      <c r="AE72" s="155">
        <f t="shared" si="36"/>
        <v>6.9729376557252731</v>
      </c>
      <c r="AF72" s="155">
        <f t="shared" si="36"/>
        <v>3.1466952487643303</v>
      </c>
      <c r="AG72" s="155">
        <f t="shared" si="36"/>
        <v>12.378996959874367</v>
      </c>
      <c r="AH72" s="155">
        <f t="shared" si="36"/>
        <v>10.161692967987785</v>
      </c>
      <c r="AI72" s="155">
        <f t="shared" si="36"/>
        <v>6.4187315375024054</v>
      </c>
      <c r="AJ72" s="155">
        <f t="shared" si="36"/>
        <v>2.9407869363640096</v>
      </c>
      <c r="AK72" s="155">
        <f t="shared" si="36"/>
        <v>11.270558024906288</v>
      </c>
      <c r="AL72" s="155">
        <f t="shared" si="36"/>
        <v>6.1151133212640651</v>
      </c>
      <c r="AM72" s="155">
        <f t="shared" si="36"/>
        <v>3.2457815053189716</v>
      </c>
      <c r="AN72" s="155">
        <f t="shared" si="36"/>
        <v>1.5675349870976247</v>
      </c>
      <c r="AO72" s="155">
        <f t="shared" si="36"/>
        <v>16.342509792328727</v>
      </c>
      <c r="AP72" s="155">
        <f t="shared" si="36"/>
        <v>11.369675973099653</v>
      </c>
      <c r="AQ72" s="155">
        <f t="shared" si="36"/>
        <v>6.4896879654737809</v>
      </c>
      <c r="AR72" s="155">
        <f t="shared" si="36"/>
        <v>3.1032654068500558</v>
      </c>
      <c r="AS72" s="155">
        <f t="shared" si="36"/>
        <v>12.336107948144946</v>
      </c>
      <c r="AT72" s="155">
        <f t="shared" si="36"/>
        <v>9.6165598361197375</v>
      </c>
      <c r="AU72" s="155">
        <f t="shared" si="36"/>
        <v>6.1948334765148942</v>
      </c>
      <c r="AV72" s="155">
        <f t="shared" si="36"/>
        <v>3.2038631881128352</v>
      </c>
      <c r="AW72" s="155">
        <f t="shared" si="36"/>
        <v>12.609942898901682</v>
      </c>
      <c r="AX72" s="155">
        <f t="shared" si="36"/>
        <v>10.360022355599835</v>
      </c>
      <c r="AY72" s="155">
        <f t="shared" si="36"/>
        <v>6.5317853580690208</v>
      </c>
      <c r="AZ72" s="155">
        <f t="shared" si="36"/>
        <v>3.2700101793794856</v>
      </c>
      <c r="BA72" s="155">
        <f t="shared" si="36"/>
        <v>11.052745616936818</v>
      </c>
      <c r="BB72" s="155">
        <f t="shared" si="36"/>
        <v>10.258245283825984</v>
      </c>
      <c r="BC72" s="155">
        <f t="shared" si="36"/>
        <v>5.7282052284006095</v>
      </c>
      <c r="BD72" s="155">
        <f t="shared" si="36"/>
        <v>2.9566019712561329</v>
      </c>
      <c r="BE72" s="155">
        <f t="shared" si="36"/>
        <v>9.9267609896345608</v>
      </c>
      <c r="BF72" s="155">
        <f t="shared" si="36"/>
        <v>7.6932272813869309</v>
      </c>
      <c r="BG72" s="155">
        <f t="shared" si="36"/>
        <v>4.5171669351568751</v>
      </c>
      <c r="BH72" s="155">
        <f t="shared" si="36"/>
        <v>2.0914799991154944</v>
      </c>
      <c r="BI72" s="155">
        <f t="shared" si="36"/>
        <v>7.2676233748706647</v>
      </c>
      <c r="BJ72" s="155">
        <f t="shared" si="36"/>
        <v>5.3173727466739322</v>
      </c>
      <c r="BK72" s="155">
        <f t="shared" si="36"/>
        <v>3.3602056237658715</v>
      </c>
      <c r="BL72" s="155">
        <f t="shared" si="36"/>
        <v>1.7293137499716238</v>
      </c>
      <c r="BM72" s="155">
        <f t="shared" si="36"/>
        <v>5.913504096430926</v>
      </c>
      <c r="BN72" s="155">
        <f t="shared" si="36"/>
        <v>4.9169577844185364</v>
      </c>
      <c r="BO72" s="155">
        <f t="shared" si="36"/>
        <v>3.0254629949793226</v>
      </c>
      <c r="BP72" s="155">
        <f t="shared" si="36"/>
        <v>2.6072717180127674</v>
      </c>
      <c r="BQ72" s="155">
        <f t="shared" si="36"/>
        <v>12.173789761303293</v>
      </c>
      <c r="BR72" s="155">
        <f t="shared" ref="BR72:CJ72" si="37">BR67/(BR71+BV71)*2</f>
        <v>9.6044525180690297</v>
      </c>
      <c r="BS72" s="155">
        <f t="shared" si="37"/>
        <v>19.67041553214159</v>
      </c>
      <c r="BT72" s="155" t="e">
        <f t="shared" si="37"/>
        <v>#DIV/0!</v>
      </c>
      <c r="BU72" s="155" t="e">
        <f t="shared" si="37"/>
        <v>#DIV/0!</v>
      </c>
      <c r="BV72" s="155" t="e">
        <f t="shared" si="37"/>
        <v>#DIV/0!</v>
      </c>
      <c r="BW72" s="155" t="e">
        <f t="shared" si="37"/>
        <v>#DIV/0!</v>
      </c>
      <c r="BX72" s="155" t="e">
        <f t="shared" si="37"/>
        <v>#DIV/0!</v>
      </c>
      <c r="BY72" s="155" t="e">
        <f t="shared" si="37"/>
        <v>#DIV/0!</v>
      </c>
      <c r="BZ72" s="155" t="e">
        <f t="shared" si="37"/>
        <v>#DIV/0!</v>
      </c>
      <c r="CA72" s="155" t="e">
        <f t="shared" si="37"/>
        <v>#DIV/0!</v>
      </c>
      <c r="CB72" s="155" t="e">
        <f t="shared" si="37"/>
        <v>#DIV/0!</v>
      </c>
      <c r="CC72" s="155" t="e">
        <f t="shared" si="37"/>
        <v>#DIV/0!</v>
      </c>
      <c r="CD72" s="155" t="e">
        <f t="shared" si="37"/>
        <v>#DIV/0!</v>
      </c>
      <c r="CE72" s="155" t="e">
        <f t="shared" si="37"/>
        <v>#DIV/0!</v>
      </c>
      <c r="CF72" s="155" t="e">
        <f t="shared" si="37"/>
        <v>#DIV/0!</v>
      </c>
      <c r="CG72" s="155" t="e">
        <f t="shared" si="37"/>
        <v>#DIV/0!</v>
      </c>
      <c r="CH72" s="155" t="e">
        <f t="shared" si="37"/>
        <v>#DIV/0!</v>
      </c>
      <c r="CI72" s="155" t="e">
        <f t="shared" si="37"/>
        <v>#DIV/0!</v>
      </c>
      <c r="CJ72" s="155" t="e">
        <f t="shared" si="37"/>
        <v>#DIV/0!</v>
      </c>
    </row>
    <row r="73" spans="1:89" s="83" customFormat="1" x14ac:dyDescent="0.25">
      <c r="A73" s="148" t="s">
        <v>481</v>
      </c>
      <c r="E73" s="83">
        <f>E62/E72</f>
        <v>36.493666942093675</v>
      </c>
      <c r="F73" s="83">
        <f t="shared" ref="F73:BQ73" si="38">F62/F72</f>
        <v>38.55004709879934</v>
      </c>
      <c r="G73" s="83">
        <f t="shared" si="38"/>
        <v>62.723447966373932</v>
      </c>
      <c r="H73" s="83">
        <f t="shared" si="38"/>
        <v>108.77840336422786</v>
      </c>
      <c r="I73" s="83">
        <f t="shared" si="38"/>
        <v>37.605641802347591</v>
      </c>
      <c r="J73" s="83">
        <f t="shared" si="38"/>
        <v>46.805059546654796</v>
      </c>
      <c r="K73" s="83">
        <f t="shared" si="38"/>
        <v>86.39896616470709</v>
      </c>
      <c r="L73" s="83">
        <f t="shared" si="38"/>
        <v>145.40803379627116</v>
      </c>
      <c r="M73" s="83">
        <f t="shared" si="38"/>
        <v>37.84079443937641</v>
      </c>
      <c r="N73" s="83">
        <f t="shared" si="38"/>
        <v>49.804612523992319</v>
      </c>
      <c r="O73" s="83">
        <f t="shared" si="38"/>
        <v>85.086281142762331</v>
      </c>
      <c r="P73" s="83">
        <f t="shared" si="38"/>
        <v>160.64865643517331</v>
      </c>
      <c r="Q73" s="83">
        <f t="shared" si="38"/>
        <v>30.218377434163699</v>
      </c>
      <c r="R73" s="83">
        <f t="shared" si="38"/>
        <v>39.160934098193245</v>
      </c>
      <c r="S73" s="83">
        <f t="shared" si="38"/>
        <v>64.748808630990482</v>
      </c>
      <c r="T73" s="83">
        <f t="shared" si="38"/>
        <v>140.97157345375135</v>
      </c>
      <c r="U73" s="83">
        <f t="shared" si="38"/>
        <v>31.266474592813061</v>
      </c>
      <c r="V73" s="83">
        <f t="shared" si="38"/>
        <v>36.912609025646304</v>
      </c>
      <c r="W73" s="83">
        <f t="shared" si="38"/>
        <v>53.940175518108028</v>
      </c>
      <c r="X73" s="83">
        <f t="shared" si="38"/>
        <v>121.7053283168518</v>
      </c>
      <c r="Y73" s="83">
        <f t="shared" si="38"/>
        <v>30.522870836995491</v>
      </c>
      <c r="Z73" s="83">
        <f t="shared" si="38"/>
        <v>36.709386384153632</v>
      </c>
      <c r="AA73" s="83">
        <f t="shared" si="38"/>
        <v>53.357326816095714</v>
      </c>
      <c r="AB73" s="83">
        <f t="shared" si="38"/>
        <v>110.47892477009314</v>
      </c>
      <c r="AC73" s="83">
        <f t="shared" si="38"/>
        <v>27.0226027243468</v>
      </c>
      <c r="AD73" s="83">
        <f t="shared" si="38"/>
        <v>32.223203475490401</v>
      </c>
      <c r="AE73" s="83">
        <f t="shared" si="38"/>
        <v>52.345226362422629</v>
      </c>
      <c r="AF73" s="83">
        <f t="shared" si="38"/>
        <v>115.99470909784834</v>
      </c>
      <c r="AG73" s="83">
        <f t="shared" si="38"/>
        <v>29.485426095758918</v>
      </c>
      <c r="AH73" s="83">
        <f t="shared" si="38"/>
        <v>35.919211606752292</v>
      </c>
      <c r="AI73" s="83">
        <f t="shared" si="38"/>
        <v>56.86481789547242</v>
      </c>
      <c r="AJ73" s="83">
        <f t="shared" si="38"/>
        <v>124.11643818415699</v>
      </c>
      <c r="AK73" s="83">
        <f t="shared" si="38"/>
        <v>32.385264260509842</v>
      </c>
      <c r="AL73" s="83">
        <f t="shared" si="38"/>
        <v>59.688182511808343</v>
      </c>
      <c r="AM73" s="83">
        <f t="shared" si="38"/>
        <v>112.45365697039747</v>
      </c>
      <c r="AN73" s="83">
        <f t="shared" si="38"/>
        <v>232.84966715531951</v>
      </c>
      <c r="AO73" s="83">
        <f t="shared" si="38"/>
        <v>22.334390778296076</v>
      </c>
      <c r="AP73" s="83">
        <f t="shared" si="38"/>
        <v>32.102937749816277</v>
      </c>
      <c r="AQ73" s="83">
        <f t="shared" si="38"/>
        <v>56.243073926182689</v>
      </c>
      <c r="AR73" s="83">
        <f t="shared" si="38"/>
        <v>117.61804169063653</v>
      </c>
      <c r="AS73" s="83">
        <f t="shared" si="38"/>
        <v>29.587938232567691</v>
      </c>
      <c r="AT73" s="83">
        <f t="shared" si="38"/>
        <v>37.95536098356736</v>
      </c>
      <c r="AU73" s="83">
        <f t="shared" si="38"/>
        <v>58.920066436611087</v>
      </c>
      <c r="AV73" s="83">
        <f t="shared" si="38"/>
        <v>113.92496450979705</v>
      </c>
      <c r="AW73" s="83">
        <f t="shared" si="38"/>
        <v>28.945412594357684</v>
      </c>
      <c r="AX73" s="83">
        <f t="shared" si="38"/>
        <v>35.231584206255015</v>
      </c>
      <c r="AY73" s="83">
        <f t="shared" si="38"/>
        <v>55.880587005067213</v>
      </c>
      <c r="AZ73" s="83">
        <f t="shared" si="38"/>
        <v>111.62044763703521</v>
      </c>
      <c r="BA73" s="83">
        <f t="shared" si="38"/>
        <v>33.023468796810768</v>
      </c>
      <c r="BB73" s="83">
        <f t="shared" si="38"/>
        <v>35.581133995254511</v>
      </c>
      <c r="BC73" s="83">
        <f t="shared" si="38"/>
        <v>63.719784024203477</v>
      </c>
      <c r="BD73" s="83">
        <f t="shared" si="38"/>
        <v>123.45253218001719</v>
      </c>
      <c r="BE73" s="83">
        <f t="shared" si="38"/>
        <v>36.76929467538605</v>
      </c>
      <c r="BF73" s="83">
        <f t="shared" si="38"/>
        <v>47.44432819280987</v>
      </c>
      <c r="BG73" s="83">
        <f t="shared" si="38"/>
        <v>80.802858348940788</v>
      </c>
      <c r="BH73" s="83">
        <f t="shared" si="38"/>
        <v>174.51756658173244</v>
      </c>
      <c r="BI73" s="83">
        <f t="shared" si="38"/>
        <v>50.222745617510149</v>
      </c>
      <c r="BJ73" s="83">
        <f t="shared" si="38"/>
        <v>68.642921493196241</v>
      </c>
      <c r="BK73" s="83">
        <f t="shared" si="38"/>
        <v>108.62430483969455</v>
      </c>
      <c r="BL73" s="83">
        <f t="shared" si="38"/>
        <v>211.06638399537925</v>
      </c>
      <c r="BM73" s="83">
        <f t="shared" si="38"/>
        <v>61.723133027048114</v>
      </c>
      <c r="BN73" s="83">
        <f t="shared" si="38"/>
        <v>74.232892777045421</v>
      </c>
      <c r="BO73" s="83">
        <f t="shared" si="38"/>
        <v>120.64269191383535</v>
      </c>
      <c r="BP73" s="83">
        <f t="shared" si="38"/>
        <v>139.99308068980199</v>
      </c>
      <c r="BQ73" s="83">
        <f t="shared" si="38"/>
        <v>29.982446481885365</v>
      </c>
      <c r="BR73" s="83">
        <f t="shared" ref="BR73:CJ73" si="39">BR62/BR72</f>
        <v>38.003207295087243</v>
      </c>
      <c r="BS73" s="83">
        <f t="shared" si="39"/>
        <v>18.555784925010229</v>
      </c>
      <c r="BT73" s="83" t="e">
        <f t="shared" si="39"/>
        <v>#DIV/0!</v>
      </c>
      <c r="BU73" s="83" t="e">
        <f t="shared" si="39"/>
        <v>#DIV/0!</v>
      </c>
      <c r="BV73" s="83" t="e">
        <f t="shared" si="39"/>
        <v>#DIV/0!</v>
      </c>
      <c r="BW73" s="83" t="e">
        <f t="shared" si="39"/>
        <v>#DIV/0!</v>
      </c>
      <c r="BX73" s="83" t="e">
        <f t="shared" si="39"/>
        <v>#DIV/0!</v>
      </c>
      <c r="BY73" s="83" t="e">
        <f t="shared" si="39"/>
        <v>#DIV/0!</v>
      </c>
      <c r="BZ73" s="83" t="e">
        <f t="shared" si="39"/>
        <v>#DIV/0!</v>
      </c>
      <c r="CA73" s="83" t="e">
        <f t="shared" si="39"/>
        <v>#DIV/0!</v>
      </c>
      <c r="CB73" s="83" t="e">
        <f t="shared" si="39"/>
        <v>#DIV/0!</v>
      </c>
      <c r="CC73" s="83" t="e">
        <f t="shared" si="39"/>
        <v>#DIV/0!</v>
      </c>
      <c r="CD73" s="83" t="e">
        <f t="shared" si="39"/>
        <v>#DIV/0!</v>
      </c>
      <c r="CE73" s="83" t="e">
        <f t="shared" si="39"/>
        <v>#DIV/0!</v>
      </c>
      <c r="CF73" s="83" t="e">
        <f t="shared" si="39"/>
        <v>#DIV/0!</v>
      </c>
      <c r="CG73" s="83" t="e">
        <f t="shared" si="39"/>
        <v>#DIV/0!</v>
      </c>
      <c r="CH73" s="83" t="e">
        <f t="shared" si="39"/>
        <v>#DIV/0!</v>
      </c>
      <c r="CI73" s="83" t="e">
        <f t="shared" si="39"/>
        <v>#DIV/0!</v>
      </c>
      <c r="CJ73" s="83" t="e">
        <f t="shared" si="39"/>
        <v>#DIV/0!</v>
      </c>
    </row>
    <row r="74" spans="1:89" s="256" customFormat="1" x14ac:dyDescent="0.25">
      <c r="A74" s="255" t="s">
        <v>482</v>
      </c>
      <c r="E74" s="256">
        <f>E66+E70</f>
        <v>27.838317987023913</v>
      </c>
      <c r="F74" s="256">
        <f t="shared" ref="F74:BQ74" si="40">F66+F70</f>
        <v>32.769836077877962</v>
      </c>
      <c r="G74" s="256">
        <f t="shared" si="40"/>
        <v>54.013221684249373</v>
      </c>
      <c r="H74" s="256">
        <f t="shared" si="40"/>
        <v>97.548936765378073</v>
      </c>
      <c r="I74" s="256">
        <f t="shared" si="40"/>
        <v>31.453983857966072</v>
      </c>
      <c r="J74" s="256">
        <f t="shared" si="40"/>
        <v>46.905610113111734</v>
      </c>
      <c r="K74" s="256">
        <f t="shared" si="40"/>
        <v>91.418355680274914</v>
      </c>
      <c r="L74" s="256">
        <f t="shared" si="40"/>
        <v>156.32050689611017</v>
      </c>
      <c r="M74" s="256">
        <f t="shared" si="40"/>
        <v>37.270752805170098</v>
      </c>
      <c r="N74" s="256">
        <f t="shared" si="40"/>
        <v>59.98676564732871</v>
      </c>
      <c r="O74" s="256">
        <f t="shared" si="40"/>
        <v>104.50659885742752</v>
      </c>
      <c r="P74" s="256">
        <f t="shared" si="40"/>
        <v>202.03493705838045</v>
      </c>
      <c r="Q74" s="256">
        <f t="shared" si="40"/>
        <v>32.818537452132702</v>
      </c>
      <c r="R74" s="256">
        <f t="shared" si="40"/>
        <v>51.666882390195148</v>
      </c>
      <c r="S74" s="256">
        <f t="shared" si="40"/>
        <v>84.651981885612898</v>
      </c>
      <c r="T74" s="256">
        <f t="shared" si="40"/>
        <v>186.20970665458663</v>
      </c>
      <c r="U74" s="256">
        <f t="shared" si="40"/>
        <v>35.754348995381626</v>
      </c>
      <c r="V74" s="256">
        <f t="shared" si="40"/>
        <v>48.732242702469442</v>
      </c>
      <c r="W74" s="256">
        <f t="shared" si="40"/>
        <v>75.288216515306701</v>
      </c>
      <c r="X74" s="256">
        <f t="shared" si="40"/>
        <v>175.12092009721434</v>
      </c>
      <c r="Y74" s="256">
        <f t="shared" si="40"/>
        <v>35.855706114706855</v>
      </c>
      <c r="Z74" s="256">
        <f t="shared" si="40"/>
        <v>48.533342539690274</v>
      </c>
      <c r="AA74" s="256">
        <f t="shared" si="40"/>
        <v>78.172643968449108</v>
      </c>
      <c r="AB74" s="256">
        <f t="shared" si="40"/>
        <v>160.23726897258291</v>
      </c>
      <c r="AC74" s="256">
        <f t="shared" si="40"/>
        <v>32.965738291597255</v>
      </c>
      <c r="AD74" s="256">
        <f t="shared" si="40"/>
        <v>45.226552511435635</v>
      </c>
      <c r="AE74" s="256">
        <f t="shared" si="40"/>
        <v>75.332399151270508</v>
      </c>
      <c r="AF74" s="256">
        <f t="shared" si="40"/>
        <v>145.37067682406538</v>
      </c>
      <c r="AG74" s="256">
        <f t="shared" si="40"/>
        <v>34.746157646450072</v>
      </c>
      <c r="AH74" s="256">
        <f t="shared" si="40"/>
        <v>47.308149762619685</v>
      </c>
      <c r="AI74" s="256">
        <f t="shared" si="40"/>
        <v>72.281608601514733</v>
      </c>
      <c r="AJ74" s="256">
        <f t="shared" si="40"/>
        <v>134.95157886695449</v>
      </c>
      <c r="AK74" s="256">
        <f t="shared" si="40"/>
        <v>38.788647541465203</v>
      </c>
      <c r="AL74" s="256">
        <f t="shared" si="40"/>
        <v>84.988883446843715</v>
      </c>
      <c r="AM74" s="256">
        <f t="shared" si="40"/>
        <v>143.38771892289213</v>
      </c>
      <c r="AN74" s="256">
        <f t="shared" si="40"/>
        <v>268.45235624675792</v>
      </c>
      <c r="AO74" s="256">
        <f t="shared" si="40"/>
        <v>28.761004367050372</v>
      </c>
      <c r="AP74" s="256">
        <f t="shared" si="40"/>
        <v>50.405611619829848</v>
      </c>
      <c r="AQ74" s="256">
        <f t="shared" si="40"/>
        <v>82.570166806781373</v>
      </c>
      <c r="AR74" s="256">
        <f t="shared" si="40"/>
        <v>158.88873389426681</v>
      </c>
      <c r="AS74" s="256">
        <f t="shared" si="40"/>
        <v>39.999406173736489</v>
      </c>
      <c r="AT74" s="256">
        <f t="shared" si="40"/>
        <v>57.892848160376985</v>
      </c>
      <c r="AU74" s="256">
        <f t="shared" si="40"/>
        <v>91.660192696496992</v>
      </c>
      <c r="AV74" s="256">
        <f t="shared" si="40"/>
        <v>168.0246699308864</v>
      </c>
      <c r="AW74" s="256">
        <f t="shared" si="40"/>
        <v>39.877996809841513</v>
      </c>
      <c r="AX74" s="256">
        <f t="shared" si="40"/>
        <v>57.095995850812002</v>
      </c>
      <c r="AY74" s="256">
        <f t="shared" si="40"/>
        <v>91.516651010825484</v>
      </c>
      <c r="AZ74" s="256">
        <f t="shared" si="40"/>
        <v>174.67739762552245</v>
      </c>
      <c r="BA74" s="256">
        <f t="shared" si="40"/>
        <v>45.524808194190335</v>
      </c>
      <c r="BB74" s="256">
        <f t="shared" si="40"/>
        <v>57.544704976939641</v>
      </c>
      <c r="BC74" s="256">
        <f t="shared" si="40"/>
        <v>101.02520017661787</v>
      </c>
      <c r="BD74" s="256">
        <f t="shared" si="40"/>
        <v>182.20229207563949</v>
      </c>
      <c r="BE74" s="256">
        <f t="shared" si="40"/>
        <v>48.904938205727532</v>
      </c>
      <c r="BF74" s="256">
        <f t="shared" si="40"/>
        <v>66.230076087091959</v>
      </c>
      <c r="BG74" s="256">
        <f t="shared" si="40"/>
        <v>111.8739250070166</v>
      </c>
      <c r="BH74" s="256">
        <f t="shared" si="40"/>
        <v>224.95677630591092</v>
      </c>
      <c r="BI74" s="256">
        <f t="shared" si="40"/>
        <v>59.898299737131595</v>
      </c>
      <c r="BJ74" s="256">
        <f t="shared" si="40"/>
        <v>80.615229526655781</v>
      </c>
      <c r="BK74" s="256">
        <f t="shared" si="40"/>
        <v>135.66235863578808</v>
      </c>
      <c r="BL74" s="256">
        <f t="shared" si="40"/>
        <v>263.52125513624026</v>
      </c>
      <c r="BM74" s="256">
        <f t="shared" si="40"/>
        <v>78.798905831504186</v>
      </c>
      <c r="BN74" s="256">
        <f t="shared" si="40"/>
        <v>125.92840203853441</v>
      </c>
      <c r="BO74" s="256">
        <f t="shared" si="40"/>
        <v>196.72731029737315</v>
      </c>
      <c r="BP74" s="256">
        <f t="shared" si="40"/>
        <v>184.61082056961595</v>
      </c>
      <c r="BQ74" s="256">
        <f t="shared" si="40"/>
        <v>42.164903007896854</v>
      </c>
      <c r="BR74" s="256">
        <f t="shared" ref="BR74:CK74" si="41">BR66+BR70</f>
        <v>99.975417336942542</v>
      </c>
      <c r="BS74" s="256">
        <f t="shared" si="41"/>
        <v>43.690109102144497</v>
      </c>
      <c r="BT74" s="256" t="e">
        <f t="shared" si="41"/>
        <v>#DIV/0!</v>
      </c>
      <c r="BU74" s="256" t="e">
        <f t="shared" si="41"/>
        <v>#DIV/0!</v>
      </c>
      <c r="BV74" s="256" t="e">
        <f t="shared" si="41"/>
        <v>#DIV/0!</v>
      </c>
      <c r="BW74" s="256" t="e">
        <f t="shared" si="41"/>
        <v>#DIV/0!</v>
      </c>
      <c r="BX74" s="256" t="e">
        <f t="shared" si="41"/>
        <v>#DIV/0!</v>
      </c>
      <c r="BY74" s="256" t="e">
        <f t="shared" si="41"/>
        <v>#DIV/0!</v>
      </c>
      <c r="BZ74" s="256" t="e">
        <f t="shared" si="41"/>
        <v>#DIV/0!</v>
      </c>
      <c r="CA74" s="256" t="e">
        <f t="shared" si="41"/>
        <v>#DIV/0!</v>
      </c>
      <c r="CB74" s="256" t="e">
        <f t="shared" si="41"/>
        <v>#DIV/0!</v>
      </c>
      <c r="CC74" s="256" t="e">
        <f t="shared" si="41"/>
        <v>#DIV/0!</v>
      </c>
      <c r="CD74" s="256" t="e">
        <f t="shared" si="41"/>
        <v>#DIV/0!</v>
      </c>
      <c r="CE74" s="256" t="e">
        <f t="shared" si="41"/>
        <v>#DIV/0!</v>
      </c>
      <c r="CF74" s="256" t="e">
        <f t="shared" si="41"/>
        <v>#DIV/0!</v>
      </c>
      <c r="CG74" s="256" t="e">
        <f t="shared" si="41"/>
        <v>#DIV/0!</v>
      </c>
      <c r="CH74" s="256" t="e">
        <f t="shared" si="41"/>
        <v>#DIV/0!</v>
      </c>
      <c r="CI74" s="256" t="e">
        <f t="shared" si="41"/>
        <v>#DIV/0!</v>
      </c>
      <c r="CJ74" s="256" t="e">
        <f t="shared" si="41"/>
        <v>#DIV/0!</v>
      </c>
      <c r="CK74" s="256">
        <f t="shared" si="41"/>
        <v>0</v>
      </c>
    </row>
    <row r="75" spans="1:89" s="256" customFormat="1" x14ac:dyDescent="0.25">
      <c r="A75" s="255" t="s">
        <v>483</v>
      </c>
      <c r="E75" s="256">
        <f>E74-E73</f>
        <v>-8.655348955069762</v>
      </c>
      <c r="F75" s="256">
        <f t="shared" ref="F75:BQ75" si="42">F74-F73</f>
        <v>-5.780211020921378</v>
      </c>
      <c r="G75" s="256">
        <f t="shared" si="42"/>
        <v>-8.7102262821245588</v>
      </c>
      <c r="H75" s="256">
        <f t="shared" si="42"/>
        <v>-11.229466598849783</v>
      </c>
      <c r="I75" s="256">
        <f t="shared" si="42"/>
        <v>-6.1516579443815189</v>
      </c>
      <c r="J75" s="256">
        <f t="shared" si="42"/>
        <v>0.10055056645693838</v>
      </c>
      <c r="K75" s="256">
        <f t="shared" si="42"/>
        <v>5.0193895155678234</v>
      </c>
      <c r="L75" s="256">
        <f t="shared" si="42"/>
        <v>10.912473099839019</v>
      </c>
      <c r="M75" s="256">
        <f t="shared" si="42"/>
        <v>-0.57004163420631215</v>
      </c>
      <c r="N75" s="256">
        <f t="shared" si="42"/>
        <v>10.182153123336391</v>
      </c>
      <c r="O75" s="256">
        <f t="shared" si="42"/>
        <v>19.420317714665188</v>
      </c>
      <c r="P75" s="256">
        <f t="shared" si="42"/>
        <v>41.386280623207142</v>
      </c>
      <c r="Q75" s="256">
        <f t="shared" si="42"/>
        <v>2.600160017969003</v>
      </c>
      <c r="R75" s="256">
        <f t="shared" si="42"/>
        <v>12.505948292001904</v>
      </c>
      <c r="S75" s="256">
        <f t="shared" si="42"/>
        <v>19.903173254622416</v>
      </c>
      <c r="T75" s="256">
        <f t="shared" si="42"/>
        <v>45.238133200835279</v>
      </c>
      <c r="U75" s="256">
        <f t="shared" si="42"/>
        <v>4.4878744025685648</v>
      </c>
      <c r="V75" s="256">
        <f t="shared" si="42"/>
        <v>11.819633676823138</v>
      </c>
      <c r="W75" s="256">
        <f t="shared" si="42"/>
        <v>21.348040997198673</v>
      </c>
      <c r="X75" s="256">
        <f t="shared" si="42"/>
        <v>53.415591780362533</v>
      </c>
      <c r="Y75" s="256">
        <f t="shared" si="42"/>
        <v>5.3328352777113643</v>
      </c>
      <c r="Z75" s="256">
        <f t="shared" si="42"/>
        <v>11.823956155536642</v>
      </c>
      <c r="AA75" s="256">
        <f t="shared" si="42"/>
        <v>24.815317152353394</v>
      </c>
      <c r="AB75" s="256">
        <f t="shared" si="42"/>
        <v>49.758344202489766</v>
      </c>
      <c r="AC75" s="256">
        <f t="shared" si="42"/>
        <v>5.9431355672504544</v>
      </c>
      <c r="AD75" s="256">
        <f t="shared" si="42"/>
        <v>13.003349035945234</v>
      </c>
      <c r="AE75" s="256">
        <f t="shared" si="42"/>
        <v>22.987172788847879</v>
      </c>
      <c r="AF75" s="256">
        <f t="shared" si="42"/>
        <v>29.375967726217041</v>
      </c>
      <c r="AG75" s="256">
        <f t="shared" si="42"/>
        <v>5.2607315506911547</v>
      </c>
      <c r="AH75" s="256">
        <f t="shared" si="42"/>
        <v>11.388938155867393</v>
      </c>
      <c r="AI75" s="256">
        <f t="shared" si="42"/>
        <v>15.416790706042313</v>
      </c>
      <c r="AJ75" s="256">
        <f t="shared" si="42"/>
        <v>10.835140682797501</v>
      </c>
      <c r="AK75" s="256">
        <f t="shared" si="42"/>
        <v>6.4033832809553601</v>
      </c>
      <c r="AL75" s="256">
        <f t="shared" si="42"/>
        <v>25.300700935035373</v>
      </c>
      <c r="AM75" s="256">
        <f t="shared" si="42"/>
        <v>30.934061952494659</v>
      </c>
      <c r="AN75" s="256">
        <f t="shared" si="42"/>
        <v>35.602689091438407</v>
      </c>
      <c r="AO75" s="256">
        <f t="shared" si="42"/>
        <v>6.4266135887542966</v>
      </c>
      <c r="AP75" s="256">
        <f t="shared" si="42"/>
        <v>18.302673870013571</v>
      </c>
      <c r="AQ75" s="256">
        <f t="shared" si="42"/>
        <v>26.327092880598684</v>
      </c>
      <c r="AR75" s="256">
        <f t="shared" si="42"/>
        <v>41.270692203630276</v>
      </c>
      <c r="AS75" s="256">
        <f t="shared" si="42"/>
        <v>10.411467941168798</v>
      </c>
      <c r="AT75" s="256">
        <f t="shared" si="42"/>
        <v>19.937487176809626</v>
      </c>
      <c r="AU75" s="256">
        <f t="shared" si="42"/>
        <v>32.740126259885905</v>
      </c>
      <c r="AV75" s="256">
        <f t="shared" si="42"/>
        <v>54.099705421089354</v>
      </c>
      <c r="AW75" s="256">
        <f t="shared" si="42"/>
        <v>10.932584215483828</v>
      </c>
      <c r="AX75" s="256">
        <f t="shared" si="42"/>
        <v>21.864411644556988</v>
      </c>
      <c r="AY75" s="256">
        <f t="shared" si="42"/>
        <v>35.636064005758271</v>
      </c>
      <c r="AZ75" s="256">
        <f t="shared" si="42"/>
        <v>63.056949988487233</v>
      </c>
      <c r="BA75" s="256">
        <f t="shared" si="42"/>
        <v>12.501339397379567</v>
      </c>
      <c r="BB75" s="256">
        <f t="shared" si="42"/>
        <v>21.96357098168513</v>
      </c>
      <c r="BC75" s="256">
        <f t="shared" si="42"/>
        <v>37.305416152414395</v>
      </c>
      <c r="BD75" s="256">
        <f t="shared" si="42"/>
        <v>58.749759895622304</v>
      </c>
      <c r="BE75" s="256">
        <f t="shared" si="42"/>
        <v>12.135643530341483</v>
      </c>
      <c r="BF75" s="256">
        <f t="shared" si="42"/>
        <v>18.785747894282089</v>
      </c>
      <c r="BG75" s="256">
        <f t="shared" si="42"/>
        <v>31.071066658075807</v>
      </c>
      <c r="BH75" s="256">
        <f t="shared" si="42"/>
        <v>50.439209724178482</v>
      </c>
      <c r="BI75" s="256">
        <f t="shared" si="42"/>
        <v>9.6755541196214452</v>
      </c>
      <c r="BJ75" s="256">
        <f t="shared" si="42"/>
        <v>11.972308033459541</v>
      </c>
      <c r="BK75" s="256">
        <f t="shared" si="42"/>
        <v>27.038053796093536</v>
      </c>
      <c r="BL75" s="256">
        <f t="shared" si="42"/>
        <v>52.454871140861002</v>
      </c>
      <c r="BM75" s="256">
        <f t="shared" si="42"/>
        <v>17.075772804456072</v>
      </c>
      <c r="BN75" s="256">
        <f t="shared" si="42"/>
        <v>51.695509261488994</v>
      </c>
      <c r="BO75" s="256">
        <f t="shared" si="42"/>
        <v>76.084618383537801</v>
      </c>
      <c r="BP75" s="256">
        <f t="shared" si="42"/>
        <v>44.617739879813968</v>
      </c>
      <c r="BQ75" s="256">
        <f t="shared" si="42"/>
        <v>12.182456526011489</v>
      </c>
      <c r="BR75" s="256">
        <f t="shared" ref="BR75:CJ75" si="43">BR74-BR73</f>
        <v>61.972210041855298</v>
      </c>
      <c r="BS75" s="256">
        <f t="shared" si="43"/>
        <v>25.134324177134268</v>
      </c>
      <c r="BT75" s="256" t="e">
        <f t="shared" si="43"/>
        <v>#DIV/0!</v>
      </c>
      <c r="BU75" s="256" t="e">
        <f t="shared" si="43"/>
        <v>#DIV/0!</v>
      </c>
      <c r="BV75" s="256" t="e">
        <f t="shared" si="43"/>
        <v>#DIV/0!</v>
      </c>
      <c r="BW75" s="256" t="e">
        <f t="shared" si="43"/>
        <v>#DIV/0!</v>
      </c>
      <c r="BX75" s="256" t="e">
        <f t="shared" si="43"/>
        <v>#DIV/0!</v>
      </c>
      <c r="BY75" s="256" t="e">
        <f t="shared" si="43"/>
        <v>#DIV/0!</v>
      </c>
      <c r="BZ75" s="256" t="e">
        <f t="shared" si="43"/>
        <v>#DIV/0!</v>
      </c>
      <c r="CA75" s="256" t="e">
        <f t="shared" si="43"/>
        <v>#DIV/0!</v>
      </c>
      <c r="CB75" s="256" t="e">
        <f t="shared" si="43"/>
        <v>#DIV/0!</v>
      </c>
      <c r="CC75" s="256" t="e">
        <f t="shared" si="43"/>
        <v>#DIV/0!</v>
      </c>
      <c r="CD75" s="256" t="e">
        <f t="shared" si="43"/>
        <v>#DIV/0!</v>
      </c>
      <c r="CE75" s="256" t="e">
        <f t="shared" si="43"/>
        <v>#DIV/0!</v>
      </c>
      <c r="CF75" s="256" t="e">
        <f t="shared" si="43"/>
        <v>#DIV/0!</v>
      </c>
      <c r="CG75" s="256" t="e">
        <f t="shared" si="43"/>
        <v>#DIV/0!</v>
      </c>
      <c r="CH75" s="256" t="e">
        <f t="shared" si="43"/>
        <v>#DIV/0!</v>
      </c>
      <c r="CI75" s="256" t="e">
        <f t="shared" si="43"/>
        <v>#DIV/0!</v>
      </c>
      <c r="CJ75" s="256" t="e">
        <f t="shared" si="43"/>
        <v>#DIV/0!</v>
      </c>
    </row>
    <row r="76" spans="1:89" s="120" customFormat="1" x14ac:dyDescent="0.25">
      <c r="A76" s="149" t="s">
        <v>484</v>
      </c>
      <c r="E76" s="120">
        <f>E71-E64-E68</f>
        <v>50974000000</v>
      </c>
      <c r="F76" s="120">
        <f t="shared" ref="F76:BQ76" si="44">F71-F64-F68</f>
        <v>35341000000</v>
      </c>
      <c r="G76" s="120">
        <f t="shared" si="44"/>
        <v>40726000000</v>
      </c>
      <c r="H76" s="120">
        <f t="shared" si="44"/>
        <v>24762000000</v>
      </c>
      <c r="I76" s="120">
        <f t="shared" si="44"/>
        <v>52311000000</v>
      </c>
      <c r="J76" s="120">
        <f t="shared" si="44"/>
        <v>21317000000</v>
      </c>
      <c r="K76" s="120">
        <f t="shared" si="44"/>
        <v>13149000000</v>
      </c>
      <c r="L76" s="120">
        <f t="shared" si="44"/>
        <v>16161000000</v>
      </c>
      <c r="M76" s="120">
        <f t="shared" si="44"/>
        <v>11169000000</v>
      </c>
      <c r="N76" s="120">
        <f t="shared" si="44"/>
        <v>-12936000000</v>
      </c>
      <c r="O76" s="120">
        <f t="shared" si="44"/>
        <v>-34320000000</v>
      </c>
      <c r="P76" s="120">
        <f t="shared" si="44"/>
        <v>-25102000000</v>
      </c>
      <c r="Q76" s="120">
        <f t="shared" si="44"/>
        <v>-3936000000</v>
      </c>
      <c r="R76" s="120">
        <f t="shared" si="44"/>
        <v>-58348000000</v>
      </c>
      <c r="S76" s="120">
        <f t="shared" si="44"/>
        <v>-66450000000</v>
      </c>
      <c r="T76" s="120">
        <f t="shared" si="44"/>
        <v>-67601000000</v>
      </c>
      <c r="U76" s="120">
        <f t="shared" si="44"/>
        <v>-35030000000</v>
      </c>
      <c r="V76" s="120">
        <f t="shared" si="44"/>
        <v>-74498000000</v>
      </c>
      <c r="W76" s="120">
        <f t="shared" si="44"/>
        <v>-71846000000</v>
      </c>
      <c r="X76" s="120">
        <f t="shared" si="44"/>
        <v>-80474000000</v>
      </c>
      <c r="Y76" s="120">
        <f t="shared" si="44"/>
        <v>-32489000000</v>
      </c>
      <c r="Z76" s="120">
        <f t="shared" si="44"/>
        <v>-54983000000</v>
      </c>
      <c r="AA76" s="120">
        <f t="shared" si="44"/>
        <v>-82970000000</v>
      </c>
      <c r="AB76" s="120">
        <f t="shared" si="44"/>
        <v>-109448000000</v>
      </c>
      <c r="AC76" s="120">
        <f t="shared" si="44"/>
        <v>-44574000000</v>
      </c>
      <c r="AD76" s="120">
        <f t="shared" si="44"/>
        <v>-69295000000</v>
      </c>
      <c r="AE76" s="120">
        <f t="shared" si="44"/>
        <v>-87048000000</v>
      </c>
      <c r="AF76" s="120">
        <f t="shared" si="44"/>
        <v>-60158000000</v>
      </c>
      <c r="AG76" s="120">
        <f t="shared" si="44"/>
        <v>-27166000000</v>
      </c>
      <c r="AH76" s="120">
        <f t="shared" si="44"/>
        <v>-50849000000</v>
      </c>
      <c r="AI76" s="120">
        <f t="shared" si="44"/>
        <v>-53457000000</v>
      </c>
      <c r="AJ76" s="120">
        <f t="shared" si="44"/>
        <v>-27086000000</v>
      </c>
      <c r="AK76" s="120">
        <f t="shared" si="44"/>
        <v>-15797000000</v>
      </c>
      <c r="AL76" s="120">
        <f t="shared" si="44"/>
        <v>-23906000000</v>
      </c>
      <c r="AM76" s="120">
        <f t="shared" si="44"/>
        <v>-15967000000</v>
      </c>
      <c r="AN76" s="120">
        <f t="shared" si="44"/>
        <v>3947000000</v>
      </c>
      <c r="AO76" s="120">
        <f t="shared" si="44"/>
        <v>-15557000000</v>
      </c>
      <c r="AP76" s="120">
        <f t="shared" si="44"/>
        <v>-71888000000</v>
      </c>
      <c r="AQ76" s="120">
        <f t="shared" si="44"/>
        <v>-58236000000</v>
      </c>
      <c r="AR76" s="120">
        <f t="shared" si="44"/>
        <v>-37905000000</v>
      </c>
      <c r="AS76" s="120">
        <f t="shared" si="44"/>
        <v>-30956000000</v>
      </c>
      <c r="AT76" s="120">
        <f t="shared" si="44"/>
        <v>-35971000000</v>
      </c>
      <c r="AU76" s="120">
        <f t="shared" si="44"/>
        <v>-43042000000</v>
      </c>
      <c r="AV76" s="120">
        <f t="shared" si="44"/>
        <v>-31779000000</v>
      </c>
      <c r="AW76" s="120">
        <f t="shared" si="44"/>
        <v>-29281000000</v>
      </c>
      <c r="AX76" s="120">
        <f t="shared" si="44"/>
        <v>-46039000000</v>
      </c>
      <c r="AY76" s="120">
        <f t="shared" si="44"/>
        <v>-45625000000</v>
      </c>
      <c r="AZ76" s="120">
        <f t="shared" si="44"/>
        <v>-39743000000</v>
      </c>
      <c r="BA76" s="120">
        <f t="shared" si="44"/>
        <v>-25366000000</v>
      </c>
      <c r="BB76" s="120">
        <f t="shared" si="44"/>
        <v>-33361000000</v>
      </c>
      <c r="BC76" s="120">
        <f t="shared" si="44"/>
        <v>-38077000000</v>
      </c>
      <c r="BD76" s="120">
        <f t="shared" si="44"/>
        <v>-29862000000</v>
      </c>
      <c r="BE76" s="120">
        <f t="shared" si="44"/>
        <v>-23120000000</v>
      </c>
      <c r="BF76" s="120">
        <f t="shared" si="44"/>
        <v>-27945000000</v>
      </c>
      <c r="BG76" s="120">
        <f t="shared" si="44"/>
        <v>-27450000000</v>
      </c>
      <c r="BH76" s="120">
        <f t="shared" si="44"/>
        <v>-19739000000</v>
      </c>
      <c r="BI76" s="120">
        <f t="shared" si="44"/>
        <v>-11486000000</v>
      </c>
      <c r="BJ76" s="120">
        <f t="shared" si="44"/>
        <v>-10487000000</v>
      </c>
      <c r="BK76" s="120">
        <f t="shared" si="44"/>
        <v>-14160000000</v>
      </c>
      <c r="BL76" s="120">
        <f t="shared" si="44"/>
        <v>-13355000000</v>
      </c>
      <c r="BM76" s="120">
        <f t="shared" si="44"/>
        <v>-10361000000</v>
      </c>
      <c r="BN76" s="120">
        <f t="shared" si="44"/>
        <v>-10476000000</v>
      </c>
      <c r="BO76" s="120">
        <f t="shared" si="44"/>
        <v>-14420000000</v>
      </c>
      <c r="BP76" s="120">
        <f t="shared" si="44"/>
        <v>-14701000000</v>
      </c>
      <c r="BQ76" s="120">
        <f t="shared" si="44"/>
        <v>-18394000000</v>
      </c>
      <c r="BR76" s="120">
        <f t="shared" ref="BR76:CJ76" si="45">BR71-BR64-BR68</f>
        <v>-46145000000</v>
      </c>
      <c r="BS76" s="120">
        <f t="shared" si="45"/>
        <v>-37254000000</v>
      </c>
      <c r="BT76" s="120">
        <f t="shared" si="45"/>
        <v>0</v>
      </c>
      <c r="BU76" s="120">
        <f t="shared" si="45"/>
        <v>0</v>
      </c>
      <c r="BV76" s="120">
        <f t="shared" si="45"/>
        <v>0</v>
      </c>
      <c r="BW76" s="120">
        <f t="shared" si="45"/>
        <v>0</v>
      </c>
      <c r="BX76" s="120">
        <f t="shared" si="45"/>
        <v>0</v>
      </c>
      <c r="BY76" s="120">
        <f t="shared" si="45"/>
        <v>0</v>
      </c>
      <c r="BZ76" s="120">
        <f t="shared" si="45"/>
        <v>0</v>
      </c>
      <c r="CA76" s="120">
        <f t="shared" si="45"/>
        <v>0</v>
      </c>
      <c r="CB76" s="120">
        <f t="shared" si="45"/>
        <v>0</v>
      </c>
      <c r="CC76" s="120">
        <f t="shared" si="45"/>
        <v>0</v>
      </c>
      <c r="CD76" s="120">
        <f t="shared" si="45"/>
        <v>0</v>
      </c>
      <c r="CE76" s="120">
        <f t="shared" si="45"/>
        <v>0</v>
      </c>
      <c r="CF76" s="120">
        <f t="shared" si="45"/>
        <v>0</v>
      </c>
      <c r="CG76" s="120">
        <f t="shared" si="45"/>
        <v>0</v>
      </c>
      <c r="CH76" s="120">
        <f t="shared" si="45"/>
        <v>0</v>
      </c>
      <c r="CI76" s="120">
        <f t="shared" si="45"/>
        <v>0</v>
      </c>
      <c r="CJ76" s="120">
        <f t="shared" si="45"/>
        <v>0</v>
      </c>
    </row>
    <row r="77" spans="1:89" s="16" customFormat="1" ht="262.2" customHeight="1" x14ac:dyDescent="0.25">
      <c r="A77" s="278" t="s">
        <v>691</v>
      </c>
      <c r="B77" s="277"/>
      <c r="C77" s="277"/>
      <c r="D77" s="277"/>
      <c r="E77" s="277"/>
      <c r="F77" s="277"/>
      <c r="G77" s="277"/>
      <c r="H77" s="277"/>
      <c r="I77" s="277"/>
      <c r="J77" s="277"/>
      <c r="K77" s="277"/>
      <c r="L77" s="277"/>
      <c r="M77" s="277"/>
      <c r="N77" s="277"/>
      <c r="O77" s="277"/>
      <c r="P77" s="277"/>
      <c r="Q77" s="277"/>
      <c r="R77" s="277"/>
      <c r="S77" s="277"/>
      <c r="T77" s="277"/>
      <c r="U77" s="277"/>
      <c r="V77" s="277"/>
      <c r="W77" s="277"/>
      <c r="X77" s="277"/>
      <c r="Y77" s="277"/>
      <c r="Z77" s="277"/>
      <c r="AA77" s="277"/>
      <c r="AB77" s="277"/>
      <c r="AC77" s="277"/>
      <c r="AD77" s="277"/>
      <c r="AE77" s="277"/>
      <c r="AF77" s="277"/>
      <c r="AG77" s="277"/>
    </row>
    <row r="79" spans="1:89" ht="15" thickBot="1" x14ac:dyDescent="0.3">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row>
    <row r="80" spans="1:89" s="250" customFormat="1" x14ac:dyDescent="0.25">
      <c r="A80" s="249" t="s">
        <v>579</v>
      </c>
      <c r="B80" s="1">
        <v>43373</v>
      </c>
      <c r="C80" s="1">
        <v>43281</v>
      </c>
      <c r="D80" s="1">
        <v>43190</v>
      </c>
      <c r="E80" s="1">
        <v>43100</v>
      </c>
      <c r="F80" s="1">
        <v>43008</v>
      </c>
      <c r="G80" s="1">
        <v>42916</v>
      </c>
      <c r="H80" s="1">
        <v>42825</v>
      </c>
      <c r="I80" s="1">
        <v>42735</v>
      </c>
      <c r="J80" s="1">
        <v>42643</v>
      </c>
      <c r="K80" s="1">
        <v>42551</v>
      </c>
      <c r="L80" s="1">
        <v>42460</v>
      </c>
      <c r="M80" s="1">
        <v>42369</v>
      </c>
      <c r="N80" s="1">
        <v>42277</v>
      </c>
      <c r="O80" s="1">
        <v>42185</v>
      </c>
      <c r="P80" s="1">
        <v>42094</v>
      </c>
      <c r="Q80" s="1">
        <v>42004</v>
      </c>
      <c r="R80" s="1">
        <v>41912</v>
      </c>
      <c r="S80" s="1">
        <v>41820</v>
      </c>
      <c r="T80" s="1">
        <v>41729</v>
      </c>
      <c r="U80" s="1">
        <v>41639</v>
      </c>
      <c r="V80" s="1">
        <v>41547</v>
      </c>
      <c r="W80" s="1">
        <v>41455</v>
      </c>
      <c r="X80" s="1">
        <v>41364</v>
      </c>
      <c r="Y80" s="1">
        <v>41274</v>
      </c>
      <c r="Z80" s="1">
        <v>41182</v>
      </c>
      <c r="AA80" s="1">
        <v>41090</v>
      </c>
      <c r="AB80" s="1">
        <v>40999</v>
      </c>
      <c r="AC80" s="1">
        <v>40908</v>
      </c>
      <c r="AD80" s="1">
        <v>40816</v>
      </c>
      <c r="AE80" s="1">
        <v>40724</v>
      </c>
      <c r="AF80" s="1">
        <v>40633</v>
      </c>
      <c r="AG80" s="1">
        <v>40543</v>
      </c>
      <c r="AH80" s="1">
        <v>40451</v>
      </c>
      <c r="AI80" s="1">
        <v>40359</v>
      </c>
      <c r="AJ80" s="1">
        <v>40268</v>
      </c>
      <c r="AK80" s="1">
        <v>40178</v>
      </c>
      <c r="AL80" s="1">
        <v>40086</v>
      </c>
      <c r="AM80" s="1">
        <v>39994</v>
      </c>
      <c r="AN80" s="1">
        <v>39903</v>
      </c>
      <c r="AO80" s="1">
        <v>39813</v>
      </c>
      <c r="AP80" s="1">
        <v>39721</v>
      </c>
      <c r="AQ80" s="1">
        <v>39629</v>
      </c>
      <c r="AR80" s="1">
        <v>39538</v>
      </c>
      <c r="AS80" s="1">
        <v>39447</v>
      </c>
      <c r="AT80" s="1">
        <v>39355</v>
      </c>
      <c r="AU80" s="1">
        <v>39263</v>
      </c>
      <c r="AV80" s="1">
        <v>39172</v>
      </c>
      <c r="AW80" s="1">
        <v>39082</v>
      </c>
      <c r="AX80" s="1">
        <v>38990</v>
      </c>
      <c r="AY80" s="1">
        <v>38898</v>
      </c>
      <c r="AZ80" s="1">
        <v>38807</v>
      </c>
      <c r="BA80" s="1">
        <v>38717</v>
      </c>
      <c r="BB80" s="1">
        <v>38625</v>
      </c>
      <c r="BC80" s="1">
        <v>38533</v>
      </c>
      <c r="BD80" s="1">
        <v>38442</v>
      </c>
      <c r="BE80" s="1">
        <v>38352</v>
      </c>
      <c r="BF80" s="1">
        <v>38260</v>
      </c>
      <c r="BG80" s="1">
        <v>38168</v>
      </c>
      <c r="BH80" s="1">
        <v>38077</v>
      </c>
      <c r="BI80" s="1">
        <v>37986</v>
      </c>
      <c r="BJ80" s="1">
        <v>37894</v>
      </c>
      <c r="BK80" s="1">
        <v>37802</v>
      </c>
      <c r="BL80" s="1">
        <v>37711</v>
      </c>
      <c r="BM80" s="1">
        <v>37621</v>
      </c>
      <c r="BN80" s="1">
        <v>37529</v>
      </c>
      <c r="BO80" s="1">
        <v>37437</v>
      </c>
      <c r="BP80" s="1">
        <v>37346</v>
      </c>
      <c r="BQ80" s="1">
        <v>37256</v>
      </c>
      <c r="BR80" s="1">
        <v>37072</v>
      </c>
      <c r="BS80" s="1">
        <v>36891</v>
      </c>
      <c r="BT80" s="1">
        <v>36525</v>
      </c>
      <c r="BU80" s="1">
        <v>36160</v>
      </c>
      <c r="BV80" s="1">
        <v>25569</v>
      </c>
      <c r="BW80" s="1"/>
      <c r="BX80" s="1"/>
      <c r="BY80" s="1"/>
      <c r="BZ80" s="1"/>
      <c r="CA80" s="1"/>
      <c r="CB80" s="1"/>
      <c r="CC80" s="1"/>
      <c r="CD80" s="1"/>
      <c r="CE80" s="1"/>
      <c r="CF80" s="1"/>
      <c r="CG80" s="1"/>
      <c r="CH80" s="1"/>
      <c r="CI80" s="1"/>
      <c r="CJ80" s="1"/>
      <c r="CK80" s="1"/>
    </row>
    <row r="81" spans="1:89" s="76" customFormat="1" x14ac:dyDescent="0.25">
      <c r="A81" s="70" t="s">
        <v>580</v>
      </c>
      <c r="E81" s="76">
        <f>股权价值增加表!E4</f>
        <v>2360193000000</v>
      </c>
      <c r="F81" s="76">
        <f>股权价值增加表!F4</f>
        <v>1744955000000</v>
      </c>
      <c r="G81" s="76">
        <f>股权价值增加表!G4</f>
        <v>1165837000000</v>
      </c>
      <c r="H81" s="76">
        <f>股权价值增加表!H4</f>
        <v>582185000000</v>
      </c>
      <c r="I81" s="76">
        <f>股权价值增加表!I4</f>
        <v>1930911000000</v>
      </c>
      <c r="J81" s="76">
        <f>股权价值增加表!J4</f>
        <v>1363945000000</v>
      </c>
      <c r="K81" s="76">
        <f>股权价值增加表!K4</f>
        <v>879220000000</v>
      </c>
      <c r="L81" s="76">
        <f>股权价值增加表!L4</f>
        <v>413790000000</v>
      </c>
      <c r="M81" s="76">
        <f>股权价值增加表!M4</f>
        <v>2018883000000</v>
      </c>
      <c r="N81" s="76">
        <f>股权价值增加表!N4</f>
        <v>1536837000000</v>
      </c>
      <c r="O81" s="76">
        <f>股权价值增加表!O4</f>
        <v>1040362000000</v>
      </c>
      <c r="P81" s="76">
        <f>股权价值增加表!P4</f>
        <v>478241000000</v>
      </c>
      <c r="Q81" s="76">
        <f>股权价值增加表!Q4</f>
        <v>2825914000000</v>
      </c>
      <c r="R81" s="76">
        <f>股权价值增加表!R4</f>
        <v>2115648000000</v>
      </c>
      <c r="S81" s="76">
        <f>股权价值增加表!S4</f>
        <v>1356172000000</v>
      </c>
      <c r="T81" s="76">
        <f>股权价值增加表!T4</f>
        <v>641065000000</v>
      </c>
      <c r="U81" s="76">
        <f>股权价值增加表!U4</f>
        <v>2880311000000</v>
      </c>
      <c r="V81" s="76">
        <f>股权价值增加表!V4</f>
        <v>2139924000000</v>
      </c>
      <c r="W81" s="76">
        <f>股权价值增加表!W4</f>
        <v>1415244000000</v>
      </c>
      <c r="X81" s="76">
        <f>股权价值增加表!X4</f>
        <v>695571000000</v>
      </c>
      <c r="Y81" s="76">
        <f>股权价值增加表!Y4</f>
        <v>2786045000000</v>
      </c>
      <c r="Z81" s="76">
        <f>股权价值增加表!Z4</f>
        <v>2024766000000</v>
      </c>
      <c r="AA81" s="76">
        <f>股权价值增加表!AA4</f>
        <v>1348072000000</v>
      </c>
      <c r="AB81" s="76">
        <f>股权价值增加表!AB4</f>
        <v>671365000000</v>
      </c>
      <c r="AC81" s="76">
        <f>股权价值增加表!AC4</f>
        <v>2505683000000</v>
      </c>
      <c r="AD81" s="76">
        <f>股权价值增加表!AD4</f>
        <v>1875102000000</v>
      </c>
      <c r="AE81" s="76">
        <f>股权价值增加表!AE4</f>
        <v>1233272000000</v>
      </c>
      <c r="AF81" s="76">
        <f>股权价值增加表!AF4</f>
        <v>588842000000</v>
      </c>
      <c r="AG81" s="76">
        <f>股权价值增加表!AG4</f>
        <v>1913182000000</v>
      </c>
      <c r="AH81" s="76">
        <f>股权价值增加表!AH4</f>
        <v>1427622000000</v>
      </c>
      <c r="AI81" s="76">
        <f>股权价值增加表!AI4</f>
        <v>936523000000</v>
      </c>
      <c r="AJ81" s="76">
        <f>股权价值增加表!AJ4</f>
        <v>438209000000</v>
      </c>
      <c r="AK81" s="76">
        <f>股权价值增加表!AK4</f>
        <v>1345052000000</v>
      </c>
      <c r="AL81" s="76">
        <f>股权价值增加表!AL4</f>
        <v>893448000000</v>
      </c>
      <c r="AM81" s="76">
        <f>股权价值增加表!AM4</f>
        <v>534025000000</v>
      </c>
      <c r="AN81" s="76">
        <f>股权价值增加表!AN4</f>
        <v>228585000000</v>
      </c>
      <c r="AO81" s="76">
        <f>股权价值增加表!AO4</f>
        <v>1452101000000</v>
      </c>
      <c r="AP81" s="76">
        <f>股权价值增加表!AP4</f>
        <v>1147397000000</v>
      </c>
      <c r="AQ81" s="76">
        <f>股权价值增加表!AQ4</f>
        <v>734783000000</v>
      </c>
      <c r="AR81" s="76">
        <f>股权价值增加表!AR4</f>
        <v>332010000000</v>
      </c>
      <c r="AS81" s="76">
        <f>股权价值增加表!AS4</f>
        <v>1204843000000</v>
      </c>
      <c r="AT81" s="76">
        <f>股权价值增加表!AT4</f>
        <v>875218000000</v>
      </c>
      <c r="AU81" s="76">
        <f>股权价值增加表!AU4</f>
        <v>566830000000</v>
      </c>
      <c r="AV81" s="76">
        <f>股权价值增加表!AV4</f>
        <v>272964000000</v>
      </c>
      <c r="AW81" s="76">
        <f>股权价值增加表!AW4</f>
        <v>1044579000000</v>
      </c>
      <c r="AX81" s="76">
        <f>股权价值增加表!AX4</f>
        <v>755219000000</v>
      </c>
      <c r="AY81" s="76">
        <f>股权价值增加表!AY4</f>
        <v>481988000000</v>
      </c>
      <c r="AZ81" s="76">
        <f>股权价值增加表!AZ4</f>
        <v>222699000000</v>
      </c>
      <c r="BA81" s="76">
        <f>股权价值增加表!BA4</f>
        <v>799115000000</v>
      </c>
      <c r="BB81" s="76">
        <f>股权价值增加表!BB4</f>
        <v>576990000000</v>
      </c>
      <c r="BC81" s="76">
        <f>股权价值增加表!BC4</f>
        <v>359248000000</v>
      </c>
      <c r="BD81" s="76">
        <f>股权价值增加表!BD4</f>
        <v>169040000000</v>
      </c>
      <c r="BE81" s="76">
        <f>股权价值增加表!BE4</f>
        <v>590632000000</v>
      </c>
      <c r="BF81" s="76">
        <f>股权价值增加表!BF4</f>
        <v>417695000000</v>
      </c>
      <c r="BG81" s="76">
        <f>股权价值增加表!BG4</f>
        <v>265709000000</v>
      </c>
      <c r="BH81" s="76">
        <f>股权价值增加表!BH4</f>
        <v>123490000000</v>
      </c>
      <c r="BI81" s="76">
        <f>股权价值增加表!BI4</f>
        <v>417191000000</v>
      </c>
      <c r="BJ81" s="76">
        <f>股权价值增加表!BJ4</f>
        <v>300662000000</v>
      </c>
      <c r="BK81" s="76">
        <f>股权价值增加表!BK4</f>
        <v>194842000000</v>
      </c>
      <c r="BL81" s="76">
        <f>股权价值增加表!BL4</f>
        <v>98519000000</v>
      </c>
      <c r="BM81" s="76">
        <f>股权价值增加表!BM4</f>
        <v>324184000000</v>
      </c>
      <c r="BN81" s="76">
        <f>股权价值增加表!BN4</f>
        <v>226183000000</v>
      </c>
      <c r="BO81" s="76">
        <f>股权价值增加表!BO4</f>
        <v>140628000000</v>
      </c>
      <c r="BP81" s="76">
        <f>股权价值增加表!BP4</f>
        <v>62995000000</v>
      </c>
      <c r="BQ81" s="76">
        <f>股权价值增加表!BQ4</f>
        <v>304347000000</v>
      </c>
      <c r="BR81" s="76">
        <f>股权价值增加表!BR4</f>
        <v>160314000000</v>
      </c>
      <c r="BS81" s="76">
        <f>股权价值增加表!BS4</f>
        <v>322932000000</v>
      </c>
      <c r="BT81" s="76">
        <f>股权价值增加表!BT4</f>
        <v>231047000000</v>
      </c>
      <c r="BU81" s="76">
        <f>股权价值增加表!BU4</f>
        <v>190220000000</v>
      </c>
      <c r="BV81" s="76">
        <f>股权价值增加表!BV4</f>
        <v>0</v>
      </c>
      <c r="BW81" s="76">
        <f>股权价值增加表!BW4</f>
        <v>0</v>
      </c>
      <c r="BX81" s="76">
        <f>股权价值增加表!BX4</f>
        <v>0</v>
      </c>
      <c r="BY81" s="76">
        <f>股权价值增加表!BY4</f>
        <v>0</v>
      </c>
      <c r="BZ81" s="76">
        <f>股权价值增加表!BZ4</f>
        <v>0</v>
      </c>
      <c r="CA81" s="76">
        <f>股权价值增加表!CA4</f>
        <v>0</v>
      </c>
      <c r="CB81" s="76">
        <f>股权价值增加表!CB4</f>
        <v>0</v>
      </c>
      <c r="CC81" s="76">
        <f>股权价值增加表!CC4</f>
        <v>0</v>
      </c>
      <c r="CD81" s="76">
        <f>股权价值增加表!CD4</f>
        <v>0</v>
      </c>
      <c r="CE81" s="76">
        <f>股权价值增加表!CE4</f>
        <v>0</v>
      </c>
      <c r="CF81" s="76">
        <f>股权价值增加表!CF4</f>
        <v>0</v>
      </c>
      <c r="CG81" s="76">
        <f>股权价值增加表!CG4</f>
        <v>0</v>
      </c>
      <c r="CH81" s="76">
        <f>股权价值增加表!CH4</f>
        <v>0</v>
      </c>
      <c r="CI81" s="76">
        <f>股权价值增加表!CI4</f>
        <v>0</v>
      </c>
      <c r="CJ81" s="76">
        <f>股权价值增加表!CJ4</f>
        <v>0</v>
      </c>
      <c r="CK81" s="76">
        <f>股权价值增加表!CK4</f>
        <v>0</v>
      </c>
    </row>
    <row r="82" spans="1:89" s="76" customFormat="1" x14ac:dyDescent="0.25">
      <c r="A82" s="70" t="s">
        <v>581</v>
      </c>
      <c r="E82" s="76">
        <f>投资和筹资活动现金流表!E34</f>
        <v>1056145000000</v>
      </c>
      <c r="F82" s="76">
        <f>投资和筹资活动现金流表!F34</f>
        <v>1021975000000</v>
      </c>
      <c r="G82" s="76">
        <f>投资和筹资活动现金流表!G34</f>
        <v>1035729000000</v>
      </c>
      <c r="H82" s="76">
        <f>投资和筹资活动现金流表!H34</f>
        <v>1048351000000</v>
      </c>
      <c r="I82" s="76">
        <f>投资和筹资活动现金流表!I34</f>
        <v>1068587000000</v>
      </c>
      <c r="J82" s="76">
        <f>投资和筹资活动现金流表!J34</f>
        <v>1056732000000</v>
      </c>
      <c r="K82" s="76">
        <f>投资和筹资活动现金流表!K34</f>
        <v>1067496000000</v>
      </c>
      <c r="L82" s="76">
        <f>投资和筹资活动现金流表!L34</f>
        <v>1073558000000</v>
      </c>
      <c r="M82" s="76">
        <f>投资和筹资活动现金流表!M34</f>
        <v>1094127000000</v>
      </c>
      <c r="N82" s="76">
        <f>投资和筹资活动现金流表!N34</f>
        <v>1059646000000</v>
      </c>
      <c r="O82" s="76">
        <f>投资和筹资活动现金流表!O34</f>
        <v>1067444000000</v>
      </c>
      <c r="P82" s="76">
        <f>投资和筹资活动现金流表!P34</f>
        <v>1071351000000</v>
      </c>
      <c r="Q82" s="76">
        <f>投资和筹资活动现金流表!Q34</f>
        <v>1084075000000</v>
      </c>
      <c r="R82" s="76">
        <f>投资和筹资活动现金流表!R34</f>
        <v>1023614000000</v>
      </c>
      <c r="S82" s="76">
        <f>投资和筹资活动现金流表!S34</f>
        <v>1002560000000</v>
      </c>
      <c r="T82" s="76">
        <f>投资和筹资活动现金流表!T34</f>
        <v>996205000000</v>
      </c>
      <c r="U82" s="76">
        <f>投资和筹资活动现金流表!U34</f>
        <v>1003651000000</v>
      </c>
      <c r="V82" s="76">
        <f>投资和筹资活动现金流表!V34</f>
        <v>936549000000</v>
      </c>
      <c r="W82" s="76">
        <f>投资和筹资活动现金流表!W34</f>
        <v>902846000000</v>
      </c>
      <c r="X82" s="76">
        <f>投资和筹资活动现金流表!X34</f>
        <v>898315000000</v>
      </c>
      <c r="Y82" s="76">
        <f>投资和筹资活动现金流表!AZ34</f>
        <v>385885000000</v>
      </c>
      <c r="Z82" s="76">
        <f>投资和筹资活动现金流表!BA34</f>
        <v>378676000000</v>
      </c>
      <c r="AA82" s="76">
        <f>投资和筹资活动现金流表!BB34</f>
        <v>365249000000</v>
      </c>
      <c r="AB82" s="76">
        <f>投资和筹资活动现金流表!BC34</f>
        <v>357671000000</v>
      </c>
      <c r="AC82" s="76">
        <f>投资和筹资活动现金流表!BD34</f>
        <v>352756000000</v>
      </c>
      <c r="AD82" s="76">
        <f>投资和筹资活动现金流表!BE34</f>
        <v>343025000000</v>
      </c>
      <c r="AE82" s="76">
        <f>投资和筹资活动现金流表!BF34</f>
        <v>314478000000</v>
      </c>
      <c r="AF82" s="76">
        <f>投资和筹资活动现金流表!BG34</f>
        <v>305863000000</v>
      </c>
      <c r="AG82" s="76">
        <f>投资和筹资活动现金流表!BH34</f>
        <v>298827000000</v>
      </c>
      <c r="AH82" s="76">
        <f>投资和筹资活动现金流表!BI34</f>
        <v>293295000000</v>
      </c>
      <c r="AI82" s="76">
        <f>投资和筹资活动现金流表!BJ34</f>
        <v>276752000000</v>
      </c>
      <c r="AJ82" s="76">
        <f>投资和筹资活动现金流表!BK34</f>
        <v>275429000000</v>
      </c>
      <c r="AK82" s="76">
        <f>投资和筹资活动现金流表!BL34</f>
        <v>272128000000</v>
      </c>
      <c r="AL82" s="76">
        <f>投资和筹资活动现金流表!BM34</f>
        <v>269367000000</v>
      </c>
      <c r="AM82" s="76">
        <f>投资和筹资活动现金流表!BN34</f>
        <v>263714000000</v>
      </c>
      <c r="AN82" s="76">
        <f>投资和筹资活动现金流表!BO34</f>
        <v>261328000000</v>
      </c>
      <c r="AO82" s="76">
        <f>投资和筹资活动现金流表!BP34</f>
        <v>258764000000</v>
      </c>
      <c r="AP82" s="76">
        <f>投资和筹资活动现金流表!BQ34</f>
        <v>553027000000</v>
      </c>
      <c r="AQ82" s="76">
        <f>投资和筹资活动现金流表!BR34</f>
        <v>544808000000</v>
      </c>
      <c r="AR82" s="76">
        <f>投资和筹资活动现金流表!BS34</f>
        <v>528122000000</v>
      </c>
      <c r="AS82" s="76">
        <f>投资和筹资活动现金流表!AS34</f>
        <v>521347000000</v>
      </c>
      <c r="AT82" s="76">
        <f>投资和筹资活动现金流表!AT34</f>
        <v>474886000000</v>
      </c>
      <c r="AU82" s="76">
        <f>投资和筹资活动现金流表!AU34</f>
        <v>459425000000</v>
      </c>
      <c r="AV82" s="76">
        <f>投资和筹资活动现金流表!AV34</f>
        <v>450726000000</v>
      </c>
      <c r="AW82" s="76">
        <f>投资和筹资活动现金流表!AW34</f>
        <v>452450000000</v>
      </c>
      <c r="AX82" s="76">
        <f>投资和筹资活动现金流表!AX34</f>
        <v>412750000000</v>
      </c>
      <c r="AY82" s="76">
        <f>投资和筹资活动现金流表!AY34</f>
        <v>407537000000</v>
      </c>
      <c r="AZ82" s="76" t="e">
        <f>投资和筹资活动现金流表!#REF!</f>
        <v>#REF!</v>
      </c>
      <c r="BA82" s="76" t="e">
        <f>投资和筹资活动现金流表!#REF!</f>
        <v>#REF!</v>
      </c>
      <c r="BB82" s="76" t="e">
        <f>投资和筹资活动现金流表!#REF!</f>
        <v>#REF!</v>
      </c>
      <c r="BC82" s="76" t="e">
        <f>投资和筹资活动现金流表!#REF!</f>
        <v>#REF!</v>
      </c>
      <c r="BD82" s="76" t="e">
        <f>投资和筹资活动现金流表!#REF!</f>
        <v>#REF!</v>
      </c>
      <c r="BE82" s="76" t="e">
        <f>投资和筹资活动现金流表!#REF!</f>
        <v>#REF!</v>
      </c>
      <c r="BF82" s="76" t="e">
        <f>投资和筹资活动现金流表!#REF!</f>
        <v>#REF!</v>
      </c>
      <c r="BG82" s="76" t="e">
        <f>投资和筹资活动现金流表!#REF!</f>
        <v>#REF!</v>
      </c>
      <c r="BH82" s="76" t="e">
        <f>投资和筹资活动现金流表!#REF!</f>
        <v>#REF!</v>
      </c>
      <c r="BI82" s="76" t="e">
        <f>投资和筹资活动现金流表!#REF!</f>
        <v>#REF!</v>
      </c>
      <c r="BJ82" s="76" t="e">
        <f>投资和筹资活动现金流表!#REF!</f>
        <v>#REF!</v>
      </c>
      <c r="BK82" s="76" t="e">
        <f>投资和筹资活动现金流表!#REF!</f>
        <v>#REF!</v>
      </c>
      <c r="BL82" s="76" t="e">
        <f>投资和筹资活动现金流表!#REF!</f>
        <v>#REF!</v>
      </c>
      <c r="BM82" s="76" t="e">
        <f>投资和筹资活动现金流表!#REF!</f>
        <v>#REF!</v>
      </c>
      <c r="BN82" s="76" t="e">
        <f>投资和筹资活动现金流表!#REF!</f>
        <v>#REF!</v>
      </c>
      <c r="BO82" s="76" t="e">
        <f>投资和筹资活动现金流表!#REF!</f>
        <v>#REF!</v>
      </c>
      <c r="BP82" s="76" t="e">
        <f>投资和筹资活动现金流表!#REF!</f>
        <v>#REF!</v>
      </c>
      <c r="BQ82" s="76" t="e">
        <f>投资和筹资活动现金流表!#REF!</f>
        <v>#REF!</v>
      </c>
      <c r="BR82" s="76" t="e">
        <f>投资和筹资活动现金流表!#REF!</f>
        <v>#REF!</v>
      </c>
      <c r="BS82" s="76" t="e">
        <f>投资和筹资活动现金流表!#REF!</f>
        <v>#REF!</v>
      </c>
      <c r="BT82" s="76">
        <f>投资和筹资活动现金流表!BT34</f>
        <v>0</v>
      </c>
      <c r="BU82" s="76">
        <f>投资和筹资活动现金流表!BU34</f>
        <v>0</v>
      </c>
      <c r="BV82" s="76">
        <f>投资和筹资活动现金流表!BV34</f>
        <v>0</v>
      </c>
      <c r="BW82" s="76">
        <f>投资和筹资活动现金流表!BW34</f>
        <v>0</v>
      </c>
      <c r="BX82" s="76">
        <f>投资和筹资活动现金流表!BX34</f>
        <v>0</v>
      </c>
      <c r="BY82" s="76">
        <f>投资和筹资活动现金流表!BY34</f>
        <v>0</v>
      </c>
      <c r="BZ82" s="76">
        <f>投资和筹资活动现金流表!BZ34</f>
        <v>0</v>
      </c>
      <c r="CA82" s="76">
        <f>投资和筹资活动现金流表!CA34</f>
        <v>0</v>
      </c>
      <c r="CB82" s="76">
        <f>投资和筹资活动现金流表!CB34</f>
        <v>0</v>
      </c>
      <c r="CC82" s="76">
        <f>投资和筹资活动现金流表!CC34</f>
        <v>0</v>
      </c>
      <c r="CD82" s="76">
        <f>投资和筹资活动现金流表!CD34</f>
        <v>0</v>
      </c>
      <c r="CE82" s="76">
        <f>投资和筹资活动现金流表!CE34</f>
        <v>0</v>
      </c>
      <c r="CF82" s="76">
        <f>投资和筹资活动现金流表!CF34</f>
        <v>0</v>
      </c>
      <c r="CG82" s="76">
        <f>投资和筹资活动现金流表!CG34</f>
        <v>0</v>
      </c>
      <c r="CH82" s="76">
        <f>投资和筹资活动现金流表!CH34</f>
        <v>0</v>
      </c>
      <c r="CI82" s="76">
        <f>投资和筹资活动现金流表!CI34</f>
        <v>0</v>
      </c>
      <c r="CJ82" s="76">
        <f>投资和筹资活动现金流表!CJ34</f>
        <v>0</v>
      </c>
      <c r="CK82" s="76">
        <f>投资和筹资活动现金流表!CK34</f>
        <v>0</v>
      </c>
    </row>
    <row r="83" spans="1:89" s="155" customFormat="1" x14ac:dyDescent="0.25">
      <c r="A83" s="251" t="s">
        <v>582</v>
      </c>
      <c r="E83" s="155">
        <f>E81/E82</f>
        <v>2.2347243986384444</v>
      </c>
      <c r="F83" s="155">
        <f t="shared" ref="F83:BQ83" si="46">F81/F82</f>
        <v>1.7074341348858828</v>
      </c>
      <c r="G83" s="155">
        <f t="shared" si="46"/>
        <v>1.1256197325748338</v>
      </c>
      <c r="H83" s="155">
        <f t="shared" si="46"/>
        <v>0.55533404365522621</v>
      </c>
      <c r="I83" s="155">
        <f t="shared" si="46"/>
        <v>1.8069759411259916</v>
      </c>
      <c r="J83" s="155">
        <f t="shared" si="46"/>
        <v>1.2907198797803039</v>
      </c>
      <c r="K83" s="155">
        <f t="shared" si="46"/>
        <v>0.82362837893537777</v>
      </c>
      <c r="L83" s="155">
        <f t="shared" si="46"/>
        <v>0.38543795491254312</v>
      </c>
      <c r="M83" s="155">
        <f t="shared" si="46"/>
        <v>1.8451998716785163</v>
      </c>
      <c r="N83" s="155">
        <f t="shared" si="46"/>
        <v>1.4503305821000598</v>
      </c>
      <c r="O83" s="155">
        <f t="shared" si="46"/>
        <v>0.97462911403314834</v>
      </c>
      <c r="P83" s="155">
        <f t="shared" si="46"/>
        <v>0.44639058534504567</v>
      </c>
      <c r="Q83" s="155">
        <f t="shared" si="46"/>
        <v>2.6067513779028202</v>
      </c>
      <c r="R83" s="155">
        <f t="shared" si="46"/>
        <v>2.0668416024009049</v>
      </c>
      <c r="S83" s="155">
        <f t="shared" si="46"/>
        <v>1.3527090647941271</v>
      </c>
      <c r="T83" s="155">
        <f t="shared" si="46"/>
        <v>0.6435071094804784</v>
      </c>
      <c r="U83" s="155">
        <f t="shared" si="46"/>
        <v>2.869833238844977</v>
      </c>
      <c r="V83" s="155">
        <f t="shared" si="46"/>
        <v>2.2849034060150615</v>
      </c>
      <c r="W83" s="155">
        <f t="shared" si="46"/>
        <v>1.5675364347851128</v>
      </c>
      <c r="X83" s="155">
        <f t="shared" si="46"/>
        <v>0.77430634020360345</v>
      </c>
      <c r="Y83" s="155">
        <f t="shared" si="46"/>
        <v>7.2198841623799836</v>
      </c>
      <c r="Z83" s="155">
        <f t="shared" si="46"/>
        <v>5.3469615185541199</v>
      </c>
      <c r="AA83" s="155">
        <f t="shared" si="46"/>
        <v>3.6908300912528165</v>
      </c>
      <c r="AB83" s="155">
        <f t="shared" si="46"/>
        <v>1.8770462240438839</v>
      </c>
      <c r="AC83" s="155">
        <f t="shared" si="46"/>
        <v>7.103161958974475</v>
      </c>
      <c r="AD83" s="155">
        <f t="shared" si="46"/>
        <v>5.4663712557393778</v>
      </c>
      <c r="AE83" s="155">
        <f t="shared" si="46"/>
        <v>3.9216479372165938</v>
      </c>
      <c r="AF83" s="155">
        <f t="shared" si="46"/>
        <v>1.9251821894115992</v>
      </c>
      <c r="AG83" s="155">
        <f t="shared" si="46"/>
        <v>6.402306351166394</v>
      </c>
      <c r="AH83" s="155">
        <f t="shared" si="46"/>
        <v>4.867529279394466</v>
      </c>
      <c r="AI83" s="155">
        <f t="shared" si="46"/>
        <v>3.3839791582355323</v>
      </c>
      <c r="AJ83" s="155">
        <f t="shared" si="46"/>
        <v>1.5910053044523271</v>
      </c>
      <c r="AK83" s="155">
        <f t="shared" si="46"/>
        <v>4.9427181326434617</v>
      </c>
      <c r="AL83" s="155">
        <f t="shared" si="46"/>
        <v>3.3168428203900255</v>
      </c>
      <c r="AM83" s="155">
        <f t="shared" si="46"/>
        <v>2.02501573674511</v>
      </c>
      <c r="AN83" s="155">
        <f t="shared" si="46"/>
        <v>0.87470535112961489</v>
      </c>
      <c r="AO83" s="155">
        <f t="shared" si="46"/>
        <v>5.6116809138829202</v>
      </c>
      <c r="AP83" s="155">
        <f t="shared" si="46"/>
        <v>2.0747576519772091</v>
      </c>
      <c r="AQ83" s="155">
        <f t="shared" si="46"/>
        <v>1.3487008267132641</v>
      </c>
      <c r="AR83" s="155">
        <f t="shared" si="46"/>
        <v>0.62866155926092837</v>
      </c>
      <c r="AS83" s="155">
        <f t="shared" si="46"/>
        <v>2.3110193402858363</v>
      </c>
      <c r="AT83" s="155">
        <f t="shared" si="46"/>
        <v>1.8430065320940183</v>
      </c>
      <c r="AU83" s="155">
        <f t="shared" si="46"/>
        <v>1.2337813571311966</v>
      </c>
      <c r="AV83" s="155">
        <f t="shared" si="46"/>
        <v>0.60560961648540357</v>
      </c>
      <c r="AW83" s="155">
        <f t="shared" si="46"/>
        <v>2.3087169853022433</v>
      </c>
      <c r="AX83" s="155">
        <f t="shared" si="46"/>
        <v>1.8297250151423379</v>
      </c>
      <c r="AY83" s="155">
        <f t="shared" si="46"/>
        <v>1.1826852531181218</v>
      </c>
      <c r="AZ83" s="155" t="e">
        <f t="shared" si="46"/>
        <v>#REF!</v>
      </c>
      <c r="BA83" s="155" t="e">
        <f t="shared" si="46"/>
        <v>#REF!</v>
      </c>
      <c r="BB83" s="155" t="e">
        <f t="shared" si="46"/>
        <v>#REF!</v>
      </c>
      <c r="BC83" s="155" t="e">
        <f t="shared" si="46"/>
        <v>#REF!</v>
      </c>
      <c r="BD83" s="155" t="e">
        <f t="shared" si="46"/>
        <v>#REF!</v>
      </c>
      <c r="BE83" s="155" t="e">
        <f t="shared" si="46"/>
        <v>#REF!</v>
      </c>
      <c r="BF83" s="155" t="e">
        <f t="shared" si="46"/>
        <v>#REF!</v>
      </c>
      <c r="BG83" s="155" t="e">
        <f t="shared" si="46"/>
        <v>#REF!</v>
      </c>
      <c r="BH83" s="155" t="e">
        <f t="shared" si="46"/>
        <v>#REF!</v>
      </c>
      <c r="BI83" s="155" t="e">
        <f t="shared" si="46"/>
        <v>#REF!</v>
      </c>
      <c r="BJ83" s="155" t="e">
        <f t="shared" si="46"/>
        <v>#REF!</v>
      </c>
      <c r="BK83" s="155" t="e">
        <f t="shared" si="46"/>
        <v>#REF!</v>
      </c>
      <c r="BL83" s="155" t="e">
        <f t="shared" si="46"/>
        <v>#REF!</v>
      </c>
      <c r="BM83" s="155" t="e">
        <f t="shared" si="46"/>
        <v>#REF!</v>
      </c>
      <c r="BN83" s="155" t="e">
        <f t="shared" si="46"/>
        <v>#REF!</v>
      </c>
      <c r="BO83" s="155" t="e">
        <f t="shared" si="46"/>
        <v>#REF!</v>
      </c>
      <c r="BP83" s="155" t="e">
        <f t="shared" si="46"/>
        <v>#REF!</v>
      </c>
      <c r="BQ83" s="155" t="e">
        <f t="shared" si="46"/>
        <v>#REF!</v>
      </c>
      <c r="BR83" s="155" t="e">
        <f t="shared" ref="BR83:CK83" si="47">BR81/BR82</f>
        <v>#REF!</v>
      </c>
      <c r="BS83" s="155" t="e">
        <f t="shared" si="47"/>
        <v>#REF!</v>
      </c>
      <c r="BT83" s="155" t="e">
        <f t="shared" si="47"/>
        <v>#DIV/0!</v>
      </c>
      <c r="BU83" s="155" t="e">
        <f t="shared" si="47"/>
        <v>#DIV/0!</v>
      </c>
      <c r="BV83" s="155" t="e">
        <f t="shared" si="47"/>
        <v>#DIV/0!</v>
      </c>
      <c r="BW83" s="155" t="e">
        <f t="shared" si="47"/>
        <v>#DIV/0!</v>
      </c>
      <c r="BX83" s="155" t="e">
        <f t="shared" si="47"/>
        <v>#DIV/0!</v>
      </c>
      <c r="BY83" s="155" t="e">
        <f t="shared" si="47"/>
        <v>#DIV/0!</v>
      </c>
      <c r="BZ83" s="155" t="e">
        <f t="shared" si="47"/>
        <v>#DIV/0!</v>
      </c>
      <c r="CA83" s="155" t="e">
        <f t="shared" si="47"/>
        <v>#DIV/0!</v>
      </c>
      <c r="CB83" s="155" t="e">
        <f t="shared" si="47"/>
        <v>#DIV/0!</v>
      </c>
      <c r="CC83" s="155" t="e">
        <f t="shared" si="47"/>
        <v>#DIV/0!</v>
      </c>
      <c r="CD83" s="155" t="e">
        <f t="shared" si="47"/>
        <v>#DIV/0!</v>
      </c>
      <c r="CE83" s="155" t="e">
        <f t="shared" si="47"/>
        <v>#DIV/0!</v>
      </c>
      <c r="CF83" s="155" t="e">
        <f t="shared" si="47"/>
        <v>#DIV/0!</v>
      </c>
      <c r="CG83" s="155" t="e">
        <f t="shared" si="47"/>
        <v>#DIV/0!</v>
      </c>
      <c r="CH83" s="155" t="e">
        <f t="shared" si="47"/>
        <v>#DIV/0!</v>
      </c>
      <c r="CI83" s="155" t="e">
        <f t="shared" si="47"/>
        <v>#DIV/0!</v>
      </c>
      <c r="CJ83" s="155" t="e">
        <f t="shared" si="47"/>
        <v>#DIV/0!</v>
      </c>
      <c r="CK83" s="155" t="e">
        <f t="shared" si="47"/>
        <v>#DIV/0!</v>
      </c>
    </row>
    <row r="84" spans="1:89" s="76" customFormat="1" x14ac:dyDescent="0.25">
      <c r="A84" s="70" t="s">
        <v>583</v>
      </c>
      <c r="E84" s="76">
        <f>资产资本表!E52</f>
        <v>650774000000</v>
      </c>
      <c r="F84" s="76">
        <f>资产资本表!F52</f>
        <v>639889000000</v>
      </c>
      <c r="G84" s="76">
        <f>资产资本表!G52</f>
        <v>652294000000</v>
      </c>
      <c r="H84" s="76">
        <f>资产资本表!H52</f>
        <v>671709000000</v>
      </c>
      <c r="I84" s="76">
        <f>资产资本表!I52</f>
        <v>690594000000</v>
      </c>
      <c r="J84" s="76">
        <f>资产资本表!J52</f>
        <v>714847000000</v>
      </c>
      <c r="K84" s="76">
        <f>资产资本表!K52</f>
        <v>723465000000</v>
      </c>
      <c r="L84" s="76">
        <f>资产资本表!L52</f>
        <v>717052000000</v>
      </c>
      <c r="M84" s="76">
        <f>资产资本表!M52</f>
        <v>732577000000</v>
      </c>
      <c r="N84" s="76">
        <f>资产资本表!N52</f>
        <v>690675000000</v>
      </c>
      <c r="O84" s="76">
        <f>资产资本表!O52</f>
        <v>695624000000</v>
      </c>
      <c r="P84" s="76">
        <f>资产资本表!P52</f>
        <v>699356000000</v>
      </c>
      <c r="Q84" s="76">
        <f>资产资本表!Q52</f>
        <v>703485000000</v>
      </c>
      <c r="R84" s="76">
        <f>资产资本表!R52</f>
        <v>439940000000</v>
      </c>
      <c r="S84" s="76">
        <f>资产资本表!S52</f>
        <v>653235000000</v>
      </c>
      <c r="T84" s="76">
        <f>资产资本表!T52</f>
        <v>658371000000</v>
      </c>
      <c r="U84" s="76">
        <f>资产资本表!U52</f>
        <v>669595000000</v>
      </c>
      <c r="V84" s="76">
        <f>资产资本表!V52</f>
        <v>617741000000</v>
      </c>
      <c r="W84" s="76">
        <f>资产资本表!W52</f>
        <v>597745000000</v>
      </c>
      <c r="X84" s="76">
        <f>资产资本表!X52</f>
        <v>582922000000</v>
      </c>
      <c r="Y84" s="76">
        <f>资产资本表!Y52</f>
        <v>588969000000</v>
      </c>
      <c r="Z84" s="76">
        <f>资产资本表!Z52</f>
        <v>544918000000</v>
      </c>
      <c r="AA84" s="76">
        <f>资产资本表!AA52</f>
        <v>547671000000</v>
      </c>
      <c r="AB84" s="76">
        <f>资产资本表!AB52</f>
        <v>550128000000</v>
      </c>
      <c r="AC84" s="76">
        <f>资产资本表!AC52</f>
        <v>565936000000</v>
      </c>
      <c r="AD84" s="76">
        <f>资产资本表!AD52</f>
        <v>528865000000</v>
      </c>
      <c r="AE84" s="76">
        <f>资产资本表!AE52</f>
        <v>531953000000</v>
      </c>
      <c r="AF84" s="76">
        <f>资产资本表!AF52</f>
        <v>531134000000</v>
      </c>
      <c r="AG84" s="76">
        <f>资产资本表!AG52</f>
        <v>540700000000</v>
      </c>
      <c r="AH84" s="76">
        <f>资产资本表!AH52</f>
        <v>505081000000</v>
      </c>
      <c r="AI84" s="76">
        <f>资产资本表!AI52</f>
        <v>478177000000</v>
      </c>
      <c r="AJ84" s="76">
        <f>资产资本表!AJ52</f>
        <v>469251000000</v>
      </c>
      <c r="AK84" s="76">
        <f>资产资本表!AK52</f>
        <v>465182000000</v>
      </c>
      <c r="AL84" s="76">
        <f>资产资本表!AL52</f>
        <v>411026000000</v>
      </c>
      <c r="AM84" s="76">
        <f>资产资本表!AM52</f>
        <v>405975000000</v>
      </c>
      <c r="AN84" s="76">
        <f>资产资本表!AN52</f>
        <v>397189000000</v>
      </c>
      <c r="AO84" s="76">
        <f>资产资本表!AO52</f>
        <v>403265000000</v>
      </c>
      <c r="AP84" s="76">
        <f>资产资本表!AP52</f>
        <v>361911000000</v>
      </c>
      <c r="AQ84" s="76">
        <f>资产资本表!AQ52</f>
        <v>365785000000</v>
      </c>
      <c r="AR84" s="76">
        <f>资产资本表!AR52</f>
        <v>353713000000</v>
      </c>
      <c r="AS84" s="76">
        <f>资产资本表!AS52</f>
        <v>361148000000</v>
      </c>
      <c r="AT84" s="76">
        <f>资产资本表!AT52</f>
        <v>338499000000</v>
      </c>
      <c r="AU84" s="76">
        <f>资产资本表!AU52</f>
        <v>336750000000</v>
      </c>
      <c r="AV84" s="76">
        <f>资产资本表!AV52</f>
        <v>338368000000</v>
      </c>
      <c r="AW84" s="76">
        <f>资产资本表!AW52</f>
        <v>353513000000</v>
      </c>
      <c r="AX84" s="76">
        <f>资产资本表!AX52</f>
        <v>313131000000</v>
      </c>
      <c r="AY84" s="76">
        <f>资产资本表!AY52</f>
        <v>301379000000</v>
      </c>
      <c r="AZ84" s="76">
        <f>资产资本表!AZ52</f>
        <v>296536000000</v>
      </c>
      <c r="BA84" s="76">
        <f>资产资本表!BA52</f>
        <v>300620000000</v>
      </c>
      <c r="BB84" s="76">
        <f>资产资本表!BB52</f>
        <v>282303000000</v>
      </c>
      <c r="BC84" s="76">
        <f>资产资本表!BC52</f>
        <v>283883000000</v>
      </c>
      <c r="BD84" s="76">
        <f>资产资本表!BD52</f>
        <v>275747000000</v>
      </c>
      <c r="BE84" s="76">
        <f>资产资本表!BE52</f>
        <v>270136000000</v>
      </c>
      <c r="BF84" s="76">
        <f>资产资本表!BF52</f>
        <v>237103000000</v>
      </c>
      <c r="BG84" s="76">
        <f>资产资本表!BG52</f>
        <v>239386000000</v>
      </c>
      <c r="BH84" s="76">
        <f>资产资本表!BH52</f>
        <v>241039000000</v>
      </c>
      <c r="BI84" s="76">
        <f>资产资本表!BI52</f>
        <v>245993000000</v>
      </c>
      <c r="BJ84" s="76">
        <f>资产资本表!BJ52</f>
        <v>224219000000</v>
      </c>
      <c r="BK84" s="76">
        <f>资产资本表!BK52</f>
        <v>228650000000</v>
      </c>
      <c r="BL84" s="76">
        <f>资产资本表!BL52</f>
        <v>226274000000</v>
      </c>
      <c r="BM84" s="76">
        <f>资产资本表!BM52</f>
        <v>231398000000</v>
      </c>
      <c r="BN84" s="76">
        <f>资产资本表!BN52</f>
        <v>212334000000</v>
      </c>
      <c r="BO84" s="76">
        <f>资产资本表!BO52</f>
        <v>214798000000</v>
      </c>
      <c r="BP84" s="76">
        <f>资产资本表!BP52</f>
        <v>210000000000</v>
      </c>
      <c r="BQ84" s="76">
        <f>资产资本表!BQ52</f>
        <v>213102000000</v>
      </c>
      <c r="BR84" s="76">
        <f>资产资本表!BR52</f>
        <v>182852000000</v>
      </c>
      <c r="BS84" s="76">
        <f>资产资本表!BS52</f>
        <v>185236000000</v>
      </c>
      <c r="BT84" s="76">
        <f>资产资本表!BT52</f>
        <v>0</v>
      </c>
      <c r="BU84" s="76">
        <f>资产资本表!BU52</f>
        <v>0</v>
      </c>
      <c r="BV84" s="76">
        <f>资产资本表!BV52</f>
        <v>0</v>
      </c>
      <c r="BW84" s="76">
        <f>资产资本表!BW52</f>
        <v>0</v>
      </c>
      <c r="BX84" s="76">
        <f>资产资本表!BX52</f>
        <v>0</v>
      </c>
      <c r="BY84" s="76">
        <f>资产资本表!BY52</f>
        <v>0</v>
      </c>
      <c r="BZ84" s="76">
        <f>资产资本表!BZ52</f>
        <v>0</v>
      </c>
      <c r="CA84" s="76">
        <f>资产资本表!CA52</f>
        <v>0</v>
      </c>
      <c r="CB84" s="76">
        <f>资产资本表!CB52</f>
        <v>0</v>
      </c>
      <c r="CC84" s="76">
        <f>资产资本表!CC52</f>
        <v>0</v>
      </c>
      <c r="CD84" s="76">
        <f>资产资本表!CD52</f>
        <v>0</v>
      </c>
      <c r="CE84" s="76">
        <f>资产资本表!CE52</f>
        <v>0</v>
      </c>
      <c r="CF84" s="76">
        <f>资产资本表!CF52</f>
        <v>0</v>
      </c>
      <c r="CG84" s="76">
        <f>资产资本表!CG52</f>
        <v>0</v>
      </c>
      <c r="CH84" s="76">
        <f>资产资本表!CH52</f>
        <v>0</v>
      </c>
      <c r="CI84" s="76">
        <f>资产资本表!CI52</f>
        <v>0</v>
      </c>
      <c r="CJ84" s="76">
        <f>资产资本表!CJ52</f>
        <v>0</v>
      </c>
      <c r="CK84" s="76">
        <f>资产资本表!CK52</f>
        <v>0</v>
      </c>
    </row>
    <row r="85" spans="1:89" s="155" customFormat="1" x14ac:dyDescent="0.25">
      <c r="A85" s="251" t="s">
        <v>584</v>
      </c>
      <c r="E85" s="155">
        <f>E81/E84</f>
        <v>3.6267475344743336</v>
      </c>
      <c r="F85" s="155">
        <f t="shared" ref="F85:BQ85" si="48">F81/F84</f>
        <v>2.7269651455174255</v>
      </c>
      <c r="G85" s="155">
        <f t="shared" si="48"/>
        <v>1.7872876341036403</v>
      </c>
      <c r="H85" s="155">
        <f t="shared" si="48"/>
        <v>0.86672204779152873</v>
      </c>
      <c r="I85" s="155">
        <f t="shared" si="48"/>
        <v>2.7960147351410525</v>
      </c>
      <c r="J85" s="155">
        <f t="shared" si="48"/>
        <v>1.9080236749961881</v>
      </c>
      <c r="K85" s="155">
        <f t="shared" si="48"/>
        <v>1.2152903042994478</v>
      </c>
      <c r="L85" s="155">
        <f t="shared" si="48"/>
        <v>0.57707111897045127</v>
      </c>
      <c r="M85" s="155">
        <f t="shared" si="48"/>
        <v>2.7558645712327849</v>
      </c>
      <c r="N85" s="155">
        <f t="shared" si="48"/>
        <v>2.2251232489955477</v>
      </c>
      <c r="O85" s="155">
        <f t="shared" si="48"/>
        <v>1.495580946028314</v>
      </c>
      <c r="P85" s="155">
        <f t="shared" si="48"/>
        <v>0.68383055267989412</v>
      </c>
      <c r="Q85" s="155">
        <f t="shared" si="48"/>
        <v>4.0170209741501237</v>
      </c>
      <c r="R85" s="155">
        <f t="shared" si="48"/>
        <v>4.8089466745465295</v>
      </c>
      <c r="S85" s="155">
        <f t="shared" si="48"/>
        <v>2.0760859415065021</v>
      </c>
      <c r="T85" s="155">
        <f t="shared" si="48"/>
        <v>0.97371390902697719</v>
      </c>
      <c r="U85" s="155">
        <f t="shared" si="48"/>
        <v>4.3015718456679037</v>
      </c>
      <c r="V85" s="155">
        <f t="shared" si="48"/>
        <v>3.464111982206135</v>
      </c>
      <c r="W85" s="155">
        <f t="shared" si="48"/>
        <v>2.3676383742231217</v>
      </c>
      <c r="X85" s="155">
        <f t="shared" si="48"/>
        <v>1.193248839467373</v>
      </c>
      <c r="Y85" s="155">
        <f t="shared" si="48"/>
        <v>4.7303763016389659</v>
      </c>
      <c r="Z85" s="155">
        <f t="shared" si="48"/>
        <v>3.7157260358439252</v>
      </c>
      <c r="AA85" s="155">
        <f t="shared" si="48"/>
        <v>2.4614631777107059</v>
      </c>
      <c r="AB85" s="155">
        <f t="shared" si="48"/>
        <v>1.220379620742809</v>
      </c>
      <c r="AC85" s="155">
        <f t="shared" si="48"/>
        <v>4.4275024030985835</v>
      </c>
      <c r="AD85" s="155">
        <f t="shared" si="48"/>
        <v>3.5455210687037333</v>
      </c>
      <c r="AE85" s="155">
        <f t="shared" si="48"/>
        <v>2.3183852708791943</v>
      </c>
      <c r="AF85" s="155">
        <f t="shared" si="48"/>
        <v>1.1086505476960615</v>
      </c>
      <c r="AG85" s="155">
        <f t="shared" si="48"/>
        <v>3.5383428888477897</v>
      </c>
      <c r="AH85" s="155">
        <f t="shared" si="48"/>
        <v>2.8265208946683797</v>
      </c>
      <c r="AI85" s="155">
        <f t="shared" si="48"/>
        <v>1.9585279091215178</v>
      </c>
      <c r="AJ85" s="155">
        <f t="shared" si="48"/>
        <v>0.93384777016990905</v>
      </c>
      <c r="AK85" s="155">
        <f t="shared" si="48"/>
        <v>2.8914532376575188</v>
      </c>
      <c r="AL85" s="155">
        <f t="shared" si="48"/>
        <v>2.1737019069353276</v>
      </c>
      <c r="AM85" s="155">
        <f t="shared" si="48"/>
        <v>1.3154135106841554</v>
      </c>
      <c r="AN85" s="155">
        <f t="shared" si="48"/>
        <v>0.57550687456097727</v>
      </c>
      <c r="AO85" s="155">
        <f t="shared" si="48"/>
        <v>3.6008604763616976</v>
      </c>
      <c r="AP85" s="155">
        <f t="shared" si="48"/>
        <v>3.1703844315315091</v>
      </c>
      <c r="AQ85" s="155">
        <f t="shared" si="48"/>
        <v>2.0087838484355562</v>
      </c>
      <c r="AR85" s="155">
        <f t="shared" si="48"/>
        <v>0.93864234563049709</v>
      </c>
      <c r="AS85" s="155">
        <f t="shared" si="48"/>
        <v>3.3361475073930911</v>
      </c>
      <c r="AT85" s="155">
        <f t="shared" si="48"/>
        <v>2.5855851863668726</v>
      </c>
      <c r="AU85" s="155">
        <f t="shared" si="48"/>
        <v>1.6832368225686711</v>
      </c>
      <c r="AV85" s="155">
        <f t="shared" si="48"/>
        <v>0.80670749006998299</v>
      </c>
      <c r="AW85" s="155">
        <f t="shared" si="48"/>
        <v>2.9548531454288809</v>
      </c>
      <c r="AX85" s="155">
        <f t="shared" si="48"/>
        <v>2.4118308311856698</v>
      </c>
      <c r="AY85" s="155">
        <f t="shared" si="48"/>
        <v>1.5992753310615537</v>
      </c>
      <c r="AZ85" s="155">
        <f t="shared" si="48"/>
        <v>0.75100156473413004</v>
      </c>
      <c r="BA85" s="155">
        <f t="shared" si="48"/>
        <v>2.6582230057880381</v>
      </c>
      <c r="BB85" s="155">
        <f t="shared" si="48"/>
        <v>2.0438677591098924</v>
      </c>
      <c r="BC85" s="155">
        <f t="shared" si="48"/>
        <v>1.2654790882159199</v>
      </c>
      <c r="BD85" s="155">
        <f t="shared" si="48"/>
        <v>0.61302570834859493</v>
      </c>
      <c r="BE85" s="155">
        <f t="shared" si="48"/>
        <v>2.1864246157491043</v>
      </c>
      <c r="BF85" s="155">
        <f t="shared" si="48"/>
        <v>1.7616605441516977</v>
      </c>
      <c r="BG85" s="155">
        <f t="shared" si="48"/>
        <v>1.1099604822337146</v>
      </c>
      <c r="BH85" s="155">
        <f t="shared" si="48"/>
        <v>0.51232373184422442</v>
      </c>
      <c r="BI85" s="155">
        <f t="shared" si="48"/>
        <v>1.6959466326277577</v>
      </c>
      <c r="BJ85" s="155">
        <f t="shared" si="48"/>
        <v>1.3409300728305809</v>
      </c>
      <c r="BK85" s="155">
        <f t="shared" si="48"/>
        <v>0.85214082659085943</v>
      </c>
      <c r="BL85" s="155">
        <f t="shared" si="48"/>
        <v>0.43539690817327664</v>
      </c>
      <c r="BM85" s="155">
        <f t="shared" si="48"/>
        <v>1.4009801294738935</v>
      </c>
      <c r="BN85" s="155">
        <f t="shared" si="48"/>
        <v>1.0652227151563103</v>
      </c>
      <c r="BO85" s="155">
        <f t="shared" si="48"/>
        <v>0.65469883332247036</v>
      </c>
      <c r="BP85" s="155">
        <f t="shared" si="48"/>
        <v>0.29997619047619045</v>
      </c>
      <c r="BQ85" s="155">
        <f t="shared" si="48"/>
        <v>1.4281752400259031</v>
      </c>
      <c r="BR85" s="155">
        <f t="shared" ref="BR85:CK85" si="49">BR81/BR84</f>
        <v>0.87674184586441495</v>
      </c>
      <c r="BS85" s="155">
        <f t="shared" si="49"/>
        <v>1.7433544235461789</v>
      </c>
      <c r="BT85" s="155" t="e">
        <f t="shared" si="49"/>
        <v>#DIV/0!</v>
      </c>
      <c r="BU85" s="155" t="e">
        <f t="shared" si="49"/>
        <v>#DIV/0!</v>
      </c>
      <c r="BV85" s="155" t="e">
        <f t="shared" si="49"/>
        <v>#DIV/0!</v>
      </c>
      <c r="BW85" s="155" t="e">
        <f t="shared" si="49"/>
        <v>#DIV/0!</v>
      </c>
      <c r="BX85" s="155" t="e">
        <f t="shared" si="49"/>
        <v>#DIV/0!</v>
      </c>
      <c r="BY85" s="155" t="e">
        <f t="shared" si="49"/>
        <v>#DIV/0!</v>
      </c>
      <c r="BZ85" s="155" t="e">
        <f t="shared" si="49"/>
        <v>#DIV/0!</v>
      </c>
      <c r="CA85" s="155" t="e">
        <f t="shared" si="49"/>
        <v>#DIV/0!</v>
      </c>
      <c r="CB85" s="155" t="e">
        <f t="shared" si="49"/>
        <v>#DIV/0!</v>
      </c>
      <c r="CC85" s="155" t="e">
        <f t="shared" si="49"/>
        <v>#DIV/0!</v>
      </c>
      <c r="CD85" s="155" t="e">
        <f t="shared" si="49"/>
        <v>#DIV/0!</v>
      </c>
      <c r="CE85" s="155" t="e">
        <f t="shared" si="49"/>
        <v>#DIV/0!</v>
      </c>
      <c r="CF85" s="155" t="e">
        <f t="shared" si="49"/>
        <v>#DIV/0!</v>
      </c>
      <c r="CG85" s="155" t="e">
        <f t="shared" si="49"/>
        <v>#DIV/0!</v>
      </c>
      <c r="CH85" s="155" t="e">
        <f t="shared" si="49"/>
        <v>#DIV/0!</v>
      </c>
      <c r="CI85" s="155" t="e">
        <f t="shared" si="49"/>
        <v>#DIV/0!</v>
      </c>
      <c r="CJ85" s="155" t="e">
        <f t="shared" si="49"/>
        <v>#DIV/0!</v>
      </c>
      <c r="CK85" s="155" t="e">
        <f t="shared" si="49"/>
        <v>#DIV/0!</v>
      </c>
    </row>
    <row r="86" spans="1:89" s="76" customFormat="1" x14ac:dyDescent="0.25">
      <c r="A86" s="70" t="s">
        <v>585</v>
      </c>
      <c r="E86" s="76">
        <f>资产资本表!E53</f>
        <v>118645000000</v>
      </c>
      <c r="F86" s="76">
        <f>资产资本表!F53</f>
        <v>113293000000</v>
      </c>
      <c r="G86" s="76">
        <f>资产资本表!G53</f>
        <v>119548000000</v>
      </c>
      <c r="H86" s="76">
        <f>资产资本表!H53</f>
        <v>123242000000</v>
      </c>
      <c r="I86" s="76">
        <f>资产资本表!I53</f>
        <v>129581000000</v>
      </c>
      <c r="J86" s="76">
        <f>资产资本表!J53</f>
        <v>123022000000</v>
      </c>
      <c r="K86" s="76">
        <f>资产资本表!K53</f>
        <v>126790000000</v>
      </c>
      <c r="L86" s="76">
        <f>资产资本表!L53</f>
        <v>145745000000</v>
      </c>
      <c r="M86" s="76">
        <f>资产资本表!M53</f>
        <v>152276000000</v>
      </c>
      <c r="N86" s="76">
        <f>资产资本表!N53</f>
        <v>160372000000</v>
      </c>
      <c r="O86" s="76">
        <f>资产资本表!O53</f>
        <v>165173000000</v>
      </c>
      <c r="P86" s="76">
        <f>资产资本表!P53</f>
        <v>166652000000</v>
      </c>
      <c r="Q86" s="76">
        <f>资产资本表!Q53</f>
        <v>177667000000</v>
      </c>
      <c r="R86" s="76">
        <f>资产资本表!R53</f>
        <v>172493000000</v>
      </c>
      <c r="S86" s="76">
        <f>资产资本表!S53</f>
        <v>160824000000</v>
      </c>
      <c r="T86" s="76">
        <f>资产资本表!T53</f>
        <v>159278000000</v>
      </c>
      <c r="U86" s="76">
        <f>资产资本表!U53</f>
        <v>160630000000</v>
      </c>
      <c r="V86" s="76">
        <f>资产资本表!V53</f>
        <v>158487000000</v>
      </c>
      <c r="W86" s="76">
        <f>资产资本表!W53</f>
        <v>166956000000</v>
      </c>
      <c r="X86" s="76">
        <f>资产资本表!X53</f>
        <v>172558000000</v>
      </c>
      <c r="Y86" s="76">
        <f>资产资本表!Y53</f>
        <v>168977000000</v>
      </c>
      <c r="Z86" s="76">
        <f>资产资本表!Z53</f>
        <v>155533000000</v>
      </c>
      <c r="AA86" s="76">
        <f>资产资本表!AA53</f>
        <v>139955000000</v>
      </c>
      <c r="AB86" s="76">
        <f>资产资本表!AB53</f>
        <v>124147000000</v>
      </c>
      <c r="AC86" s="76">
        <f>资产资本表!AC53</f>
        <v>111311000000</v>
      </c>
      <c r="AD86" s="76">
        <f>资产资本表!AD53</f>
        <v>110111000000</v>
      </c>
      <c r="AE86" s="76">
        <f>资产资本表!AE53</f>
        <v>101299000000</v>
      </c>
      <c r="AF86" s="76">
        <f>资产资本表!AF53</f>
        <v>97382000000</v>
      </c>
      <c r="AG86" s="76">
        <f>资产资本表!AG53</f>
        <v>89599000000</v>
      </c>
      <c r="AH86" s="76">
        <f>资产资本表!AH53</f>
        <v>89616000000</v>
      </c>
      <c r="AI86" s="76">
        <f>资产资本表!AI53</f>
        <v>95326000000</v>
      </c>
      <c r="AJ86" s="76">
        <f>资产资本表!AJ53</f>
        <v>101052000000</v>
      </c>
      <c r="AK86" s="76">
        <f>资产资本表!AK53</f>
        <v>119786000000</v>
      </c>
      <c r="AL86" s="76">
        <f>资产资本表!AL53</f>
        <v>145853000000</v>
      </c>
      <c r="AM86" s="76">
        <f>资产资本表!AM53</f>
        <v>142148000000</v>
      </c>
      <c r="AN86" s="76">
        <f>资产资本表!AN53</f>
        <v>131962000000</v>
      </c>
      <c r="AO86" s="76">
        <f>资产资本表!AO53</f>
        <v>121886000000</v>
      </c>
      <c r="AP86" s="76">
        <f>资产资本表!AP53</f>
        <v>118816000000</v>
      </c>
      <c r="AQ86" s="76">
        <f>资产资本表!AQ53</f>
        <v>105503000000</v>
      </c>
      <c r="AR86" s="76">
        <f>资产资本表!AR53</f>
        <v>106005000000</v>
      </c>
      <c r="AS86" s="76">
        <f>资产资本表!AS53</f>
        <v>95408000000</v>
      </c>
      <c r="AT86" s="76">
        <f>资产资本表!AT53</f>
        <v>84241000000</v>
      </c>
      <c r="AU86" s="76">
        <f>资产资本表!AU53</f>
        <v>71755000000</v>
      </c>
      <c r="AV86" s="76">
        <f>资产资本表!AV53</f>
        <v>62689000000</v>
      </c>
      <c r="AW86" s="76">
        <f>资产资本表!AW53</f>
        <v>52757000000</v>
      </c>
      <c r="AX86" s="76">
        <f>资产资本表!AX53</f>
        <v>56144000000</v>
      </c>
      <c r="AY86" s="76">
        <f>资产资本表!AY53</f>
        <v>62628000000</v>
      </c>
      <c r="AZ86" s="76">
        <f>资产资本表!AZ53</f>
        <v>58760000000</v>
      </c>
      <c r="BA86" s="76">
        <f>资产资本表!BA53</f>
        <v>48073000000</v>
      </c>
      <c r="BB86" s="76">
        <f>资产资本表!BB53</f>
        <v>54725000000</v>
      </c>
      <c r="BC86" s="76">
        <f>资产资本表!BC53</f>
        <v>47629000000</v>
      </c>
      <c r="BD86" s="76">
        <f>资产资本表!BD53</f>
        <v>50841000000</v>
      </c>
      <c r="BE86" s="76">
        <f>资产资本表!BE53</f>
        <v>45976000000</v>
      </c>
      <c r="BF86" s="76">
        <f>资产资本表!BF53</f>
        <v>53673000000</v>
      </c>
      <c r="BG86" s="76">
        <f>资产资本表!BG53</f>
        <v>44498000000</v>
      </c>
      <c r="BH86" s="76">
        <f>资产资本表!BH53</f>
        <v>37304000000</v>
      </c>
      <c r="BI86" s="76">
        <f>资产资本表!BI53</f>
        <v>28513000000</v>
      </c>
      <c r="BJ86" s="76">
        <f>资产资本表!BJ53</f>
        <v>34685000000</v>
      </c>
      <c r="BK86" s="76">
        <f>资产资本表!BK53</f>
        <v>29891000000</v>
      </c>
      <c r="BL86" s="76">
        <f>资产资本表!BL53</f>
        <v>28535000000</v>
      </c>
      <c r="BM86" s="76">
        <f>资产资本表!BM53</f>
        <v>21122000000</v>
      </c>
      <c r="BN86" s="76">
        <f>资产资本表!BN53</f>
        <v>35367000000</v>
      </c>
      <c r="BO86" s="76">
        <f>资产资本表!BO53</f>
        <v>31022000000</v>
      </c>
      <c r="BP86" s="76">
        <f>资产资本表!BP53</f>
        <v>33363000000</v>
      </c>
      <c r="BQ86" s="76">
        <f>资产资本表!BQ53</f>
        <v>26006000000</v>
      </c>
      <c r="BR86" s="76">
        <f>资产资本表!BR53</f>
        <v>25654000000</v>
      </c>
      <c r="BS86" s="76">
        <f>资产资本表!BS53</f>
        <v>16150000000</v>
      </c>
      <c r="BT86" s="76">
        <f>资产资本表!BT53</f>
        <v>0</v>
      </c>
      <c r="BU86" s="76">
        <f>资产资本表!BU53</f>
        <v>0</v>
      </c>
      <c r="BV86" s="76">
        <f>资产资本表!BV53</f>
        <v>0</v>
      </c>
      <c r="BW86" s="76">
        <f>资产资本表!BW53</f>
        <v>0</v>
      </c>
      <c r="BX86" s="76">
        <f>资产资本表!BX53</f>
        <v>0</v>
      </c>
      <c r="BY86" s="76">
        <f>资产资本表!BY53</f>
        <v>0</v>
      </c>
      <c r="BZ86" s="76">
        <f>资产资本表!BZ53</f>
        <v>0</v>
      </c>
      <c r="CA86" s="76">
        <f>资产资本表!CA53</f>
        <v>0</v>
      </c>
      <c r="CB86" s="76">
        <f>资产资本表!CB53</f>
        <v>0</v>
      </c>
      <c r="CC86" s="76">
        <f>资产资本表!CC53</f>
        <v>0</v>
      </c>
      <c r="CD86" s="76">
        <f>资产资本表!CD53</f>
        <v>0</v>
      </c>
      <c r="CE86" s="76">
        <f>资产资本表!CE53</f>
        <v>0</v>
      </c>
      <c r="CF86" s="76">
        <f>资产资本表!CF53</f>
        <v>0</v>
      </c>
      <c r="CG86" s="76">
        <f>资产资本表!CG53</f>
        <v>0</v>
      </c>
      <c r="CH86" s="76">
        <f>资产资本表!CH53</f>
        <v>0</v>
      </c>
      <c r="CI86" s="76">
        <f>资产资本表!CI53</f>
        <v>0</v>
      </c>
      <c r="CJ86" s="76">
        <f>资产资本表!CJ53</f>
        <v>0</v>
      </c>
      <c r="CK86" s="76">
        <f>资产资本表!CK53</f>
        <v>0</v>
      </c>
    </row>
    <row r="87" spans="1:89" s="54" customFormat="1" x14ac:dyDescent="0.25">
      <c r="A87" s="254" t="s">
        <v>586</v>
      </c>
      <c r="E87" s="54">
        <f>E81/E86</f>
        <v>19.892898984365122</v>
      </c>
      <c r="F87" s="54">
        <f t="shared" ref="F87:BQ87" si="50">F81/F86</f>
        <v>15.402143115638212</v>
      </c>
      <c r="G87" s="54">
        <f t="shared" si="50"/>
        <v>9.7520410211797763</v>
      </c>
      <c r="H87" s="54">
        <f t="shared" si="50"/>
        <v>4.7239171710942696</v>
      </c>
      <c r="I87" s="54">
        <f t="shared" si="50"/>
        <v>14.901189217555043</v>
      </c>
      <c r="J87" s="54">
        <f t="shared" si="50"/>
        <v>11.087000699061957</v>
      </c>
      <c r="K87" s="54">
        <f t="shared" si="50"/>
        <v>6.934458553513684</v>
      </c>
      <c r="L87" s="54">
        <f t="shared" si="50"/>
        <v>2.8391368486054409</v>
      </c>
      <c r="M87" s="54">
        <f t="shared" si="50"/>
        <v>13.258051170243505</v>
      </c>
      <c r="N87" s="54">
        <f t="shared" si="50"/>
        <v>9.5829508891826496</v>
      </c>
      <c r="O87" s="54">
        <f t="shared" si="50"/>
        <v>6.2986202345419651</v>
      </c>
      <c r="P87" s="54">
        <f t="shared" si="50"/>
        <v>2.8696985334709453</v>
      </c>
      <c r="Q87" s="54">
        <f t="shared" si="50"/>
        <v>15.905677475276782</v>
      </c>
      <c r="R87" s="54">
        <f t="shared" si="50"/>
        <v>12.265123802125304</v>
      </c>
      <c r="S87" s="54">
        <f t="shared" si="50"/>
        <v>8.4326468686265734</v>
      </c>
      <c r="T87" s="54">
        <f t="shared" si="50"/>
        <v>4.024818242318462</v>
      </c>
      <c r="U87" s="54">
        <f t="shared" si="50"/>
        <v>17.931339102284753</v>
      </c>
      <c r="V87" s="54">
        <f t="shared" si="50"/>
        <v>13.502205228189062</v>
      </c>
      <c r="W87" s="54">
        <f t="shared" si="50"/>
        <v>8.4767483648386399</v>
      </c>
      <c r="X87" s="54">
        <f t="shared" si="50"/>
        <v>4.030940321515085</v>
      </c>
      <c r="Y87" s="54">
        <f t="shared" si="50"/>
        <v>16.487717263296187</v>
      </c>
      <c r="Z87" s="54">
        <f t="shared" si="50"/>
        <v>13.018240502015649</v>
      </c>
      <c r="AA87" s="54">
        <f t="shared" si="50"/>
        <v>9.6321817727126575</v>
      </c>
      <c r="AB87" s="54">
        <f t="shared" si="50"/>
        <v>5.4078229840431105</v>
      </c>
      <c r="AC87" s="54">
        <f t="shared" si="50"/>
        <v>22.510650340038271</v>
      </c>
      <c r="AD87" s="54">
        <f t="shared" si="50"/>
        <v>17.029197809483158</v>
      </c>
      <c r="AE87" s="54">
        <f t="shared" si="50"/>
        <v>12.174572305748329</v>
      </c>
      <c r="AF87" s="54">
        <f t="shared" si="50"/>
        <v>6.0467232137355982</v>
      </c>
      <c r="AG87" s="54">
        <f t="shared" si="50"/>
        <v>21.35271599013382</v>
      </c>
      <c r="AH87" s="54">
        <f t="shared" si="50"/>
        <v>15.930436529191216</v>
      </c>
      <c r="AI87" s="54">
        <f t="shared" si="50"/>
        <v>9.8244235570568357</v>
      </c>
      <c r="AJ87" s="54">
        <f t="shared" si="50"/>
        <v>4.3364703321062423</v>
      </c>
      <c r="AK87" s="54">
        <f t="shared" si="50"/>
        <v>11.228791344564474</v>
      </c>
      <c r="AL87" s="54">
        <f t="shared" si="50"/>
        <v>6.125674480470062</v>
      </c>
      <c r="AM87" s="54">
        <f t="shared" si="50"/>
        <v>3.756823873709092</v>
      </c>
      <c r="AN87" s="54">
        <f t="shared" si="50"/>
        <v>1.7322032100150042</v>
      </c>
      <c r="AO87" s="54">
        <f t="shared" si="50"/>
        <v>11.91359959306237</v>
      </c>
      <c r="AP87" s="54">
        <f t="shared" si="50"/>
        <v>9.6569233099919209</v>
      </c>
      <c r="AQ87" s="54">
        <f t="shared" si="50"/>
        <v>6.9645697278750367</v>
      </c>
      <c r="AR87" s="54">
        <f t="shared" si="50"/>
        <v>3.1320220744304512</v>
      </c>
      <c r="AS87" s="54">
        <f t="shared" si="50"/>
        <v>12.628322572530605</v>
      </c>
      <c r="AT87" s="54">
        <f t="shared" si="50"/>
        <v>10.389454066309755</v>
      </c>
      <c r="AU87" s="54">
        <f t="shared" si="50"/>
        <v>7.8995191972684831</v>
      </c>
      <c r="AV87" s="54">
        <f t="shared" si="50"/>
        <v>4.3542567276555699</v>
      </c>
      <c r="AW87" s="54">
        <f t="shared" si="50"/>
        <v>19.799818033625868</v>
      </c>
      <c r="AX87" s="54">
        <f t="shared" si="50"/>
        <v>13.451464092333998</v>
      </c>
      <c r="AY87" s="54">
        <f t="shared" si="50"/>
        <v>7.6960464967746054</v>
      </c>
      <c r="AZ87" s="54">
        <f t="shared" si="50"/>
        <v>3.7899761742682099</v>
      </c>
      <c r="BA87" s="54">
        <f t="shared" si="50"/>
        <v>16.6229484325921</v>
      </c>
      <c r="BB87" s="54">
        <f t="shared" si="50"/>
        <v>10.543444495203289</v>
      </c>
      <c r="BC87" s="54">
        <f t="shared" si="50"/>
        <v>7.5426315899976908</v>
      </c>
      <c r="BD87" s="54">
        <f t="shared" si="50"/>
        <v>3.3248755925335849</v>
      </c>
      <c r="BE87" s="54">
        <f t="shared" si="50"/>
        <v>12.84652862362972</v>
      </c>
      <c r="BF87" s="54">
        <f t="shared" si="50"/>
        <v>7.7822182475360053</v>
      </c>
      <c r="BG87" s="54">
        <f t="shared" si="50"/>
        <v>5.9712571351521415</v>
      </c>
      <c r="BH87" s="54">
        <f t="shared" si="50"/>
        <v>3.3103688612481235</v>
      </c>
      <c r="BI87" s="54">
        <f t="shared" si="50"/>
        <v>14.631606635569741</v>
      </c>
      <c r="BJ87" s="54">
        <f t="shared" si="50"/>
        <v>8.668358079861612</v>
      </c>
      <c r="BK87" s="54">
        <f t="shared" si="50"/>
        <v>6.5184169147904054</v>
      </c>
      <c r="BL87" s="54">
        <f t="shared" si="50"/>
        <v>3.4525670229542667</v>
      </c>
      <c r="BM87" s="54">
        <f t="shared" si="50"/>
        <v>15.348167787141369</v>
      </c>
      <c r="BN87" s="54">
        <f t="shared" si="50"/>
        <v>6.3953120140243733</v>
      </c>
      <c r="BO87" s="54">
        <f t="shared" si="50"/>
        <v>4.5331700083811493</v>
      </c>
      <c r="BP87" s="54">
        <f t="shared" si="50"/>
        <v>1.8881695291190841</v>
      </c>
      <c r="BQ87" s="54">
        <f t="shared" si="50"/>
        <v>11.702953164654311</v>
      </c>
      <c r="BR87" s="54">
        <f t="shared" ref="BR87:CK87" si="51">BR81/BR86</f>
        <v>6.2490839635144617</v>
      </c>
      <c r="BS87" s="54">
        <f t="shared" si="51"/>
        <v>19.995789473684212</v>
      </c>
      <c r="BT87" s="54" t="e">
        <f t="shared" si="51"/>
        <v>#DIV/0!</v>
      </c>
      <c r="BU87" s="54" t="e">
        <f t="shared" si="51"/>
        <v>#DIV/0!</v>
      </c>
      <c r="BV87" s="54" t="e">
        <f t="shared" si="51"/>
        <v>#DIV/0!</v>
      </c>
      <c r="BW87" s="54" t="e">
        <f t="shared" si="51"/>
        <v>#DIV/0!</v>
      </c>
      <c r="BX87" s="54" t="e">
        <f t="shared" si="51"/>
        <v>#DIV/0!</v>
      </c>
      <c r="BY87" s="54" t="e">
        <f t="shared" si="51"/>
        <v>#DIV/0!</v>
      </c>
      <c r="BZ87" s="54" t="e">
        <f t="shared" si="51"/>
        <v>#DIV/0!</v>
      </c>
      <c r="CA87" s="54" t="e">
        <f t="shared" si="51"/>
        <v>#DIV/0!</v>
      </c>
      <c r="CB87" s="54" t="e">
        <f t="shared" si="51"/>
        <v>#DIV/0!</v>
      </c>
      <c r="CC87" s="54" t="e">
        <f t="shared" si="51"/>
        <v>#DIV/0!</v>
      </c>
      <c r="CD87" s="54" t="e">
        <f t="shared" si="51"/>
        <v>#DIV/0!</v>
      </c>
      <c r="CE87" s="54" t="e">
        <f t="shared" si="51"/>
        <v>#DIV/0!</v>
      </c>
      <c r="CF87" s="54" t="e">
        <f t="shared" si="51"/>
        <v>#DIV/0!</v>
      </c>
      <c r="CG87" s="54" t="e">
        <f t="shared" si="51"/>
        <v>#DIV/0!</v>
      </c>
      <c r="CH87" s="54" t="e">
        <f t="shared" si="51"/>
        <v>#DIV/0!</v>
      </c>
      <c r="CI87" s="54" t="e">
        <f t="shared" si="51"/>
        <v>#DIV/0!</v>
      </c>
      <c r="CJ87" s="54" t="e">
        <f t="shared" si="51"/>
        <v>#DIV/0!</v>
      </c>
      <c r="CK87" s="54" t="e">
        <f t="shared" si="51"/>
        <v>#DIV/0!</v>
      </c>
    </row>
    <row r="88" spans="1:89" s="76" customFormat="1" x14ac:dyDescent="0.25">
      <c r="A88" s="70" t="s">
        <v>587</v>
      </c>
      <c r="E88" s="76">
        <f>资产资本表!E54</f>
        <v>0</v>
      </c>
      <c r="F88" s="76">
        <f>资产资本表!F54</f>
        <v>0</v>
      </c>
      <c r="G88" s="76">
        <f>资产资本表!G54</f>
        <v>0</v>
      </c>
      <c r="H88" s="76">
        <f>资产资本表!H54</f>
        <v>0</v>
      </c>
      <c r="I88" s="76">
        <f>资产资本表!I54</f>
        <v>0</v>
      </c>
      <c r="J88" s="76">
        <f>资产资本表!J54</f>
        <v>0</v>
      </c>
      <c r="K88" s="76">
        <f>资产资本表!K54</f>
        <v>0</v>
      </c>
      <c r="L88" s="76">
        <f>资产资本表!L54</f>
        <v>0</v>
      </c>
      <c r="M88" s="76">
        <f>资产资本表!M54</f>
        <v>0</v>
      </c>
      <c r="N88" s="76">
        <f>资产资本表!N54</f>
        <v>0</v>
      </c>
      <c r="O88" s="76">
        <f>资产资本表!O54</f>
        <v>0</v>
      </c>
      <c r="P88" s="76">
        <f>资产资本表!P54</f>
        <v>0</v>
      </c>
      <c r="Q88" s="76">
        <f>资产资本表!Q54</f>
        <v>0</v>
      </c>
      <c r="R88" s="76">
        <f>资产资本表!R54</f>
        <v>0</v>
      </c>
      <c r="S88" s="76">
        <f>资产资本表!S54</f>
        <v>0</v>
      </c>
      <c r="T88" s="76">
        <f>资产资本表!T54</f>
        <v>0</v>
      </c>
      <c r="U88" s="76">
        <f>资产资本表!U54</f>
        <v>0</v>
      </c>
      <c r="V88" s="76">
        <f>资产资本表!V54</f>
        <v>0</v>
      </c>
      <c r="W88" s="76">
        <f>资产资本表!W54</f>
        <v>0</v>
      </c>
      <c r="X88" s="76">
        <f>资产资本表!X54</f>
        <v>0</v>
      </c>
      <c r="Y88" s="76">
        <f>资产资本表!Y54</f>
        <v>0</v>
      </c>
      <c r="Z88" s="76">
        <f>资产资本表!Z54</f>
        <v>0</v>
      </c>
      <c r="AA88" s="76">
        <f>资产资本表!AA54</f>
        <v>0</v>
      </c>
      <c r="AB88" s="76">
        <f>资产资本表!AB54</f>
        <v>0</v>
      </c>
      <c r="AC88" s="76">
        <f>资产资本表!AC54</f>
        <v>0</v>
      </c>
      <c r="AD88" s="76">
        <f>资产资本表!AD54</f>
        <v>0</v>
      </c>
      <c r="AE88" s="76">
        <f>资产资本表!AE54</f>
        <v>0</v>
      </c>
      <c r="AF88" s="76">
        <f>资产资本表!AF54</f>
        <v>0</v>
      </c>
      <c r="AG88" s="76">
        <f>资产资本表!AG54</f>
        <v>0</v>
      </c>
      <c r="AH88" s="76">
        <f>资产资本表!AH54</f>
        <v>0</v>
      </c>
      <c r="AI88" s="76">
        <f>资产资本表!AI54</f>
        <v>0</v>
      </c>
      <c r="AJ88" s="76">
        <f>资产资本表!AJ54</f>
        <v>0</v>
      </c>
      <c r="AK88" s="76">
        <f>资产资本表!AK54</f>
        <v>0</v>
      </c>
      <c r="AL88" s="76">
        <f>资产资本表!AL54</f>
        <v>0</v>
      </c>
      <c r="AM88" s="76">
        <f>资产资本表!AM54</f>
        <v>0</v>
      </c>
      <c r="AN88" s="76">
        <f>资产资本表!AN54</f>
        <v>0</v>
      </c>
      <c r="AO88" s="76">
        <f>资产资本表!AO54</f>
        <v>0</v>
      </c>
      <c r="AP88" s="76">
        <f>资产资本表!AP54</f>
        <v>0</v>
      </c>
      <c r="AQ88" s="76">
        <f>资产资本表!AQ54</f>
        <v>0</v>
      </c>
      <c r="AR88" s="76">
        <f>资产资本表!AR54</f>
        <v>0</v>
      </c>
      <c r="AS88" s="76">
        <f>资产资本表!AS54</f>
        <v>0</v>
      </c>
      <c r="AT88" s="76">
        <f>资产资本表!AT54</f>
        <v>0</v>
      </c>
      <c r="AU88" s="76">
        <f>资产资本表!AU54</f>
        <v>0</v>
      </c>
      <c r="AV88" s="76">
        <f>资产资本表!AV54</f>
        <v>0</v>
      </c>
      <c r="AW88" s="76">
        <f>资产资本表!AW54</f>
        <v>413000000</v>
      </c>
      <c r="AX88" s="76">
        <f>资产资本表!AX54</f>
        <v>398000000</v>
      </c>
      <c r="AY88" s="76">
        <f>资产资本表!AY54</f>
        <v>419000000</v>
      </c>
      <c r="AZ88" s="76">
        <f>资产资本表!AZ54</f>
        <v>322000000</v>
      </c>
      <c r="BA88" s="76">
        <f>资产资本表!BA54</f>
        <v>555000000</v>
      </c>
      <c r="BB88" s="76">
        <f>资产资本表!BB54</f>
        <v>876000000</v>
      </c>
      <c r="BC88" s="76">
        <f>资产资本表!BC54</f>
        <v>984000000</v>
      </c>
      <c r="BD88" s="76">
        <f>资产资本表!BD54</f>
        <v>727000000</v>
      </c>
      <c r="BE88" s="76">
        <f>资产资本表!BE54</f>
        <v>430000000</v>
      </c>
      <c r="BF88" s="76">
        <f>资产资本表!BF54</f>
        <v>1575000000</v>
      </c>
      <c r="BG88" s="76">
        <f>资产资本表!BG54</f>
        <v>1659000000</v>
      </c>
      <c r="BH88" s="76">
        <f>资产资本表!BH54</f>
        <v>2129000000</v>
      </c>
      <c r="BI88" s="76">
        <f>资产资本表!BI54</f>
        <v>1226000000</v>
      </c>
      <c r="BJ88" s="76">
        <f>资产资本表!BJ54</f>
        <v>1845000000</v>
      </c>
      <c r="BK88" s="76">
        <f>资产资本表!BK54</f>
        <v>1360000000</v>
      </c>
      <c r="BL88" s="76">
        <f>资产资本表!BL54</f>
        <v>1483000000</v>
      </c>
      <c r="BM88" s="76">
        <f>资产资本表!BM54</f>
        <v>1403000000</v>
      </c>
      <c r="BN88" s="76">
        <f>资产资本表!BN54</f>
        <v>1185000000</v>
      </c>
      <c r="BO88" s="76">
        <f>资产资本表!BO54</f>
        <v>855000000</v>
      </c>
      <c r="BP88" s="76">
        <f>资产资本表!BP54</f>
        <v>932000000</v>
      </c>
      <c r="BQ88" s="76">
        <f>资产资本表!BQ54</f>
        <v>774000000</v>
      </c>
      <c r="BR88" s="76">
        <f>资产资本表!BR54</f>
        <v>285000000</v>
      </c>
      <c r="BS88" s="76">
        <f>资产资本表!BS54</f>
        <v>468000000</v>
      </c>
      <c r="BT88" s="76">
        <f>资产资本表!BT54</f>
        <v>0</v>
      </c>
      <c r="BU88" s="76">
        <f>资产资本表!BU54</f>
        <v>0</v>
      </c>
      <c r="BV88" s="76">
        <f>资产资本表!BV54</f>
        <v>0</v>
      </c>
      <c r="BW88" s="76">
        <f>资产资本表!BW54</f>
        <v>0</v>
      </c>
      <c r="BX88" s="76">
        <f>资产资本表!BX54</f>
        <v>0</v>
      </c>
      <c r="BY88" s="76">
        <f>资产资本表!BY54</f>
        <v>0</v>
      </c>
      <c r="BZ88" s="76">
        <f>资产资本表!BZ54</f>
        <v>0</v>
      </c>
      <c r="CA88" s="76">
        <f>资产资本表!CA54</f>
        <v>0</v>
      </c>
      <c r="CB88" s="76">
        <f>资产资本表!CB54</f>
        <v>0</v>
      </c>
      <c r="CC88" s="76">
        <f>资产资本表!CC54</f>
        <v>0</v>
      </c>
      <c r="CD88" s="76">
        <f>资产资本表!CD54</f>
        <v>0</v>
      </c>
      <c r="CE88" s="76">
        <f>资产资本表!CE54</f>
        <v>0</v>
      </c>
      <c r="CF88" s="76">
        <f>资产资本表!CF54</f>
        <v>0</v>
      </c>
      <c r="CG88" s="76">
        <f>资产资本表!CG54</f>
        <v>0</v>
      </c>
      <c r="CH88" s="76">
        <f>资产资本表!CH54</f>
        <v>0</v>
      </c>
      <c r="CI88" s="76">
        <f>资产资本表!CI54</f>
        <v>0</v>
      </c>
      <c r="CJ88" s="76">
        <f>资产资本表!CJ54</f>
        <v>0</v>
      </c>
      <c r="CK88" s="76">
        <f>资产资本表!CK54</f>
        <v>0</v>
      </c>
    </row>
    <row r="89" spans="1:89" s="76" customFormat="1" x14ac:dyDescent="0.25">
      <c r="A89" s="70" t="s">
        <v>588</v>
      </c>
      <c r="E89" s="76">
        <f>资产资本表!E55</f>
        <v>0</v>
      </c>
      <c r="F89" s="76">
        <f>资产资本表!F55</f>
        <v>0</v>
      </c>
      <c r="G89" s="76">
        <f>资产资本表!G55</f>
        <v>0</v>
      </c>
      <c r="H89" s="76">
        <f>资产资本表!H55</f>
        <v>0</v>
      </c>
      <c r="I89" s="76">
        <f>资产资本表!I55</f>
        <v>0</v>
      </c>
      <c r="J89" s="76">
        <f>资产资本表!J55</f>
        <v>0</v>
      </c>
      <c r="K89" s="76">
        <f>资产资本表!K55</f>
        <v>0</v>
      </c>
      <c r="L89" s="76">
        <f>资产资本表!L55</f>
        <v>0</v>
      </c>
      <c r="M89" s="76">
        <f>资产资本表!M55</f>
        <v>0</v>
      </c>
      <c r="N89" s="76">
        <f>资产资本表!N55</f>
        <v>0</v>
      </c>
      <c r="O89" s="76">
        <f>资产资本表!O55</f>
        <v>0</v>
      </c>
      <c r="P89" s="76">
        <f>资产资本表!P55</f>
        <v>0</v>
      </c>
      <c r="Q89" s="76">
        <f>资产资本表!Q55</f>
        <v>0</v>
      </c>
      <c r="R89" s="76">
        <f>资产资本表!R55</f>
        <v>0</v>
      </c>
      <c r="S89" s="76">
        <f>资产资本表!S55</f>
        <v>0</v>
      </c>
      <c r="T89" s="76">
        <f>资产资本表!T55</f>
        <v>0</v>
      </c>
      <c r="U89" s="76">
        <f>资产资本表!U55</f>
        <v>0</v>
      </c>
      <c r="V89" s="76">
        <f>资产资本表!V55</f>
        <v>0</v>
      </c>
      <c r="W89" s="76">
        <f>资产资本表!W55</f>
        <v>0</v>
      </c>
      <c r="X89" s="76">
        <f>资产资本表!X55</f>
        <v>0</v>
      </c>
      <c r="Y89" s="76">
        <f>资产资本表!Y55</f>
        <v>0</v>
      </c>
      <c r="Z89" s="76">
        <f>资产资本表!Z55</f>
        <v>0</v>
      </c>
      <c r="AA89" s="76">
        <f>资产资本表!AA55</f>
        <v>0</v>
      </c>
      <c r="AB89" s="76">
        <f>资产资本表!AB55</f>
        <v>0</v>
      </c>
      <c r="AC89" s="76">
        <f>资产资本表!AC55</f>
        <v>0</v>
      </c>
      <c r="AD89" s="76">
        <f>资产资本表!AD55</f>
        <v>0</v>
      </c>
      <c r="AE89" s="76">
        <f>资产资本表!AE55</f>
        <v>0</v>
      </c>
      <c r="AF89" s="76">
        <f>资产资本表!AF55</f>
        <v>0</v>
      </c>
      <c r="AG89" s="76">
        <f>资产资本表!AG55</f>
        <v>0</v>
      </c>
      <c r="AH89" s="76">
        <f>资产资本表!AH55</f>
        <v>0</v>
      </c>
      <c r="AI89" s="76">
        <f>资产资本表!AI55</f>
        <v>0</v>
      </c>
      <c r="AJ89" s="76">
        <f>资产资本表!AJ55</f>
        <v>0</v>
      </c>
      <c r="AK89" s="76">
        <f>资产资本表!AK55</f>
        <v>0</v>
      </c>
      <c r="AL89" s="76">
        <f>资产资本表!AL55</f>
        <v>0</v>
      </c>
      <c r="AM89" s="76">
        <f>资产资本表!AM55</f>
        <v>0</v>
      </c>
      <c r="AN89" s="76">
        <f>资产资本表!AN55</f>
        <v>0</v>
      </c>
      <c r="AO89" s="76">
        <f>资产资本表!AO55</f>
        <v>0</v>
      </c>
      <c r="AP89" s="76">
        <f>资产资本表!AP55</f>
        <v>0</v>
      </c>
      <c r="AQ89" s="76">
        <f>资产资本表!AQ55</f>
        <v>0</v>
      </c>
      <c r="AR89" s="76">
        <f>资产资本表!AR55</f>
        <v>0</v>
      </c>
      <c r="AS89" s="76">
        <f>资产资本表!AS55</f>
        <v>0</v>
      </c>
      <c r="AT89" s="76">
        <f>资产资本表!AT55</f>
        <v>0</v>
      </c>
      <c r="AU89" s="76">
        <f>资产资本表!AU55</f>
        <v>0</v>
      </c>
      <c r="AV89" s="76">
        <f>资产资本表!AV55</f>
        <v>0</v>
      </c>
      <c r="AW89" s="76">
        <f>资产资本表!AW55</f>
        <v>0</v>
      </c>
      <c r="AX89" s="76">
        <f>资产资本表!AX55</f>
        <v>0</v>
      </c>
      <c r="AY89" s="76">
        <f>资产资本表!AY55</f>
        <v>0</v>
      </c>
      <c r="AZ89" s="76">
        <f>资产资本表!AZ55</f>
        <v>0</v>
      </c>
      <c r="BA89" s="76">
        <f>资产资本表!BA55</f>
        <v>0</v>
      </c>
      <c r="BB89" s="76">
        <f>资产资本表!BB55</f>
        <v>0</v>
      </c>
      <c r="BC89" s="76">
        <f>资产资本表!BC55</f>
        <v>0</v>
      </c>
      <c r="BD89" s="76">
        <f>资产资本表!BD55</f>
        <v>0</v>
      </c>
      <c r="BE89" s="76">
        <f>资产资本表!BE55</f>
        <v>0</v>
      </c>
      <c r="BF89" s="76">
        <f>资产资本表!BF55</f>
        <v>0</v>
      </c>
      <c r="BG89" s="76">
        <f>资产资本表!BG55</f>
        <v>0</v>
      </c>
      <c r="BH89" s="76">
        <f>资产资本表!BH55</f>
        <v>0</v>
      </c>
      <c r="BI89" s="76">
        <f>资产资本表!BI55</f>
        <v>0</v>
      </c>
      <c r="BJ89" s="76">
        <f>资产资本表!BJ55</f>
        <v>0</v>
      </c>
      <c r="BK89" s="76">
        <f>资产资本表!BK55</f>
        <v>0</v>
      </c>
      <c r="BL89" s="76">
        <f>资产资本表!BL55</f>
        <v>0</v>
      </c>
      <c r="BM89" s="76">
        <f>资产资本表!BM55</f>
        <v>0</v>
      </c>
      <c r="BN89" s="76">
        <f>资产资本表!BN55</f>
        <v>0</v>
      </c>
      <c r="BO89" s="76">
        <f>资产资本表!BO55</f>
        <v>0</v>
      </c>
      <c r="BP89" s="76">
        <f>资产资本表!BP55</f>
        <v>0</v>
      </c>
      <c r="BQ89" s="76">
        <f>资产资本表!BQ55</f>
        <v>0</v>
      </c>
      <c r="BR89" s="76">
        <f>资产资本表!BR55</f>
        <v>0</v>
      </c>
      <c r="BS89" s="76">
        <f>资产资本表!BS55</f>
        <v>0</v>
      </c>
      <c r="BT89" s="76">
        <f>资产资本表!BT55</f>
        <v>0</v>
      </c>
      <c r="BU89" s="76">
        <f>资产资本表!BU55</f>
        <v>0</v>
      </c>
      <c r="BV89" s="76">
        <f>资产资本表!BV55</f>
        <v>0</v>
      </c>
      <c r="BW89" s="76">
        <f>资产资本表!BW55</f>
        <v>0</v>
      </c>
      <c r="BX89" s="76">
        <f>资产资本表!BX55</f>
        <v>0</v>
      </c>
      <c r="BY89" s="76">
        <f>资产资本表!BY55</f>
        <v>0</v>
      </c>
      <c r="BZ89" s="76">
        <f>资产资本表!BZ55</f>
        <v>0</v>
      </c>
      <c r="CA89" s="76">
        <f>资产资本表!CA55</f>
        <v>0</v>
      </c>
      <c r="CB89" s="76">
        <f>资产资本表!CB55</f>
        <v>0</v>
      </c>
      <c r="CC89" s="76">
        <f>资产资本表!CC55</f>
        <v>0</v>
      </c>
      <c r="CD89" s="76">
        <f>资产资本表!CD55</f>
        <v>0</v>
      </c>
      <c r="CE89" s="76">
        <f>资产资本表!CE55</f>
        <v>0</v>
      </c>
      <c r="CF89" s="76">
        <f>资产资本表!CF55</f>
        <v>0</v>
      </c>
      <c r="CG89" s="76">
        <f>资产资本表!CG55</f>
        <v>0</v>
      </c>
      <c r="CH89" s="76">
        <f>资产资本表!CH55</f>
        <v>0</v>
      </c>
      <c r="CI89" s="76">
        <f>资产资本表!CI55</f>
        <v>0</v>
      </c>
      <c r="CJ89" s="76">
        <f>资产资本表!CJ55</f>
        <v>0</v>
      </c>
      <c r="CK89" s="76">
        <f>资产资本表!CK55</f>
        <v>0</v>
      </c>
    </row>
    <row r="90" spans="1:89" s="76" customFormat="1" x14ac:dyDescent="0.25">
      <c r="A90" s="70" t="s">
        <v>589</v>
      </c>
      <c r="E90" s="76">
        <f>资产资本表!E56</f>
        <v>0</v>
      </c>
      <c r="F90" s="76">
        <f>资产资本表!F56</f>
        <v>0</v>
      </c>
      <c r="G90" s="76">
        <f>资产资本表!G56</f>
        <v>0</v>
      </c>
      <c r="H90" s="76">
        <f>资产资本表!H56</f>
        <v>0</v>
      </c>
      <c r="I90" s="76">
        <f>资产资本表!I56</f>
        <v>0</v>
      </c>
      <c r="J90" s="76">
        <f>资产资本表!J56</f>
        <v>0</v>
      </c>
      <c r="K90" s="76">
        <f>资产资本表!K56</f>
        <v>0</v>
      </c>
      <c r="L90" s="76">
        <f>资产资本表!L56</f>
        <v>0</v>
      </c>
      <c r="M90" s="76">
        <f>资产资本表!M56</f>
        <v>0</v>
      </c>
      <c r="N90" s="76">
        <f>资产资本表!N56</f>
        <v>0</v>
      </c>
      <c r="O90" s="76">
        <f>资产资本表!O56</f>
        <v>0</v>
      </c>
      <c r="P90" s="76">
        <f>资产资本表!P56</f>
        <v>0</v>
      </c>
      <c r="Q90" s="76">
        <f>资产资本表!Q56</f>
        <v>0</v>
      </c>
      <c r="R90" s="76">
        <f>资产资本表!R56</f>
        <v>0</v>
      </c>
      <c r="S90" s="76">
        <f>资产资本表!S56</f>
        <v>0</v>
      </c>
      <c r="T90" s="76">
        <f>资产资本表!T56</f>
        <v>0</v>
      </c>
      <c r="U90" s="76">
        <f>资产资本表!U56</f>
        <v>0</v>
      </c>
      <c r="V90" s="76">
        <f>资产资本表!V56</f>
        <v>0</v>
      </c>
      <c r="W90" s="76">
        <f>资产资本表!W56</f>
        <v>0</v>
      </c>
      <c r="X90" s="76">
        <f>资产资本表!X56</f>
        <v>0</v>
      </c>
      <c r="Y90" s="76">
        <f>资产资本表!Y56</f>
        <v>0</v>
      </c>
      <c r="Z90" s="76">
        <f>资产资本表!Z56</f>
        <v>0</v>
      </c>
      <c r="AA90" s="76">
        <f>资产资本表!AA56</f>
        <v>0</v>
      </c>
      <c r="AB90" s="76">
        <f>资产资本表!AB56</f>
        <v>0</v>
      </c>
      <c r="AC90" s="76">
        <f>资产资本表!AC56</f>
        <v>0</v>
      </c>
      <c r="AD90" s="76">
        <f>资产资本表!AD56</f>
        <v>0</v>
      </c>
      <c r="AE90" s="76">
        <f>资产资本表!AE56</f>
        <v>0</v>
      </c>
      <c r="AF90" s="76">
        <f>资产资本表!AF56</f>
        <v>0</v>
      </c>
      <c r="AG90" s="76">
        <f>资产资本表!AG56</f>
        <v>0</v>
      </c>
      <c r="AH90" s="76">
        <f>资产资本表!AH56</f>
        <v>0</v>
      </c>
      <c r="AI90" s="76">
        <f>资产资本表!AI56</f>
        <v>0</v>
      </c>
      <c r="AJ90" s="76">
        <f>资产资本表!AJ56</f>
        <v>0</v>
      </c>
      <c r="AK90" s="76">
        <f>资产资本表!AK56</f>
        <v>0</v>
      </c>
      <c r="AL90" s="76">
        <f>资产资本表!AL56</f>
        <v>0</v>
      </c>
      <c r="AM90" s="76">
        <f>资产资本表!AM56</f>
        <v>0</v>
      </c>
      <c r="AN90" s="76">
        <f>资产资本表!AN56</f>
        <v>0</v>
      </c>
      <c r="AO90" s="76">
        <f>资产资本表!AO56</f>
        <v>0</v>
      </c>
      <c r="AP90" s="76">
        <f>资产资本表!AP56</f>
        <v>0</v>
      </c>
      <c r="AQ90" s="76">
        <f>资产资本表!AQ56</f>
        <v>0</v>
      </c>
      <c r="AR90" s="76">
        <f>资产资本表!AR56</f>
        <v>0</v>
      </c>
      <c r="AS90" s="76">
        <f>资产资本表!AS56</f>
        <v>0</v>
      </c>
      <c r="AT90" s="76">
        <f>资产资本表!AT56</f>
        <v>0</v>
      </c>
      <c r="AU90" s="76">
        <f>资产资本表!AU56</f>
        <v>0</v>
      </c>
      <c r="AV90" s="76">
        <f>资产资本表!AV56</f>
        <v>0</v>
      </c>
      <c r="AW90" s="76">
        <f>资产资本表!AW56</f>
        <v>0</v>
      </c>
      <c r="AX90" s="76">
        <f>资产资本表!AX56</f>
        <v>0</v>
      </c>
      <c r="AY90" s="76">
        <f>资产资本表!AY56</f>
        <v>0</v>
      </c>
      <c r="AZ90" s="76">
        <f>资产资本表!AZ56</f>
        <v>0</v>
      </c>
      <c r="BA90" s="76">
        <f>资产资本表!BA56</f>
        <v>0</v>
      </c>
      <c r="BB90" s="76">
        <f>资产资本表!BB56</f>
        <v>0</v>
      </c>
      <c r="BC90" s="76">
        <f>资产资本表!BC56</f>
        <v>0</v>
      </c>
      <c r="BD90" s="76">
        <f>资产资本表!BD56</f>
        <v>0</v>
      </c>
      <c r="BE90" s="76">
        <f>资产资本表!BE56</f>
        <v>0</v>
      </c>
      <c r="BF90" s="76">
        <f>资产资本表!BF56</f>
        <v>0</v>
      </c>
      <c r="BG90" s="76">
        <f>资产资本表!BG56</f>
        <v>0</v>
      </c>
      <c r="BH90" s="76">
        <f>资产资本表!BH56</f>
        <v>0</v>
      </c>
      <c r="BI90" s="76">
        <f>资产资本表!BI56</f>
        <v>0</v>
      </c>
      <c r="BJ90" s="76">
        <f>资产资本表!BJ56</f>
        <v>0</v>
      </c>
      <c r="BK90" s="76">
        <f>资产资本表!BK56</f>
        <v>0</v>
      </c>
      <c r="BL90" s="76">
        <f>资产资本表!BL56</f>
        <v>0</v>
      </c>
      <c r="BM90" s="76">
        <f>资产资本表!BM56</f>
        <v>0</v>
      </c>
      <c r="BN90" s="76">
        <f>资产资本表!BN56</f>
        <v>0</v>
      </c>
      <c r="BO90" s="76">
        <f>资产资本表!BO56</f>
        <v>0</v>
      </c>
      <c r="BP90" s="76">
        <f>资产资本表!BP56</f>
        <v>0</v>
      </c>
      <c r="BQ90" s="76">
        <f>资产资本表!BQ56</f>
        <v>0</v>
      </c>
      <c r="BR90" s="76">
        <f>资产资本表!BR56</f>
        <v>0</v>
      </c>
      <c r="BS90" s="76">
        <f>资产资本表!BS56</f>
        <v>0</v>
      </c>
      <c r="BT90" s="76">
        <f>资产资本表!BT56</f>
        <v>0</v>
      </c>
      <c r="BU90" s="76">
        <f>资产资本表!BU56</f>
        <v>0</v>
      </c>
      <c r="BV90" s="76">
        <f>资产资本表!BV56</f>
        <v>0</v>
      </c>
      <c r="BW90" s="76">
        <f>资产资本表!BW56</f>
        <v>0</v>
      </c>
      <c r="BX90" s="76">
        <f>资产资本表!BX56</f>
        <v>0</v>
      </c>
      <c r="BY90" s="76">
        <f>资产资本表!BY56</f>
        <v>0</v>
      </c>
      <c r="BZ90" s="76">
        <f>资产资本表!BZ56</f>
        <v>0</v>
      </c>
      <c r="CA90" s="76">
        <f>资产资本表!CA56</f>
        <v>0</v>
      </c>
      <c r="CB90" s="76">
        <f>资产资本表!CB56</f>
        <v>0</v>
      </c>
      <c r="CC90" s="76">
        <f>资产资本表!CC56</f>
        <v>0</v>
      </c>
      <c r="CD90" s="76">
        <f>资产资本表!CD56</f>
        <v>0</v>
      </c>
      <c r="CE90" s="76">
        <f>资产资本表!CE56</f>
        <v>0</v>
      </c>
      <c r="CF90" s="76">
        <f>资产资本表!CF56</f>
        <v>0</v>
      </c>
      <c r="CG90" s="76">
        <f>资产资本表!CG56</f>
        <v>0</v>
      </c>
      <c r="CH90" s="76">
        <f>资产资本表!CH56</f>
        <v>0</v>
      </c>
      <c r="CI90" s="76">
        <f>资产资本表!CI56</f>
        <v>0</v>
      </c>
      <c r="CJ90" s="76">
        <f>资产资本表!CJ56</f>
        <v>0</v>
      </c>
      <c r="CK90" s="76">
        <f>资产资本表!CK56</f>
        <v>0</v>
      </c>
    </row>
    <row r="91" spans="1:89" s="76" customFormat="1" x14ac:dyDescent="0.25">
      <c r="A91" s="70" t="s">
        <v>590</v>
      </c>
      <c r="E91" s="76">
        <f>资产资本表!E57</f>
        <v>0</v>
      </c>
      <c r="F91" s="76">
        <f>资产资本表!F57</f>
        <v>0</v>
      </c>
      <c r="G91" s="76">
        <f>资产资本表!G57</f>
        <v>0</v>
      </c>
      <c r="H91" s="76">
        <f>资产资本表!H57</f>
        <v>0</v>
      </c>
      <c r="I91" s="76">
        <f>资产资本表!I57</f>
        <v>0</v>
      </c>
      <c r="J91" s="76">
        <f>资产资本表!J57</f>
        <v>0</v>
      </c>
      <c r="K91" s="76">
        <f>资产资本表!K57</f>
        <v>0</v>
      </c>
      <c r="L91" s="76">
        <f>资产资本表!L57</f>
        <v>0</v>
      </c>
      <c r="M91" s="76">
        <f>资产资本表!M57</f>
        <v>0</v>
      </c>
      <c r="N91" s="76">
        <f>资产资本表!N57</f>
        <v>0</v>
      </c>
      <c r="O91" s="76">
        <f>资产资本表!O57</f>
        <v>0</v>
      </c>
      <c r="P91" s="76">
        <f>资产资本表!P57</f>
        <v>0</v>
      </c>
      <c r="Q91" s="76">
        <f>资产资本表!Q57</f>
        <v>0</v>
      </c>
      <c r="R91" s="76">
        <f>资产资本表!R57</f>
        <v>223398000000</v>
      </c>
      <c r="S91" s="76">
        <f>资产资本表!S57</f>
        <v>0</v>
      </c>
      <c r="T91" s="76">
        <f>资产资本表!T57</f>
        <v>0</v>
      </c>
      <c r="U91" s="76">
        <f>资产资本表!U57</f>
        <v>0</v>
      </c>
      <c r="V91" s="76">
        <f>资产资本表!V57</f>
        <v>0</v>
      </c>
      <c r="W91" s="76">
        <f>资产资本表!W57</f>
        <v>0</v>
      </c>
      <c r="X91" s="76">
        <f>资产资本表!X57</f>
        <v>0</v>
      </c>
      <c r="Y91" s="76">
        <f>资产资本表!Y57</f>
        <v>0</v>
      </c>
      <c r="Z91" s="76">
        <f>资产资本表!Z57</f>
        <v>0</v>
      </c>
      <c r="AA91" s="76">
        <f>资产资本表!AA57</f>
        <v>0</v>
      </c>
      <c r="AB91" s="76">
        <f>资产资本表!AB57</f>
        <v>0</v>
      </c>
      <c r="AC91" s="76">
        <f>资产资本表!AC57</f>
        <v>0</v>
      </c>
      <c r="AD91" s="76">
        <f>资产资本表!AD57</f>
        <v>0</v>
      </c>
      <c r="AE91" s="76">
        <f>资产资本表!AE57</f>
        <v>0</v>
      </c>
      <c r="AF91" s="76">
        <f>资产资本表!AF57</f>
        <v>0</v>
      </c>
      <c r="AG91" s="76">
        <f>资产资本表!AG57</f>
        <v>0</v>
      </c>
      <c r="AH91" s="76">
        <f>资产资本表!AH57</f>
        <v>0</v>
      </c>
      <c r="AI91" s="76">
        <f>资产资本表!AI57</f>
        <v>0</v>
      </c>
      <c r="AJ91" s="76">
        <f>资产资本表!AJ57</f>
        <v>0</v>
      </c>
      <c r="AK91" s="76">
        <f>资产资本表!AK57</f>
        <v>0</v>
      </c>
      <c r="AL91" s="76">
        <f>资产资本表!AL57</f>
        <v>0</v>
      </c>
      <c r="AM91" s="76">
        <f>资产资本表!AM57</f>
        <v>0</v>
      </c>
      <c r="AN91" s="76">
        <f>资产资本表!AN57</f>
        <v>0</v>
      </c>
      <c r="AO91" s="76">
        <f>资产资本表!AO57</f>
        <v>0</v>
      </c>
      <c r="AP91" s="76">
        <f>资产资本表!AP57</f>
        <v>0</v>
      </c>
      <c r="AQ91" s="76">
        <f>资产资本表!AQ57</f>
        <v>0</v>
      </c>
      <c r="AR91" s="76">
        <f>资产资本表!AR57</f>
        <v>0</v>
      </c>
      <c r="AS91" s="76">
        <f>资产资本表!AS57</f>
        <v>0</v>
      </c>
      <c r="AT91" s="76">
        <f>资产资本表!AT57</f>
        <v>0</v>
      </c>
      <c r="AU91" s="76">
        <f>资产资本表!AU57</f>
        <v>0</v>
      </c>
      <c r="AV91" s="76">
        <f>资产资本表!AV57</f>
        <v>0</v>
      </c>
      <c r="AW91" s="76">
        <f>资产资本表!AW57</f>
        <v>0</v>
      </c>
      <c r="AX91" s="76">
        <f>资产资本表!AX57</f>
        <v>0</v>
      </c>
      <c r="AY91" s="76">
        <f>资产资本表!AY57</f>
        <v>0</v>
      </c>
      <c r="AZ91" s="76">
        <f>资产资本表!AZ57</f>
        <v>0</v>
      </c>
      <c r="BA91" s="76">
        <f>资产资本表!BA57</f>
        <v>0</v>
      </c>
      <c r="BB91" s="76">
        <f>资产资本表!BB57</f>
        <v>0</v>
      </c>
      <c r="BC91" s="76">
        <f>资产资本表!BC57</f>
        <v>0</v>
      </c>
      <c r="BD91" s="76">
        <f>资产资本表!BD57</f>
        <v>0</v>
      </c>
      <c r="BE91" s="76">
        <f>资产资本表!BE57</f>
        <v>0</v>
      </c>
      <c r="BF91" s="76">
        <f>资产资本表!BF57</f>
        <v>0</v>
      </c>
      <c r="BG91" s="76">
        <f>资产资本表!BG57</f>
        <v>0</v>
      </c>
      <c r="BH91" s="76">
        <f>资产资本表!BH57</f>
        <v>0</v>
      </c>
      <c r="BI91" s="76">
        <f>资产资本表!BI57</f>
        <v>0</v>
      </c>
      <c r="BJ91" s="76">
        <f>资产资本表!BJ57</f>
        <v>0</v>
      </c>
      <c r="BK91" s="76">
        <f>资产资本表!BK57</f>
        <v>0</v>
      </c>
      <c r="BL91" s="76">
        <f>资产资本表!BL57</f>
        <v>0</v>
      </c>
      <c r="BM91" s="76">
        <f>资产资本表!BM57</f>
        <v>0</v>
      </c>
      <c r="BN91" s="76">
        <f>资产资本表!BN57</f>
        <v>0</v>
      </c>
      <c r="BO91" s="76">
        <f>资产资本表!BO57</f>
        <v>0</v>
      </c>
      <c r="BP91" s="76">
        <f>资产资本表!BP57</f>
        <v>0</v>
      </c>
      <c r="BQ91" s="76">
        <f>资产资本表!BQ57</f>
        <v>0</v>
      </c>
      <c r="BR91" s="76">
        <f>资产资本表!BR57</f>
        <v>0</v>
      </c>
      <c r="BS91" s="76">
        <f>资产资本表!BS57</f>
        <v>0</v>
      </c>
      <c r="BT91" s="76">
        <f>资产资本表!BT57</f>
        <v>0</v>
      </c>
      <c r="BU91" s="76">
        <f>资产资本表!BU57</f>
        <v>0</v>
      </c>
      <c r="BV91" s="76">
        <f>资产资本表!BV57</f>
        <v>0</v>
      </c>
      <c r="BW91" s="76">
        <f>资产资本表!BW57</f>
        <v>0</v>
      </c>
      <c r="BX91" s="76">
        <f>资产资本表!BX57</f>
        <v>0</v>
      </c>
      <c r="BY91" s="76">
        <f>资产资本表!BY57</f>
        <v>0</v>
      </c>
      <c r="BZ91" s="76">
        <f>资产资本表!BZ57</f>
        <v>0</v>
      </c>
      <c r="CA91" s="76">
        <f>资产资本表!CA57</f>
        <v>0</v>
      </c>
      <c r="CB91" s="76">
        <f>资产资本表!CB57</f>
        <v>0</v>
      </c>
      <c r="CC91" s="76">
        <f>资产资本表!CC57</f>
        <v>0</v>
      </c>
      <c r="CD91" s="76">
        <f>资产资本表!CD57</f>
        <v>0</v>
      </c>
      <c r="CE91" s="76">
        <f>资产资本表!CE57</f>
        <v>0</v>
      </c>
      <c r="CF91" s="76">
        <f>资产资本表!CF57</f>
        <v>0</v>
      </c>
      <c r="CG91" s="76">
        <f>资产资本表!CG57</f>
        <v>0</v>
      </c>
      <c r="CH91" s="76">
        <f>资产资本表!CH57</f>
        <v>0</v>
      </c>
      <c r="CI91" s="76">
        <f>资产资本表!CI57</f>
        <v>0</v>
      </c>
      <c r="CJ91" s="76">
        <f>资产资本表!CJ57</f>
        <v>0</v>
      </c>
      <c r="CK91" s="76">
        <f>资产资本表!CK57</f>
        <v>0</v>
      </c>
    </row>
    <row r="92" spans="1:89" s="76" customFormat="1" x14ac:dyDescent="0.25">
      <c r="A92" s="70" t="s">
        <v>591</v>
      </c>
      <c r="E92" s="76">
        <f>资产资本表!E58</f>
        <v>97126000000</v>
      </c>
      <c r="F92" s="76">
        <f>资产资本表!F58</f>
        <v>91132000000</v>
      </c>
      <c r="G92" s="76">
        <f>资产资本表!G58</f>
        <v>90230000000</v>
      </c>
      <c r="H92" s="76">
        <f>资产资本表!H58</f>
        <v>86246000000</v>
      </c>
      <c r="I92" s="76">
        <f>资产资本表!I58</f>
        <v>85023000000</v>
      </c>
      <c r="J92" s="76">
        <f>资产资本表!J58</f>
        <v>82007000000</v>
      </c>
      <c r="K92" s="76">
        <f>资产资本表!K58</f>
        <v>82156000000</v>
      </c>
      <c r="L92" s="76">
        <f>资产资本表!L58</f>
        <v>81151000000</v>
      </c>
      <c r="M92" s="76">
        <f>资产资本表!M58</f>
        <v>81081000000</v>
      </c>
      <c r="N92" s="76">
        <f>资产资本表!N58</f>
        <v>78402000000</v>
      </c>
      <c r="O92" s="76">
        <f>资产资本表!O58</f>
        <v>78218000000</v>
      </c>
      <c r="P92" s="76">
        <f>资产资本表!P58</f>
        <v>78331000000</v>
      </c>
      <c r="Q92" s="76">
        <f>资产资本表!Q58</f>
        <v>78681000000</v>
      </c>
      <c r="R92" s="76">
        <f>资产资本表!R58</f>
        <v>68250000000</v>
      </c>
      <c r="S92" s="76">
        <f>资产资本表!S58</f>
        <v>66246000000</v>
      </c>
      <c r="T92" s="76">
        <f>资产资本表!T58</f>
        <v>60763000000</v>
      </c>
      <c r="U92" s="76">
        <f>资产资本表!U58</f>
        <v>60263000000</v>
      </c>
      <c r="V92" s="76">
        <f>资产资本表!V58</f>
        <v>55075000000</v>
      </c>
      <c r="W92" s="76">
        <f>资产资本表!W58</f>
        <v>53016000000</v>
      </c>
      <c r="X92" s="76">
        <f>资产资本表!X58</f>
        <v>51234000000</v>
      </c>
      <c r="Y92" s="76">
        <f>资产资本表!Y58</f>
        <v>49834000000</v>
      </c>
      <c r="Z92" s="76">
        <f>资产资本表!Z58</f>
        <v>46273000000</v>
      </c>
      <c r="AA92" s="76">
        <f>资产资本表!AA58</f>
        <v>44459000000</v>
      </c>
      <c r="AB92" s="76">
        <f>资产资本表!AB58</f>
        <v>38177000000</v>
      </c>
      <c r="AC92" s="76">
        <f>资产资本表!AC58</f>
        <v>34842000000</v>
      </c>
      <c r="AD92" s="76">
        <f>资产资本表!AD58</f>
        <v>29438000000</v>
      </c>
      <c r="AE92" s="76">
        <f>资产资本表!AE58</f>
        <v>28634000000</v>
      </c>
      <c r="AF92" s="76">
        <f>资产资本表!AF58</f>
        <v>27895000000</v>
      </c>
      <c r="AG92" s="76">
        <f>资产资本表!AG58</f>
        <v>27440000000</v>
      </c>
      <c r="AH92" s="76">
        <f>资产资本表!AH58</f>
        <v>24605000000</v>
      </c>
      <c r="AI92" s="76">
        <f>资产资本表!AI58</f>
        <v>24025000000</v>
      </c>
      <c r="AJ92" s="76">
        <f>资产资本表!AJ58</f>
        <v>23263000000</v>
      </c>
      <c r="AK92" s="76">
        <f>资产资本表!AK58</f>
        <v>22862000000</v>
      </c>
      <c r="AL92" s="76">
        <f>资产资本表!AL58</f>
        <v>19317000000</v>
      </c>
      <c r="AM92" s="76">
        <f>资产资本表!AM58</f>
        <v>17533000000</v>
      </c>
      <c r="AN92" s="76">
        <f>资产资本表!AN58</f>
        <v>15976000000</v>
      </c>
      <c r="AO92" s="76">
        <f>资产资本表!AO58</f>
        <v>15965000000</v>
      </c>
      <c r="AP92" s="76">
        <f>资产资本表!AP58</f>
        <v>16985000000</v>
      </c>
      <c r="AQ92" s="76">
        <f>资产资本表!AQ58</f>
        <v>16730000000</v>
      </c>
      <c r="AR92" s="76">
        <f>资产资本表!AR58</f>
        <v>15618000000</v>
      </c>
      <c r="AS92" s="76">
        <f>资产资本表!AS58</f>
        <v>15232000000</v>
      </c>
      <c r="AT92" s="76">
        <f>资产资本表!AT58</f>
        <v>12674000000</v>
      </c>
      <c r="AU92" s="76">
        <f>资产资本表!AU58</f>
        <v>12182000000</v>
      </c>
      <c r="AV92" s="76">
        <f>资产资本表!AV58</f>
        <v>9293000000</v>
      </c>
      <c r="AW92" s="76">
        <f>资产资本表!AW58</f>
        <v>6676000000</v>
      </c>
      <c r="AX92" s="76">
        <f>资产资本表!AX58</f>
        <v>6008000000</v>
      </c>
      <c r="AY92" s="76">
        <f>资产资本表!AY58</f>
        <v>5835000000</v>
      </c>
      <c r="AZ92" s="76">
        <f>资产资本表!AZ58</f>
        <v>5752000000</v>
      </c>
      <c r="BA92" s="76">
        <f>资产资本表!BA58</f>
        <v>5924000000</v>
      </c>
      <c r="BB92" s="76">
        <f>资产资本表!BB58</f>
        <v>5721000000</v>
      </c>
      <c r="BC92" s="76">
        <f>资产资本表!BC58</f>
        <v>6125000000</v>
      </c>
      <c r="BD92" s="76">
        <f>资产资本表!BD58</f>
        <v>6075000000</v>
      </c>
      <c r="BE92" s="76">
        <f>资产资本表!BE58</f>
        <v>5345000000</v>
      </c>
      <c r="BF92" s="76">
        <f>资产资本表!BF58</f>
        <v>4601000000</v>
      </c>
      <c r="BG92" s="76">
        <f>资产资本表!BG58</f>
        <v>4526000000</v>
      </c>
      <c r="BH92" s="76">
        <f>资产资本表!BH58</f>
        <v>4504000000</v>
      </c>
      <c r="BI92" s="76">
        <f>资产资本表!BI58</f>
        <v>4564000000</v>
      </c>
      <c r="BJ92" s="76">
        <f>资产资本表!BJ58</f>
        <v>4001000000</v>
      </c>
      <c r="BK92" s="76">
        <f>资产资本表!BK58</f>
        <v>3945000000</v>
      </c>
      <c r="BL92" s="76">
        <f>资产资本表!BL58</f>
        <v>4059000000</v>
      </c>
      <c r="BM92" s="76">
        <f>资产资本表!BM58</f>
        <v>4062000000</v>
      </c>
      <c r="BN92" s="76">
        <f>资产资本表!BN58</f>
        <v>3810000000</v>
      </c>
      <c r="BO92" s="76">
        <f>资产资本表!BO58</f>
        <v>3904000000</v>
      </c>
      <c r="BP92" s="76">
        <f>资产资本表!BP58</f>
        <v>4055000000</v>
      </c>
      <c r="BQ92" s="76">
        <f>资产资本表!BQ58</f>
        <v>3977000000</v>
      </c>
      <c r="BR92" s="76">
        <f>资产资本表!BR58</f>
        <v>1007000000</v>
      </c>
      <c r="BS92" s="76">
        <f>资产资本表!BS58</f>
        <v>1049000000</v>
      </c>
      <c r="BT92" s="76">
        <f>资产资本表!BT58</f>
        <v>0</v>
      </c>
      <c r="BU92" s="76">
        <f>资产资本表!BU58</f>
        <v>0</v>
      </c>
      <c r="BV92" s="76">
        <f>资产资本表!BV58</f>
        <v>0</v>
      </c>
      <c r="BW92" s="76">
        <f>资产资本表!BW58</f>
        <v>0</v>
      </c>
      <c r="BX92" s="76">
        <f>资产资本表!BX58</f>
        <v>0</v>
      </c>
      <c r="BY92" s="76">
        <f>资产资本表!BY58</f>
        <v>0</v>
      </c>
      <c r="BZ92" s="76">
        <f>资产资本表!BZ58</f>
        <v>0</v>
      </c>
      <c r="CA92" s="76">
        <f>资产资本表!CA58</f>
        <v>0</v>
      </c>
      <c r="CB92" s="76">
        <f>资产资本表!CB58</f>
        <v>0</v>
      </c>
      <c r="CC92" s="76">
        <f>资产资本表!CC58</f>
        <v>0</v>
      </c>
      <c r="CD92" s="76">
        <f>资产资本表!CD58</f>
        <v>0</v>
      </c>
      <c r="CE92" s="76">
        <f>资产资本表!CE58</f>
        <v>0</v>
      </c>
      <c r="CF92" s="76">
        <f>资产资本表!CF58</f>
        <v>0</v>
      </c>
      <c r="CG92" s="76">
        <f>资产资本表!CG58</f>
        <v>0</v>
      </c>
      <c r="CH92" s="76">
        <f>资产资本表!CH58</f>
        <v>0</v>
      </c>
      <c r="CI92" s="76">
        <f>资产资本表!CI58</f>
        <v>0</v>
      </c>
      <c r="CJ92" s="76">
        <f>资产资本表!CJ58</f>
        <v>0</v>
      </c>
      <c r="CK92" s="76">
        <f>资产资本表!CK58</f>
        <v>0</v>
      </c>
    </row>
    <row r="93" spans="1:89" s="155" customFormat="1" x14ac:dyDescent="0.25">
      <c r="A93" s="251" t="s">
        <v>690</v>
      </c>
      <c r="E93" s="155">
        <f>E81/E92</f>
        <v>24.300321232213825</v>
      </c>
      <c r="F93" s="155">
        <f t="shared" ref="F93:BQ93" si="52">F81/F92</f>
        <v>19.147555194662687</v>
      </c>
      <c r="G93" s="155">
        <f t="shared" si="52"/>
        <v>12.920724814363293</v>
      </c>
      <c r="H93" s="155">
        <f t="shared" si="52"/>
        <v>6.7502840711453285</v>
      </c>
      <c r="I93" s="155">
        <f t="shared" si="52"/>
        <v>22.71045481810804</v>
      </c>
      <c r="J93" s="155">
        <f t="shared" si="52"/>
        <v>16.632055800114625</v>
      </c>
      <c r="K93" s="155">
        <f t="shared" si="52"/>
        <v>10.701835532401772</v>
      </c>
      <c r="L93" s="155">
        <f t="shared" si="52"/>
        <v>5.0990129511651121</v>
      </c>
      <c r="M93" s="155">
        <f t="shared" si="52"/>
        <v>24.8995818995819</v>
      </c>
      <c r="N93" s="155">
        <f t="shared" si="52"/>
        <v>19.602012703757556</v>
      </c>
      <c r="O93" s="155">
        <f t="shared" si="52"/>
        <v>13.300800327290393</v>
      </c>
      <c r="P93" s="155">
        <f t="shared" si="52"/>
        <v>6.1053861178843629</v>
      </c>
      <c r="Q93" s="155">
        <f t="shared" si="52"/>
        <v>35.916091559588722</v>
      </c>
      <c r="R93" s="155">
        <f t="shared" si="52"/>
        <v>30.998505494505494</v>
      </c>
      <c r="S93" s="155">
        <f t="shared" si="52"/>
        <v>20.471756785315339</v>
      </c>
      <c r="T93" s="155">
        <f t="shared" si="52"/>
        <v>10.550252620838339</v>
      </c>
      <c r="U93" s="155">
        <f t="shared" si="52"/>
        <v>47.795678940643512</v>
      </c>
      <c r="V93" s="155">
        <f t="shared" si="52"/>
        <v>38.854725374489334</v>
      </c>
      <c r="W93" s="155">
        <f t="shared" si="52"/>
        <v>26.694658216387506</v>
      </c>
      <c r="X93" s="155">
        <f t="shared" si="52"/>
        <v>13.576355545145802</v>
      </c>
      <c r="Y93" s="155">
        <f t="shared" si="52"/>
        <v>55.906509611911545</v>
      </c>
      <c r="Z93" s="155">
        <f t="shared" si="52"/>
        <v>43.7569641043373</v>
      </c>
      <c r="AA93" s="155">
        <f t="shared" si="52"/>
        <v>30.321689646640724</v>
      </c>
      <c r="AB93" s="155">
        <f t="shared" si="52"/>
        <v>17.585588181365743</v>
      </c>
      <c r="AC93" s="155">
        <f t="shared" si="52"/>
        <v>71.91559037942713</v>
      </c>
      <c r="AD93" s="155">
        <f t="shared" si="52"/>
        <v>63.696650587675791</v>
      </c>
      <c r="AE93" s="155">
        <f t="shared" si="52"/>
        <v>43.070196270168331</v>
      </c>
      <c r="AF93" s="155">
        <f t="shared" si="52"/>
        <v>21.109231044990143</v>
      </c>
      <c r="AG93" s="155">
        <f t="shared" si="52"/>
        <v>69.722376093294457</v>
      </c>
      <c r="AH93" s="155">
        <f t="shared" si="52"/>
        <v>58.02162162162162</v>
      </c>
      <c r="AI93" s="155">
        <f t="shared" si="52"/>
        <v>38.981186264308015</v>
      </c>
      <c r="AJ93" s="155">
        <f t="shared" si="52"/>
        <v>18.837166315608478</v>
      </c>
      <c r="AK93" s="155">
        <f t="shared" si="52"/>
        <v>58.83352287638877</v>
      </c>
      <c r="AL93" s="155">
        <f t="shared" si="52"/>
        <v>46.251902469327533</v>
      </c>
      <c r="AM93" s="155">
        <f t="shared" si="52"/>
        <v>30.458278674499514</v>
      </c>
      <c r="AN93" s="155">
        <f t="shared" si="52"/>
        <v>14.308024536805208</v>
      </c>
      <c r="AO93" s="155">
        <f t="shared" si="52"/>
        <v>90.955277168806759</v>
      </c>
      <c r="AP93" s="155">
        <f t="shared" si="52"/>
        <v>67.553547247571387</v>
      </c>
      <c r="AQ93" s="155">
        <f t="shared" si="52"/>
        <v>43.920083682008368</v>
      </c>
      <c r="AR93" s="155">
        <f t="shared" si="52"/>
        <v>21.25816365731848</v>
      </c>
      <c r="AS93" s="155">
        <f t="shared" si="52"/>
        <v>79.099461659663859</v>
      </c>
      <c r="AT93" s="155">
        <f t="shared" si="52"/>
        <v>69.056178002209251</v>
      </c>
      <c r="AU93" s="155">
        <f t="shared" si="52"/>
        <v>46.530126416023641</v>
      </c>
      <c r="AV93" s="155">
        <f t="shared" si="52"/>
        <v>29.373076509200473</v>
      </c>
      <c r="AW93" s="155">
        <f t="shared" si="52"/>
        <v>156.46779508687837</v>
      </c>
      <c r="AX93" s="155">
        <f t="shared" si="52"/>
        <v>125.70223035952064</v>
      </c>
      <c r="AY93" s="155">
        <f t="shared" si="52"/>
        <v>82.602913453299053</v>
      </c>
      <c r="AZ93" s="155">
        <f t="shared" si="52"/>
        <v>38.716794158553547</v>
      </c>
      <c r="BA93" s="155">
        <f t="shared" si="52"/>
        <v>134.89449696151249</v>
      </c>
      <c r="BB93" s="155">
        <f t="shared" si="52"/>
        <v>100.85474567383325</v>
      </c>
      <c r="BC93" s="155">
        <f t="shared" si="52"/>
        <v>58.652734693877548</v>
      </c>
      <c r="BD93" s="155">
        <f t="shared" si="52"/>
        <v>27.825514403292182</v>
      </c>
      <c r="BE93" s="155">
        <f t="shared" si="52"/>
        <v>110.50177736202058</v>
      </c>
      <c r="BF93" s="155">
        <f t="shared" si="52"/>
        <v>90.783525320582484</v>
      </c>
      <c r="BG93" s="155">
        <f t="shared" si="52"/>
        <v>58.707247017233762</v>
      </c>
      <c r="BH93" s="155">
        <f t="shared" si="52"/>
        <v>27.417850799289521</v>
      </c>
      <c r="BI93" s="155">
        <f t="shared" si="52"/>
        <v>91.409070990359339</v>
      </c>
      <c r="BJ93" s="155">
        <f t="shared" si="52"/>
        <v>75.14671332166958</v>
      </c>
      <c r="BK93" s="155">
        <f t="shared" si="52"/>
        <v>49.389607097591892</v>
      </c>
      <c r="BL93" s="155">
        <f t="shared" si="52"/>
        <v>24.271741808327175</v>
      </c>
      <c r="BM93" s="155">
        <f t="shared" si="52"/>
        <v>79.808961102904973</v>
      </c>
      <c r="BN93" s="155">
        <f t="shared" si="52"/>
        <v>59.365616797900259</v>
      </c>
      <c r="BO93" s="155">
        <f t="shared" si="52"/>
        <v>36.021516393442624</v>
      </c>
      <c r="BP93" s="155">
        <f t="shared" si="52"/>
        <v>15.53514180024661</v>
      </c>
      <c r="BQ93" s="155">
        <f t="shared" si="52"/>
        <v>76.52677897913</v>
      </c>
      <c r="BR93" s="155">
        <f t="shared" ref="BR93:CK93" si="53">BR81/BR92</f>
        <v>159.19960278053625</v>
      </c>
      <c r="BS93" s="155">
        <f t="shared" si="53"/>
        <v>307.84747378455671</v>
      </c>
      <c r="BT93" s="155" t="e">
        <f t="shared" si="53"/>
        <v>#DIV/0!</v>
      </c>
      <c r="BU93" s="155" t="e">
        <f t="shared" si="53"/>
        <v>#DIV/0!</v>
      </c>
      <c r="BV93" s="155" t="e">
        <f t="shared" si="53"/>
        <v>#DIV/0!</v>
      </c>
      <c r="BW93" s="155" t="e">
        <f t="shared" si="53"/>
        <v>#DIV/0!</v>
      </c>
      <c r="BX93" s="155" t="e">
        <f t="shared" si="53"/>
        <v>#DIV/0!</v>
      </c>
      <c r="BY93" s="155" t="e">
        <f t="shared" si="53"/>
        <v>#DIV/0!</v>
      </c>
      <c r="BZ93" s="155" t="e">
        <f t="shared" si="53"/>
        <v>#DIV/0!</v>
      </c>
      <c r="CA93" s="155" t="e">
        <f t="shared" si="53"/>
        <v>#DIV/0!</v>
      </c>
      <c r="CB93" s="155" t="e">
        <f t="shared" si="53"/>
        <v>#DIV/0!</v>
      </c>
      <c r="CC93" s="155" t="e">
        <f t="shared" si="53"/>
        <v>#DIV/0!</v>
      </c>
      <c r="CD93" s="155" t="e">
        <f t="shared" si="53"/>
        <v>#DIV/0!</v>
      </c>
      <c r="CE93" s="155" t="e">
        <f t="shared" si="53"/>
        <v>#DIV/0!</v>
      </c>
      <c r="CF93" s="155" t="e">
        <f t="shared" si="53"/>
        <v>#DIV/0!</v>
      </c>
      <c r="CG93" s="155" t="e">
        <f t="shared" si="53"/>
        <v>#DIV/0!</v>
      </c>
      <c r="CH93" s="155" t="e">
        <f t="shared" si="53"/>
        <v>#DIV/0!</v>
      </c>
      <c r="CI93" s="155" t="e">
        <f t="shared" si="53"/>
        <v>#DIV/0!</v>
      </c>
      <c r="CJ93" s="155" t="e">
        <f t="shared" si="53"/>
        <v>#DIV/0!</v>
      </c>
      <c r="CK93" s="155" t="e">
        <f t="shared" si="53"/>
        <v>#DIV/0!</v>
      </c>
    </row>
    <row r="94" spans="1:89" s="76" customFormat="1" x14ac:dyDescent="0.25">
      <c r="A94" s="70" t="s">
        <v>592</v>
      </c>
      <c r="E94" s="76">
        <f>资产资本表!E59</f>
        <v>0</v>
      </c>
      <c r="F94" s="76">
        <f>资产资本表!F59</f>
        <v>0</v>
      </c>
      <c r="G94" s="76">
        <f>资产资本表!G59</f>
        <v>0</v>
      </c>
      <c r="H94" s="76">
        <f>资产资本表!H59</f>
        <v>0</v>
      </c>
      <c r="I94" s="76">
        <f>资产资本表!I59</f>
        <v>0</v>
      </c>
      <c r="J94" s="76">
        <f>资产资本表!J59</f>
        <v>0</v>
      </c>
      <c r="K94" s="76">
        <f>资产资本表!K59</f>
        <v>0</v>
      </c>
      <c r="L94" s="76">
        <f>资产资本表!L59</f>
        <v>0</v>
      </c>
      <c r="M94" s="76">
        <f>资产资本表!M59</f>
        <v>0</v>
      </c>
      <c r="N94" s="76">
        <f>资产资本表!N59</f>
        <v>0</v>
      </c>
      <c r="O94" s="76">
        <f>资产资本表!O59</f>
        <v>0</v>
      </c>
      <c r="P94" s="76">
        <f>资产资本表!P59</f>
        <v>0</v>
      </c>
      <c r="Q94" s="76">
        <f>资产资本表!Q59</f>
        <v>0</v>
      </c>
      <c r="R94" s="76">
        <f>资产资本表!R59</f>
        <v>0</v>
      </c>
      <c r="S94" s="76">
        <f>资产资本表!S59</f>
        <v>0</v>
      </c>
      <c r="T94" s="76">
        <f>资产资本表!T59</f>
        <v>0</v>
      </c>
      <c r="U94" s="76">
        <f>资产资本表!U59</f>
        <v>0</v>
      </c>
      <c r="V94" s="76">
        <f>资产资本表!V59</f>
        <v>0</v>
      </c>
      <c r="W94" s="76">
        <f>资产资本表!W59</f>
        <v>0</v>
      </c>
      <c r="X94" s="76">
        <f>资产资本表!X59</f>
        <v>0</v>
      </c>
      <c r="Y94" s="76">
        <f>资产资本表!Y59</f>
        <v>0</v>
      </c>
      <c r="Z94" s="76">
        <f>资产资本表!Z59</f>
        <v>0</v>
      </c>
      <c r="AA94" s="76">
        <f>资产资本表!AA59</f>
        <v>0</v>
      </c>
      <c r="AB94" s="76">
        <f>资产资本表!AB59</f>
        <v>0</v>
      </c>
      <c r="AC94" s="76">
        <f>资产资本表!AC59</f>
        <v>0</v>
      </c>
      <c r="AD94" s="76">
        <f>资产资本表!AD59</f>
        <v>0</v>
      </c>
      <c r="AE94" s="76">
        <f>资产资本表!AE59</f>
        <v>0</v>
      </c>
      <c r="AF94" s="76">
        <f>资产资本表!AF59</f>
        <v>0</v>
      </c>
      <c r="AG94" s="76">
        <f>资产资本表!AG59</f>
        <v>0</v>
      </c>
      <c r="AH94" s="76">
        <f>资产资本表!AH59</f>
        <v>0</v>
      </c>
      <c r="AI94" s="76">
        <f>资产资本表!AI59</f>
        <v>0</v>
      </c>
      <c r="AJ94" s="76">
        <f>资产资本表!AJ59</f>
        <v>0</v>
      </c>
      <c r="AK94" s="76">
        <f>资产资本表!AK59</f>
        <v>0</v>
      </c>
      <c r="AL94" s="76">
        <f>资产资本表!AL59</f>
        <v>0</v>
      </c>
      <c r="AM94" s="76">
        <f>资产资本表!AM59</f>
        <v>0</v>
      </c>
      <c r="AN94" s="76">
        <f>资产资本表!AN59</f>
        <v>0</v>
      </c>
      <c r="AO94" s="76">
        <f>资产资本表!AO59</f>
        <v>0</v>
      </c>
      <c r="AP94" s="76">
        <f>资产资本表!AP59</f>
        <v>0</v>
      </c>
      <c r="AQ94" s="76">
        <f>资产资本表!AQ59</f>
        <v>0</v>
      </c>
      <c r="AR94" s="76">
        <f>资产资本表!AR59</f>
        <v>0</v>
      </c>
      <c r="AS94" s="76">
        <f>资产资本表!AS59</f>
        <v>0</v>
      </c>
      <c r="AT94" s="76">
        <f>资产资本表!AT59</f>
        <v>0</v>
      </c>
      <c r="AU94" s="76">
        <f>资产资本表!AU59</f>
        <v>0</v>
      </c>
      <c r="AV94" s="76">
        <f>资产资本表!AV59</f>
        <v>0</v>
      </c>
      <c r="AW94" s="76">
        <f>资产资本表!AW59</f>
        <v>0</v>
      </c>
      <c r="AX94" s="76">
        <f>资产资本表!AX59</f>
        <v>0</v>
      </c>
      <c r="AY94" s="76">
        <f>资产资本表!AY59</f>
        <v>0</v>
      </c>
      <c r="AZ94" s="76">
        <f>资产资本表!AZ59</f>
        <v>0</v>
      </c>
      <c r="BA94" s="76">
        <f>资产资本表!BA59</f>
        <v>0</v>
      </c>
      <c r="BB94" s="76">
        <f>资产资本表!BB59</f>
        <v>0</v>
      </c>
      <c r="BC94" s="76">
        <f>资产资本表!BC59</f>
        <v>0</v>
      </c>
      <c r="BD94" s="76">
        <f>资产资本表!BD59</f>
        <v>0</v>
      </c>
      <c r="BE94" s="76">
        <f>资产资本表!BE59</f>
        <v>0</v>
      </c>
      <c r="BF94" s="76">
        <f>资产资本表!BF59</f>
        <v>0</v>
      </c>
      <c r="BG94" s="76">
        <f>资产资本表!BG59</f>
        <v>0</v>
      </c>
      <c r="BH94" s="76">
        <f>资产资本表!BH59</f>
        <v>0</v>
      </c>
      <c r="BI94" s="76">
        <f>资产资本表!BI59</f>
        <v>0</v>
      </c>
      <c r="BJ94" s="76">
        <f>资产资本表!BJ59</f>
        <v>0</v>
      </c>
      <c r="BK94" s="76">
        <f>资产资本表!BK59</f>
        <v>0</v>
      </c>
      <c r="BL94" s="76">
        <f>资产资本表!BL59</f>
        <v>0</v>
      </c>
      <c r="BM94" s="76">
        <f>资产资本表!BM59</f>
        <v>0</v>
      </c>
      <c r="BN94" s="76">
        <f>资产资本表!BN59</f>
        <v>0</v>
      </c>
      <c r="BO94" s="76">
        <f>资产资本表!BO59</f>
        <v>0</v>
      </c>
      <c r="BP94" s="76">
        <f>资产资本表!BP59</f>
        <v>0</v>
      </c>
      <c r="BQ94" s="76">
        <f>资产资本表!BQ59</f>
        <v>0</v>
      </c>
      <c r="BR94" s="76">
        <f>资产资本表!BR59</f>
        <v>0</v>
      </c>
      <c r="BS94" s="76">
        <f>资产资本表!BS59</f>
        <v>0</v>
      </c>
      <c r="BT94" s="76">
        <f>资产资本表!BT59</f>
        <v>0</v>
      </c>
      <c r="BU94" s="76">
        <f>资产资本表!BU59</f>
        <v>0</v>
      </c>
      <c r="BV94" s="76">
        <f>资产资本表!BV59</f>
        <v>0</v>
      </c>
      <c r="BW94" s="76">
        <f>资产资本表!BW59</f>
        <v>0</v>
      </c>
      <c r="BX94" s="76">
        <f>资产资本表!BX59</f>
        <v>0</v>
      </c>
      <c r="BY94" s="76">
        <f>资产资本表!BY59</f>
        <v>0</v>
      </c>
      <c r="BZ94" s="76">
        <f>资产资本表!BZ59</f>
        <v>0</v>
      </c>
      <c r="CA94" s="76">
        <f>资产资本表!CA59</f>
        <v>0</v>
      </c>
      <c r="CB94" s="76">
        <f>资产资本表!CB59</f>
        <v>0</v>
      </c>
      <c r="CC94" s="76">
        <f>资产资本表!CC59</f>
        <v>0</v>
      </c>
      <c r="CD94" s="76">
        <f>资产资本表!CD59</f>
        <v>0</v>
      </c>
      <c r="CE94" s="76">
        <f>资产资本表!CE59</f>
        <v>0</v>
      </c>
      <c r="CF94" s="76">
        <f>资产资本表!CF59</f>
        <v>0</v>
      </c>
      <c r="CG94" s="76">
        <f>资产资本表!CG59</f>
        <v>0</v>
      </c>
      <c r="CH94" s="76">
        <f>资产资本表!CH59</f>
        <v>0</v>
      </c>
      <c r="CI94" s="76">
        <f>资产资本表!CI59</f>
        <v>0</v>
      </c>
      <c r="CJ94" s="76">
        <f>资产资本表!CJ59</f>
        <v>0</v>
      </c>
      <c r="CK94" s="76">
        <f>资产资本表!CK59</f>
        <v>0</v>
      </c>
    </row>
    <row r="95" spans="1:89" s="76" customFormat="1" x14ac:dyDescent="0.25">
      <c r="A95" s="70" t="s">
        <v>593</v>
      </c>
      <c r="E95" s="76">
        <f>资产资本表!E60</f>
        <v>8634000000</v>
      </c>
      <c r="F95" s="76">
        <f>资产资本表!F60</f>
        <v>6326000000</v>
      </c>
      <c r="G95" s="76">
        <f>资产资本表!G60</f>
        <v>6325000000</v>
      </c>
      <c r="H95" s="76">
        <f>资产资本表!H60</f>
        <v>6346000000</v>
      </c>
      <c r="I95" s="76">
        <f>资产资本表!I60</f>
        <v>6353000000</v>
      </c>
      <c r="J95" s="76">
        <f>资产资本表!J60</f>
        <v>6324000000</v>
      </c>
      <c r="K95" s="76">
        <f>资产资本表!K60</f>
        <v>6317000000</v>
      </c>
      <c r="L95" s="76">
        <f>资产资本表!L60</f>
        <v>6300000000</v>
      </c>
      <c r="M95" s="76">
        <f>资产资本表!M60</f>
        <v>6271000000</v>
      </c>
      <c r="N95" s="76">
        <f>资产资本表!N60</f>
        <v>6281000000</v>
      </c>
      <c r="O95" s="76">
        <f>资产资本表!O60</f>
        <v>6281000000</v>
      </c>
      <c r="P95" s="76">
        <f>资产资本表!P60</f>
        <v>6281000000</v>
      </c>
      <c r="Q95" s="76">
        <f>资产资本表!Q60</f>
        <v>6281000000</v>
      </c>
      <c r="R95" s="76">
        <f>资产资本表!R60</f>
        <v>6255000000</v>
      </c>
      <c r="S95" s="76">
        <f>资产资本表!S60</f>
        <v>6255000000</v>
      </c>
      <c r="T95" s="76">
        <f>资产资本表!T60</f>
        <v>6255000000</v>
      </c>
      <c r="U95" s="76">
        <f>资产资本表!U60</f>
        <v>6255000000</v>
      </c>
      <c r="V95" s="76">
        <f>资产资本表!V60</f>
        <v>6254000000</v>
      </c>
      <c r="W95" s="76">
        <f>资产资本表!W60</f>
        <v>6257000000</v>
      </c>
      <c r="X95" s="76">
        <f>资产资本表!X60</f>
        <v>6257000000</v>
      </c>
      <c r="Y95" s="76">
        <f>资产资本表!Y60</f>
        <v>6257000000</v>
      </c>
      <c r="Z95" s="76">
        <f>资产资本表!Z60</f>
        <v>6662000000</v>
      </c>
      <c r="AA95" s="76">
        <f>资产资本表!AA60</f>
        <v>6536000000</v>
      </c>
      <c r="AB95" s="76">
        <f>资产资本表!AB60</f>
        <v>8302000000</v>
      </c>
      <c r="AC95" s="76">
        <f>资产资本表!AC60</f>
        <v>8212000000</v>
      </c>
      <c r="AD95" s="76">
        <f>资产资本表!AD60</f>
        <v>8917000000</v>
      </c>
      <c r="AE95" s="76">
        <f>资产资本表!AE60</f>
        <v>8775000000</v>
      </c>
      <c r="AF95" s="76">
        <f>资产资本表!AF60</f>
        <v>8417000000</v>
      </c>
      <c r="AG95" s="76">
        <f>资产资本表!AG60</f>
        <v>8298000000</v>
      </c>
      <c r="AH95" s="76">
        <f>资产资本表!AH60</f>
        <v>14268000000</v>
      </c>
      <c r="AI95" s="76">
        <f>资产资本表!AI60</f>
        <v>14290000000</v>
      </c>
      <c r="AJ95" s="76">
        <f>资产资本表!AJ60</f>
        <v>14294000000</v>
      </c>
      <c r="AK95" s="76">
        <f>资产资本表!AK60</f>
        <v>14163000000</v>
      </c>
      <c r="AL95" s="76">
        <f>资产资本表!AL60</f>
        <v>14009000000</v>
      </c>
      <c r="AM95" s="76">
        <f>资产资本表!AM60</f>
        <v>14393000000</v>
      </c>
      <c r="AN95" s="76">
        <f>资产资本表!AN60</f>
        <v>14395000000</v>
      </c>
      <c r="AO95" s="76">
        <f>资产资本表!AO60</f>
        <v>14328000000</v>
      </c>
      <c r="AP95" s="76">
        <f>资产资本表!AP60</f>
        <v>15686000000</v>
      </c>
      <c r="AQ95" s="76">
        <f>资产资本表!AQ60</f>
        <v>15707000000</v>
      </c>
      <c r="AR95" s="76">
        <f>资产资本表!AR60</f>
        <v>15701000000</v>
      </c>
      <c r="AS95" s="76">
        <f>资产资本表!AS60</f>
        <v>15690000000</v>
      </c>
      <c r="AT95" s="76">
        <f>资产资本表!AT60</f>
        <v>15407000000</v>
      </c>
      <c r="AU95" s="76">
        <f>资产资本表!AU60</f>
        <v>15407000000</v>
      </c>
      <c r="AV95" s="76">
        <f>资产资本表!AV60</f>
        <v>14510000000</v>
      </c>
      <c r="AW95" s="76">
        <f>资产资本表!AW60</f>
        <v>0</v>
      </c>
      <c r="AX95" s="76">
        <f>资产资本表!AX60</f>
        <v>0</v>
      </c>
      <c r="AY95" s="76">
        <f>资产资本表!AY60</f>
        <v>0</v>
      </c>
      <c r="AZ95" s="76">
        <f>资产资本表!AZ60</f>
        <v>0</v>
      </c>
      <c r="BA95" s="76">
        <f>资产资本表!BA60</f>
        <v>0</v>
      </c>
      <c r="BB95" s="76">
        <f>资产资本表!BB60</f>
        <v>0</v>
      </c>
      <c r="BC95" s="76">
        <f>资产资本表!BC60</f>
        <v>0</v>
      </c>
      <c r="BD95" s="76">
        <f>资产资本表!BD60</f>
        <v>0</v>
      </c>
      <c r="BE95" s="76">
        <f>资产资本表!BE60</f>
        <v>0</v>
      </c>
      <c r="BF95" s="76">
        <f>资产资本表!BF60</f>
        <v>0</v>
      </c>
      <c r="BG95" s="76">
        <f>资产资本表!BG60</f>
        <v>0</v>
      </c>
      <c r="BH95" s="76">
        <f>资产资本表!BH60</f>
        <v>0</v>
      </c>
      <c r="BI95" s="76">
        <f>资产资本表!BI60</f>
        <v>0</v>
      </c>
      <c r="BJ95" s="76">
        <f>资产资本表!BJ60</f>
        <v>0</v>
      </c>
      <c r="BK95" s="76">
        <f>资产资本表!BK60</f>
        <v>0</v>
      </c>
      <c r="BL95" s="76">
        <f>资产资本表!BL60</f>
        <v>0</v>
      </c>
      <c r="BM95" s="76">
        <f>资产资本表!BM60</f>
        <v>0</v>
      </c>
      <c r="BN95" s="76">
        <f>资产资本表!BN60</f>
        <v>0</v>
      </c>
      <c r="BO95" s="76">
        <f>资产资本表!BO60</f>
        <v>0</v>
      </c>
      <c r="BP95" s="76">
        <f>资产资本表!BP60</f>
        <v>0</v>
      </c>
      <c r="BQ95" s="76">
        <f>资产资本表!BQ60</f>
        <v>0</v>
      </c>
      <c r="BR95" s="76">
        <f>资产资本表!BR60</f>
        <v>0</v>
      </c>
      <c r="BS95" s="76">
        <f>资产资本表!BS60</f>
        <v>0</v>
      </c>
      <c r="BT95" s="76">
        <f>资产资本表!BT60</f>
        <v>0</v>
      </c>
      <c r="BU95" s="76">
        <f>资产资本表!BU60</f>
        <v>0</v>
      </c>
      <c r="BV95" s="76">
        <f>资产资本表!BV60</f>
        <v>0</v>
      </c>
      <c r="BW95" s="76">
        <f>资产资本表!BW60</f>
        <v>0</v>
      </c>
      <c r="BX95" s="76">
        <f>资产资本表!BX60</f>
        <v>0</v>
      </c>
      <c r="BY95" s="76">
        <f>资产资本表!BY60</f>
        <v>0</v>
      </c>
      <c r="BZ95" s="76">
        <f>资产资本表!BZ60</f>
        <v>0</v>
      </c>
      <c r="CA95" s="76">
        <f>资产资本表!CA60</f>
        <v>0</v>
      </c>
      <c r="CB95" s="76">
        <f>资产资本表!CB60</f>
        <v>0</v>
      </c>
      <c r="CC95" s="76">
        <f>资产资本表!CC60</f>
        <v>0</v>
      </c>
      <c r="CD95" s="76">
        <f>资产资本表!CD60</f>
        <v>0</v>
      </c>
      <c r="CE95" s="76">
        <f>资产资本表!CE60</f>
        <v>0</v>
      </c>
      <c r="CF95" s="76">
        <f>资产资本表!CF60</f>
        <v>0</v>
      </c>
      <c r="CG95" s="76">
        <f>资产资本表!CG60</f>
        <v>0</v>
      </c>
      <c r="CH95" s="76">
        <f>资产资本表!CH60</f>
        <v>0</v>
      </c>
      <c r="CI95" s="76">
        <f>资产资本表!CI60</f>
        <v>0</v>
      </c>
      <c r="CJ95" s="76">
        <f>资产资本表!CJ60</f>
        <v>0</v>
      </c>
      <c r="CK95" s="76">
        <f>资产资本表!CK60</f>
        <v>0</v>
      </c>
    </row>
    <row r="96" spans="1:89" s="76" customFormat="1" x14ac:dyDescent="0.25">
      <c r="A96" s="70" t="s">
        <v>594</v>
      </c>
      <c r="E96" s="76">
        <f>资产资本表!E61</f>
        <v>14720000000</v>
      </c>
      <c r="F96" s="76">
        <f>资产资本表!F61</f>
        <v>13883000000</v>
      </c>
      <c r="G96" s="76">
        <f>资产资本表!G61</f>
        <v>13764000000</v>
      </c>
      <c r="H96" s="76">
        <f>资产资本表!H61</f>
        <v>13274000000</v>
      </c>
      <c r="I96" s="76">
        <f>资产资本表!I61</f>
        <v>13537000000</v>
      </c>
      <c r="J96" s="76">
        <f>资产资本表!J61</f>
        <v>13663000000</v>
      </c>
      <c r="K96" s="76">
        <f>资产资本表!K61</f>
        <v>13634000000</v>
      </c>
      <c r="L96" s="76">
        <f>资产资本表!L61</f>
        <v>13321000000</v>
      </c>
      <c r="M96" s="76">
        <f>资产资本表!M61</f>
        <v>13919000000</v>
      </c>
      <c r="N96" s="76">
        <f>资产资本表!N61</f>
        <v>13599000000</v>
      </c>
      <c r="O96" s="76">
        <f>资产资本表!O61</f>
        <v>13983000000</v>
      </c>
      <c r="P96" s="76">
        <f>资产资本表!P61</f>
        <v>14107000000</v>
      </c>
      <c r="Q96" s="76">
        <f>资产资本表!Q61</f>
        <v>14158000000</v>
      </c>
      <c r="R96" s="76">
        <f>资产资本表!R61</f>
        <v>13894000000</v>
      </c>
      <c r="S96" s="76">
        <f>资产资本表!S61</f>
        <v>12987000000</v>
      </c>
      <c r="T96" s="76">
        <f>资产资本表!T61</f>
        <v>11821000000</v>
      </c>
      <c r="U96" s="76">
        <f>资产资本表!U61</f>
        <v>11961000000</v>
      </c>
      <c r="V96" s="76">
        <f>资产资本表!V61</f>
        <v>10555000000</v>
      </c>
      <c r="W96" s="76">
        <f>资产资本表!W61</f>
        <v>10322000000</v>
      </c>
      <c r="X96" s="76">
        <f>资产资本表!X61</f>
        <v>9803000000</v>
      </c>
      <c r="Y96" s="76">
        <f>资产资本表!Y61</f>
        <v>10246000000</v>
      </c>
      <c r="Z96" s="76">
        <f>资产资本表!Z61</f>
        <v>9720000000</v>
      </c>
      <c r="AA96" s="76">
        <f>资产资本表!AA61</f>
        <v>9305000000</v>
      </c>
      <c r="AB96" s="76">
        <f>资产资本表!AB61</f>
        <v>9337000000</v>
      </c>
      <c r="AC96" s="76">
        <f>资产资本表!AC61</f>
        <v>9076000000</v>
      </c>
      <c r="AD96" s="76">
        <f>资产资本表!AD61</f>
        <v>8381000000</v>
      </c>
      <c r="AE96" s="76">
        <f>资产资本表!AE61</f>
        <v>7764000000</v>
      </c>
      <c r="AF96" s="76">
        <f>资产资本表!AF61</f>
        <v>7499000000</v>
      </c>
      <c r="AG96" s="76">
        <f>资产资本表!AG61</f>
        <v>7560000000</v>
      </c>
      <c r="AH96" s="76">
        <f>资产资本表!AH61</f>
        <v>6920000000</v>
      </c>
      <c r="AI96" s="76">
        <f>资产资本表!AI61</f>
        <v>6447000000</v>
      </c>
      <c r="AJ96" s="76">
        <f>资产资本表!AJ61</f>
        <v>6142000000</v>
      </c>
      <c r="AK96" s="76">
        <f>资产资本表!AK61</f>
        <v>6281000000</v>
      </c>
      <c r="AL96" s="76">
        <f>资产资本表!AL61</f>
        <v>6524000000</v>
      </c>
      <c r="AM96" s="76">
        <f>资产资本表!AM61</f>
        <v>6175000000</v>
      </c>
      <c r="AN96" s="76">
        <f>资产资本表!AN61</f>
        <v>6418000000</v>
      </c>
      <c r="AO96" s="76">
        <f>资产资本表!AO61</f>
        <v>6557000000</v>
      </c>
      <c r="AP96" s="76">
        <f>资产资本表!AP61</f>
        <v>6643000000</v>
      </c>
      <c r="AQ96" s="76">
        <f>资产资本表!AQ61</f>
        <v>6348000000</v>
      </c>
      <c r="AR96" s="76">
        <f>资产资本表!AR61</f>
        <v>5774000000</v>
      </c>
      <c r="AS96" s="76">
        <f>资产资本表!AS61</f>
        <v>5842000000</v>
      </c>
      <c r="AT96" s="76">
        <f>资产资本表!AT61</f>
        <v>4433000000</v>
      </c>
      <c r="AU96" s="76">
        <f>资产资本表!AU61</f>
        <v>4226000000</v>
      </c>
      <c r="AV96" s="76">
        <f>资产资本表!AV61</f>
        <v>4662000000</v>
      </c>
      <c r="AW96" s="76">
        <f>资产资本表!AW61</f>
        <v>4898000000</v>
      </c>
      <c r="AX96" s="76">
        <f>资产资本表!AX61</f>
        <v>3984000000</v>
      </c>
      <c r="AY96" s="76">
        <f>资产资本表!AY61</f>
        <v>4088000000</v>
      </c>
      <c r="AZ96" s="76">
        <f>资产资本表!AZ61</f>
        <v>4127000000</v>
      </c>
      <c r="BA96" s="76">
        <f>资产资本表!BA61</f>
        <v>3657000000</v>
      </c>
      <c r="BB96" s="76">
        <f>资产资本表!BB61</f>
        <v>4248000000</v>
      </c>
      <c r="BC96" s="76">
        <f>资产资本表!BC61</f>
        <v>3783000000</v>
      </c>
      <c r="BD96" s="76">
        <f>资产资本表!BD61</f>
        <v>3581000000</v>
      </c>
      <c r="BE96" s="76">
        <f>资产资本表!BE61</f>
        <v>3563000000</v>
      </c>
      <c r="BF96" s="76">
        <f>资产资本表!BF61</f>
        <v>943000000</v>
      </c>
      <c r="BG96" s="76">
        <f>资产资本表!BG61</f>
        <v>573000000</v>
      </c>
      <c r="BH96" s="76">
        <f>资产资本表!BH61</f>
        <v>125000000</v>
      </c>
      <c r="BI96" s="76">
        <f>资产资本表!BI61</f>
        <v>97000000</v>
      </c>
      <c r="BJ96" s="76">
        <f>资产资本表!BJ61</f>
        <v>76000000</v>
      </c>
      <c r="BK96" s="76">
        <f>资产资本表!BK61</f>
        <v>58000000</v>
      </c>
      <c r="BL96" s="76">
        <f>资产资本表!BL61</f>
        <v>0</v>
      </c>
      <c r="BM96" s="76">
        <f>资产资本表!BM61</f>
        <v>0</v>
      </c>
      <c r="BN96" s="76">
        <f>资产资本表!BN61</f>
        <v>0</v>
      </c>
      <c r="BO96" s="76">
        <f>资产资本表!BO61</f>
        <v>0</v>
      </c>
      <c r="BP96" s="76">
        <f>资产资本表!BP61</f>
        <v>0</v>
      </c>
      <c r="BQ96" s="76">
        <f>资产资本表!BQ61</f>
        <v>0</v>
      </c>
      <c r="BR96" s="76">
        <f>资产资本表!BR61</f>
        <v>0</v>
      </c>
      <c r="BS96" s="76">
        <f>资产资本表!BS61</f>
        <v>0</v>
      </c>
      <c r="BT96" s="76">
        <f>资产资本表!BT61</f>
        <v>0</v>
      </c>
      <c r="BU96" s="76">
        <f>资产资本表!BU61</f>
        <v>0</v>
      </c>
      <c r="BV96" s="76">
        <f>资产资本表!BV61</f>
        <v>0</v>
      </c>
      <c r="BW96" s="76">
        <f>资产资本表!BW61</f>
        <v>0</v>
      </c>
      <c r="BX96" s="76">
        <f>资产资本表!BX61</f>
        <v>0</v>
      </c>
      <c r="BY96" s="76">
        <f>资产资本表!BY61</f>
        <v>0</v>
      </c>
      <c r="BZ96" s="76">
        <f>资产资本表!BZ61</f>
        <v>0</v>
      </c>
      <c r="CA96" s="76">
        <f>资产资本表!CA61</f>
        <v>0</v>
      </c>
      <c r="CB96" s="76">
        <f>资产资本表!CB61</f>
        <v>0</v>
      </c>
      <c r="CC96" s="76">
        <f>资产资本表!CC61</f>
        <v>0</v>
      </c>
      <c r="CD96" s="76">
        <f>资产资本表!CD61</f>
        <v>0</v>
      </c>
      <c r="CE96" s="76">
        <f>资产资本表!CE61</f>
        <v>0</v>
      </c>
      <c r="CF96" s="76">
        <f>资产资本表!CF61</f>
        <v>0</v>
      </c>
      <c r="CG96" s="76">
        <f>资产资本表!CG61</f>
        <v>0</v>
      </c>
      <c r="CH96" s="76">
        <f>资产资本表!CH61</f>
        <v>0</v>
      </c>
      <c r="CI96" s="76">
        <f>资产资本表!CI61</f>
        <v>0</v>
      </c>
      <c r="CJ96" s="76">
        <f>资产资本表!CJ61</f>
        <v>0</v>
      </c>
      <c r="CK96" s="76">
        <f>资产资本表!CK61</f>
        <v>0</v>
      </c>
    </row>
    <row r="97" spans="1:89" s="76" customFormat="1" x14ac:dyDescent="0.25">
      <c r="A97" s="70" t="s">
        <v>595</v>
      </c>
      <c r="E97" s="76">
        <f>资产资本表!E62</f>
        <v>15131000000</v>
      </c>
      <c r="F97" s="76">
        <f>资产资本表!F62</f>
        <v>11107000000</v>
      </c>
      <c r="G97" s="76">
        <f>资产资本表!G62</f>
        <v>9761000000</v>
      </c>
      <c r="H97" s="76">
        <f>资产资本表!H62</f>
        <v>8112000000</v>
      </c>
      <c r="I97" s="76">
        <f>资产资本表!I62</f>
        <v>7214000000</v>
      </c>
      <c r="J97" s="76">
        <f>资产资本表!J62</f>
        <v>7183000000</v>
      </c>
      <c r="K97" s="76">
        <f>资产资本表!K62</f>
        <v>6818000000</v>
      </c>
      <c r="L97" s="76">
        <f>资产资本表!L62</f>
        <v>7687000000</v>
      </c>
      <c r="M97" s="76">
        <f>资产资本表!M62</f>
        <v>7469000000</v>
      </c>
      <c r="N97" s="76">
        <f>资产资本表!N62</f>
        <v>7171000000</v>
      </c>
      <c r="O97" s="76">
        <f>资产资本表!O62</f>
        <v>6376000000</v>
      </c>
      <c r="P97" s="76">
        <f>资产资本表!P62</f>
        <v>7495000000</v>
      </c>
      <c r="Q97" s="76">
        <f>资产资本表!Q62</f>
        <v>6979000000</v>
      </c>
      <c r="R97" s="76">
        <f>资产资本表!R62</f>
        <v>5610000000</v>
      </c>
      <c r="S97" s="76">
        <f>资产资本表!S62</f>
        <v>5563000000</v>
      </c>
      <c r="T97" s="76">
        <f>资产资本表!T62</f>
        <v>4751000000</v>
      </c>
      <c r="U97" s="76">
        <f>资产资本表!U62</f>
        <v>4141000000</v>
      </c>
      <c r="V97" s="76">
        <f>资产资本表!V62</f>
        <v>4424000000</v>
      </c>
      <c r="W97" s="76">
        <f>资产资本表!W62</f>
        <v>5089000000</v>
      </c>
      <c r="X97" s="76">
        <f>资产资本表!X62</f>
        <v>15092000000</v>
      </c>
      <c r="Y97" s="76">
        <f>资产资本表!Y62</f>
        <v>6381000000</v>
      </c>
      <c r="Z97" s="76">
        <f>资产资本表!Z62</f>
        <v>13740000000</v>
      </c>
      <c r="AA97" s="76">
        <f>资产资本表!AA62</f>
        <v>15167000000</v>
      </c>
      <c r="AB97" s="76">
        <f>资产资本表!AB62</f>
        <v>13640000000</v>
      </c>
      <c r="AC97" s="76">
        <f>资产资本表!AC62</f>
        <v>13398000000</v>
      </c>
      <c r="AD97" s="76">
        <f>资产资本表!AD62</f>
        <v>13425000000</v>
      </c>
      <c r="AE97" s="76">
        <f>资产资本表!AE62</f>
        <v>14748000000</v>
      </c>
      <c r="AF97" s="76">
        <f>资产资本表!AF62</f>
        <v>15541000000</v>
      </c>
      <c r="AG97" s="76">
        <f>资产资本表!AG62</f>
        <v>15578000000</v>
      </c>
      <c r="AH97" s="76">
        <f>资产资本表!AH62</f>
        <v>12728000000</v>
      </c>
      <c r="AI97" s="76">
        <f>资产资本表!AI62</f>
        <v>12577000000</v>
      </c>
      <c r="AJ97" s="76">
        <f>资产资本表!AJ62</f>
        <v>13282000000</v>
      </c>
      <c r="AK97" s="76">
        <f>资产资本表!AK62</f>
        <v>13683000000</v>
      </c>
      <c r="AL97" s="76">
        <f>资产资本表!AL62</f>
        <v>11869000000</v>
      </c>
      <c r="AM97" s="76">
        <f>资产资本表!AM62</f>
        <v>12010000000</v>
      </c>
      <c r="AN97" s="76">
        <f>资产资本表!AN62</f>
        <v>11720000000</v>
      </c>
      <c r="AO97" s="76">
        <f>资产资本表!AO62</f>
        <v>12510000000</v>
      </c>
      <c r="AP97" s="76">
        <f>资产资本表!AP62</f>
        <v>16088000000</v>
      </c>
      <c r="AQ97" s="76">
        <f>资产资本表!AQ62</f>
        <v>18037000000</v>
      </c>
      <c r="AR97" s="76">
        <f>资产资本表!AR62</f>
        <v>12623000000</v>
      </c>
      <c r="AS97" s="76">
        <f>资产资本表!AS62</f>
        <v>10192000000</v>
      </c>
      <c r="AT97" s="76">
        <f>资产资本表!AT62</f>
        <v>8416000000</v>
      </c>
      <c r="AU97" s="76">
        <f>资产资本表!AU62</f>
        <v>8107000000</v>
      </c>
      <c r="AV97" s="76">
        <f>资产资本表!AV62</f>
        <v>9663000000</v>
      </c>
      <c r="AW97" s="76">
        <f>资产资本表!AW62</f>
        <v>6710000000</v>
      </c>
      <c r="AX97" s="76">
        <f>资产资本表!AX62</f>
        <v>5787000000</v>
      </c>
      <c r="AY97" s="76">
        <f>资产资本表!AY62</f>
        <v>5796000000</v>
      </c>
      <c r="AZ97" s="76">
        <f>资产资本表!AZ62</f>
        <v>5835000000</v>
      </c>
      <c r="BA97" s="76">
        <f>资产资本表!BA62</f>
        <v>5701000000</v>
      </c>
      <c r="BB97" s="76">
        <f>资产资本表!BB62</f>
        <v>5459000000</v>
      </c>
      <c r="BC97" s="76">
        <f>资产资本表!BC62</f>
        <v>4718000000</v>
      </c>
      <c r="BD97" s="76">
        <f>资产资本表!BD62</f>
        <v>4971000000</v>
      </c>
      <c r="BE97" s="76">
        <f>资产资本表!BE62</f>
        <v>4166000000</v>
      </c>
      <c r="BF97" s="76">
        <f>资产资本表!BF62</f>
        <v>4049000000</v>
      </c>
      <c r="BG97" s="76">
        <f>资产资本表!BG62</f>
        <v>3115000000</v>
      </c>
      <c r="BH97" s="76">
        <f>资产资本表!BH62</f>
        <v>2297000000</v>
      </c>
      <c r="BI97" s="76">
        <f>资产资本表!BI62</f>
        <v>1752000000</v>
      </c>
      <c r="BJ97" s="76">
        <f>资产资本表!BJ62</f>
        <v>543000000</v>
      </c>
      <c r="BK97" s="76">
        <f>资产资本表!BK62</f>
        <v>689000000</v>
      </c>
      <c r="BL97" s="76">
        <f>资产资本表!BL62</f>
        <v>843000000</v>
      </c>
      <c r="BM97" s="76">
        <f>资产资本表!BM62</f>
        <v>357000000</v>
      </c>
      <c r="BN97" s="76">
        <f>资产资本表!BN62</f>
        <v>451000000</v>
      </c>
      <c r="BO97" s="76">
        <f>资产资本表!BO62</f>
        <v>621000000</v>
      </c>
      <c r="BP97" s="76">
        <f>资产资本表!BP62</f>
        <v>800000000</v>
      </c>
      <c r="BQ97" s="76">
        <f>资产资本表!BQ62</f>
        <v>760000000</v>
      </c>
      <c r="BR97" s="76">
        <f>资产资本表!BR62</f>
        <v>1201000000</v>
      </c>
      <c r="BS97" s="76">
        <f>资产资本表!BS62</f>
        <v>1155000000</v>
      </c>
      <c r="BT97" s="76">
        <f>资产资本表!BT62</f>
        <v>0</v>
      </c>
      <c r="BU97" s="76">
        <f>资产资本表!BU62</f>
        <v>0</v>
      </c>
      <c r="BV97" s="76">
        <f>资产资本表!BV62</f>
        <v>0</v>
      </c>
      <c r="BW97" s="76">
        <f>资产资本表!BW62</f>
        <v>0</v>
      </c>
      <c r="BX97" s="76">
        <f>资产资本表!BX62</f>
        <v>0</v>
      </c>
      <c r="BY97" s="76">
        <f>资产资本表!BY62</f>
        <v>0</v>
      </c>
      <c r="BZ97" s="76">
        <f>资产资本表!BZ62</f>
        <v>0</v>
      </c>
      <c r="CA97" s="76">
        <f>资产资本表!CA62</f>
        <v>0</v>
      </c>
      <c r="CB97" s="76">
        <f>资产资本表!CB62</f>
        <v>0</v>
      </c>
      <c r="CC97" s="76">
        <f>资产资本表!CC62</f>
        <v>0</v>
      </c>
      <c r="CD97" s="76">
        <f>资产资本表!CD62</f>
        <v>0</v>
      </c>
      <c r="CE97" s="76">
        <f>资产资本表!CE62</f>
        <v>0</v>
      </c>
      <c r="CF97" s="76">
        <f>资产资本表!CF62</f>
        <v>0</v>
      </c>
      <c r="CG97" s="76">
        <f>资产资本表!CG62</f>
        <v>0</v>
      </c>
      <c r="CH97" s="76">
        <f>资产资本表!CH62</f>
        <v>0</v>
      </c>
      <c r="CI97" s="76">
        <f>资产资本表!CI62</f>
        <v>0</v>
      </c>
      <c r="CJ97" s="76">
        <f>资产资本表!CJ62</f>
        <v>0</v>
      </c>
      <c r="CK97" s="76">
        <f>资产资本表!CK62</f>
        <v>0</v>
      </c>
    </row>
    <row r="98" spans="1:89" s="76" customFormat="1" x14ac:dyDescent="0.25">
      <c r="A98" s="70" t="s">
        <v>596</v>
      </c>
      <c r="E98" s="76">
        <f>资产资本表!E63</f>
        <v>6466000000</v>
      </c>
      <c r="F98" s="76">
        <f>资产资本表!F63</f>
        <v>5375000000</v>
      </c>
      <c r="G98" s="76">
        <f>资产资本表!G63</f>
        <v>6146000000</v>
      </c>
      <c r="H98" s="76">
        <f>资产资本表!H63</f>
        <v>6967000000</v>
      </c>
      <c r="I98" s="76">
        <f>资产资本表!I63</f>
        <v>7661000000</v>
      </c>
      <c r="J98" s="76">
        <f>资产资本表!J63</f>
        <v>7954000000</v>
      </c>
      <c r="K98" s="76">
        <f>资产资本表!K63</f>
        <v>8431000000</v>
      </c>
      <c r="L98" s="76">
        <f>资产资本表!L63</f>
        <v>7962000000</v>
      </c>
      <c r="M98" s="76">
        <f>资产资本表!M63</f>
        <v>8259000000</v>
      </c>
      <c r="N98" s="76">
        <f>资产资本表!N63</f>
        <v>10129000000</v>
      </c>
      <c r="O98" s="76">
        <f>资产资本表!O63</f>
        <v>10071000000</v>
      </c>
      <c r="P98" s="76">
        <f>资产资本表!P63</f>
        <v>7174000000</v>
      </c>
      <c r="Q98" s="76">
        <f>资产资本表!Q63</f>
        <v>7820000000</v>
      </c>
      <c r="R98" s="76">
        <f>资产资本表!R63</f>
        <v>8776000000</v>
      </c>
      <c r="S98" s="76">
        <f>资产资本表!S63</f>
        <v>9224000000</v>
      </c>
      <c r="T98" s="76">
        <f>资产资本表!T63</f>
        <v>7882000000</v>
      </c>
      <c r="U98" s="76">
        <f>资产资本表!U63</f>
        <v>7977000000</v>
      </c>
      <c r="V98" s="76">
        <f>资产资本表!V63</f>
        <v>6997000000</v>
      </c>
      <c r="W98" s="76">
        <f>资产资本表!W63</f>
        <v>7069000000</v>
      </c>
      <c r="X98" s="76">
        <f>资产资本表!X63</f>
        <v>15839000000</v>
      </c>
      <c r="Y98" s="76">
        <f>资产资本表!Y63</f>
        <v>7294000000</v>
      </c>
      <c r="Z98" s="76">
        <f>资产资本表!Z63</f>
        <v>15601000000</v>
      </c>
      <c r="AA98" s="76">
        <f>资产资本表!AA63</f>
        <v>15423000000</v>
      </c>
      <c r="AB98" s="76">
        <f>资产资本表!AB63</f>
        <v>15157000000</v>
      </c>
      <c r="AC98" s="76">
        <f>资产资本表!AC63</f>
        <v>15181000000</v>
      </c>
      <c r="AD98" s="76">
        <f>资产资本表!AD63</f>
        <v>14951000000</v>
      </c>
      <c r="AE98" s="76">
        <f>资产资本表!AE63</f>
        <v>15266000000</v>
      </c>
      <c r="AF98" s="76">
        <f>资产资本表!AF63</f>
        <v>15662000000</v>
      </c>
      <c r="AG98" s="76">
        <f>资产资本表!AG63</f>
        <v>15017000000</v>
      </c>
      <c r="AH98" s="76">
        <f>资产资本表!AH63</f>
        <v>13077000000</v>
      </c>
      <c r="AI98" s="76">
        <f>资产资本表!AI63</f>
        <v>6607000000</v>
      </c>
      <c r="AJ98" s="76">
        <f>资产资本表!AJ63</f>
        <v>4990000000</v>
      </c>
      <c r="AK98" s="76">
        <f>资产资本表!AK63</f>
        <v>4979000000</v>
      </c>
      <c r="AL98" s="76">
        <f>资产资本表!AL63</f>
        <v>4958000000</v>
      </c>
      <c r="AM98" s="76">
        <f>资产资本表!AM63</f>
        <v>5130000000</v>
      </c>
      <c r="AN98" s="76">
        <f>资产资本表!AN63</f>
        <v>5101000000</v>
      </c>
      <c r="AO98" s="76">
        <f>资产资本表!AO63</f>
        <v>5235000000</v>
      </c>
      <c r="AP98" s="76">
        <f>资产资本表!AP63</f>
        <v>1651000000</v>
      </c>
      <c r="AQ98" s="76">
        <f>资产资本表!AQ63</f>
        <v>1471000000</v>
      </c>
      <c r="AR98" s="76">
        <f>资产资本表!AR63</f>
        <v>1433000000</v>
      </c>
      <c r="AS98" s="76">
        <f>资产资本表!AS63</f>
        <v>1492000000</v>
      </c>
      <c r="AT98" s="76">
        <f>资产资本表!AT63</f>
        <v>2348000000</v>
      </c>
      <c r="AU98" s="76">
        <f>资产资本表!AU63</f>
        <v>2285000000</v>
      </c>
      <c r="AV98" s="76">
        <f>资产资本表!AV63</f>
        <v>2568000000</v>
      </c>
      <c r="AW98" s="76">
        <f>资产资本表!AW63</f>
        <v>0</v>
      </c>
      <c r="AX98" s="76">
        <f>资产资本表!AX63</f>
        <v>0</v>
      </c>
      <c r="AY98" s="76">
        <f>资产资本表!AY63</f>
        <v>0</v>
      </c>
      <c r="AZ98" s="76">
        <f>资产资本表!AZ63</f>
        <v>0</v>
      </c>
      <c r="BA98" s="76">
        <f>资产资本表!BA63</f>
        <v>0</v>
      </c>
      <c r="BB98" s="76">
        <f>资产资本表!BB63</f>
        <v>3000000</v>
      </c>
      <c r="BC98" s="76">
        <f>资产资本表!BC63</f>
        <v>3000000</v>
      </c>
      <c r="BD98" s="76">
        <f>资产资本表!BD63</f>
        <v>188000000</v>
      </c>
      <c r="BE98" s="76">
        <f>资产资本表!BE63</f>
        <v>198000000</v>
      </c>
      <c r="BF98" s="76">
        <f>资产资本表!BF63</f>
        <v>223000000</v>
      </c>
      <c r="BG98" s="76">
        <f>资产资本表!BG63</f>
        <v>238000000</v>
      </c>
      <c r="BH98" s="76">
        <f>资产资本表!BH63</f>
        <v>275000000</v>
      </c>
      <c r="BI98" s="76">
        <f>资产资本表!BI63</f>
        <v>289000000</v>
      </c>
      <c r="BJ98" s="76">
        <f>资产资本表!BJ63</f>
        <v>347000000</v>
      </c>
      <c r="BK98" s="76">
        <f>资产资本表!BK63</f>
        <v>379000000</v>
      </c>
      <c r="BL98" s="76">
        <f>资产资本表!BL63</f>
        <v>487000000</v>
      </c>
      <c r="BM98" s="76">
        <f>资产资本表!BM63</f>
        <v>474000000</v>
      </c>
      <c r="BN98" s="76">
        <f>资产资本表!BN63</f>
        <v>659000000</v>
      </c>
      <c r="BO98" s="76">
        <f>资产资本表!BO63</f>
        <v>688000000</v>
      </c>
      <c r="BP98" s="76">
        <f>资产资本表!BP63</f>
        <v>669000000</v>
      </c>
      <c r="BQ98" s="76">
        <f>资产资本表!BQ63</f>
        <v>679000000</v>
      </c>
      <c r="BR98" s="76">
        <f>资产资本表!BR63</f>
        <v>329000000</v>
      </c>
      <c r="BS98" s="76">
        <f>资产资本表!BS63</f>
        <v>427000000</v>
      </c>
      <c r="BT98" s="76">
        <f>资产资本表!BT63</f>
        <v>0</v>
      </c>
      <c r="BU98" s="76">
        <f>资产资本表!BU63</f>
        <v>0</v>
      </c>
      <c r="BV98" s="76">
        <f>资产资本表!BV63</f>
        <v>0</v>
      </c>
      <c r="BW98" s="76">
        <f>资产资本表!BW63</f>
        <v>0</v>
      </c>
      <c r="BX98" s="76">
        <f>资产资本表!BX63</f>
        <v>0</v>
      </c>
      <c r="BY98" s="76">
        <f>资产资本表!BY63</f>
        <v>0</v>
      </c>
      <c r="BZ98" s="76">
        <f>资产资本表!BZ63</f>
        <v>0</v>
      </c>
      <c r="CA98" s="76">
        <f>资产资本表!CA63</f>
        <v>0</v>
      </c>
      <c r="CB98" s="76">
        <f>资产资本表!CB63</f>
        <v>0</v>
      </c>
      <c r="CC98" s="76">
        <f>资产资本表!CC63</f>
        <v>0</v>
      </c>
      <c r="CD98" s="76">
        <f>资产资本表!CD63</f>
        <v>0</v>
      </c>
      <c r="CE98" s="76">
        <f>资产资本表!CE63</f>
        <v>0</v>
      </c>
      <c r="CF98" s="76">
        <f>资产资本表!CF63</f>
        <v>0</v>
      </c>
      <c r="CG98" s="76">
        <f>资产资本表!CG63</f>
        <v>0</v>
      </c>
      <c r="CH98" s="76">
        <f>资产资本表!CH63</f>
        <v>0</v>
      </c>
      <c r="CI98" s="76">
        <f>资产资本表!CI63</f>
        <v>0</v>
      </c>
      <c r="CJ98" s="76">
        <f>资产资本表!CJ63</f>
        <v>0</v>
      </c>
      <c r="CK98" s="76">
        <f>资产资本表!CK63</f>
        <v>0</v>
      </c>
    </row>
    <row r="99" spans="1:89" s="93" customFormat="1" ht="15" thickBot="1" x14ac:dyDescent="0.3">
      <c r="A99" s="74" t="s">
        <v>597</v>
      </c>
      <c r="E99" s="93">
        <f>资产资本表!E64</f>
        <v>28662000000</v>
      </c>
      <c r="F99" s="93">
        <f>资产资本表!F64</f>
        <v>26700000000</v>
      </c>
      <c r="G99" s="93">
        <f>资产资本表!G64</f>
        <v>27836000000</v>
      </c>
      <c r="H99" s="93">
        <f>资产资本表!H64</f>
        <v>25607000000</v>
      </c>
      <c r="I99" s="93">
        <f>资产资本表!I64</f>
        <v>25826000000</v>
      </c>
      <c r="J99" s="93">
        <f>资产资本表!J64</f>
        <v>25842000000</v>
      </c>
      <c r="K99" s="93">
        <f>资产资本表!K64</f>
        <v>25922000000</v>
      </c>
      <c r="L99" s="93">
        <f>资产资本表!L64</f>
        <v>23346000000</v>
      </c>
      <c r="M99" s="93">
        <f>资产资本表!M64</f>
        <v>23835000000</v>
      </c>
      <c r="N99" s="93">
        <f>资产资本表!N64</f>
        <v>23757000000</v>
      </c>
      <c r="O99" s="93">
        <f>资产资本表!O64</f>
        <v>23226000000</v>
      </c>
      <c r="P99" s="93">
        <f>资产资本表!P64</f>
        <v>22754000000</v>
      </c>
      <c r="Q99" s="93">
        <f>资产资本表!Q64</f>
        <v>22512000000</v>
      </c>
      <c r="R99" s="93">
        <f>资产资本表!R64</f>
        <v>22759000000</v>
      </c>
      <c r="S99" s="93">
        <f>资产资本表!S64</f>
        <v>24228000000</v>
      </c>
      <c r="T99" s="93">
        <f>资产资本表!T64</f>
        <v>21813000000</v>
      </c>
      <c r="U99" s="93">
        <f>资产资本表!U64</f>
        <v>19983000000</v>
      </c>
      <c r="V99" s="93">
        <f>资产资本表!V64</f>
        <v>31707000000</v>
      </c>
      <c r="W99" s="93">
        <f>资产资本表!W64</f>
        <v>13580000000</v>
      </c>
      <c r="X99" s="93">
        <f>资产资本表!X64</f>
        <v>12194000000</v>
      </c>
      <c r="Y99" s="93">
        <f>资产资本表!Y64</f>
        <v>11046000000</v>
      </c>
      <c r="Z99" s="93">
        <f>资产资本表!Z64</f>
        <v>14459000000</v>
      </c>
      <c r="AA99" s="93">
        <f>资产资本表!AA64</f>
        <v>13678000000</v>
      </c>
      <c r="AB99" s="93">
        <f>资产资本表!AB64</f>
        <v>14258000000</v>
      </c>
      <c r="AC99" s="93">
        <f>资产资本表!AC64</f>
        <v>12232000000</v>
      </c>
      <c r="AD99" s="93">
        <f>资产资本表!AD64</f>
        <v>1885000000</v>
      </c>
      <c r="AE99" s="93">
        <f>资产资本表!AE64</f>
        <v>1502000000</v>
      </c>
      <c r="AF99" s="93">
        <f>资产资本表!AF64</f>
        <v>1103000000</v>
      </c>
      <c r="AG99" s="93">
        <f>资产资本表!AG64</f>
        <v>1727000000</v>
      </c>
      <c r="AH99" s="93">
        <f>资产资本表!AH64</f>
        <v>1042000000</v>
      </c>
      <c r="AI99" s="93">
        <f>资产资本表!AI64</f>
        <v>1009000000</v>
      </c>
      <c r="AJ99" s="93">
        <f>资产资本表!AJ64</f>
        <v>1124000000</v>
      </c>
      <c r="AK99" s="93">
        <f>资产资本表!AK64</f>
        <v>1792000000</v>
      </c>
      <c r="AL99" s="93">
        <f>资产资本表!AL64</f>
        <v>1027000000</v>
      </c>
      <c r="AM99" s="93">
        <f>资产资本表!AM64</f>
        <v>1167000000</v>
      </c>
      <c r="AN99" s="93">
        <f>资产资本表!AN64</f>
        <v>1016000000</v>
      </c>
      <c r="AO99" s="93">
        <f>资产资本表!AO64</f>
        <v>1012000000</v>
      </c>
      <c r="AP99" s="93">
        <f>资产资本表!AP64</f>
        <v>1215000000</v>
      </c>
      <c r="AQ99" s="93">
        <f>资产资本表!AQ64</f>
        <v>1216000000</v>
      </c>
      <c r="AR99" s="93">
        <f>资产资本表!AR64</f>
        <v>1072000000</v>
      </c>
      <c r="AS99" s="93">
        <f>资产资本表!AS64</f>
        <v>2190000000</v>
      </c>
      <c r="AT99" s="93">
        <f>资产资本表!AT64</f>
        <v>1960000000</v>
      </c>
      <c r="AU99" s="93">
        <f>资产资本表!AU64</f>
        <v>1997000000</v>
      </c>
      <c r="AV99" s="93">
        <f>资产资本表!AV64</f>
        <v>1531000000</v>
      </c>
      <c r="AW99" s="93">
        <f>资产资本表!AW64</f>
        <v>0</v>
      </c>
      <c r="AX99" s="93">
        <f>资产资本表!AX64</f>
        <v>0</v>
      </c>
      <c r="AY99" s="93">
        <f>资产资本表!AY64</f>
        <v>0</v>
      </c>
      <c r="AZ99" s="93">
        <f>资产资本表!AZ64</f>
        <v>0</v>
      </c>
      <c r="BA99" s="93">
        <f>资产资本表!BA64</f>
        <v>0</v>
      </c>
      <c r="BB99" s="93">
        <f>资产资本表!BB64</f>
        <v>0</v>
      </c>
      <c r="BC99" s="93">
        <f>资产资本表!BC64</f>
        <v>0</v>
      </c>
      <c r="BD99" s="93">
        <f>资产资本表!BD64</f>
        <v>0</v>
      </c>
      <c r="BE99" s="93">
        <f>资产资本表!BE64</f>
        <v>0</v>
      </c>
      <c r="BF99" s="93">
        <f>资产资本表!BF64</f>
        <v>0</v>
      </c>
      <c r="BG99" s="93">
        <f>资产资本表!BG64</f>
        <v>0</v>
      </c>
      <c r="BH99" s="93">
        <f>资产资本表!BH64</f>
        <v>0</v>
      </c>
      <c r="BI99" s="93">
        <f>资产资本表!BI64</f>
        <v>0</v>
      </c>
      <c r="BJ99" s="93">
        <f>资产资本表!BJ64</f>
        <v>0</v>
      </c>
      <c r="BK99" s="93">
        <f>资产资本表!BK64</f>
        <v>0</v>
      </c>
      <c r="BL99" s="93">
        <f>资产资本表!BL64</f>
        <v>0</v>
      </c>
      <c r="BM99" s="93">
        <f>资产资本表!BM64</f>
        <v>0</v>
      </c>
      <c r="BN99" s="93">
        <f>资产资本表!BN64</f>
        <v>0</v>
      </c>
      <c r="BO99" s="93">
        <f>资产资本表!BO64</f>
        <v>0</v>
      </c>
      <c r="BP99" s="93">
        <f>资产资本表!BP64</f>
        <v>0</v>
      </c>
      <c r="BQ99" s="93">
        <f>资产资本表!BQ64</f>
        <v>0</v>
      </c>
      <c r="BR99" s="93">
        <f>资产资本表!BR64</f>
        <v>0</v>
      </c>
      <c r="BS99" s="93">
        <f>资产资本表!BS64</f>
        <v>0</v>
      </c>
      <c r="BT99" s="93">
        <f>资产资本表!BT64</f>
        <v>0</v>
      </c>
      <c r="BU99" s="93">
        <f>资产资本表!BU64</f>
        <v>0</v>
      </c>
      <c r="BV99" s="93">
        <f>资产资本表!BV64</f>
        <v>0</v>
      </c>
      <c r="BW99" s="93">
        <f>资产资本表!BW64</f>
        <v>0</v>
      </c>
      <c r="BX99" s="93">
        <f>资产资本表!BX64</f>
        <v>0</v>
      </c>
      <c r="BY99" s="93">
        <f>资产资本表!BY64</f>
        <v>0</v>
      </c>
      <c r="BZ99" s="93">
        <f>资产资本表!BZ64</f>
        <v>0</v>
      </c>
      <c r="CA99" s="93">
        <f>资产资本表!CA64</f>
        <v>0</v>
      </c>
      <c r="CB99" s="93">
        <f>资产资本表!CB64</f>
        <v>0</v>
      </c>
      <c r="CC99" s="93">
        <f>资产资本表!CC64</f>
        <v>0</v>
      </c>
      <c r="CD99" s="93">
        <f>资产资本表!CD64</f>
        <v>0</v>
      </c>
      <c r="CE99" s="93">
        <f>资产资本表!CE64</f>
        <v>0</v>
      </c>
      <c r="CF99" s="93">
        <f>资产资本表!CF64</f>
        <v>0</v>
      </c>
      <c r="CG99" s="93">
        <f>资产资本表!CG64</f>
        <v>0</v>
      </c>
      <c r="CH99" s="93">
        <f>资产资本表!CH64</f>
        <v>0</v>
      </c>
      <c r="CI99" s="93">
        <f>资产资本表!CI64</f>
        <v>0</v>
      </c>
      <c r="CJ99" s="93">
        <f>资产资本表!CJ64</f>
        <v>0</v>
      </c>
      <c r="CK99" s="93">
        <f>资产资本表!CK64</f>
        <v>0</v>
      </c>
    </row>
    <row r="100" spans="1:89" s="197" customFormat="1" x14ac:dyDescent="0.25">
      <c r="A100" s="88" t="s">
        <v>687</v>
      </c>
      <c r="E100" s="197">
        <f>(E84+I84)/2</f>
        <v>670684000000</v>
      </c>
      <c r="F100" s="197">
        <f t="shared" ref="F100:BQ100" si="54">(F84+J84)/2</f>
        <v>677368000000</v>
      </c>
      <c r="G100" s="197">
        <f t="shared" si="54"/>
        <v>687879500000</v>
      </c>
      <c r="H100" s="197">
        <f t="shared" si="54"/>
        <v>694380500000</v>
      </c>
      <c r="I100" s="197">
        <f t="shared" si="54"/>
        <v>711585500000</v>
      </c>
      <c r="J100" s="197">
        <f t="shared" si="54"/>
        <v>702761000000</v>
      </c>
      <c r="K100" s="197">
        <f t="shared" si="54"/>
        <v>709544500000</v>
      </c>
      <c r="L100" s="197">
        <f t="shared" si="54"/>
        <v>708204000000</v>
      </c>
      <c r="M100" s="197">
        <f t="shared" si="54"/>
        <v>718031000000</v>
      </c>
      <c r="N100" s="197">
        <f t="shared" si="54"/>
        <v>565307500000</v>
      </c>
      <c r="O100" s="197">
        <f t="shared" si="54"/>
        <v>674429500000</v>
      </c>
      <c r="P100" s="197">
        <f t="shared" si="54"/>
        <v>678863500000</v>
      </c>
      <c r="Q100" s="197">
        <f t="shared" si="54"/>
        <v>686540000000</v>
      </c>
      <c r="R100" s="197">
        <f t="shared" si="54"/>
        <v>528840500000</v>
      </c>
      <c r="S100" s="197">
        <f t="shared" si="54"/>
        <v>625490000000</v>
      </c>
      <c r="T100" s="197">
        <f t="shared" si="54"/>
        <v>620646500000</v>
      </c>
      <c r="U100" s="197">
        <f t="shared" si="54"/>
        <v>629282000000</v>
      </c>
      <c r="V100" s="197">
        <f t="shared" si="54"/>
        <v>581329500000</v>
      </c>
      <c r="W100" s="197">
        <f t="shared" si="54"/>
        <v>572708000000</v>
      </c>
      <c r="X100" s="197">
        <f t="shared" si="54"/>
        <v>566525000000</v>
      </c>
      <c r="Y100" s="197">
        <f t="shared" si="54"/>
        <v>577452500000</v>
      </c>
      <c r="Z100" s="197">
        <f t="shared" si="54"/>
        <v>536891500000</v>
      </c>
      <c r="AA100" s="197">
        <f t="shared" si="54"/>
        <v>539812000000</v>
      </c>
      <c r="AB100" s="197">
        <f t="shared" si="54"/>
        <v>540631000000</v>
      </c>
      <c r="AC100" s="197">
        <f t="shared" si="54"/>
        <v>553318000000</v>
      </c>
      <c r="AD100" s="197">
        <f t="shared" si="54"/>
        <v>516973000000</v>
      </c>
      <c r="AE100" s="197">
        <f t="shared" si="54"/>
        <v>505065000000</v>
      </c>
      <c r="AF100" s="197">
        <f t="shared" si="54"/>
        <v>500192500000</v>
      </c>
      <c r="AG100" s="197">
        <f t="shared" si="54"/>
        <v>502941000000</v>
      </c>
      <c r="AH100" s="197">
        <f t="shared" si="54"/>
        <v>458053500000</v>
      </c>
      <c r="AI100" s="197">
        <f t="shared" si="54"/>
        <v>442076000000</v>
      </c>
      <c r="AJ100" s="197">
        <f t="shared" si="54"/>
        <v>433220000000</v>
      </c>
      <c r="AK100" s="197">
        <f t="shared" si="54"/>
        <v>434223500000</v>
      </c>
      <c r="AL100" s="197">
        <f t="shared" si="54"/>
        <v>386468500000</v>
      </c>
      <c r="AM100" s="197">
        <f t="shared" si="54"/>
        <v>385880000000</v>
      </c>
      <c r="AN100" s="197">
        <f t="shared" si="54"/>
        <v>375451000000</v>
      </c>
      <c r="AO100" s="197">
        <f t="shared" si="54"/>
        <v>382206500000</v>
      </c>
      <c r="AP100" s="197">
        <f t="shared" si="54"/>
        <v>350205000000</v>
      </c>
      <c r="AQ100" s="197">
        <f t="shared" si="54"/>
        <v>351267500000</v>
      </c>
      <c r="AR100" s="197">
        <f t="shared" si="54"/>
        <v>346040500000</v>
      </c>
      <c r="AS100" s="197">
        <f t="shared" si="54"/>
        <v>357330500000</v>
      </c>
      <c r="AT100" s="197">
        <f t="shared" si="54"/>
        <v>325815000000</v>
      </c>
      <c r="AU100" s="197">
        <f t="shared" si="54"/>
        <v>319064500000</v>
      </c>
      <c r="AV100" s="197">
        <f t="shared" si="54"/>
        <v>317452000000</v>
      </c>
      <c r="AW100" s="197">
        <f t="shared" si="54"/>
        <v>327066500000</v>
      </c>
      <c r="AX100" s="197">
        <f t="shared" si="54"/>
        <v>297717000000</v>
      </c>
      <c r="AY100" s="197">
        <f t="shared" si="54"/>
        <v>292631000000</v>
      </c>
      <c r="AZ100" s="197">
        <f t="shared" si="54"/>
        <v>286141500000</v>
      </c>
      <c r="BA100" s="197">
        <f t="shared" si="54"/>
        <v>285378000000</v>
      </c>
      <c r="BB100" s="197">
        <f t="shared" si="54"/>
        <v>259703000000</v>
      </c>
      <c r="BC100" s="197">
        <f t="shared" si="54"/>
        <v>261634500000</v>
      </c>
      <c r="BD100" s="197">
        <f t="shared" si="54"/>
        <v>258393000000</v>
      </c>
      <c r="BE100" s="197">
        <f t="shared" si="54"/>
        <v>258064500000</v>
      </c>
      <c r="BF100" s="197">
        <f t="shared" si="54"/>
        <v>230661000000</v>
      </c>
      <c r="BG100" s="197">
        <f t="shared" si="54"/>
        <v>234018000000</v>
      </c>
      <c r="BH100" s="197">
        <f t="shared" si="54"/>
        <v>233656500000</v>
      </c>
      <c r="BI100" s="197">
        <f t="shared" si="54"/>
        <v>238695500000</v>
      </c>
      <c r="BJ100" s="197">
        <f t="shared" si="54"/>
        <v>218276500000</v>
      </c>
      <c r="BK100" s="197">
        <f t="shared" si="54"/>
        <v>221724000000</v>
      </c>
      <c r="BL100" s="197">
        <f t="shared" si="54"/>
        <v>218137000000</v>
      </c>
      <c r="BM100" s="197">
        <f t="shared" si="54"/>
        <v>222250000000</v>
      </c>
      <c r="BN100" s="197">
        <f t="shared" si="54"/>
        <v>197593000000</v>
      </c>
      <c r="BO100" s="197">
        <f t="shared" si="54"/>
        <v>200017000000</v>
      </c>
      <c r="BP100" s="197">
        <f t="shared" si="54"/>
        <v>105000000000</v>
      </c>
      <c r="BQ100" s="197">
        <f t="shared" si="54"/>
        <v>106551000000</v>
      </c>
      <c r="BR100" s="197">
        <f t="shared" ref="BR100:CK100" si="55">(BR84+BV84)/2</f>
        <v>91426000000</v>
      </c>
      <c r="BS100" s="197">
        <f t="shared" si="55"/>
        <v>92618000000</v>
      </c>
      <c r="BT100" s="197">
        <f t="shared" si="55"/>
        <v>0</v>
      </c>
      <c r="BU100" s="197">
        <f t="shared" si="55"/>
        <v>0</v>
      </c>
      <c r="BV100" s="197">
        <f t="shared" si="55"/>
        <v>0</v>
      </c>
      <c r="BW100" s="197">
        <f t="shared" si="55"/>
        <v>0</v>
      </c>
      <c r="BX100" s="197">
        <f t="shared" si="55"/>
        <v>0</v>
      </c>
      <c r="BY100" s="197">
        <f t="shared" si="55"/>
        <v>0</v>
      </c>
      <c r="BZ100" s="197">
        <f t="shared" si="55"/>
        <v>0</v>
      </c>
      <c r="CA100" s="197">
        <f t="shared" si="55"/>
        <v>0</v>
      </c>
      <c r="CB100" s="197">
        <f t="shared" si="55"/>
        <v>0</v>
      </c>
      <c r="CC100" s="197">
        <f t="shared" si="55"/>
        <v>0</v>
      </c>
      <c r="CD100" s="197">
        <f t="shared" si="55"/>
        <v>0</v>
      </c>
      <c r="CE100" s="197">
        <f t="shared" si="55"/>
        <v>0</v>
      </c>
      <c r="CF100" s="197">
        <f t="shared" si="55"/>
        <v>0</v>
      </c>
      <c r="CG100" s="197">
        <f t="shared" si="55"/>
        <v>0</v>
      </c>
      <c r="CH100" s="197">
        <f t="shared" si="55"/>
        <v>0</v>
      </c>
      <c r="CI100" s="197">
        <f t="shared" si="55"/>
        <v>0</v>
      </c>
      <c r="CJ100" s="197">
        <f t="shared" si="55"/>
        <v>0</v>
      </c>
      <c r="CK100" s="197">
        <f t="shared" si="55"/>
        <v>0</v>
      </c>
    </row>
    <row r="101" spans="1:89" s="252" customFormat="1" ht="15" thickBot="1" x14ac:dyDescent="0.3">
      <c r="A101" s="253" t="s">
        <v>688</v>
      </c>
      <c r="E101" s="252">
        <f>E100/E84</f>
        <v>1.0305943384339264</v>
      </c>
      <c r="F101" s="252">
        <f t="shared" ref="F101:BQ101" si="56">F100/F84</f>
        <v>1.0585710959244494</v>
      </c>
      <c r="G101" s="252">
        <f t="shared" si="56"/>
        <v>1.0545543880520134</v>
      </c>
      <c r="H101" s="252">
        <f t="shared" si="56"/>
        <v>1.0337519669976136</v>
      </c>
      <c r="I101" s="252">
        <f t="shared" si="56"/>
        <v>1.0303962965215452</v>
      </c>
      <c r="J101" s="252">
        <f t="shared" si="56"/>
        <v>0.98309288561048724</v>
      </c>
      <c r="K101" s="252">
        <f t="shared" si="56"/>
        <v>0.98075857159641444</v>
      </c>
      <c r="L101" s="252">
        <f t="shared" si="56"/>
        <v>0.98766058807450507</v>
      </c>
      <c r="M101" s="252">
        <f t="shared" si="56"/>
        <v>0.98014406676704291</v>
      </c>
      <c r="N101" s="252">
        <f t="shared" si="56"/>
        <v>0.81848553950845193</v>
      </c>
      <c r="O101" s="252">
        <f t="shared" si="56"/>
        <v>0.96953167228272741</v>
      </c>
      <c r="P101" s="252">
        <f t="shared" si="56"/>
        <v>0.97069804219882294</v>
      </c>
      <c r="Q101" s="252">
        <f t="shared" si="56"/>
        <v>0.97591277710256796</v>
      </c>
      <c r="R101" s="252">
        <f t="shared" si="56"/>
        <v>1.2020741464745193</v>
      </c>
      <c r="S101" s="252">
        <f t="shared" si="56"/>
        <v>0.95752677061088276</v>
      </c>
      <c r="T101" s="252">
        <f t="shared" si="56"/>
        <v>0.94270024044193923</v>
      </c>
      <c r="U101" s="252">
        <f t="shared" si="56"/>
        <v>0.93979495067914187</v>
      </c>
      <c r="V101" s="252">
        <f t="shared" si="56"/>
        <v>0.94105701256675534</v>
      </c>
      <c r="W101" s="252">
        <f t="shared" si="56"/>
        <v>0.95811424604137219</v>
      </c>
      <c r="X101" s="252">
        <f t="shared" si="56"/>
        <v>0.97187102219507926</v>
      </c>
      <c r="Y101" s="252">
        <f t="shared" si="56"/>
        <v>0.98044633928101477</v>
      </c>
      <c r="Z101" s="252">
        <f t="shared" si="56"/>
        <v>0.98527026084658609</v>
      </c>
      <c r="AA101" s="252">
        <f t="shared" si="56"/>
        <v>0.98565014397329787</v>
      </c>
      <c r="AB101" s="252">
        <f t="shared" si="56"/>
        <v>0.98273674490300444</v>
      </c>
      <c r="AC101" s="252">
        <f t="shared" si="56"/>
        <v>0.97770419270023468</v>
      </c>
      <c r="AD101" s="252">
        <f t="shared" si="56"/>
        <v>0.97751411040624736</v>
      </c>
      <c r="AE101" s="252">
        <f t="shared" si="56"/>
        <v>0.94945418110246582</v>
      </c>
      <c r="AF101" s="252">
        <f t="shared" si="56"/>
        <v>0.94174445620125991</v>
      </c>
      <c r="AG101" s="252">
        <f t="shared" si="56"/>
        <v>0.93016645089698535</v>
      </c>
      <c r="AH101" s="252">
        <f t="shared" si="56"/>
        <v>0.90689117191103996</v>
      </c>
      <c r="AI101" s="252">
        <f t="shared" si="56"/>
        <v>0.92450285145458688</v>
      </c>
      <c r="AJ101" s="252">
        <f t="shared" si="56"/>
        <v>0.92321593347696651</v>
      </c>
      <c r="AK101" s="252">
        <f t="shared" si="56"/>
        <v>0.93344862870876344</v>
      </c>
      <c r="AL101" s="252">
        <f t="shared" si="56"/>
        <v>0.94025317133222719</v>
      </c>
      <c r="AM101" s="252">
        <f t="shared" si="56"/>
        <v>0.95050187819447007</v>
      </c>
      <c r="AN101" s="252">
        <f t="shared" si="56"/>
        <v>0.94527038764920479</v>
      </c>
      <c r="AO101" s="252">
        <f t="shared" si="56"/>
        <v>0.94777999578440975</v>
      </c>
      <c r="AP101" s="252">
        <f t="shared" si="56"/>
        <v>0.9676550312093305</v>
      </c>
      <c r="AQ101" s="252">
        <f t="shared" si="56"/>
        <v>0.96031138510327108</v>
      </c>
      <c r="AR101" s="252">
        <f t="shared" si="56"/>
        <v>0.97830868529005155</v>
      </c>
      <c r="AS101" s="252">
        <f t="shared" si="56"/>
        <v>0.9894295413514681</v>
      </c>
      <c r="AT101" s="252">
        <f t="shared" si="56"/>
        <v>0.96252869284695075</v>
      </c>
      <c r="AU101" s="252">
        <f t="shared" si="56"/>
        <v>0.94748181143281363</v>
      </c>
      <c r="AV101" s="252">
        <f t="shared" si="56"/>
        <v>0.93818564403253257</v>
      </c>
      <c r="AW101" s="252">
        <f t="shared" si="56"/>
        <v>0.92518945555043242</v>
      </c>
      <c r="AX101" s="252">
        <f t="shared" si="56"/>
        <v>0.95077459593588631</v>
      </c>
      <c r="AY101" s="252">
        <f t="shared" si="56"/>
        <v>0.97097342548750909</v>
      </c>
      <c r="AZ101" s="252">
        <f t="shared" si="56"/>
        <v>0.96494692044136299</v>
      </c>
      <c r="BA101" s="252">
        <f t="shared" si="56"/>
        <v>0.94929811722440294</v>
      </c>
      <c r="BB101" s="252">
        <f t="shared" si="56"/>
        <v>0.91994417345901391</v>
      </c>
      <c r="BC101" s="252">
        <f t="shared" si="56"/>
        <v>0.92162792418003192</v>
      </c>
      <c r="BD101" s="252">
        <f t="shared" si="56"/>
        <v>0.93706549844603926</v>
      </c>
      <c r="BE101" s="252">
        <f t="shared" si="56"/>
        <v>0.95531324962241237</v>
      </c>
      <c r="BF101" s="252">
        <f t="shared" si="56"/>
        <v>0.97283037329768074</v>
      </c>
      <c r="BG101" s="252">
        <f t="shared" si="56"/>
        <v>0.97757596517757928</v>
      </c>
      <c r="BH101" s="252">
        <f t="shared" si="56"/>
        <v>0.96937217628682493</v>
      </c>
      <c r="BI101" s="252">
        <f t="shared" si="56"/>
        <v>0.97033452171403256</v>
      </c>
      <c r="BJ101" s="252">
        <f t="shared" si="56"/>
        <v>0.9734968936620001</v>
      </c>
      <c r="BK101" s="252">
        <f t="shared" si="56"/>
        <v>0.96970916247539907</v>
      </c>
      <c r="BL101" s="252">
        <f t="shared" si="56"/>
        <v>0.9640391737451055</v>
      </c>
      <c r="BM101" s="252">
        <f t="shared" si="56"/>
        <v>0.96046638259621953</v>
      </c>
      <c r="BN101" s="252">
        <f t="shared" si="56"/>
        <v>0.93057635611819112</v>
      </c>
      <c r="BO101" s="252">
        <f t="shared" si="56"/>
        <v>0.93118651011648157</v>
      </c>
      <c r="BP101" s="252">
        <f t="shared" si="56"/>
        <v>0.5</v>
      </c>
      <c r="BQ101" s="252">
        <f t="shared" si="56"/>
        <v>0.5</v>
      </c>
      <c r="BR101" s="252">
        <f t="shared" ref="BR101:CK101" si="57">BR100/BR84</f>
        <v>0.5</v>
      </c>
      <c r="BS101" s="252">
        <f t="shared" si="57"/>
        <v>0.5</v>
      </c>
      <c r="BT101" s="252" t="e">
        <f t="shared" si="57"/>
        <v>#DIV/0!</v>
      </c>
      <c r="BU101" s="252" t="e">
        <f t="shared" si="57"/>
        <v>#DIV/0!</v>
      </c>
      <c r="BV101" s="252" t="e">
        <f t="shared" si="57"/>
        <v>#DIV/0!</v>
      </c>
      <c r="BW101" s="252" t="e">
        <f t="shared" si="57"/>
        <v>#DIV/0!</v>
      </c>
      <c r="BX101" s="252" t="e">
        <f t="shared" si="57"/>
        <v>#DIV/0!</v>
      </c>
      <c r="BY101" s="252" t="e">
        <f t="shared" si="57"/>
        <v>#DIV/0!</v>
      </c>
      <c r="BZ101" s="252" t="e">
        <f t="shared" si="57"/>
        <v>#DIV/0!</v>
      </c>
      <c r="CA101" s="252" t="e">
        <f t="shared" si="57"/>
        <v>#DIV/0!</v>
      </c>
      <c r="CB101" s="252" t="e">
        <f t="shared" si="57"/>
        <v>#DIV/0!</v>
      </c>
      <c r="CC101" s="252" t="e">
        <f t="shared" si="57"/>
        <v>#DIV/0!</v>
      </c>
      <c r="CD101" s="252" t="e">
        <f t="shared" si="57"/>
        <v>#DIV/0!</v>
      </c>
      <c r="CE101" s="252" t="e">
        <f t="shared" si="57"/>
        <v>#DIV/0!</v>
      </c>
      <c r="CF101" s="252" t="e">
        <f t="shared" si="57"/>
        <v>#DIV/0!</v>
      </c>
      <c r="CG101" s="252" t="e">
        <f t="shared" si="57"/>
        <v>#DIV/0!</v>
      </c>
      <c r="CH101" s="252" t="e">
        <f t="shared" si="57"/>
        <v>#DIV/0!</v>
      </c>
      <c r="CI101" s="252" t="e">
        <f t="shared" si="57"/>
        <v>#DIV/0!</v>
      </c>
      <c r="CJ101" s="252" t="e">
        <f t="shared" si="57"/>
        <v>#DIV/0!</v>
      </c>
      <c r="CK101" s="252" t="e">
        <f t="shared" si="57"/>
        <v>#DIV/0!</v>
      </c>
    </row>
    <row r="102" spans="1:89" ht="204.75" customHeight="1" x14ac:dyDescent="0.25">
      <c r="A102" s="287" t="s">
        <v>689</v>
      </c>
      <c r="B102" s="288"/>
      <c r="C102" s="288"/>
      <c r="D102" s="288"/>
      <c r="E102" s="288"/>
      <c r="F102" s="288"/>
      <c r="G102" s="288"/>
      <c r="H102" s="288"/>
      <c r="I102" s="288"/>
      <c r="J102" s="288"/>
      <c r="K102" s="288"/>
      <c r="L102" s="288"/>
      <c r="M102" s="288"/>
      <c r="N102" s="288"/>
      <c r="O102" s="288"/>
      <c r="P102" s="288"/>
      <c r="Q102" s="288"/>
      <c r="R102" s="288"/>
      <c r="S102" s="288"/>
      <c r="T102" s="288"/>
      <c r="U102" s="288"/>
      <c r="V102" s="288"/>
      <c r="W102" s="288"/>
      <c r="X102" s="288"/>
      <c r="Y102" s="288"/>
      <c r="Z102" s="288"/>
      <c r="AA102" s="288"/>
      <c r="AB102" s="288"/>
      <c r="AC102" s="288"/>
      <c r="AD102" s="288"/>
      <c r="AE102" s="288"/>
      <c r="AF102" s="288"/>
      <c r="AG102" s="288"/>
      <c r="AH102" s="288"/>
      <c r="AI102" s="288"/>
      <c r="AJ102" s="288"/>
      <c r="AK102" s="288"/>
    </row>
  </sheetData>
  <mergeCells count="6">
    <mergeCell ref="A15:AG15"/>
    <mergeCell ref="A45:AG45"/>
    <mergeCell ref="A58:AG58"/>
    <mergeCell ref="A77:AG77"/>
    <mergeCell ref="A102:AK102"/>
    <mergeCell ref="A29:U29"/>
  </mergeCells>
  <phoneticPr fontId="1" type="noConversion"/>
  <pageMargins left="0.7" right="0.7" top="0.75" bottom="0.75" header="0.3" footer="0.3"/>
  <pageSetup paperSize="9" orientation="portrait" r:id="rId1"/>
  <drawing r:id="rId2"/>
  <extLst>
    <ext xmlns:x14="http://schemas.microsoft.com/office/spreadsheetml/2009/9/main" uri="{05C60535-1F16-4fd2-B633-F4F36F0B64E0}">
      <x14:sparklineGroups xmlns:xm="http://schemas.microsoft.com/office/excel/2006/main">
        <x14:sparklineGroup manualMax="0" manualMin="0" displayEmptyCellsAs="gap" xr2:uid="{00000000-0003-0000-0900-000000000000}">
          <x14:colorSeries theme="7" tint="-0.499984740745262"/>
          <x14:colorNegative theme="8"/>
          <x14:colorAxis rgb="FF000000"/>
          <x14:colorMarkers theme="7" tint="-0.499984740745262"/>
          <x14:colorFirst theme="7" tint="0.39997558519241921"/>
          <x14:colorLast theme="7" tint="0.39997558519241921"/>
          <x14:colorHigh theme="7"/>
          <x14:colorLow theme="7"/>
          <x14:sparklines>
            <x14:sparkline>
              <xm:f>股东权益回报率分析表!5:5</xm:f>
              <xm:sqref>A16</xm:sqref>
            </x14:sparkline>
          </x14:sparklines>
        </x14:sparklineGroup>
      </x14:sparklineGroup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自由现金流分析表"/>
  <dimension ref="A1:CL41"/>
  <sheetViews>
    <sheetView topLeftCell="A3" workbookViewId="0">
      <selection activeCell="E27" sqref="E27"/>
    </sheetView>
  </sheetViews>
  <sheetFormatPr defaultRowHeight="14.4" x14ac:dyDescent="0.25"/>
  <cols>
    <col min="1" max="1" width="63.21875" style="17" bestFit="1" customWidth="1"/>
    <col min="2" max="4" width="9.5546875" hidden="1" customWidth="1"/>
    <col min="5" max="5" width="23.88671875" bestFit="1" customWidth="1"/>
    <col min="6" max="6" width="23.88671875" hidden="1" customWidth="1"/>
    <col min="7" max="7" width="23.77734375" hidden="1" customWidth="1"/>
    <col min="8" max="8" width="22.6640625" hidden="1" customWidth="1"/>
    <col min="9" max="9" width="23.88671875" bestFit="1" customWidth="1"/>
    <col min="10" max="10" width="23.88671875" hidden="1" customWidth="1"/>
    <col min="11" max="11" width="23.77734375" hidden="1" customWidth="1"/>
    <col min="12" max="12" width="22.6640625" hidden="1" customWidth="1"/>
    <col min="13" max="13" width="23.88671875" bestFit="1" customWidth="1"/>
    <col min="14" max="14" width="23.88671875" hidden="1" customWidth="1"/>
    <col min="15" max="15" width="23.77734375" hidden="1" customWidth="1"/>
    <col min="16" max="16" width="21.5546875" hidden="1" customWidth="1"/>
    <col min="17" max="17" width="23.77734375" bestFit="1" customWidth="1"/>
    <col min="18" max="18" width="23.88671875" hidden="1" customWidth="1"/>
    <col min="19" max="19" width="23.77734375" hidden="1" customWidth="1"/>
    <col min="20" max="20" width="22.6640625" hidden="1" customWidth="1"/>
    <col min="21" max="21" width="23.77734375" bestFit="1" customWidth="1"/>
    <col min="22" max="23" width="23.77734375" hidden="1" customWidth="1"/>
    <col min="24" max="24" width="21.5546875" hidden="1" customWidth="1"/>
    <col min="25" max="25" width="23.77734375" bestFit="1" customWidth="1"/>
    <col min="26" max="26" width="23.77734375" hidden="1" customWidth="1"/>
    <col min="27" max="28" width="23.88671875" hidden="1" customWidth="1"/>
    <col min="29" max="29" width="23.77734375" bestFit="1" customWidth="1"/>
    <col min="30" max="31" width="23.77734375" hidden="1" customWidth="1"/>
    <col min="32" max="32" width="22.6640625" hidden="1" customWidth="1"/>
    <col min="33" max="33" width="23.77734375" bestFit="1" customWidth="1"/>
    <col min="34" max="35" width="23.77734375" hidden="1" customWidth="1"/>
    <col min="36" max="36" width="22.6640625" hidden="1" customWidth="1"/>
    <col min="37" max="37" width="23.88671875" bestFit="1" customWidth="1"/>
    <col min="38" max="38" width="23.88671875" hidden="1" customWidth="1"/>
    <col min="39" max="40" width="22.6640625" hidden="1" customWidth="1"/>
    <col min="41" max="41" width="23.77734375" bestFit="1" customWidth="1"/>
    <col min="42" max="42" width="23.77734375" hidden="1" customWidth="1"/>
    <col min="43" max="43" width="23.88671875" hidden="1" customWidth="1"/>
    <col min="44" max="44" width="21.5546875" hidden="1" customWidth="1"/>
    <col min="45" max="45" width="23.77734375" bestFit="1" customWidth="1"/>
    <col min="46" max="46" width="23.77734375" hidden="1" customWidth="1"/>
    <col min="47" max="48" width="22.6640625" hidden="1" customWidth="1"/>
    <col min="49" max="49" width="23.77734375" bestFit="1" customWidth="1"/>
    <col min="50" max="52" width="22.6640625" hidden="1" customWidth="1"/>
    <col min="53" max="53" width="22.6640625" bestFit="1" customWidth="1"/>
    <col min="54" max="55" width="22.6640625" hidden="1" customWidth="1"/>
    <col min="56" max="56" width="21.5546875" hidden="1" customWidth="1"/>
    <col min="57" max="57" width="22.6640625" bestFit="1" customWidth="1"/>
    <col min="58" max="59" width="22.6640625" hidden="1" customWidth="1"/>
    <col min="60" max="60" width="21.5546875" hidden="1" customWidth="1"/>
    <col min="61" max="61" width="22.6640625" bestFit="1" customWidth="1"/>
    <col min="62" max="63" width="22.6640625" hidden="1" customWidth="1"/>
    <col min="64" max="64" width="21.5546875" hidden="1" customWidth="1"/>
    <col min="65" max="65" width="22.6640625" bestFit="1" customWidth="1"/>
    <col min="66" max="66" width="22.6640625" hidden="1" customWidth="1"/>
    <col min="67" max="67" width="22.6640625" bestFit="1" customWidth="1"/>
    <col min="68" max="68" width="22.6640625" hidden="1" customWidth="1"/>
    <col min="69" max="69" width="22.6640625" bestFit="1" customWidth="1"/>
    <col min="70" max="70" width="21.5546875" hidden="1" customWidth="1"/>
    <col min="71" max="71" width="21.5546875" bestFit="1" customWidth="1"/>
    <col min="72" max="72" width="21.5546875" hidden="1" customWidth="1"/>
    <col min="73" max="73" width="21.5546875" bestFit="1" customWidth="1"/>
    <col min="74" max="74" width="9.5546875" hidden="1" customWidth="1"/>
    <col min="75" max="75" width="18.33203125" bestFit="1" customWidth="1"/>
    <col min="76" max="76" width="17.21875" bestFit="1" customWidth="1"/>
    <col min="77" max="77" width="18.33203125" bestFit="1" customWidth="1"/>
    <col min="78" max="78" width="17.21875" bestFit="1" customWidth="1"/>
    <col min="79" max="81" width="18.33203125" bestFit="1" customWidth="1"/>
    <col min="82" max="82" width="9.33203125" bestFit="1" customWidth="1"/>
    <col min="83" max="84" width="17.21875" bestFit="1" customWidth="1"/>
    <col min="85" max="86" width="16.109375" bestFit="1" customWidth="1"/>
    <col min="87" max="87" width="17.21875" bestFit="1" customWidth="1"/>
    <col min="88" max="88" width="16.109375" bestFit="1" customWidth="1"/>
    <col min="89" max="90" width="9.33203125" bestFit="1" customWidth="1"/>
  </cols>
  <sheetData>
    <row r="1" spans="1:90" x14ac:dyDescent="0.25">
      <c r="A1" s="17">
        <v>600028</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37437</v>
      </c>
      <c r="BO1" s="1">
        <v>37256</v>
      </c>
      <c r="BP1" s="1">
        <v>37072</v>
      </c>
      <c r="BQ1" s="1">
        <v>36891</v>
      </c>
      <c r="BR1" s="1">
        <v>25569</v>
      </c>
      <c r="BS1" s="1">
        <v>36525</v>
      </c>
      <c r="BT1" s="1">
        <v>36341</v>
      </c>
      <c r="BU1" s="1">
        <v>36160</v>
      </c>
      <c r="BV1" s="1">
        <v>25569</v>
      </c>
      <c r="BW1" s="40"/>
      <c r="BX1" s="40"/>
      <c r="BY1" s="40"/>
      <c r="BZ1" s="40"/>
      <c r="CA1" s="40"/>
      <c r="CB1" s="40"/>
      <c r="CC1" s="40"/>
      <c r="CD1" s="40"/>
      <c r="CE1" s="40"/>
      <c r="CF1" s="40"/>
      <c r="CG1" s="40"/>
      <c r="CH1" s="40"/>
      <c r="CI1" s="40"/>
      <c r="CJ1" s="40"/>
      <c r="CK1" s="40"/>
      <c r="CL1" s="40"/>
    </row>
    <row r="2" spans="1:90" s="26" customFormat="1" x14ac:dyDescent="0.25">
      <c r="A2" s="17" t="s">
        <v>485</v>
      </c>
      <c r="E2" s="26">
        <f>现金流量表!E4</f>
        <v>2644126000000</v>
      </c>
      <c r="F2" s="26">
        <f>现金流量表!F4</f>
        <v>1976601000000</v>
      </c>
      <c r="G2" s="26">
        <f>现金流量表!G4</f>
        <v>1310796000000</v>
      </c>
      <c r="H2" s="26">
        <f>现金流量表!H4</f>
        <v>662996000000</v>
      </c>
      <c r="I2" s="26">
        <f>现金流量表!I4</f>
        <v>2163695000000</v>
      </c>
      <c r="J2" s="26">
        <f>现金流量表!J4</f>
        <v>1615777000000</v>
      </c>
      <c r="K2" s="26">
        <f>现金流量表!K4</f>
        <v>1024105000000</v>
      </c>
      <c r="L2" s="26">
        <f>现金流量表!L4</f>
        <v>493549000000</v>
      </c>
      <c r="M2" s="26">
        <f>现金流量表!M4</f>
        <v>2305183000000</v>
      </c>
      <c r="N2" s="26">
        <f>现金流量表!N4</f>
        <v>1757763000000</v>
      </c>
      <c r="O2" s="26">
        <f>现金流量表!O4</f>
        <v>1152775000000</v>
      </c>
      <c r="P2" s="26">
        <f>现金流量表!P4</f>
        <v>550150000000</v>
      </c>
      <c r="Q2" s="26">
        <f>现金流量表!Q4</f>
        <v>3129123000000</v>
      </c>
      <c r="R2" s="26">
        <f>现金流量表!R4</f>
        <v>2322186000000</v>
      </c>
      <c r="S2" s="26">
        <f>现金流量表!S4</f>
        <v>1474655000000</v>
      </c>
      <c r="T2" s="26">
        <f>现金流量表!T4</f>
        <v>709912000000</v>
      </c>
      <c r="U2" s="26">
        <f>现金流量表!U4</f>
        <v>3214962000000</v>
      </c>
      <c r="V2" s="26">
        <f>现金流量表!V4</f>
        <v>2358855000000</v>
      </c>
      <c r="W2" s="26">
        <f>现金流量表!W4</f>
        <v>1558641000000</v>
      </c>
      <c r="X2" s="26">
        <f>现金流量表!X4</f>
        <v>748248000000</v>
      </c>
      <c r="Y2" s="26">
        <f>现金流量表!Y4</f>
        <v>3220178000000</v>
      </c>
      <c r="Z2" s="26">
        <f>现金流量表!Z4</f>
        <v>2325350000000</v>
      </c>
      <c r="AA2" s="26">
        <f>现金流量表!AA4</f>
        <v>1543118000000</v>
      </c>
      <c r="AB2" s="26">
        <f>现金流量表!AB4</f>
        <v>747045000000</v>
      </c>
      <c r="AC2" s="26">
        <f>现金流量表!AC4</f>
        <v>2889482000000</v>
      </c>
      <c r="AD2" s="26">
        <f>现金流量表!AD4</f>
        <v>2142492000000</v>
      </c>
      <c r="AE2" s="26">
        <f>现金流量表!AE4</f>
        <v>1393347000000</v>
      </c>
      <c r="AF2" s="26">
        <f>现金流量表!AF4</f>
        <v>652872000000</v>
      </c>
      <c r="AG2" s="26">
        <f>现金流量表!AG4</f>
        <v>2215212000000</v>
      </c>
      <c r="AH2" s="26">
        <f>现金流量表!AH4</f>
        <v>1642110000000</v>
      </c>
      <c r="AI2" s="26">
        <f>现金流量表!AI4</f>
        <v>1065596000000</v>
      </c>
      <c r="AJ2" s="26">
        <f>现金流量表!AJ4</f>
        <v>485462000000</v>
      </c>
      <c r="AK2" s="26">
        <f>现金流量表!AK4</f>
        <v>1552647000000</v>
      </c>
      <c r="AL2" s="26">
        <f>现金流量表!AL4</f>
        <v>1020380000000</v>
      </c>
      <c r="AM2" s="26">
        <f>现金流量表!AM4</f>
        <v>598160000000</v>
      </c>
      <c r="AN2" s="26">
        <f>现金流量表!AN4</f>
        <v>257520000000</v>
      </c>
      <c r="AO2" s="26">
        <f>现金流量表!AO4</f>
        <v>1717060000000</v>
      </c>
      <c r="AP2" s="26">
        <f>现金流量表!AP4</f>
        <v>1327945000000</v>
      </c>
      <c r="AQ2" s="26">
        <f>现金流量表!AQ4</f>
        <v>872048000000</v>
      </c>
      <c r="AR2" s="26">
        <f>现金流量表!AR4</f>
        <v>387565000000</v>
      </c>
      <c r="AS2" s="26">
        <f>现金流量表!AS4</f>
        <v>1400718000000</v>
      </c>
      <c r="AT2" s="26">
        <f>现金流量表!AT4</f>
        <v>1020287000000</v>
      </c>
      <c r="AU2" s="26">
        <f>现金流量表!AU4</f>
        <v>648798000000</v>
      </c>
      <c r="AV2" s="26">
        <f>现金流量表!AV4</f>
        <v>315583000000</v>
      </c>
      <c r="AW2" s="26">
        <f>现金流量表!AW4</f>
        <v>1252217000000</v>
      </c>
      <c r="AX2" s="26">
        <f>现金流量表!AX4</f>
        <v>901390000000</v>
      </c>
      <c r="AY2" s="26">
        <f>现金流量表!AY4</f>
        <v>571855000000</v>
      </c>
      <c r="AZ2" s="26">
        <f>现金流量表!AZ4</f>
        <v>264156000000</v>
      </c>
      <c r="BA2" s="26">
        <f>现金流量表!BA4</f>
        <v>965892000000</v>
      </c>
      <c r="BB2" s="26">
        <f>现金流量表!BB4</f>
        <v>693407000000</v>
      </c>
      <c r="BC2" s="26">
        <f>现金流量表!BC4</f>
        <v>423708000000</v>
      </c>
      <c r="BD2" s="26">
        <f>现金流量表!BD4</f>
        <v>195811000000</v>
      </c>
      <c r="BE2" s="26">
        <f>现金流量表!BE4</f>
        <v>713050000000</v>
      </c>
      <c r="BF2" s="26">
        <f>现金流量表!BF4</f>
        <v>502839000000</v>
      </c>
      <c r="BG2" s="26">
        <f>现金流量表!BG4</f>
        <v>313614000000</v>
      </c>
      <c r="BH2" s="26">
        <f>现金流量表!BH4</f>
        <v>143854000000</v>
      </c>
      <c r="BI2" s="26">
        <f>现金流量表!BI4</f>
        <v>505489000000</v>
      </c>
      <c r="BJ2" s="26">
        <f>现金流量表!BJ4</f>
        <v>362229000000</v>
      </c>
      <c r="BK2" s="26">
        <f>现金流量表!BK4</f>
        <v>233461000000</v>
      </c>
      <c r="BL2" s="26">
        <f>现金流量表!BL4</f>
        <v>114121000000</v>
      </c>
      <c r="BM2" s="26">
        <f>现金流量表!BM4</f>
        <v>392486000000</v>
      </c>
      <c r="BN2" s="26">
        <f>现金流量表!BN4</f>
        <v>166676000000</v>
      </c>
      <c r="BO2" s="26">
        <f>现金流量表!BO4</f>
        <v>457366000000</v>
      </c>
      <c r="BP2" s="26">
        <f>现金流量表!BP4</f>
        <v>180781000000</v>
      </c>
      <c r="BQ2" s="26">
        <f>现金流量表!BQ4</f>
        <v>370649000000</v>
      </c>
      <c r="BR2" s="26">
        <f>现金流量表!BR4</f>
        <v>0</v>
      </c>
      <c r="BS2" s="26">
        <f>现金流量表!BS4</f>
        <v>0</v>
      </c>
      <c r="BT2" s="26">
        <f>现金流量表!BT4</f>
        <v>0</v>
      </c>
      <c r="BU2" s="26">
        <f>现金流量表!BU4</f>
        <v>0</v>
      </c>
      <c r="BV2" s="26">
        <f>现金流量表!BV4</f>
        <v>0</v>
      </c>
      <c r="BW2" s="26">
        <f>现金流量表!BW4</f>
        <v>0</v>
      </c>
      <c r="BX2" s="26">
        <f>现金流量表!BX4</f>
        <v>0</v>
      </c>
      <c r="BY2" s="26">
        <f>现金流量表!BY4</f>
        <v>0</v>
      </c>
      <c r="BZ2" s="26">
        <f>现金流量表!BZ4</f>
        <v>0</v>
      </c>
      <c r="CA2" s="26">
        <f>现金流量表!CA4</f>
        <v>0</v>
      </c>
      <c r="CB2" s="26">
        <f>现金流量表!CB4</f>
        <v>0</v>
      </c>
      <c r="CC2" s="26">
        <f>现金流量表!CC4</f>
        <v>0</v>
      </c>
      <c r="CD2" s="26">
        <f>现金流量表!CD4</f>
        <v>0</v>
      </c>
      <c r="CE2" s="26">
        <f>现金流量表!CE4</f>
        <v>0</v>
      </c>
      <c r="CF2" s="26">
        <f>现金流量表!CF4</f>
        <v>0</v>
      </c>
      <c r="CG2" s="26">
        <f>现金流量表!CG4</f>
        <v>0</v>
      </c>
      <c r="CH2" s="26">
        <f>现金流量表!CH4</f>
        <v>0</v>
      </c>
      <c r="CI2" s="26">
        <f>现金流量表!CI4</f>
        <v>0</v>
      </c>
      <c r="CJ2" s="26">
        <f>现金流量表!CJ4</f>
        <v>0</v>
      </c>
      <c r="CK2" s="26">
        <f>现金流量表!CK4</f>
        <v>0</v>
      </c>
      <c r="CL2" s="26">
        <f>现金流量表!CL4</f>
        <v>0</v>
      </c>
    </row>
    <row r="3" spans="1:90" s="26" customFormat="1" x14ac:dyDescent="0.25">
      <c r="A3" s="17" t="s">
        <v>486</v>
      </c>
      <c r="E3" s="26">
        <f>利润表!E3</f>
        <v>2360193000000</v>
      </c>
      <c r="F3" s="26">
        <f>利润表!F3</f>
        <v>1744955000000</v>
      </c>
      <c r="G3" s="26">
        <f>利润表!G3</f>
        <v>1165837000000</v>
      </c>
      <c r="H3" s="26">
        <f>利润表!H3</f>
        <v>582185000000</v>
      </c>
      <c r="I3" s="26">
        <f>利润表!I3</f>
        <v>1930911000000</v>
      </c>
      <c r="J3" s="26">
        <f>利润表!J3</f>
        <v>1363945000000</v>
      </c>
      <c r="K3" s="26">
        <f>利润表!K3</f>
        <v>879220000000</v>
      </c>
      <c r="L3" s="26">
        <f>利润表!L3</f>
        <v>413790000000</v>
      </c>
      <c r="M3" s="26">
        <f>利润表!M3</f>
        <v>2018883000000</v>
      </c>
      <c r="N3" s="26">
        <f>利润表!N3</f>
        <v>1536837000000</v>
      </c>
      <c r="O3" s="26">
        <f>利润表!O3</f>
        <v>1040362000000</v>
      </c>
      <c r="P3" s="26">
        <f>利润表!P3</f>
        <v>478241000000</v>
      </c>
      <c r="Q3" s="26">
        <f>利润表!Q3</f>
        <v>2825914000000</v>
      </c>
      <c r="R3" s="26">
        <f>利润表!R3</f>
        <v>2115648000000</v>
      </c>
      <c r="S3" s="26">
        <f>利润表!S3</f>
        <v>1356172000000</v>
      </c>
      <c r="T3" s="26">
        <f>利润表!T3</f>
        <v>641065000000</v>
      </c>
      <c r="U3" s="26">
        <f>利润表!U3</f>
        <v>2880311000000</v>
      </c>
      <c r="V3" s="26">
        <f>利润表!V3</f>
        <v>2139924000000</v>
      </c>
      <c r="W3" s="26">
        <f>利润表!W3</f>
        <v>1415244000000</v>
      </c>
      <c r="X3" s="26">
        <f>利润表!X3</f>
        <v>695571000000</v>
      </c>
      <c r="Y3" s="26">
        <f>利润表!Y3</f>
        <v>2786045000000</v>
      </c>
      <c r="Z3" s="26">
        <f>利润表!Z3</f>
        <v>2024766000000</v>
      </c>
      <c r="AA3" s="26">
        <f>利润表!AA3</f>
        <v>1348072000000</v>
      </c>
      <c r="AB3" s="26">
        <f>利润表!AB3</f>
        <v>671365000000</v>
      </c>
      <c r="AC3" s="26">
        <f>利润表!AC3</f>
        <v>2505683000000</v>
      </c>
      <c r="AD3" s="26">
        <f>利润表!AD3</f>
        <v>1875102000000</v>
      </c>
      <c r="AE3" s="26">
        <f>利润表!AE3</f>
        <v>1233272000000</v>
      </c>
      <c r="AF3" s="26">
        <f>利润表!AF3</f>
        <v>588842000000</v>
      </c>
      <c r="AG3" s="26">
        <f>利润表!AG3</f>
        <v>1913182000000</v>
      </c>
      <c r="AH3" s="26">
        <f>利润表!AH3</f>
        <v>1427622000000</v>
      </c>
      <c r="AI3" s="26">
        <f>利润表!AI3</f>
        <v>936523000000</v>
      </c>
      <c r="AJ3" s="26">
        <f>利润表!AJ3</f>
        <v>438209000000</v>
      </c>
      <c r="AK3" s="26">
        <f>利润表!AK3</f>
        <v>1345052000000</v>
      </c>
      <c r="AL3" s="26">
        <f>利润表!AL3</f>
        <v>893448000000</v>
      </c>
      <c r="AM3" s="26">
        <f>利润表!AM3</f>
        <v>534025000000</v>
      </c>
      <c r="AN3" s="26">
        <f>利润表!AN3</f>
        <v>228585000000</v>
      </c>
      <c r="AO3" s="26">
        <f>利润表!AO3</f>
        <v>1452101000000</v>
      </c>
      <c r="AP3" s="26">
        <f>利润表!AP3</f>
        <v>1147397000000</v>
      </c>
      <c r="AQ3" s="26">
        <f>利润表!AQ3</f>
        <v>734783000000</v>
      </c>
      <c r="AR3" s="26">
        <f>利润表!AR3</f>
        <v>332010000000</v>
      </c>
      <c r="AS3" s="26">
        <f>利润表!AS3</f>
        <v>1204843000000</v>
      </c>
      <c r="AT3" s="26">
        <f>利润表!AT3</f>
        <v>875218000000</v>
      </c>
      <c r="AU3" s="26">
        <f>利润表!AU3</f>
        <v>566830000000</v>
      </c>
      <c r="AV3" s="26">
        <f>利润表!AV3</f>
        <v>278250000000</v>
      </c>
      <c r="AW3" s="26">
        <f>利润表!AW3</f>
        <v>1045548000000</v>
      </c>
      <c r="AX3" s="26">
        <f>利润表!AX3</f>
        <v>755744000000</v>
      </c>
      <c r="AY3" s="26">
        <f>利润表!AY3</f>
        <v>482478000000</v>
      </c>
      <c r="AZ3" s="26">
        <f>利润表!AZ3</f>
        <v>222947000000</v>
      </c>
      <c r="BA3" s="26">
        <f>利润表!BA3</f>
        <v>799954000000</v>
      </c>
      <c r="BB3" s="26">
        <f>利润表!BB3</f>
        <v>577596000000</v>
      </c>
      <c r="BC3" s="26">
        <f>利润表!BC3</f>
        <v>359695000000</v>
      </c>
      <c r="BD3" s="26">
        <f>利润表!BD3</f>
        <v>169360000000</v>
      </c>
      <c r="BE3" s="26">
        <f>利润表!BE3</f>
        <v>591734000000</v>
      </c>
      <c r="BF3" s="26">
        <f>利润表!BF3</f>
        <v>418445000000</v>
      </c>
      <c r="BG3" s="26">
        <f>利润表!BG3</f>
        <v>266325000000</v>
      </c>
      <c r="BH3" s="26">
        <f>利润表!BH3</f>
        <v>123639000000</v>
      </c>
      <c r="BI3" s="26">
        <f>利润表!BI3</f>
        <v>418047000000</v>
      </c>
      <c r="BJ3" s="26">
        <f>利润表!BJ3</f>
        <v>301483000000</v>
      </c>
      <c r="BK3" s="26">
        <f>利润表!BK3</f>
        <v>195425000000</v>
      </c>
      <c r="BL3" s="26">
        <f>利润表!BL3</f>
        <v>98638000000</v>
      </c>
      <c r="BM3" s="26">
        <f>利润表!BM3</f>
        <v>325073000000</v>
      </c>
      <c r="BN3" s="26">
        <f>利润表!BN3</f>
        <v>227034000000</v>
      </c>
      <c r="BO3" s="26">
        <f>利润表!BO3</f>
        <v>141126000000</v>
      </c>
      <c r="BP3" s="26">
        <f>利润表!BP3</f>
        <v>63161000000</v>
      </c>
      <c r="BQ3" s="26">
        <f>利润表!BQ3</f>
        <v>305882000000</v>
      </c>
      <c r="BR3" s="26">
        <f>利润表!BR3</f>
        <v>160920000000</v>
      </c>
      <c r="BS3" s="26">
        <f>利润表!BS3</f>
        <v>323960000000</v>
      </c>
      <c r="BT3" s="26">
        <f>利润表!BT3</f>
        <v>231694000000</v>
      </c>
      <c r="BU3" s="26">
        <f>利润表!BU3</f>
        <v>191066000000</v>
      </c>
      <c r="BV3" s="26">
        <f>利润表!BV3</f>
        <v>0</v>
      </c>
      <c r="BW3" s="26">
        <f>利润表!BW3</f>
        <v>0</v>
      </c>
      <c r="BX3" s="26">
        <f>利润表!BX3</f>
        <v>0</v>
      </c>
      <c r="BY3" s="26">
        <f>利润表!BY3</f>
        <v>0</v>
      </c>
      <c r="BZ3" s="26">
        <f>利润表!BZ3</f>
        <v>0</v>
      </c>
      <c r="CA3" s="26">
        <f>利润表!CA3</f>
        <v>0</v>
      </c>
      <c r="CB3" s="26">
        <f>利润表!CB3</f>
        <v>0</v>
      </c>
      <c r="CC3" s="26">
        <f>利润表!CC3</f>
        <v>0</v>
      </c>
      <c r="CD3" s="26">
        <f>利润表!CD3</f>
        <v>0</v>
      </c>
      <c r="CE3" s="26">
        <f>利润表!CE3</f>
        <v>0</v>
      </c>
      <c r="CF3" s="26">
        <f>利润表!CF3</f>
        <v>0</v>
      </c>
      <c r="CG3" s="26">
        <f>利润表!CG3</f>
        <v>0</v>
      </c>
      <c r="CH3" s="26">
        <f>利润表!CH3</f>
        <v>0</v>
      </c>
      <c r="CI3" s="26">
        <f>利润表!CI3</f>
        <v>0</v>
      </c>
      <c r="CJ3" s="26">
        <f>利润表!CJ3</f>
        <v>0</v>
      </c>
      <c r="CK3" s="26">
        <f>利润表!CK3</f>
        <v>0</v>
      </c>
    </row>
    <row r="4" spans="1:90" s="63" customFormat="1" x14ac:dyDescent="0.25">
      <c r="A4" s="17" t="s">
        <v>511</v>
      </c>
      <c r="E4" s="63">
        <f>$E$32</f>
        <v>0.17</v>
      </c>
      <c r="F4" s="63">
        <f t="shared" ref="F4:BQ4" si="0">$E$32</f>
        <v>0.17</v>
      </c>
      <c r="G4" s="63">
        <f t="shared" si="0"/>
        <v>0.17</v>
      </c>
      <c r="H4" s="63">
        <f t="shared" si="0"/>
        <v>0.17</v>
      </c>
      <c r="I4" s="63">
        <f t="shared" si="0"/>
        <v>0.17</v>
      </c>
      <c r="J4" s="63">
        <f t="shared" si="0"/>
        <v>0.17</v>
      </c>
      <c r="K4" s="63">
        <f t="shared" si="0"/>
        <v>0.17</v>
      </c>
      <c r="L4" s="63">
        <f t="shared" si="0"/>
        <v>0.17</v>
      </c>
      <c r="M4" s="63">
        <f t="shared" si="0"/>
        <v>0.17</v>
      </c>
      <c r="N4" s="63">
        <f t="shared" si="0"/>
        <v>0.17</v>
      </c>
      <c r="O4" s="63">
        <f t="shared" si="0"/>
        <v>0.17</v>
      </c>
      <c r="P4" s="63">
        <f t="shared" si="0"/>
        <v>0.17</v>
      </c>
      <c r="Q4" s="63">
        <f t="shared" si="0"/>
        <v>0.17</v>
      </c>
      <c r="R4" s="63">
        <f t="shared" si="0"/>
        <v>0.17</v>
      </c>
      <c r="S4" s="63">
        <f t="shared" si="0"/>
        <v>0.17</v>
      </c>
      <c r="T4" s="63">
        <f t="shared" si="0"/>
        <v>0.17</v>
      </c>
      <c r="U4" s="63">
        <f t="shared" si="0"/>
        <v>0.17</v>
      </c>
      <c r="V4" s="63">
        <f t="shared" si="0"/>
        <v>0.17</v>
      </c>
      <c r="W4" s="63">
        <f t="shared" si="0"/>
        <v>0.17</v>
      </c>
      <c r="X4" s="63">
        <f t="shared" si="0"/>
        <v>0.17</v>
      </c>
      <c r="Y4" s="63">
        <f t="shared" si="0"/>
        <v>0.17</v>
      </c>
      <c r="Z4" s="63">
        <f t="shared" si="0"/>
        <v>0.17</v>
      </c>
      <c r="AA4" s="63">
        <f t="shared" si="0"/>
        <v>0.17</v>
      </c>
      <c r="AB4" s="63">
        <f t="shared" si="0"/>
        <v>0.17</v>
      </c>
      <c r="AC4" s="63">
        <f t="shared" si="0"/>
        <v>0.17</v>
      </c>
      <c r="AD4" s="63">
        <f t="shared" si="0"/>
        <v>0.17</v>
      </c>
      <c r="AE4" s="63">
        <f t="shared" si="0"/>
        <v>0.17</v>
      </c>
      <c r="AF4" s="63">
        <f t="shared" si="0"/>
        <v>0.17</v>
      </c>
      <c r="AG4" s="63">
        <f t="shared" si="0"/>
        <v>0.17</v>
      </c>
      <c r="AH4" s="63">
        <f t="shared" si="0"/>
        <v>0.17</v>
      </c>
      <c r="AI4" s="63">
        <f t="shared" si="0"/>
        <v>0.17</v>
      </c>
      <c r="AJ4" s="63">
        <f t="shared" si="0"/>
        <v>0.17</v>
      </c>
      <c r="AK4" s="63">
        <f t="shared" si="0"/>
        <v>0.17</v>
      </c>
      <c r="AL4" s="63">
        <f t="shared" si="0"/>
        <v>0.17</v>
      </c>
      <c r="AM4" s="63">
        <f t="shared" si="0"/>
        <v>0.17</v>
      </c>
      <c r="AN4" s="63">
        <f t="shared" si="0"/>
        <v>0.17</v>
      </c>
      <c r="AO4" s="63">
        <f t="shared" si="0"/>
        <v>0.17</v>
      </c>
      <c r="AP4" s="63">
        <f t="shared" si="0"/>
        <v>0.17</v>
      </c>
      <c r="AQ4" s="63">
        <f t="shared" si="0"/>
        <v>0.17</v>
      </c>
      <c r="AR4" s="63">
        <f t="shared" si="0"/>
        <v>0.17</v>
      </c>
      <c r="AS4" s="63">
        <f t="shared" si="0"/>
        <v>0.17</v>
      </c>
      <c r="AT4" s="63">
        <f t="shared" si="0"/>
        <v>0.17</v>
      </c>
      <c r="AU4" s="63">
        <f t="shared" si="0"/>
        <v>0.17</v>
      </c>
      <c r="AV4" s="63">
        <f t="shared" si="0"/>
        <v>0.17</v>
      </c>
      <c r="AW4" s="63">
        <f t="shared" si="0"/>
        <v>0.17</v>
      </c>
      <c r="AX4" s="63">
        <f t="shared" si="0"/>
        <v>0.17</v>
      </c>
      <c r="AY4" s="63">
        <f t="shared" si="0"/>
        <v>0.17</v>
      </c>
      <c r="AZ4" s="63">
        <f t="shared" si="0"/>
        <v>0.17</v>
      </c>
      <c r="BA4" s="63">
        <f t="shared" si="0"/>
        <v>0.17</v>
      </c>
      <c r="BB4" s="63">
        <f t="shared" si="0"/>
        <v>0.17</v>
      </c>
      <c r="BC4" s="63">
        <f t="shared" si="0"/>
        <v>0.17</v>
      </c>
      <c r="BD4" s="63">
        <f t="shared" si="0"/>
        <v>0.17</v>
      </c>
      <c r="BE4" s="63">
        <f t="shared" si="0"/>
        <v>0.17</v>
      </c>
      <c r="BF4" s="63">
        <f t="shared" si="0"/>
        <v>0.17</v>
      </c>
      <c r="BG4" s="63">
        <f t="shared" si="0"/>
        <v>0.17</v>
      </c>
      <c r="BH4" s="63">
        <f t="shared" si="0"/>
        <v>0.17</v>
      </c>
      <c r="BI4" s="63">
        <f t="shared" si="0"/>
        <v>0.17</v>
      </c>
      <c r="BJ4" s="63">
        <f t="shared" si="0"/>
        <v>0.17</v>
      </c>
      <c r="BK4" s="63">
        <f t="shared" si="0"/>
        <v>0.17</v>
      </c>
      <c r="BL4" s="63">
        <f t="shared" si="0"/>
        <v>0.17</v>
      </c>
      <c r="BM4" s="63">
        <f t="shared" si="0"/>
        <v>0.17</v>
      </c>
      <c r="BN4" s="63">
        <f t="shared" si="0"/>
        <v>0.17</v>
      </c>
      <c r="BO4" s="63">
        <f t="shared" si="0"/>
        <v>0.17</v>
      </c>
      <c r="BP4" s="63">
        <f t="shared" si="0"/>
        <v>0.17</v>
      </c>
      <c r="BQ4" s="63">
        <f t="shared" si="0"/>
        <v>0.17</v>
      </c>
      <c r="BR4" s="63">
        <f t="shared" ref="BR4:CK4" si="1">$E$32</f>
        <v>0.17</v>
      </c>
      <c r="BS4" s="63">
        <f t="shared" si="1"/>
        <v>0.17</v>
      </c>
      <c r="BT4" s="63">
        <f t="shared" si="1"/>
        <v>0.17</v>
      </c>
      <c r="BU4" s="63">
        <f t="shared" si="1"/>
        <v>0.17</v>
      </c>
      <c r="BV4" s="63">
        <f t="shared" si="1"/>
        <v>0.17</v>
      </c>
      <c r="BW4" s="63">
        <f t="shared" si="1"/>
        <v>0.17</v>
      </c>
      <c r="BX4" s="63">
        <f t="shared" si="1"/>
        <v>0.17</v>
      </c>
      <c r="BY4" s="63">
        <f t="shared" si="1"/>
        <v>0.17</v>
      </c>
      <c r="BZ4" s="63">
        <f t="shared" si="1"/>
        <v>0.17</v>
      </c>
      <c r="CA4" s="63">
        <f t="shared" si="1"/>
        <v>0.17</v>
      </c>
      <c r="CB4" s="63">
        <f t="shared" si="1"/>
        <v>0.17</v>
      </c>
      <c r="CC4" s="63">
        <f t="shared" si="1"/>
        <v>0.17</v>
      </c>
      <c r="CD4" s="63">
        <f t="shared" si="1"/>
        <v>0.17</v>
      </c>
      <c r="CE4" s="63">
        <f t="shared" si="1"/>
        <v>0.17</v>
      </c>
      <c r="CF4" s="63">
        <f t="shared" si="1"/>
        <v>0.17</v>
      </c>
      <c r="CG4" s="63">
        <f t="shared" si="1"/>
        <v>0.17</v>
      </c>
      <c r="CH4" s="63">
        <f t="shared" si="1"/>
        <v>0.17</v>
      </c>
      <c r="CI4" s="63">
        <f t="shared" si="1"/>
        <v>0.17</v>
      </c>
      <c r="CJ4" s="63">
        <f t="shared" si="1"/>
        <v>0.17</v>
      </c>
      <c r="CK4" s="63">
        <f t="shared" si="1"/>
        <v>0.17</v>
      </c>
    </row>
    <row r="5" spans="1:90" s="28" customFormat="1" x14ac:dyDescent="0.25">
      <c r="A5" s="20" t="s">
        <v>487</v>
      </c>
      <c r="E5" s="28">
        <f>(E2/(1+E4))/E3</f>
        <v>0.9575220128763845</v>
      </c>
      <c r="F5" s="28">
        <f t="shared" ref="F5:BQ5" si="2">(F2/(1+F4))/F3</f>
        <v>0.9681639721955948</v>
      </c>
      <c r="G5" s="28">
        <f t="shared" si="2"/>
        <v>0.96097349933006215</v>
      </c>
      <c r="H5" s="28">
        <f t="shared" si="2"/>
        <v>0.97333879756992692</v>
      </c>
      <c r="I5" s="28">
        <f t="shared" si="2"/>
        <v>0.95774065496129335</v>
      </c>
      <c r="J5" s="28">
        <f t="shared" si="2"/>
        <v>1.0125085563611311</v>
      </c>
      <c r="K5" s="28">
        <f t="shared" si="2"/>
        <v>0.99554539114603724</v>
      </c>
      <c r="L5" s="28">
        <f t="shared" si="2"/>
        <v>1.019446463512294</v>
      </c>
      <c r="M5" s="28">
        <f t="shared" si="2"/>
        <v>0.97590691503265936</v>
      </c>
      <c r="N5" s="28">
        <f t="shared" si="2"/>
        <v>0.97756726215046785</v>
      </c>
      <c r="O5" s="28">
        <f t="shared" si="2"/>
        <v>0.94705283139693475</v>
      </c>
      <c r="P5" s="28">
        <f t="shared" si="2"/>
        <v>0.98321489628383019</v>
      </c>
      <c r="Q5" s="28">
        <f t="shared" si="2"/>
        <v>0.94640675638540395</v>
      </c>
      <c r="R5" s="28">
        <f t="shared" si="2"/>
        <v>0.93814016271816447</v>
      </c>
      <c r="S5" s="28">
        <f t="shared" si="2"/>
        <v>0.92937244603847369</v>
      </c>
      <c r="T5" s="28">
        <f t="shared" si="2"/>
        <v>0.94649121877250075</v>
      </c>
      <c r="U5" s="28">
        <f t="shared" si="2"/>
        <v>0.95400488670520978</v>
      </c>
      <c r="V5" s="28">
        <f t="shared" si="2"/>
        <v>0.94214345211109585</v>
      </c>
      <c r="W5" s="28">
        <f t="shared" si="2"/>
        <v>0.94130184962578534</v>
      </c>
      <c r="X5" s="28">
        <f t="shared" si="2"/>
        <v>0.91942908075265528</v>
      </c>
      <c r="Y5" s="28">
        <f t="shared" si="2"/>
        <v>0.98788386005570228</v>
      </c>
      <c r="Z5" s="28">
        <f t="shared" si="2"/>
        <v>0.98158435714479231</v>
      </c>
      <c r="AA5" s="28">
        <f t="shared" si="2"/>
        <v>0.97836337636585713</v>
      </c>
      <c r="AB5" s="28">
        <f t="shared" si="2"/>
        <v>0.95104749279453049</v>
      </c>
      <c r="AC5" s="28">
        <f t="shared" si="2"/>
        <v>0.98561659038383365</v>
      </c>
      <c r="AD5" s="28">
        <f t="shared" si="2"/>
        <v>0.97658140388615855</v>
      </c>
      <c r="AE5" s="28">
        <f t="shared" si="2"/>
        <v>0.96563845752994626</v>
      </c>
      <c r="AF5" s="28">
        <f t="shared" si="2"/>
        <v>0.94764003996022106</v>
      </c>
      <c r="AG5" s="28">
        <f t="shared" si="2"/>
        <v>0.98963067274498184</v>
      </c>
      <c r="AH5" s="28">
        <f t="shared" si="2"/>
        <v>0.98311235082733428</v>
      </c>
      <c r="AI5" s="28">
        <f t="shared" si="2"/>
        <v>0.97249700430828934</v>
      </c>
      <c r="AJ5" s="28">
        <f t="shared" si="2"/>
        <v>0.9468650491541396</v>
      </c>
      <c r="AK5" s="28">
        <f t="shared" si="2"/>
        <v>0.98661517766504048</v>
      </c>
      <c r="AL5" s="28">
        <f t="shared" si="2"/>
        <v>0.97612805459260998</v>
      </c>
      <c r="AM5" s="28">
        <f t="shared" si="2"/>
        <v>0.95734818266534949</v>
      </c>
      <c r="AN5" s="28">
        <f t="shared" si="2"/>
        <v>0.96289154626315865</v>
      </c>
      <c r="AO5" s="28">
        <f t="shared" si="2"/>
        <v>1.0106546649114969</v>
      </c>
      <c r="AP5" s="28">
        <f t="shared" si="2"/>
        <v>0.9891918198284696</v>
      </c>
      <c r="AQ5" s="28">
        <f t="shared" si="2"/>
        <v>1.0143677397819097</v>
      </c>
      <c r="AR5" s="28">
        <f t="shared" si="2"/>
        <v>0.99771734812848045</v>
      </c>
      <c r="AS5" s="28">
        <f t="shared" si="2"/>
        <v>0.99365217857834742</v>
      </c>
      <c r="AT5" s="28">
        <f t="shared" si="2"/>
        <v>0.99636909997300216</v>
      </c>
      <c r="AU5" s="28">
        <f t="shared" si="2"/>
        <v>0.97829720573753187</v>
      </c>
      <c r="AV5" s="28">
        <f t="shared" si="2"/>
        <v>0.96937667503705249</v>
      </c>
      <c r="AW5" s="28">
        <f t="shared" si="2"/>
        <v>1.0236459159894526</v>
      </c>
      <c r="AX5" s="28">
        <f t="shared" si="2"/>
        <v>1.0194176909360888</v>
      </c>
      <c r="AY5" s="28">
        <f t="shared" si="2"/>
        <v>1.0130305573828386</v>
      </c>
      <c r="AZ5" s="28">
        <f t="shared" si="2"/>
        <v>1.0126817538444517</v>
      </c>
      <c r="BA5" s="28">
        <f t="shared" si="2"/>
        <v>1.0319952371620342</v>
      </c>
      <c r="BB5" s="28">
        <f t="shared" si="2"/>
        <v>1.026072818294371</v>
      </c>
      <c r="BC5" s="28">
        <f t="shared" si="2"/>
        <v>1.0068074055619061</v>
      </c>
      <c r="BD5" s="28">
        <f t="shared" si="2"/>
        <v>0.98818982675855616</v>
      </c>
      <c r="BE5" s="28">
        <f t="shared" si="2"/>
        <v>1.0299297394512474</v>
      </c>
      <c r="BF5" s="28">
        <f t="shared" si="2"/>
        <v>1.0270810335334946</v>
      </c>
      <c r="BG5" s="28">
        <f t="shared" si="2"/>
        <v>1.0064626071384732</v>
      </c>
      <c r="BH5" s="28">
        <f t="shared" si="2"/>
        <v>0.99444460689698855</v>
      </c>
      <c r="BI5" s="28">
        <f t="shared" si="2"/>
        <v>1.0334768108415571</v>
      </c>
      <c r="BJ5" s="28">
        <f t="shared" si="2"/>
        <v>1.0269150694979017</v>
      </c>
      <c r="BK5" s="28">
        <f t="shared" si="2"/>
        <v>1.0210531725179288</v>
      </c>
      <c r="BL5" s="28">
        <f t="shared" si="2"/>
        <v>0.98886145541592729</v>
      </c>
      <c r="BM5" s="28">
        <f t="shared" si="2"/>
        <v>1.0319470385363279</v>
      </c>
      <c r="BN5" s="28">
        <f t="shared" si="2"/>
        <v>0.62747482605301264</v>
      </c>
      <c r="BO5" s="28">
        <f t="shared" si="2"/>
        <v>2.7699439586689283</v>
      </c>
      <c r="BP5" s="28">
        <f t="shared" si="2"/>
        <v>2.4463462455261196</v>
      </c>
      <c r="BQ5" s="28">
        <f t="shared" si="2"/>
        <v>1.035673943200375</v>
      </c>
      <c r="BR5" s="28">
        <f t="shared" ref="BR5:CL5" si="3">(BR2/(1+BR4))/BR3</f>
        <v>0</v>
      </c>
      <c r="BS5" s="28">
        <f t="shared" si="3"/>
        <v>0</v>
      </c>
      <c r="BT5" s="28">
        <f t="shared" si="3"/>
        <v>0</v>
      </c>
      <c r="BU5" s="28">
        <f t="shared" si="3"/>
        <v>0</v>
      </c>
      <c r="BV5" s="28" t="e">
        <f t="shared" si="3"/>
        <v>#DIV/0!</v>
      </c>
      <c r="BW5" s="28" t="e">
        <f t="shared" si="3"/>
        <v>#DIV/0!</v>
      </c>
      <c r="BX5" s="28" t="e">
        <f t="shared" si="3"/>
        <v>#DIV/0!</v>
      </c>
      <c r="BY5" s="28" t="e">
        <f t="shared" si="3"/>
        <v>#DIV/0!</v>
      </c>
      <c r="BZ5" s="28" t="e">
        <f t="shared" si="3"/>
        <v>#DIV/0!</v>
      </c>
      <c r="CA5" s="28" t="e">
        <f t="shared" si="3"/>
        <v>#DIV/0!</v>
      </c>
      <c r="CB5" s="28" t="e">
        <f t="shared" si="3"/>
        <v>#DIV/0!</v>
      </c>
      <c r="CC5" s="28" t="e">
        <f t="shared" si="3"/>
        <v>#DIV/0!</v>
      </c>
      <c r="CD5" s="28" t="e">
        <f t="shared" si="3"/>
        <v>#DIV/0!</v>
      </c>
      <c r="CE5" s="28" t="e">
        <f t="shared" si="3"/>
        <v>#DIV/0!</v>
      </c>
      <c r="CF5" s="28" t="e">
        <f t="shared" si="3"/>
        <v>#DIV/0!</v>
      </c>
      <c r="CG5" s="28" t="e">
        <f t="shared" si="3"/>
        <v>#DIV/0!</v>
      </c>
      <c r="CH5" s="28" t="e">
        <f t="shared" si="3"/>
        <v>#DIV/0!</v>
      </c>
      <c r="CI5" s="28" t="e">
        <f t="shared" si="3"/>
        <v>#DIV/0!</v>
      </c>
      <c r="CJ5" s="28" t="e">
        <f t="shared" si="3"/>
        <v>#DIV/0!</v>
      </c>
      <c r="CK5" s="28" t="e">
        <f t="shared" si="3"/>
        <v>#DIV/0!</v>
      </c>
      <c r="CL5" s="28" t="e">
        <f t="shared" si="3"/>
        <v>#DIV/0!</v>
      </c>
    </row>
    <row r="6" spans="1:90" s="26" customFormat="1" x14ac:dyDescent="0.25">
      <c r="A6" s="17" t="s">
        <v>488</v>
      </c>
      <c r="E6" s="26">
        <f>现金流量表!E8</f>
        <v>2041977000000</v>
      </c>
      <c r="F6" s="26">
        <f>现金流量表!F8</f>
        <v>1534680000000</v>
      </c>
      <c r="G6" s="26">
        <f>现金流量表!G8</f>
        <v>1021990000000</v>
      </c>
      <c r="H6" s="26">
        <f>现金流量表!H8</f>
        <v>532989000000</v>
      </c>
      <c r="I6" s="26">
        <f>现金流量表!I8</f>
        <v>1547868000000</v>
      </c>
      <c r="J6" s="26">
        <f>现金流量表!J8</f>
        <v>1171618000000</v>
      </c>
      <c r="K6" s="26">
        <f>现金流量表!K8</f>
        <v>732307000000</v>
      </c>
      <c r="L6" s="26">
        <f>现金流量表!L8</f>
        <v>355115000000</v>
      </c>
      <c r="M6" s="26">
        <f>现金流量表!M8</f>
        <v>1730839000000</v>
      </c>
      <c r="N6" s="26">
        <f>现金流量表!N8</f>
        <v>1331547000000</v>
      </c>
      <c r="O6" s="26">
        <f>现金流量表!O8</f>
        <v>873396000000</v>
      </c>
      <c r="P6" s="26">
        <f>现金流量表!P8</f>
        <v>444929000000</v>
      </c>
      <c r="Q6" s="26">
        <f>现金流量表!Q8</f>
        <v>2589649000000</v>
      </c>
      <c r="R6" s="26">
        <f>现金流量表!R8</f>
        <v>1934384000000</v>
      </c>
      <c r="S6" s="26">
        <f>现金流量表!S8</f>
        <v>1227836000000</v>
      </c>
      <c r="T6" s="26">
        <f>现金流量表!T8</f>
        <v>604230000000</v>
      </c>
      <c r="U6" s="26">
        <f>现金流量表!U8</f>
        <v>2691495000000</v>
      </c>
      <c r="V6" s="26">
        <f>现金流量表!V8</f>
        <v>1987858000000</v>
      </c>
      <c r="W6" s="26">
        <f>现金流量表!W8</f>
        <v>1333780000000</v>
      </c>
      <c r="X6" s="26">
        <f>现金流量表!X8</f>
        <v>638914000000</v>
      </c>
      <c r="Y6" s="26">
        <f>现金流量表!Y8</f>
        <v>2725034000000</v>
      </c>
      <c r="Z6" s="26">
        <f>现金流量表!Z8</f>
        <v>1980757000000</v>
      </c>
      <c r="AA6" s="26">
        <f>现金流量表!AA8</f>
        <v>1335797000000</v>
      </c>
      <c r="AB6" s="26">
        <f>现金流量表!AB8</f>
        <v>683955000000</v>
      </c>
      <c r="AC6" s="26">
        <f>现金流量表!AC8</f>
        <v>2398623000000</v>
      </c>
      <c r="AD6" s="26">
        <f>现金流量表!AD8</f>
        <v>1802182000000</v>
      </c>
      <c r="AE6" s="26">
        <f>现金流量表!AE8</f>
        <v>1187767000000</v>
      </c>
      <c r="AF6" s="26">
        <f>现金流量表!AF8</f>
        <v>553711000000</v>
      </c>
      <c r="AG6" s="26">
        <f>现金流量表!AG8</f>
        <v>1758556000000</v>
      </c>
      <c r="AH6" s="26">
        <f>现金流量表!AH8</f>
        <v>1337091000000</v>
      </c>
      <c r="AI6" s="26">
        <f>现金流量表!AI8</f>
        <v>883350000000</v>
      </c>
      <c r="AJ6" s="26">
        <f>现金流量表!AJ8</f>
        <v>389728000000</v>
      </c>
      <c r="AK6" s="26">
        <f>现金流量表!AK8</f>
        <v>1173933000000</v>
      </c>
      <c r="AL6" s="26">
        <f>现金流量表!AL8</f>
        <v>747245000000</v>
      </c>
      <c r="AM6" s="26">
        <f>现金流量表!AM8</f>
        <v>414835000000</v>
      </c>
      <c r="AN6" s="26">
        <f>现金流量表!AN8</f>
        <v>165178000000</v>
      </c>
      <c r="AO6" s="26">
        <f>现金流量表!AO8</f>
        <v>1544176000000</v>
      </c>
      <c r="AP6" s="26">
        <f>现金流量表!AP8</f>
        <v>1261387000000</v>
      </c>
      <c r="AQ6" s="26">
        <f>现金流量表!AQ8</f>
        <v>791804000000</v>
      </c>
      <c r="AR6" s="26">
        <f>现金流量表!AR8</f>
        <v>360836000000</v>
      </c>
      <c r="AS6" s="26">
        <f>现金流量表!AS8</f>
        <v>1142351000000</v>
      </c>
      <c r="AT6" s="26">
        <f>现金流量表!AT8</f>
        <v>822921000000</v>
      </c>
      <c r="AU6" s="26">
        <f>现金流量表!AU8</f>
        <v>520682000000</v>
      </c>
      <c r="AV6" s="26">
        <f>现金流量表!AV8</f>
        <v>252325000000</v>
      </c>
      <c r="AW6" s="26">
        <f>现金流量表!AW8</f>
        <v>1039625000000</v>
      </c>
      <c r="AX6" s="26">
        <f>现金流量表!AX8</f>
        <v>774595000000</v>
      </c>
      <c r="AY6" s="26">
        <f>现金流量表!AY8</f>
        <v>497285000000</v>
      </c>
      <c r="AZ6" s="26">
        <f>现金流量表!AZ8</f>
        <v>236138000000</v>
      </c>
      <c r="BA6" s="26">
        <f>现金流量表!BA8</f>
        <v>796058000000</v>
      </c>
      <c r="BB6" s="26">
        <f>现金流量表!BB8</f>
        <v>575339000000</v>
      </c>
      <c r="BC6" s="26">
        <f>现金流量表!BC8</f>
        <v>351712000000</v>
      </c>
      <c r="BD6" s="26">
        <f>现金流量表!BD8</f>
        <v>158199000000</v>
      </c>
      <c r="BE6" s="26">
        <f>现金流量表!BE8</f>
        <v>556279000000</v>
      </c>
      <c r="BF6" s="26">
        <f>现金流量表!BF8</f>
        <v>392580000000</v>
      </c>
      <c r="BG6" s="26">
        <f>现金流量表!BG8</f>
        <v>248152000000</v>
      </c>
      <c r="BH6" s="26">
        <f>现金流量表!BH8</f>
        <v>113938000000</v>
      </c>
      <c r="BI6" s="26">
        <f>现金流量表!BI8</f>
        <v>371086000000</v>
      </c>
      <c r="BJ6" s="26">
        <f>现金流量表!BJ8</f>
        <v>269632000000</v>
      </c>
      <c r="BK6" s="26">
        <f>现金流量表!BK8</f>
        <v>169367000000</v>
      </c>
      <c r="BL6" s="26">
        <f>现金流量表!BL8</f>
        <v>81690000000</v>
      </c>
      <c r="BM6" s="26">
        <f>现金流量表!BM8</f>
        <v>276520000000</v>
      </c>
      <c r="BN6" s="26">
        <f>现金流量表!BN8</f>
        <v>111505000000</v>
      </c>
      <c r="BO6" s="26">
        <f>现金流量表!BO8</f>
        <v>332207000000</v>
      </c>
      <c r="BP6" s="26">
        <f>现金流量表!BP8</f>
        <v>140060000000</v>
      </c>
      <c r="BQ6" s="26">
        <f>现金流量表!BQ8</f>
        <v>271186000000</v>
      </c>
      <c r="BR6" s="26">
        <f>现金流量表!BR8</f>
        <v>0</v>
      </c>
      <c r="BS6" s="26">
        <f>现金流量表!BS8</f>
        <v>0</v>
      </c>
      <c r="BT6" s="26">
        <f>现金流量表!BT8</f>
        <v>0</v>
      </c>
      <c r="BU6" s="26">
        <f>现金流量表!BU8</f>
        <v>0</v>
      </c>
      <c r="BV6" s="26">
        <f>现金流量表!BV8</f>
        <v>0</v>
      </c>
      <c r="BW6" s="26">
        <f>现金流量表!BW8</f>
        <v>0</v>
      </c>
      <c r="BX6" s="26">
        <f>现金流量表!BX8</f>
        <v>0</v>
      </c>
      <c r="BY6" s="26">
        <f>现金流量表!BY8</f>
        <v>0</v>
      </c>
      <c r="BZ6" s="26">
        <f>现金流量表!BZ8</f>
        <v>0</v>
      </c>
      <c r="CA6" s="26">
        <f>现金流量表!CA8</f>
        <v>0</v>
      </c>
      <c r="CB6" s="26">
        <f>现金流量表!CB8</f>
        <v>0</v>
      </c>
      <c r="CC6" s="26">
        <f>现金流量表!CC8</f>
        <v>0</v>
      </c>
      <c r="CD6" s="26">
        <f>现金流量表!CD8</f>
        <v>0</v>
      </c>
      <c r="CE6" s="26">
        <f>现金流量表!CE8</f>
        <v>0</v>
      </c>
      <c r="CF6" s="26">
        <f>现金流量表!CF8</f>
        <v>0</v>
      </c>
      <c r="CG6" s="26">
        <f>现金流量表!CG8</f>
        <v>0</v>
      </c>
      <c r="CH6" s="26">
        <f>现金流量表!CH8</f>
        <v>0</v>
      </c>
      <c r="CI6" s="26">
        <f>现金流量表!CI8</f>
        <v>0</v>
      </c>
      <c r="CJ6" s="26">
        <f>现金流量表!CJ8</f>
        <v>0</v>
      </c>
      <c r="CK6" s="26">
        <f>现金流量表!CK8</f>
        <v>0</v>
      </c>
    </row>
    <row r="7" spans="1:90" s="26" customFormat="1" x14ac:dyDescent="0.25">
      <c r="A7" s="17" t="s">
        <v>489</v>
      </c>
      <c r="E7" s="26">
        <f>现金流量表!E9</f>
        <v>68260000000</v>
      </c>
      <c r="F7" s="26">
        <f>现金流量表!F9</f>
        <v>44390000000</v>
      </c>
      <c r="G7" s="26">
        <f>现金流量表!G9</f>
        <v>28759000000</v>
      </c>
      <c r="H7" s="26">
        <f>现金流量表!H9</f>
        <v>13802000000</v>
      </c>
      <c r="I7" s="26">
        <f>现金流量表!I9</f>
        <v>62602000000</v>
      </c>
      <c r="J7" s="26">
        <f>现金流量表!J9</f>
        <v>41556000000</v>
      </c>
      <c r="K7" s="26">
        <f>现金流量表!K9</f>
        <v>27480000000</v>
      </c>
      <c r="L7" s="26">
        <f>现金流量表!L9</f>
        <v>13296000000</v>
      </c>
      <c r="M7" s="26">
        <f>现金流量表!M9</f>
        <v>55137000000</v>
      </c>
      <c r="N7" s="26">
        <f>现金流量表!N9</f>
        <v>37946000000</v>
      </c>
      <c r="O7" s="26">
        <f>现金流量表!O9</f>
        <v>24976000000</v>
      </c>
      <c r="P7" s="26">
        <f>现金流量表!P9</f>
        <v>12612000000</v>
      </c>
      <c r="Q7" s="26">
        <f>现金流量表!Q9</f>
        <v>56396000000</v>
      </c>
      <c r="R7" s="26">
        <f>现金流量表!R9</f>
        <v>38619000000</v>
      </c>
      <c r="S7" s="26">
        <f>现金流量表!S9</f>
        <v>25294000000</v>
      </c>
      <c r="T7" s="26">
        <f>现金流量表!T9</f>
        <v>12487000000</v>
      </c>
      <c r="U7" s="26">
        <f>现金流量表!U9</f>
        <v>55731000000</v>
      </c>
      <c r="V7" s="26">
        <f>现金流量表!V9</f>
        <v>37282000000</v>
      </c>
      <c r="W7" s="26">
        <f>现金流量表!W9</f>
        <v>23996000000</v>
      </c>
      <c r="X7" s="26">
        <f>现金流量表!X9</f>
        <v>11633000000</v>
      </c>
      <c r="Y7" s="26">
        <f>现金流量表!Y9</f>
        <v>51724000000</v>
      </c>
      <c r="Z7" s="26">
        <f>现金流量表!Z9</f>
        <v>33360000000</v>
      </c>
      <c r="AA7" s="26">
        <f>现金流量表!AA9</f>
        <v>19830000000</v>
      </c>
      <c r="AB7" s="26">
        <f>现金流量表!AB9</f>
        <v>7525000000</v>
      </c>
      <c r="AC7" s="26">
        <f>现金流量表!AC9</f>
        <v>41718000000</v>
      </c>
      <c r="AD7" s="26">
        <f>现金流量表!AD9</f>
        <v>22309000000</v>
      </c>
      <c r="AE7" s="26">
        <f>现金流量表!AE9</f>
        <v>12800000000</v>
      </c>
      <c r="AF7" s="26">
        <f>现金流量表!AF9</f>
        <v>6254000000</v>
      </c>
      <c r="AG7" s="26">
        <f>现金流量表!AG9</f>
        <v>30754000000</v>
      </c>
      <c r="AH7" s="26">
        <f>现金流量表!AH9</f>
        <v>18347000000</v>
      </c>
      <c r="AI7" s="26">
        <f>现金流量表!AI9</f>
        <v>10831000000</v>
      </c>
      <c r="AJ7" s="26">
        <f>现金流量表!AJ9</f>
        <v>5585000000</v>
      </c>
      <c r="AK7" s="26">
        <f>现金流量表!AK9</f>
        <v>28656000000</v>
      </c>
      <c r="AL7" s="26">
        <f>现金流量表!AL9</f>
        <v>17243000000</v>
      </c>
      <c r="AM7" s="26">
        <f>现金流量表!AM9</f>
        <v>10765000000</v>
      </c>
      <c r="AN7" s="26">
        <f>现金流量表!AN9</f>
        <v>5257000000</v>
      </c>
      <c r="AO7" s="26">
        <f>现金流量表!AO9</f>
        <v>27773000000</v>
      </c>
      <c r="AP7" s="26">
        <f>现金流量表!AP9</f>
        <v>17817000000</v>
      </c>
      <c r="AQ7" s="26">
        <f>现金流量表!AQ9</f>
        <v>11694000000</v>
      </c>
      <c r="AR7" s="26">
        <f>现金流量表!AR9</f>
        <v>6460000000</v>
      </c>
      <c r="AS7" s="26">
        <f>现金流量表!AS9</f>
        <v>22255000000</v>
      </c>
      <c r="AT7" s="26">
        <f>现金流量表!AT9</f>
        <v>13761000000</v>
      </c>
      <c r="AU7" s="26">
        <f>现金流量表!AU9</f>
        <v>9453000000</v>
      </c>
      <c r="AV7" s="26">
        <f>现金流量表!AV9</f>
        <v>3847000000</v>
      </c>
      <c r="AW7" s="26">
        <f>现金流量表!AW9</f>
        <v>20323000000</v>
      </c>
      <c r="AX7" s="26">
        <f>现金流量表!AX9</f>
        <v>13651000000</v>
      </c>
      <c r="AY7" s="26">
        <f>现金流量表!AY9</f>
        <v>9310000000</v>
      </c>
      <c r="AZ7" s="26">
        <f>现金流量表!AZ9</f>
        <v>4765000000</v>
      </c>
      <c r="BA7" s="26">
        <f>现金流量表!BA9</f>
        <v>18710000000</v>
      </c>
      <c r="BB7" s="26">
        <f>现金流量表!BB9</f>
        <v>12111000000</v>
      </c>
      <c r="BC7" s="26">
        <f>现金流量表!BC9</f>
        <v>8272000000</v>
      </c>
      <c r="BD7" s="26">
        <f>现金流量表!BD9</f>
        <v>4135000000</v>
      </c>
      <c r="BE7" s="26">
        <f>现金流量表!BE9</f>
        <v>16304000000</v>
      </c>
      <c r="BF7" s="26">
        <f>现金流量表!BF9</f>
        <v>12431000000</v>
      </c>
      <c r="BG7" s="26">
        <f>现金流量表!BG9</f>
        <v>8282000000</v>
      </c>
      <c r="BH7" s="26">
        <f>现金流量表!BH9</f>
        <v>4076000000</v>
      </c>
      <c r="BI7" s="26">
        <f>现金流量表!BI9</f>
        <v>15964000000</v>
      </c>
      <c r="BJ7" s="26">
        <f>现金流量表!BJ9</f>
        <v>9419000000</v>
      </c>
      <c r="BK7" s="26">
        <f>现金流量表!BK9</f>
        <v>6491000000</v>
      </c>
      <c r="BL7" s="26">
        <f>现金流量表!BL9</f>
        <v>3289000000</v>
      </c>
      <c r="BM7" s="26">
        <f>现金流量表!BM9</f>
        <v>13020000000</v>
      </c>
      <c r="BN7" s="26">
        <f>现金流量表!BN9</f>
        <v>5920000000</v>
      </c>
      <c r="BO7" s="26">
        <f>现金流量表!BO9</f>
        <v>12319000000</v>
      </c>
      <c r="BP7" s="26">
        <f>现金流量表!BP9</f>
        <v>5471000000</v>
      </c>
      <c r="BQ7" s="26">
        <f>现金流量表!BQ9</f>
        <v>12310000000</v>
      </c>
      <c r="BR7" s="26">
        <f>现金流量表!BR9</f>
        <v>0</v>
      </c>
      <c r="BS7" s="26">
        <f>现金流量表!BS9</f>
        <v>0</v>
      </c>
      <c r="BT7" s="26">
        <f>现金流量表!BT9</f>
        <v>0</v>
      </c>
      <c r="BU7" s="26">
        <f>现金流量表!BU9</f>
        <v>0</v>
      </c>
      <c r="BV7" s="26">
        <f>现金流量表!BV9</f>
        <v>0</v>
      </c>
      <c r="BW7" s="26">
        <f>现金流量表!BW9</f>
        <v>0</v>
      </c>
      <c r="BX7" s="26">
        <f>现金流量表!BX9</f>
        <v>0</v>
      </c>
      <c r="BY7" s="26">
        <f>现金流量表!BY9</f>
        <v>0</v>
      </c>
      <c r="BZ7" s="26">
        <f>现金流量表!BZ9</f>
        <v>0</v>
      </c>
      <c r="CA7" s="26">
        <f>现金流量表!CA9</f>
        <v>0</v>
      </c>
      <c r="CB7" s="26">
        <f>现金流量表!CB9</f>
        <v>0</v>
      </c>
      <c r="CC7" s="26">
        <f>现金流量表!CC9</f>
        <v>0</v>
      </c>
      <c r="CD7" s="26">
        <f>现金流量表!CD9</f>
        <v>0</v>
      </c>
      <c r="CE7" s="26">
        <f>现金流量表!CE9</f>
        <v>0</v>
      </c>
      <c r="CF7" s="26">
        <f>现金流量表!CF9</f>
        <v>0</v>
      </c>
      <c r="CG7" s="26">
        <f>现金流量表!CG9</f>
        <v>0</v>
      </c>
      <c r="CH7" s="26">
        <f>现金流量表!CH9</f>
        <v>0</v>
      </c>
      <c r="CI7" s="26">
        <f>现金流量表!CI9</f>
        <v>0</v>
      </c>
      <c r="CJ7" s="26">
        <f>现金流量表!CJ9</f>
        <v>0</v>
      </c>
      <c r="CK7" s="26">
        <f>现金流量表!CK9</f>
        <v>0</v>
      </c>
      <c r="CL7" s="26">
        <f>现金流量表!CL9</f>
        <v>0</v>
      </c>
    </row>
    <row r="8" spans="1:90" s="58" customFormat="1" x14ac:dyDescent="0.25">
      <c r="A8" s="146" t="s">
        <v>490</v>
      </c>
      <c r="E8" s="58">
        <f>利润表!E6</f>
        <v>1890398000000</v>
      </c>
      <c r="F8" s="58">
        <f>利润表!F6</f>
        <v>1405556000000</v>
      </c>
      <c r="G8" s="58">
        <f>利润表!G6</f>
        <v>942602000000</v>
      </c>
      <c r="H8" s="58">
        <f>利润表!H6</f>
        <v>466318000000</v>
      </c>
      <c r="I8" s="58">
        <f>利润表!I6</f>
        <v>1492165000000</v>
      </c>
      <c r="J8" s="58">
        <f>利润表!J6</f>
        <v>1042208000000</v>
      </c>
      <c r="K8" s="58">
        <f>利润表!K6</f>
        <v>665193000000</v>
      </c>
      <c r="L8" s="58">
        <f>利润表!L6</f>
        <v>313289000000</v>
      </c>
      <c r="M8" s="58">
        <f>利润表!M6</f>
        <v>1592771000000</v>
      </c>
      <c r="N8" s="58">
        <f>利润表!N6</f>
        <v>1217056000000</v>
      </c>
      <c r="O8" s="58">
        <f>利润表!O6</f>
        <v>819733000000</v>
      </c>
      <c r="P8" s="58">
        <f>利润表!P6</f>
        <v>385281000000</v>
      </c>
      <c r="Q8" s="58">
        <f>利润表!Q6</f>
        <v>2429017000000</v>
      </c>
      <c r="R8" s="58">
        <f>利润表!R6</f>
        <v>1803729000000</v>
      </c>
      <c r="S8" s="58">
        <f>利润表!S6</f>
        <v>1148049000000</v>
      </c>
      <c r="T8" s="58">
        <f>利润表!T6</f>
        <v>540340000000</v>
      </c>
      <c r="U8" s="58">
        <f>利润表!U6</f>
        <v>2457041000000</v>
      </c>
      <c r="V8" s="58">
        <f>利润表!V6</f>
        <v>1827437000000</v>
      </c>
      <c r="W8" s="58">
        <f>利润表!W6</f>
        <v>1213550000000</v>
      </c>
      <c r="X8" s="58">
        <f>利润表!X6</f>
        <v>590055000000</v>
      </c>
      <c r="Y8" s="58">
        <f>利润表!Y6</f>
        <v>2372235000000</v>
      </c>
      <c r="Z8" s="58">
        <f>利润表!Z6</f>
        <v>1724711000000</v>
      </c>
      <c r="AA8" s="58">
        <f>利润表!AA6</f>
        <v>1152431000000</v>
      </c>
      <c r="AB8" s="58">
        <f>利润表!AB6</f>
        <v>574798000000</v>
      </c>
      <c r="AC8" s="58">
        <f>利润表!AC6</f>
        <v>2093199000000</v>
      </c>
      <c r="AD8" s="58">
        <f>利润表!AD6</f>
        <v>1564326000000</v>
      </c>
      <c r="AE8" s="58">
        <f>利润表!AE6</f>
        <v>1029875000000</v>
      </c>
      <c r="AF8" s="58">
        <f>利润表!AF6</f>
        <v>487346000000</v>
      </c>
      <c r="AG8" s="58">
        <f>利润表!AG6</f>
        <v>1537131000000</v>
      </c>
      <c r="AH8" s="58">
        <f>利润表!AH6</f>
        <v>1161324000000</v>
      </c>
      <c r="AI8" s="58">
        <f>利润表!AI6</f>
        <v>767032000000</v>
      </c>
      <c r="AJ8" s="58">
        <f>利润表!AJ6</f>
        <v>358379000000</v>
      </c>
      <c r="AK8" s="58">
        <f>利润表!AK6</f>
        <v>1035815000000</v>
      </c>
      <c r="AL8" s="58">
        <f>利润表!AL6</f>
        <v>667113000000</v>
      </c>
      <c r="AM8" s="58">
        <f>利润表!AM6</f>
        <v>389325000000</v>
      </c>
      <c r="AN8" s="58">
        <f>利润表!AN6</f>
        <v>166444000000</v>
      </c>
      <c r="AO8" s="58">
        <f>利润表!AO6</f>
        <v>1326783000000</v>
      </c>
      <c r="AP8" s="58">
        <f>利润表!AP6</f>
        <v>1060029000000</v>
      </c>
      <c r="AQ8" s="58">
        <f>利润表!AQ6</f>
        <v>679678000000</v>
      </c>
      <c r="AR8" s="58">
        <f>利润表!AR6</f>
        <v>295510000000</v>
      </c>
      <c r="AS8" s="58">
        <f>利润表!AS6</f>
        <v>1012961000000</v>
      </c>
      <c r="AT8" s="58">
        <f>利润表!AT6</f>
        <v>727637000000</v>
      </c>
      <c r="AU8" s="58">
        <f>利润表!AU6</f>
        <v>465105000000</v>
      </c>
      <c r="AV8" s="58">
        <f>利润表!AV6</f>
        <v>228232000000</v>
      </c>
      <c r="AW8" s="58">
        <f>利润表!AW6</f>
        <v>880029000000</v>
      </c>
      <c r="AX8" s="58">
        <f>利润表!AX6</f>
        <v>639519000000</v>
      </c>
      <c r="AY8" s="58">
        <f>利润表!AY6</f>
        <v>409298000000</v>
      </c>
      <c r="AZ8" s="58">
        <f>利润表!AZ6</f>
        <v>191137000000</v>
      </c>
      <c r="BA8" s="58">
        <f>利润表!BA6</f>
        <v>668249000000</v>
      </c>
      <c r="BB8" s="58">
        <f>利润表!BB6</f>
        <v>479614000000</v>
      </c>
      <c r="BC8" s="58">
        <f>利润表!BC6</f>
        <v>293181000000</v>
      </c>
      <c r="BD8" s="58">
        <f>利润表!BD6</f>
        <v>136187000000</v>
      </c>
      <c r="BE8" s="58">
        <f>利润表!BE6</f>
        <v>459207000000</v>
      </c>
      <c r="BF8" s="58">
        <f>利润表!BF6</f>
        <v>323054000000</v>
      </c>
      <c r="BG8" s="58">
        <f>利润表!BG6</f>
        <v>206098000000</v>
      </c>
      <c r="BH8" s="58">
        <f>利润表!BH6</f>
        <v>94583000000</v>
      </c>
      <c r="BI8" s="58">
        <f>利润表!BI6</f>
        <v>323104000000</v>
      </c>
      <c r="BJ8" s="58">
        <f>利润表!BJ6</f>
        <v>234209000000</v>
      </c>
      <c r="BK8" s="58">
        <f>利润表!BK6</f>
        <v>152303000000</v>
      </c>
      <c r="BL8" s="58">
        <f>利润表!BL6</f>
        <v>76178000000</v>
      </c>
      <c r="BM8" s="58">
        <f>利润表!BM6</f>
        <v>251182000000</v>
      </c>
      <c r="BN8" s="58">
        <f>利润表!BN6</f>
        <v>175233000000</v>
      </c>
      <c r="BO8" s="58">
        <f>利润表!BO6</f>
        <v>109372000000</v>
      </c>
      <c r="BP8" s="58">
        <f>利润表!BP6</f>
        <v>51667000000</v>
      </c>
      <c r="BQ8" s="58">
        <f>利润表!BQ6</f>
        <v>236135000000</v>
      </c>
      <c r="BR8" s="58">
        <f>利润表!BR6</f>
        <v>124248000000</v>
      </c>
      <c r="BS8" s="58">
        <f>利润表!BS6</f>
        <v>249234000000</v>
      </c>
      <c r="BT8" s="58">
        <f>利润表!BT6</f>
        <v>175259000000</v>
      </c>
      <c r="BU8" s="58">
        <f>利润表!BU6</f>
        <v>146753000000</v>
      </c>
      <c r="BV8" s="58">
        <f>利润表!BV6</f>
        <v>0</v>
      </c>
      <c r="BW8" s="58">
        <f>利润表!BW6</f>
        <v>0</v>
      </c>
      <c r="BX8" s="58">
        <f>利润表!BX6</f>
        <v>0</v>
      </c>
      <c r="BY8" s="58">
        <f>利润表!BY6</f>
        <v>0</v>
      </c>
      <c r="BZ8" s="58">
        <f>利润表!BZ6</f>
        <v>0</v>
      </c>
      <c r="CA8" s="58">
        <f>利润表!CA6</f>
        <v>0</v>
      </c>
      <c r="CB8" s="58">
        <f>利润表!CB6</f>
        <v>0</v>
      </c>
      <c r="CC8" s="58">
        <f>利润表!CC6</f>
        <v>0</v>
      </c>
      <c r="CD8" s="58">
        <f>利润表!CD6</f>
        <v>0</v>
      </c>
      <c r="CE8" s="58">
        <f>利润表!CE6</f>
        <v>0</v>
      </c>
      <c r="CF8" s="58">
        <f>利润表!CF6</f>
        <v>0</v>
      </c>
      <c r="CG8" s="58">
        <f>利润表!CG6</f>
        <v>0</v>
      </c>
      <c r="CH8" s="58">
        <f>利润表!CH6</f>
        <v>0</v>
      </c>
      <c r="CI8" s="58">
        <f>利润表!CI6</f>
        <v>0</v>
      </c>
      <c r="CJ8" s="58">
        <f>利润表!CJ6</f>
        <v>0</v>
      </c>
      <c r="CK8" s="58">
        <f>利润表!CK6</f>
        <v>0</v>
      </c>
      <c r="CL8" s="58">
        <f>利润表!CL6</f>
        <v>0</v>
      </c>
    </row>
    <row r="9" spans="1:90" s="58" customFormat="1" x14ac:dyDescent="0.25">
      <c r="A9" s="146" t="s">
        <v>491</v>
      </c>
      <c r="E9" s="58">
        <f>利润表!E7</f>
        <v>235292000000</v>
      </c>
      <c r="F9" s="58">
        <f>利润表!F7</f>
        <v>176329000000</v>
      </c>
      <c r="G9" s="58">
        <f>利润表!G7</f>
        <v>116297000000</v>
      </c>
      <c r="H9" s="58">
        <f>利润表!H7</f>
        <v>58169000000</v>
      </c>
      <c r="I9" s="58">
        <f>利润表!I7</f>
        <v>232006000000</v>
      </c>
      <c r="J9" s="58">
        <f>利润表!J7</f>
        <v>171073000000</v>
      </c>
      <c r="K9" s="58">
        <f>利润表!K7</f>
        <v>112831000000</v>
      </c>
      <c r="L9" s="58">
        <f>利润表!L7</f>
        <v>55099000000</v>
      </c>
      <c r="M9" s="58">
        <f>利润表!M7</f>
        <v>236343000000</v>
      </c>
      <c r="N9" s="58">
        <f>利润表!N7</f>
        <v>179260000000</v>
      </c>
      <c r="O9" s="58">
        <f>利润表!O7</f>
        <v>119886000000</v>
      </c>
      <c r="P9" s="58">
        <f>利润表!P7</f>
        <v>58830000000</v>
      </c>
      <c r="Q9" s="58">
        <f>利润表!Q7</f>
        <v>191202000000</v>
      </c>
      <c r="R9" s="58">
        <f>利润表!R7</f>
        <v>141950000000</v>
      </c>
      <c r="S9" s="58">
        <f>利润表!S7</f>
        <v>93767000000</v>
      </c>
      <c r="T9" s="58">
        <f>利润表!T7</f>
        <v>46136000000</v>
      </c>
      <c r="U9" s="58">
        <f>利润表!U7</f>
        <v>190672000000</v>
      </c>
      <c r="V9" s="58">
        <f>利润表!V7</f>
        <v>142398000000</v>
      </c>
      <c r="W9" s="58">
        <f>利润表!W7</f>
        <v>94451000000</v>
      </c>
      <c r="X9" s="58">
        <f>利润表!X7</f>
        <v>48022000000</v>
      </c>
      <c r="Y9" s="58">
        <f>利润表!Y7</f>
        <v>188483000000</v>
      </c>
      <c r="Z9" s="58">
        <f>利润表!Z7</f>
        <v>140560000000</v>
      </c>
      <c r="AA9" s="58">
        <f>利润表!AA7</f>
        <v>95267000000</v>
      </c>
      <c r="AB9" s="58">
        <f>利润表!AB7</f>
        <v>47415000000</v>
      </c>
      <c r="AC9" s="58">
        <f>利润表!AC7</f>
        <v>189949000000</v>
      </c>
      <c r="AD9" s="58">
        <f>利润表!AD7</f>
        <v>141982000000</v>
      </c>
      <c r="AE9" s="58">
        <f>利润表!AE7</f>
        <v>93285000000</v>
      </c>
      <c r="AF9" s="58">
        <f>利润表!AF7</f>
        <v>43937000000</v>
      </c>
      <c r="AG9" s="58">
        <f>利润表!AG7</f>
        <v>157189000000</v>
      </c>
      <c r="AH9" s="58">
        <f>利润表!AH7</f>
        <v>115089000000</v>
      </c>
      <c r="AI9" s="58">
        <f>利润表!AI7</f>
        <v>75410000000</v>
      </c>
      <c r="AJ9" s="58">
        <f>利润表!AJ7</f>
        <v>36291000000</v>
      </c>
      <c r="AK9" s="58">
        <f>利润表!AK7</f>
        <v>132884000000</v>
      </c>
      <c r="AL9" s="58">
        <f>利润表!AL7</f>
        <v>96911000000</v>
      </c>
      <c r="AM9" s="58">
        <f>利润表!AM7</f>
        <v>61518000000</v>
      </c>
      <c r="AN9" s="58">
        <f>利润表!AN7</f>
        <v>28358000000</v>
      </c>
      <c r="AO9" s="58">
        <f>利润表!AO7</f>
        <v>56799000000</v>
      </c>
      <c r="AP9" s="58">
        <f>利润表!AP7</f>
        <v>47161000000</v>
      </c>
      <c r="AQ9" s="58">
        <f>利润表!AQ7</f>
        <v>28451000000</v>
      </c>
      <c r="AR9" s="58">
        <f>利润表!AR7</f>
        <v>13737000000</v>
      </c>
      <c r="AS9" s="58">
        <f>利润表!AS7</f>
        <v>34304000000</v>
      </c>
      <c r="AT9" s="58">
        <f>利润表!AT7</f>
        <v>23014000000</v>
      </c>
      <c r="AU9" s="58">
        <f>利润表!AU7</f>
        <v>14144000000</v>
      </c>
      <c r="AV9" s="58">
        <f>利润表!AV7</f>
        <v>6313000000</v>
      </c>
      <c r="AW9" s="58">
        <f>利润表!AW7</f>
        <v>28286000000</v>
      </c>
      <c r="AX9" s="58">
        <f>利润表!AX7</f>
        <v>21733000000</v>
      </c>
      <c r="AY9" s="58">
        <f>利润表!AY7</f>
        <v>12918000000</v>
      </c>
      <c r="AZ9" s="58">
        <f>利润表!AZ7</f>
        <v>4419000000</v>
      </c>
      <c r="BA9" s="58">
        <f>利润表!BA7</f>
        <v>17152000000</v>
      </c>
      <c r="BB9" s="58">
        <f>利润表!BB7</f>
        <v>12709000000</v>
      </c>
      <c r="BC9" s="58">
        <f>利润表!BC7</f>
        <v>8204000000</v>
      </c>
      <c r="BD9" s="58">
        <f>利润表!BD7</f>
        <v>4207000000</v>
      </c>
      <c r="BE9" s="58">
        <f>利润表!BE7</f>
        <v>16203000000</v>
      </c>
      <c r="BF9" s="58">
        <f>利润表!BF7</f>
        <v>11998000000</v>
      </c>
      <c r="BG9" s="58">
        <f>利润表!BG7</f>
        <v>7776000000</v>
      </c>
      <c r="BH9" s="58">
        <f>利润表!BH7</f>
        <v>3835000000</v>
      </c>
      <c r="BI9" s="58">
        <f>利润表!BI7</f>
        <v>13371000000</v>
      </c>
      <c r="BJ9" s="58">
        <f>利润表!BJ7</f>
        <v>9552000000</v>
      </c>
      <c r="BK9" s="58">
        <f>利润表!BK7</f>
        <v>6141000000</v>
      </c>
      <c r="BL9" s="58">
        <f>利润表!BL7</f>
        <v>3161000000</v>
      </c>
      <c r="BM9" s="58">
        <f>利润表!BM7</f>
        <v>11852000000</v>
      </c>
      <c r="BN9" s="58">
        <f>利润表!BN7</f>
        <v>8699000000</v>
      </c>
      <c r="BO9" s="58">
        <f>利润表!BO7</f>
        <v>5776000000</v>
      </c>
      <c r="BP9" s="58">
        <f>利润表!BP7</f>
        <v>2697000000</v>
      </c>
      <c r="BQ9" s="58">
        <f>利润表!BQ7</f>
        <v>11863000000</v>
      </c>
      <c r="BR9" s="58">
        <f>利润表!BR7</f>
        <v>5926000000</v>
      </c>
      <c r="BS9" s="58">
        <f>利润表!BS7</f>
        <v>12101000000</v>
      </c>
      <c r="BT9" s="58">
        <f>利润表!BT7</f>
        <v>9381000000</v>
      </c>
      <c r="BU9" s="58">
        <f>利润表!BU7</f>
        <v>8545000000</v>
      </c>
      <c r="BV9" s="58">
        <f>利润表!BV7</f>
        <v>0</v>
      </c>
      <c r="BW9" s="58">
        <f>利润表!BW7</f>
        <v>0</v>
      </c>
      <c r="BX9" s="58">
        <f>利润表!BX7</f>
        <v>0</v>
      </c>
      <c r="BY9" s="58">
        <f>利润表!BY7</f>
        <v>0</v>
      </c>
      <c r="BZ9" s="58">
        <f>利润表!BZ7</f>
        <v>0</v>
      </c>
      <c r="CA9" s="58">
        <f>利润表!CA7</f>
        <v>0</v>
      </c>
      <c r="CB9" s="58">
        <f>利润表!CB7</f>
        <v>0</v>
      </c>
      <c r="CC9" s="58">
        <f>利润表!CC7</f>
        <v>0</v>
      </c>
      <c r="CD9" s="58">
        <f>利润表!CD7</f>
        <v>0</v>
      </c>
      <c r="CE9" s="58">
        <f>利润表!CE7</f>
        <v>0</v>
      </c>
      <c r="CF9" s="58">
        <f>利润表!CF7</f>
        <v>0</v>
      </c>
      <c r="CG9" s="58">
        <f>利润表!CG7</f>
        <v>0</v>
      </c>
      <c r="CH9" s="58">
        <f>利润表!CH7</f>
        <v>0</v>
      </c>
      <c r="CI9" s="58">
        <f>利润表!CI7</f>
        <v>0</v>
      </c>
      <c r="CJ9" s="58">
        <f>利润表!CJ7</f>
        <v>0</v>
      </c>
      <c r="CK9" s="58">
        <f>利润表!CK7</f>
        <v>0</v>
      </c>
    </row>
    <row r="10" spans="1:90" s="58" customFormat="1" x14ac:dyDescent="0.25">
      <c r="A10" s="146" t="s">
        <v>492</v>
      </c>
      <c r="E10" s="58">
        <f>利润表!E8</f>
        <v>56055000000</v>
      </c>
      <c r="F10" s="58">
        <f>利润表!F8</f>
        <v>40128000000</v>
      </c>
      <c r="G10" s="58">
        <f>利润表!G8</f>
        <v>25955000000</v>
      </c>
      <c r="H10" s="58">
        <f>利润表!H8</f>
        <v>12429000000</v>
      </c>
      <c r="I10" s="58">
        <f>利润表!I8</f>
        <v>49550000000</v>
      </c>
      <c r="J10" s="58">
        <f>利润表!J8</f>
        <v>35715000000</v>
      </c>
      <c r="K10" s="58">
        <f>利润表!K8</f>
        <v>23572000000</v>
      </c>
      <c r="L10" s="58">
        <f>利润表!L8</f>
        <v>11858000000</v>
      </c>
      <c r="M10" s="58">
        <f>利润表!M8</f>
        <v>46872000000</v>
      </c>
      <c r="N10" s="58">
        <f>利润表!N8</f>
        <v>34150000000</v>
      </c>
      <c r="O10" s="58">
        <f>利润表!O8</f>
        <v>22379000000</v>
      </c>
      <c r="P10" s="58">
        <f>利润表!P8</f>
        <v>10961000000</v>
      </c>
      <c r="Q10" s="58">
        <f>利润表!Q8</f>
        <v>46274000000</v>
      </c>
      <c r="R10" s="58">
        <f>利润表!R8</f>
        <v>33732000000</v>
      </c>
      <c r="S10" s="58">
        <f>利润表!S8</f>
        <v>22060000000</v>
      </c>
      <c r="T10" s="58">
        <f>利润表!T8</f>
        <v>10720000000</v>
      </c>
      <c r="U10" s="58">
        <f>利润表!U8</f>
        <v>44359000000</v>
      </c>
      <c r="V10" s="58">
        <f>利润表!V8</f>
        <v>32172000000</v>
      </c>
      <c r="W10" s="58">
        <f>利润表!W8</f>
        <v>20811000000</v>
      </c>
      <c r="X10" s="58">
        <f>利润表!X8</f>
        <v>10410000000</v>
      </c>
      <c r="Y10" s="58">
        <f>利润表!Y8</f>
        <v>40299000000</v>
      </c>
      <c r="Z10" s="58">
        <f>利润表!Z8</f>
        <v>29756000000</v>
      </c>
      <c r="AA10" s="58">
        <f>利润表!AA8</f>
        <v>18922000000</v>
      </c>
      <c r="AB10" s="58">
        <f>利润表!AB8</f>
        <v>9301000000</v>
      </c>
      <c r="AC10" s="58">
        <f>利润表!AC8</f>
        <v>38399000000</v>
      </c>
      <c r="AD10" s="58">
        <f>利润表!AD8</f>
        <v>26908000000</v>
      </c>
      <c r="AE10" s="58">
        <f>利润表!AE8</f>
        <v>16650000000</v>
      </c>
      <c r="AF10" s="58">
        <f>利润表!AF8</f>
        <v>8108000000</v>
      </c>
      <c r="AG10" s="58">
        <f>利润表!AG8</f>
        <v>31981000000</v>
      </c>
      <c r="AH10" s="58">
        <f>利润表!AH8</f>
        <v>22194000000</v>
      </c>
      <c r="AI10" s="58">
        <f>利润表!AI8</f>
        <v>14178000000</v>
      </c>
      <c r="AJ10" s="58">
        <f>利润表!AJ8</f>
        <v>6910000000</v>
      </c>
      <c r="AK10" s="58">
        <f>利润表!AK8</f>
        <v>27635000000</v>
      </c>
      <c r="AL10" s="58">
        <f>利润表!AL8</f>
        <v>19984000000</v>
      </c>
      <c r="AM10" s="58">
        <f>利润表!AM8</f>
        <v>12055000000</v>
      </c>
      <c r="AN10" s="58">
        <f>利润表!AN8</f>
        <v>5509000000</v>
      </c>
      <c r="AO10" s="58">
        <f>利润表!AO8</f>
        <v>24967000000</v>
      </c>
      <c r="AP10" s="58">
        <f>利润表!AP8</f>
        <v>18109000000</v>
      </c>
      <c r="AQ10" s="58">
        <f>利润表!AQ8</f>
        <v>11885000000</v>
      </c>
      <c r="AR10" s="58">
        <f>利润表!AR8</f>
        <v>5632000000</v>
      </c>
      <c r="AS10" s="58">
        <f>利润表!AS8</f>
        <v>22564000000</v>
      </c>
      <c r="AT10" s="58">
        <f>利润表!AT8</f>
        <v>14614000000</v>
      </c>
      <c r="AU10" s="58">
        <f>利润表!AU8</f>
        <v>9500000000</v>
      </c>
      <c r="AV10" s="58">
        <f>利润表!AV8</f>
        <v>4550000000</v>
      </c>
      <c r="AW10" s="58">
        <f>利润表!AW8</f>
        <v>24734000000</v>
      </c>
      <c r="AX10" s="58">
        <f>利润表!AX8</f>
        <v>16770000000</v>
      </c>
      <c r="AY10" s="58">
        <f>利润表!AY8</f>
        <v>10711000000</v>
      </c>
      <c r="AZ10" s="58">
        <f>利润表!AZ8</f>
        <v>5189000000</v>
      </c>
      <c r="BA10" s="58">
        <f>利润表!BA8</f>
        <v>22690000000</v>
      </c>
      <c r="BB10" s="58">
        <f>利润表!BB8</f>
        <v>15727000000</v>
      </c>
      <c r="BC10" s="58">
        <f>利润表!BC8</f>
        <v>10359000000</v>
      </c>
      <c r="BD10" s="58">
        <f>利润表!BD8</f>
        <v>4880000000</v>
      </c>
      <c r="BE10" s="58">
        <f>利润表!BE8</f>
        <v>19477000000</v>
      </c>
      <c r="BF10" s="58">
        <f>利润表!BF8</f>
        <v>13656000000</v>
      </c>
      <c r="BG10" s="58">
        <f>利润表!BG8</f>
        <v>8664000000</v>
      </c>
      <c r="BH10" s="58">
        <f>利润表!BH8</f>
        <v>4203000000</v>
      </c>
      <c r="BI10" s="58">
        <f>利润表!BI8</f>
        <v>14582000000</v>
      </c>
      <c r="BJ10" s="58">
        <f>利润表!BJ8</f>
        <v>10492000000</v>
      </c>
      <c r="BK10" s="58">
        <f>利润表!BK8</f>
        <v>6692000000</v>
      </c>
      <c r="BL10" s="58">
        <f>利润表!BL8</f>
        <v>3393000000</v>
      </c>
      <c r="BM10" s="58">
        <f>利润表!BM8</f>
        <v>13279000000</v>
      </c>
      <c r="BN10" s="58">
        <f>利润表!BN8</f>
        <v>9847000000</v>
      </c>
      <c r="BO10" s="58">
        <f>利润表!BO8</f>
        <v>6468000000</v>
      </c>
      <c r="BP10" s="58">
        <f>利润表!BP8</f>
        <v>2941000000</v>
      </c>
      <c r="BQ10" s="58">
        <f>利润表!BQ8</f>
        <v>12300000000</v>
      </c>
      <c r="BR10" s="58">
        <f>利润表!BR8</f>
        <v>5816000000</v>
      </c>
      <c r="BS10" s="58">
        <f>利润表!BS8</f>
        <v>11583000000</v>
      </c>
      <c r="BT10" s="58">
        <f>利润表!BT8</f>
        <v>6925000000</v>
      </c>
      <c r="BU10" s="58">
        <f>利润表!BU8</f>
        <v>6827000000</v>
      </c>
      <c r="BV10" s="58">
        <f>利润表!BV8</f>
        <v>0</v>
      </c>
      <c r="BW10" s="58">
        <f>利润表!BW8</f>
        <v>0</v>
      </c>
      <c r="BX10" s="58">
        <f>利润表!BX8</f>
        <v>0</v>
      </c>
      <c r="BY10" s="58">
        <f>利润表!BY8</f>
        <v>0</v>
      </c>
      <c r="BZ10" s="58">
        <f>利润表!BZ8</f>
        <v>0</v>
      </c>
      <c r="CA10" s="58">
        <f>利润表!CA8</f>
        <v>0</v>
      </c>
      <c r="CB10" s="58">
        <f>利润表!CB8</f>
        <v>0</v>
      </c>
      <c r="CC10" s="58">
        <f>利润表!CC8</f>
        <v>0</v>
      </c>
      <c r="CD10" s="58">
        <f>利润表!CD8</f>
        <v>0</v>
      </c>
      <c r="CE10" s="58">
        <f>利润表!CE8</f>
        <v>0</v>
      </c>
      <c r="CF10" s="58">
        <f>利润表!CF8</f>
        <v>0</v>
      </c>
      <c r="CG10" s="58">
        <f>利润表!CG8</f>
        <v>0</v>
      </c>
      <c r="CH10" s="58">
        <f>利润表!CH8</f>
        <v>0</v>
      </c>
      <c r="CI10" s="58">
        <f>利润表!CI8</f>
        <v>0</v>
      </c>
      <c r="CJ10" s="58">
        <f>利润表!CJ8</f>
        <v>0</v>
      </c>
      <c r="CK10" s="58">
        <f>利润表!CK8</f>
        <v>0</v>
      </c>
    </row>
    <row r="11" spans="1:90" s="58" customFormat="1" x14ac:dyDescent="0.25">
      <c r="A11" s="146" t="s">
        <v>493</v>
      </c>
      <c r="E11" s="58">
        <f>利润表!E9</f>
        <v>78928000000</v>
      </c>
      <c r="F11" s="58">
        <f>利润表!F9</f>
        <v>56989000000</v>
      </c>
      <c r="G11" s="58">
        <f>利润表!G9</f>
        <v>35903000000</v>
      </c>
      <c r="H11" s="58">
        <f>利润表!H9</f>
        <v>17911000000</v>
      </c>
      <c r="I11" s="58">
        <f>利润表!I9</f>
        <v>74155000000</v>
      </c>
      <c r="J11" s="58">
        <f>利润表!J9</f>
        <v>56711000000</v>
      </c>
      <c r="K11" s="58">
        <f>利润表!K9</f>
        <v>38416000000</v>
      </c>
      <c r="L11" s="58">
        <f>利润表!L9</f>
        <v>18539000000</v>
      </c>
      <c r="M11" s="58">
        <f>利润表!M9</f>
        <v>71881000000</v>
      </c>
      <c r="N11" s="58">
        <f>利润表!N9</f>
        <v>52102000000</v>
      </c>
      <c r="O11" s="58">
        <f>利润表!O9</f>
        <v>34271000000</v>
      </c>
      <c r="P11" s="58">
        <f>利润表!P9</f>
        <v>16846000000</v>
      </c>
      <c r="Q11" s="58">
        <f>利润表!Q9</f>
        <v>70500000000</v>
      </c>
      <c r="R11" s="58">
        <f>利润表!R9</f>
        <v>51291000000</v>
      </c>
      <c r="S11" s="58">
        <f>利润表!S9</f>
        <v>34439000000</v>
      </c>
      <c r="T11" s="58">
        <f>利润表!T9</f>
        <v>16822000000</v>
      </c>
      <c r="U11" s="58">
        <f>利润表!U9</f>
        <v>73572000000</v>
      </c>
      <c r="V11" s="58">
        <f>利润表!V9</f>
        <v>51452000000</v>
      </c>
      <c r="W11" s="58">
        <f>利润表!W9</f>
        <v>33375000000</v>
      </c>
      <c r="X11" s="58">
        <f>利润表!X9</f>
        <v>16804000000</v>
      </c>
      <c r="Y11" s="58">
        <f>利润表!Y9</f>
        <v>65590000000</v>
      </c>
      <c r="Z11" s="58">
        <f>利润表!Z9</f>
        <v>44184000000</v>
      </c>
      <c r="AA11" s="58">
        <f>利润表!AA9</f>
        <v>29223000000</v>
      </c>
      <c r="AB11" s="58">
        <f>利润表!AB9</f>
        <v>14167000000</v>
      </c>
      <c r="AC11" s="58">
        <f>利润表!AC9</f>
        <v>63083000000</v>
      </c>
      <c r="AD11" s="58">
        <f>利润表!AD9</f>
        <v>44839000000</v>
      </c>
      <c r="AE11" s="58">
        <f>利润表!AE9</f>
        <v>28502000000</v>
      </c>
      <c r="AF11" s="58">
        <f>利润表!AF9</f>
        <v>14477000000</v>
      </c>
      <c r="AG11" s="58">
        <f>利润表!AG9</f>
        <v>57774000000</v>
      </c>
      <c r="AH11" s="58">
        <f>利润表!AH9</f>
        <v>38256000000</v>
      </c>
      <c r="AI11" s="58">
        <f>利润表!AI9</f>
        <v>24314000000</v>
      </c>
      <c r="AJ11" s="58">
        <f>利润表!AJ9</f>
        <v>12060000000</v>
      </c>
      <c r="AK11" s="58">
        <f>利润表!AK9</f>
        <v>46726000000</v>
      </c>
      <c r="AL11" s="58">
        <f>利润表!AL9</f>
        <v>32968000000</v>
      </c>
      <c r="AM11" s="58">
        <f>利润表!AM9</f>
        <v>20087000000</v>
      </c>
      <c r="AN11" s="58">
        <f>利润表!AN9</f>
        <v>9565000000</v>
      </c>
      <c r="AO11" s="58">
        <f>利润表!AO9</f>
        <v>40917000000</v>
      </c>
      <c r="AP11" s="58">
        <f>利润表!AP9</f>
        <v>28939000000</v>
      </c>
      <c r="AQ11" s="58">
        <f>利润表!AQ9</f>
        <v>18721000000</v>
      </c>
      <c r="AR11" s="58">
        <f>利润表!AR9</f>
        <v>9110000000</v>
      </c>
      <c r="AS11" s="58">
        <f>利润表!AS9</f>
        <v>35964000000</v>
      </c>
      <c r="AT11" s="58">
        <f>利润表!AT9</f>
        <v>25508000000</v>
      </c>
      <c r="AU11" s="58">
        <f>利润表!AU9</f>
        <v>17009000000</v>
      </c>
      <c r="AV11" s="58">
        <f>利润表!AV9</f>
        <v>8295000000</v>
      </c>
      <c r="AW11" s="58">
        <f>利润表!AW9</f>
        <v>26491000000</v>
      </c>
      <c r="AX11" s="58">
        <f>利润表!AX9</f>
        <v>18101000000</v>
      </c>
      <c r="AY11" s="58">
        <f>利润表!AY9</f>
        <v>11771000000</v>
      </c>
      <c r="AZ11" s="58">
        <f>利润表!AZ9</f>
        <v>5720000000</v>
      </c>
      <c r="BA11" s="58">
        <f>利润表!BA9</f>
        <v>23330000000</v>
      </c>
      <c r="BB11" s="58">
        <f>利润表!BB9</f>
        <v>16941000000</v>
      </c>
      <c r="BC11" s="58">
        <f>利润表!BC9</f>
        <v>10600000000</v>
      </c>
      <c r="BD11" s="58">
        <f>利润表!BD9</f>
        <v>6056000000</v>
      </c>
      <c r="BE11" s="58">
        <f>利润表!BE9</f>
        <v>23167000000</v>
      </c>
      <c r="BF11" s="58">
        <f>利润表!BF9</f>
        <v>16006000000</v>
      </c>
      <c r="BG11" s="58">
        <f>利润表!BG9</f>
        <v>10865000000</v>
      </c>
      <c r="BH11" s="58">
        <f>利润表!BH9</f>
        <v>5065000000</v>
      </c>
      <c r="BI11" s="58">
        <f>利润表!BI9</f>
        <v>21219000000</v>
      </c>
      <c r="BJ11" s="58">
        <f>利润表!BJ9</f>
        <v>13804000000</v>
      </c>
      <c r="BK11" s="58">
        <f>利润表!BK9</f>
        <v>9646000000</v>
      </c>
      <c r="BL11" s="58">
        <f>利润表!BL9</f>
        <v>4270000000</v>
      </c>
      <c r="BM11" s="58">
        <f>利润表!BM9</f>
        <v>17253000000</v>
      </c>
      <c r="BN11" s="58">
        <f>利润表!BN9</f>
        <v>12194000000</v>
      </c>
      <c r="BO11" s="58">
        <f>利润表!BO9</f>
        <v>8017000000</v>
      </c>
      <c r="BP11" s="58">
        <f>利润表!BP9</f>
        <v>3713000000</v>
      </c>
      <c r="BQ11" s="58">
        <f>利润表!BQ9</f>
        <v>14369000000</v>
      </c>
      <c r="BR11" s="58">
        <f>利润表!BR9</f>
        <v>6889000000</v>
      </c>
      <c r="BS11" s="58">
        <f>利润表!BS9</f>
        <v>17172000000</v>
      </c>
      <c r="BT11" s="58">
        <f>利润表!BT9</f>
        <v>22964000000</v>
      </c>
      <c r="BU11" s="58">
        <f>利润表!BU9</f>
        <v>19897000000</v>
      </c>
      <c r="BV11" s="58">
        <f>利润表!BV9</f>
        <v>0</v>
      </c>
      <c r="BW11" s="58">
        <f>利润表!BW9</f>
        <v>0</v>
      </c>
      <c r="BX11" s="58">
        <f>利润表!BX9</f>
        <v>0</v>
      </c>
      <c r="BY11" s="58">
        <f>利润表!BY9</f>
        <v>0</v>
      </c>
      <c r="BZ11" s="58">
        <f>利润表!BZ9</f>
        <v>0</v>
      </c>
      <c r="CA11" s="58">
        <f>利润表!CA9</f>
        <v>0</v>
      </c>
      <c r="CB11" s="58">
        <f>利润表!CB9</f>
        <v>0</v>
      </c>
      <c r="CC11" s="58">
        <f>利润表!CC9</f>
        <v>0</v>
      </c>
      <c r="CD11" s="58">
        <f>利润表!CD9</f>
        <v>0</v>
      </c>
      <c r="CE11" s="58">
        <f>利润表!CE9</f>
        <v>0</v>
      </c>
      <c r="CF11" s="58">
        <f>利润表!CF9</f>
        <v>0</v>
      </c>
      <c r="CG11" s="58">
        <f>利润表!CG9</f>
        <v>0</v>
      </c>
      <c r="CH11" s="58">
        <f>利润表!CH9</f>
        <v>0</v>
      </c>
      <c r="CI11" s="58">
        <f>利润表!CI9</f>
        <v>0</v>
      </c>
      <c r="CJ11" s="58">
        <f>利润表!CJ9</f>
        <v>0</v>
      </c>
      <c r="CK11" s="58">
        <f>利润表!CK9</f>
        <v>0</v>
      </c>
    </row>
    <row r="12" spans="1:90" s="58" customFormat="1" x14ac:dyDescent="0.25">
      <c r="A12" s="146" t="s">
        <v>494</v>
      </c>
      <c r="E12" s="58">
        <f>SUM(E8:E11)</f>
        <v>2260673000000</v>
      </c>
      <c r="F12" s="58">
        <f t="shared" ref="F12:BQ12" si="4">SUM(F8:F11)</f>
        <v>1679002000000</v>
      </c>
      <c r="G12" s="58">
        <f t="shared" si="4"/>
        <v>1120757000000</v>
      </c>
      <c r="H12" s="58">
        <f t="shared" si="4"/>
        <v>554827000000</v>
      </c>
      <c r="I12" s="58">
        <f t="shared" si="4"/>
        <v>1847876000000</v>
      </c>
      <c r="J12" s="58">
        <f t="shared" si="4"/>
        <v>1305707000000</v>
      </c>
      <c r="K12" s="58">
        <f t="shared" si="4"/>
        <v>840012000000</v>
      </c>
      <c r="L12" s="58">
        <f t="shared" si="4"/>
        <v>398785000000</v>
      </c>
      <c r="M12" s="58">
        <f t="shared" si="4"/>
        <v>1947867000000</v>
      </c>
      <c r="N12" s="58">
        <f t="shared" si="4"/>
        <v>1482568000000</v>
      </c>
      <c r="O12" s="58">
        <f t="shared" si="4"/>
        <v>996269000000</v>
      </c>
      <c r="P12" s="58">
        <f t="shared" si="4"/>
        <v>471918000000</v>
      </c>
      <c r="Q12" s="58">
        <f t="shared" si="4"/>
        <v>2736993000000</v>
      </c>
      <c r="R12" s="58">
        <f t="shared" si="4"/>
        <v>2030702000000</v>
      </c>
      <c r="S12" s="58">
        <f t="shared" si="4"/>
        <v>1298315000000</v>
      </c>
      <c r="T12" s="58">
        <f t="shared" si="4"/>
        <v>614018000000</v>
      </c>
      <c r="U12" s="58">
        <f t="shared" si="4"/>
        <v>2765644000000</v>
      </c>
      <c r="V12" s="58">
        <f t="shared" si="4"/>
        <v>2053459000000</v>
      </c>
      <c r="W12" s="58">
        <f t="shared" si="4"/>
        <v>1362187000000</v>
      </c>
      <c r="X12" s="58">
        <f t="shared" si="4"/>
        <v>665291000000</v>
      </c>
      <c r="Y12" s="58">
        <f t="shared" si="4"/>
        <v>2666607000000</v>
      </c>
      <c r="Z12" s="58">
        <f t="shared" si="4"/>
        <v>1939211000000</v>
      </c>
      <c r="AA12" s="58">
        <f t="shared" si="4"/>
        <v>1295843000000</v>
      </c>
      <c r="AB12" s="58">
        <f t="shared" si="4"/>
        <v>645681000000</v>
      </c>
      <c r="AC12" s="58">
        <f t="shared" si="4"/>
        <v>2384630000000</v>
      </c>
      <c r="AD12" s="58">
        <f t="shared" si="4"/>
        <v>1778055000000</v>
      </c>
      <c r="AE12" s="58">
        <f t="shared" si="4"/>
        <v>1168312000000</v>
      </c>
      <c r="AF12" s="58">
        <f t="shared" si="4"/>
        <v>553868000000</v>
      </c>
      <c r="AG12" s="58">
        <f t="shared" si="4"/>
        <v>1784075000000</v>
      </c>
      <c r="AH12" s="58">
        <f t="shared" si="4"/>
        <v>1336863000000</v>
      </c>
      <c r="AI12" s="58">
        <f t="shared" si="4"/>
        <v>880934000000</v>
      </c>
      <c r="AJ12" s="58">
        <f t="shared" si="4"/>
        <v>413640000000</v>
      </c>
      <c r="AK12" s="58">
        <f t="shared" si="4"/>
        <v>1243060000000</v>
      </c>
      <c r="AL12" s="58">
        <f t="shared" si="4"/>
        <v>816976000000</v>
      </c>
      <c r="AM12" s="58">
        <f t="shared" si="4"/>
        <v>482985000000</v>
      </c>
      <c r="AN12" s="58">
        <f t="shared" si="4"/>
        <v>209876000000</v>
      </c>
      <c r="AO12" s="58">
        <f t="shared" si="4"/>
        <v>1449466000000</v>
      </c>
      <c r="AP12" s="58">
        <f t="shared" si="4"/>
        <v>1154238000000</v>
      </c>
      <c r="AQ12" s="58">
        <f t="shared" si="4"/>
        <v>738735000000</v>
      </c>
      <c r="AR12" s="58">
        <f t="shared" si="4"/>
        <v>323989000000</v>
      </c>
      <c r="AS12" s="58">
        <f t="shared" si="4"/>
        <v>1105793000000</v>
      </c>
      <c r="AT12" s="58">
        <f t="shared" si="4"/>
        <v>790773000000</v>
      </c>
      <c r="AU12" s="58">
        <f t="shared" si="4"/>
        <v>505758000000</v>
      </c>
      <c r="AV12" s="58">
        <f t="shared" si="4"/>
        <v>247390000000</v>
      </c>
      <c r="AW12" s="58">
        <f t="shared" si="4"/>
        <v>959540000000</v>
      </c>
      <c r="AX12" s="58">
        <f t="shared" si="4"/>
        <v>696123000000</v>
      </c>
      <c r="AY12" s="58">
        <f t="shared" si="4"/>
        <v>444698000000</v>
      </c>
      <c r="AZ12" s="58">
        <f t="shared" si="4"/>
        <v>206465000000</v>
      </c>
      <c r="BA12" s="58">
        <f t="shared" si="4"/>
        <v>731421000000</v>
      </c>
      <c r="BB12" s="58">
        <f t="shared" si="4"/>
        <v>524991000000</v>
      </c>
      <c r="BC12" s="58">
        <f t="shared" si="4"/>
        <v>322344000000</v>
      </c>
      <c r="BD12" s="58">
        <f t="shared" si="4"/>
        <v>151330000000</v>
      </c>
      <c r="BE12" s="58">
        <f t="shared" si="4"/>
        <v>518054000000</v>
      </c>
      <c r="BF12" s="58">
        <f t="shared" si="4"/>
        <v>364714000000</v>
      </c>
      <c r="BG12" s="58">
        <f t="shared" si="4"/>
        <v>233403000000</v>
      </c>
      <c r="BH12" s="58">
        <f t="shared" si="4"/>
        <v>107686000000</v>
      </c>
      <c r="BI12" s="58">
        <f t="shared" si="4"/>
        <v>372276000000</v>
      </c>
      <c r="BJ12" s="58">
        <f t="shared" si="4"/>
        <v>268057000000</v>
      </c>
      <c r="BK12" s="58">
        <f t="shared" si="4"/>
        <v>174782000000</v>
      </c>
      <c r="BL12" s="58">
        <f t="shared" si="4"/>
        <v>87002000000</v>
      </c>
      <c r="BM12" s="58">
        <f t="shared" si="4"/>
        <v>293566000000</v>
      </c>
      <c r="BN12" s="58">
        <f t="shared" si="4"/>
        <v>205973000000</v>
      </c>
      <c r="BO12" s="58">
        <f t="shared" si="4"/>
        <v>129633000000</v>
      </c>
      <c r="BP12" s="58">
        <f t="shared" si="4"/>
        <v>61018000000</v>
      </c>
      <c r="BQ12" s="58">
        <f t="shared" si="4"/>
        <v>274667000000</v>
      </c>
      <c r="BR12" s="58">
        <f t="shared" ref="BR12:CL12" si="5">SUM(BR8:BR11)</f>
        <v>142879000000</v>
      </c>
      <c r="BS12" s="58">
        <f t="shared" si="5"/>
        <v>290090000000</v>
      </c>
      <c r="BT12" s="58">
        <f t="shared" si="5"/>
        <v>214529000000</v>
      </c>
      <c r="BU12" s="58">
        <f t="shared" si="5"/>
        <v>182022000000</v>
      </c>
      <c r="BV12" s="58">
        <f t="shared" si="5"/>
        <v>0</v>
      </c>
      <c r="BW12" s="58">
        <f t="shared" si="5"/>
        <v>0</v>
      </c>
      <c r="BX12" s="58">
        <f t="shared" si="5"/>
        <v>0</v>
      </c>
      <c r="BY12" s="58">
        <f t="shared" si="5"/>
        <v>0</v>
      </c>
      <c r="BZ12" s="58">
        <f t="shared" si="5"/>
        <v>0</v>
      </c>
      <c r="CA12" s="58">
        <f t="shared" si="5"/>
        <v>0</v>
      </c>
      <c r="CB12" s="58">
        <f t="shared" si="5"/>
        <v>0</v>
      </c>
      <c r="CC12" s="58">
        <f t="shared" si="5"/>
        <v>0</v>
      </c>
      <c r="CD12" s="58">
        <f t="shared" si="5"/>
        <v>0</v>
      </c>
      <c r="CE12" s="58">
        <f t="shared" si="5"/>
        <v>0</v>
      </c>
      <c r="CF12" s="58">
        <f t="shared" si="5"/>
        <v>0</v>
      </c>
      <c r="CG12" s="58">
        <f t="shared" si="5"/>
        <v>0</v>
      </c>
      <c r="CH12" s="58">
        <f t="shared" si="5"/>
        <v>0</v>
      </c>
      <c r="CI12" s="58">
        <f t="shared" si="5"/>
        <v>0</v>
      </c>
      <c r="CJ12" s="58">
        <f t="shared" si="5"/>
        <v>0</v>
      </c>
      <c r="CK12" s="58">
        <f t="shared" si="5"/>
        <v>0</v>
      </c>
      <c r="CL12" s="58">
        <f t="shared" si="5"/>
        <v>0</v>
      </c>
    </row>
    <row r="13" spans="1:90" s="28" customFormat="1" x14ac:dyDescent="0.25">
      <c r="A13" s="20" t="s">
        <v>495</v>
      </c>
      <c r="E13" s="28">
        <f>(E6/(1+E4)+E7)/E12</f>
        <v>0.80221221166417578</v>
      </c>
      <c r="F13" s="28">
        <f t="shared" ref="F13:BQ13" si="6">(F6/(1+F4)+F7)/F12</f>
        <v>0.80767164523467383</v>
      </c>
      <c r="G13" s="28">
        <f t="shared" si="6"/>
        <v>0.80504045613431507</v>
      </c>
      <c r="H13" s="28">
        <f t="shared" si="6"/>
        <v>0.84593603744257917</v>
      </c>
      <c r="I13" s="28">
        <f t="shared" si="6"/>
        <v>0.74981551931195733</v>
      </c>
      <c r="J13" s="28">
        <f t="shared" si="6"/>
        <v>0.79875416612065797</v>
      </c>
      <c r="K13" s="28">
        <f t="shared" si="6"/>
        <v>0.77782629153323857</v>
      </c>
      <c r="L13" s="28">
        <f t="shared" si="6"/>
        <v>0.79444586435571563</v>
      </c>
      <c r="M13" s="28">
        <f t="shared" si="6"/>
        <v>0.78777789892717154</v>
      </c>
      <c r="N13" s="28">
        <f t="shared" si="6"/>
        <v>0.79323198596918265</v>
      </c>
      <c r="O13" s="28">
        <f t="shared" si="6"/>
        <v>0.77435743528334988</v>
      </c>
      <c r="P13" s="28">
        <f t="shared" si="6"/>
        <v>0.83254547735241413</v>
      </c>
      <c r="Q13" s="28">
        <f t="shared" si="6"/>
        <v>0.82929375912733938</v>
      </c>
      <c r="R13" s="28">
        <f t="shared" si="6"/>
        <v>0.83317919523379513</v>
      </c>
      <c r="S13" s="28">
        <f t="shared" si="6"/>
        <v>0.82778561337770773</v>
      </c>
      <c r="T13" s="28">
        <f t="shared" si="6"/>
        <v>0.86141269056590763</v>
      </c>
      <c r="U13" s="28">
        <f t="shared" si="6"/>
        <v>0.85193686422514148</v>
      </c>
      <c r="V13" s="28">
        <f t="shared" si="6"/>
        <v>0.84555178926091612</v>
      </c>
      <c r="W13" s="28">
        <f t="shared" si="6"/>
        <v>0.85449274290747601</v>
      </c>
      <c r="X13" s="28">
        <f t="shared" si="6"/>
        <v>0.83829984454974127</v>
      </c>
      <c r="Y13" s="28">
        <f t="shared" si="6"/>
        <v>0.89282481028846361</v>
      </c>
      <c r="Z13" s="28">
        <f t="shared" si="6"/>
        <v>0.89021498993905301</v>
      </c>
      <c r="AA13" s="28">
        <f t="shared" si="6"/>
        <v>0.89635614623595428</v>
      </c>
      <c r="AB13" s="28">
        <f t="shared" si="6"/>
        <v>0.91701927589153642</v>
      </c>
      <c r="AC13" s="28">
        <f t="shared" si="6"/>
        <v>0.87721077408450299</v>
      </c>
      <c r="AD13" s="28">
        <f t="shared" si="6"/>
        <v>0.87884542138825616</v>
      </c>
      <c r="AE13" s="28">
        <f t="shared" si="6"/>
        <v>0.87988950732806825</v>
      </c>
      <c r="AF13" s="28">
        <f t="shared" si="6"/>
        <v>0.8657500793641536</v>
      </c>
      <c r="AG13" s="28">
        <f t="shared" si="6"/>
        <v>0.85971347406320719</v>
      </c>
      <c r="AH13" s="28">
        <f t="shared" si="6"/>
        <v>0.86857054201726025</v>
      </c>
      <c r="AI13" s="28">
        <f t="shared" si="6"/>
        <v>0.86933981433342344</v>
      </c>
      <c r="AJ13" s="28">
        <f t="shared" si="6"/>
        <v>0.81879376922167768</v>
      </c>
      <c r="AK13" s="28">
        <f t="shared" si="6"/>
        <v>0.83022343125958409</v>
      </c>
      <c r="AL13" s="28">
        <f t="shared" si="6"/>
        <v>0.80285582461533778</v>
      </c>
      <c r="AM13" s="28">
        <f t="shared" si="6"/>
        <v>0.75638959607405842</v>
      </c>
      <c r="AN13" s="28">
        <f t="shared" si="6"/>
        <v>0.69772045292352536</v>
      </c>
      <c r="AO13" s="28">
        <f t="shared" si="6"/>
        <v>0.92970897351752102</v>
      </c>
      <c r="AP13" s="28">
        <f t="shared" si="6"/>
        <v>0.94947969743549177</v>
      </c>
      <c r="AQ13" s="28">
        <f t="shared" si="6"/>
        <v>0.93193033436287109</v>
      </c>
      <c r="AR13" s="28">
        <f t="shared" si="6"/>
        <v>0.97184422189283481</v>
      </c>
      <c r="AS13" s="28">
        <f t="shared" si="6"/>
        <v>0.90308346685896557</v>
      </c>
      <c r="AT13" s="28">
        <f t="shared" si="6"/>
        <v>0.90684973064492858</v>
      </c>
      <c r="AU13" s="28">
        <f t="shared" si="6"/>
        <v>0.89861228181729302</v>
      </c>
      <c r="AV13" s="28">
        <f t="shared" si="6"/>
        <v>0.88730099503776705</v>
      </c>
      <c r="AW13" s="28">
        <f t="shared" si="6"/>
        <v>0.94721572427243894</v>
      </c>
      <c r="AX13" s="28">
        <f t="shared" si="6"/>
        <v>0.97065893318710705</v>
      </c>
      <c r="AY13" s="28">
        <f t="shared" si="6"/>
        <v>0.97670759600878476</v>
      </c>
      <c r="AZ13" s="28">
        <f t="shared" si="6"/>
        <v>1.0006168136359694</v>
      </c>
      <c r="BA13" s="28">
        <f t="shared" si="6"/>
        <v>0.95581266191626024</v>
      </c>
      <c r="BB13" s="28">
        <f t="shared" si="6"/>
        <v>0.95973785273030399</v>
      </c>
      <c r="BC13" s="28">
        <f t="shared" si="6"/>
        <v>0.95823265520235212</v>
      </c>
      <c r="BD13" s="28">
        <f t="shared" si="6"/>
        <v>0.92082085847367035</v>
      </c>
      <c r="BE13" s="28">
        <f t="shared" si="6"/>
        <v>0.94923721610514888</v>
      </c>
      <c r="BF13" s="28">
        <f t="shared" si="6"/>
        <v>0.95408857773066447</v>
      </c>
      <c r="BG13" s="28">
        <f t="shared" si="6"/>
        <v>0.94419406132623185</v>
      </c>
      <c r="BH13" s="28">
        <f t="shared" si="6"/>
        <v>0.94217359715196025</v>
      </c>
      <c r="BI13" s="28">
        <f t="shared" si="6"/>
        <v>0.89485092073494221</v>
      </c>
      <c r="BJ13" s="28">
        <f t="shared" si="6"/>
        <v>0.89486079772101035</v>
      </c>
      <c r="BK13" s="28">
        <f t="shared" si="6"/>
        <v>0.86535867342243289</v>
      </c>
      <c r="BL13" s="28">
        <f t="shared" si="6"/>
        <v>0.84031991012290308</v>
      </c>
      <c r="BM13" s="28">
        <f t="shared" si="6"/>
        <v>0.84942357201406282</v>
      </c>
      <c r="BN13" s="28">
        <f t="shared" si="6"/>
        <v>0.4914402315032495</v>
      </c>
      <c r="BO13" s="28">
        <f t="shared" si="6"/>
        <v>2.2853486908241489</v>
      </c>
      <c r="BP13" s="28">
        <f t="shared" si="6"/>
        <v>2.0515323627356143</v>
      </c>
      <c r="BQ13" s="28">
        <f t="shared" si="6"/>
        <v>0.88868668599761169</v>
      </c>
      <c r="BR13" s="28">
        <f t="shared" ref="BR13:CK13" si="7">(BR6/(1+BR4)+BR7)/BR12</f>
        <v>0</v>
      </c>
      <c r="BS13" s="28">
        <f t="shared" si="7"/>
        <v>0</v>
      </c>
      <c r="BT13" s="28">
        <f t="shared" si="7"/>
        <v>0</v>
      </c>
      <c r="BU13" s="28">
        <f t="shared" si="7"/>
        <v>0</v>
      </c>
      <c r="BV13" s="28" t="e">
        <f t="shared" si="7"/>
        <v>#DIV/0!</v>
      </c>
      <c r="BW13" s="28" t="e">
        <f t="shared" si="7"/>
        <v>#DIV/0!</v>
      </c>
      <c r="BX13" s="28" t="e">
        <f t="shared" si="7"/>
        <v>#DIV/0!</v>
      </c>
      <c r="BY13" s="28" t="e">
        <f t="shared" si="7"/>
        <v>#DIV/0!</v>
      </c>
      <c r="BZ13" s="28" t="e">
        <f t="shared" si="7"/>
        <v>#DIV/0!</v>
      </c>
      <c r="CA13" s="28" t="e">
        <f t="shared" si="7"/>
        <v>#DIV/0!</v>
      </c>
      <c r="CB13" s="28" t="e">
        <f t="shared" si="7"/>
        <v>#DIV/0!</v>
      </c>
      <c r="CC13" s="28" t="e">
        <f t="shared" si="7"/>
        <v>#DIV/0!</v>
      </c>
      <c r="CD13" s="28" t="e">
        <f t="shared" si="7"/>
        <v>#DIV/0!</v>
      </c>
      <c r="CE13" s="28" t="e">
        <f t="shared" si="7"/>
        <v>#DIV/0!</v>
      </c>
      <c r="CF13" s="28" t="e">
        <f t="shared" si="7"/>
        <v>#DIV/0!</v>
      </c>
      <c r="CG13" s="28" t="e">
        <f t="shared" si="7"/>
        <v>#DIV/0!</v>
      </c>
      <c r="CH13" s="28" t="e">
        <f t="shared" si="7"/>
        <v>#DIV/0!</v>
      </c>
      <c r="CI13" s="28" t="e">
        <f t="shared" si="7"/>
        <v>#DIV/0!</v>
      </c>
      <c r="CJ13" s="28" t="e">
        <f t="shared" si="7"/>
        <v>#DIV/0!</v>
      </c>
      <c r="CK13" s="28" t="e">
        <f t="shared" si="7"/>
        <v>#DIV/0!</v>
      </c>
    </row>
    <row r="14" spans="1:90" s="26" customFormat="1" x14ac:dyDescent="0.25">
      <c r="A14" s="20" t="s">
        <v>496</v>
      </c>
      <c r="E14" s="26">
        <f>现金流量表!E13</f>
        <v>190935000000</v>
      </c>
      <c r="F14" s="26">
        <f>现金流量表!F13</f>
        <v>111193000000</v>
      </c>
      <c r="G14" s="26">
        <f>现金流量表!G13</f>
        <v>60847000000</v>
      </c>
      <c r="H14" s="26">
        <f>现金流量表!H13</f>
        <v>13276000000</v>
      </c>
      <c r="I14" s="26">
        <f>现金流量表!I13</f>
        <v>214543000000</v>
      </c>
      <c r="J14" s="26">
        <f>现金流量表!J13</f>
        <v>131700000000</v>
      </c>
      <c r="K14" s="26">
        <f>现金流量表!K13</f>
        <v>76112000000</v>
      </c>
      <c r="L14" s="26">
        <f>现金流量表!L13</f>
        <v>34348000000</v>
      </c>
      <c r="M14" s="26">
        <f>现金流量表!M13</f>
        <v>165818000000</v>
      </c>
      <c r="N14" s="26">
        <f>现金流量表!N13</f>
        <v>116593000000</v>
      </c>
      <c r="O14" s="26">
        <f>现金流量表!O13</f>
        <v>67442000000</v>
      </c>
      <c r="P14" s="26">
        <f>现金流量表!P13</f>
        <v>6682000000</v>
      </c>
      <c r="Q14" s="26">
        <f>现金流量表!Q13</f>
        <v>148347000000</v>
      </c>
      <c r="R14" s="26">
        <f>现金流量表!R13</f>
        <v>108247000000</v>
      </c>
      <c r="S14" s="26">
        <f>现金流量表!S13</f>
        <v>58214000000</v>
      </c>
      <c r="T14" s="26">
        <f>现金流量表!T13</f>
        <v>12621000000</v>
      </c>
      <c r="U14" s="26">
        <f>现金流量表!U13</f>
        <v>151893000000</v>
      </c>
      <c r="V14" s="26">
        <f>现金流量表!V13</f>
        <v>79612000000</v>
      </c>
      <c r="W14" s="26">
        <f>现金流量表!W13</f>
        <v>32903000000</v>
      </c>
      <c r="X14" s="26">
        <f>现金流量表!X13</f>
        <v>8220000000</v>
      </c>
      <c r="Y14" s="26">
        <f>现金流量表!Y13</f>
        <v>143462000000</v>
      </c>
      <c r="Z14" s="26">
        <f>现金流量表!Z13</f>
        <v>73559000000</v>
      </c>
      <c r="AA14" s="26">
        <f>现金流量表!AA13</f>
        <v>20554000000</v>
      </c>
      <c r="AB14" s="26">
        <f>现金流量表!AB13</f>
        <v>-30916000000</v>
      </c>
      <c r="AC14" s="26">
        <f>现金流量表!AC13</f>
        <v>151181000000</v>
      </c>
      <c r="AD14" s="26">
        <f>现金流量表!AD13</f>
        <v>78449000000</v>
      </c>
      <c r="AE14" s="26">
        <f>现金流量表!AE13</f>
        <v>30863000000</v>
      </c>
      <c r="AF14" s="26">
        <f>现金流量表!AF13</f>
        <v>13004000000</v>
      </c>
      <c r="AG14" s="26">
        <f>现金流量表!AG13</f>
        <v>171262000000</v>
      </c>
      <c r="AH14" s="26">
        <f>现金流量表!AH13</f>
        <v>95240000000</v>
      </c>
      <c r="AI14" s="26">
        <f>现金流量表!AI13</f>
        <v>50055000000</v>
      </c>
      <c r="AJ14" s="26">
        <f>现金流量表!AJ13</f>
        <v>30149000000</v>
      </c>
      <c r="AK14" s="26">
        <f>现金流量表!AK13</f>
        <v>158796000000</v>
      </c>
      <c r="AL14" s="26">
        <f>现金流量表!AL13</f>
        <v>104860000000</v>
      </c>
      <c r="AM14" s="26">
        <f>现金流量表!AM13</f>
        <v>82370000000</v>
      </c>
      <c r="AN14" s="26">
        <f>现金流量表!AN13</f>
        <v>55655000000</v>
      </c>
      <c r="AO14" s="26">
        <f>现金流量表!AO13</f>
        <v>74883000000</v>
      </c>
      <c r="AP14" s="26">
        <f>现金流量表!AP13</f>
        <v>-3427000000</v>
      </c>
      <c r="AQ14" s="26">
        <f>现金流量表!AQ13</f>
        <v>5986000000</v>
      </c>
      <c r="AR14" s="26">
        <f>现金流量表!AR13</f>
        <v>5255000000</v>
      </c>
      <c r="AS14" s="26">
        <f>现金流量表!AS13</f>
        <v>124250000000</v>
      </c>
      <c r="AT14" s="26">
        <f>现金流量表!AT13</f>
        <v>102277000000</v>
      </c>
      <c r="AU14" s="26">
        <f>现金流量表!AU13</f>
        <v>63997000000</v>
      </c>
      <c r="AV14" s="26">
        <f>现金流量表!AV13</f>
        <v>31891000000</v>
      </c>
      <c r="AW14" s="26">
        <f>现金流量表!AW13</f>
        <v>102587000000</v>
      </c>
      <c r="AX14" s="26">
        <f>现金流量表!AX13</f>
        <v>50119000000</v>
      </c>
      <c r="AY14" s="26">
        <f>现金流量表!AY13</f>
        <v>25166000000</v>
      </c>
      <c r="AZ14" s="26">
        <f>现金流量表!AZ13</f>
        <v>3463000000</v>
      </c>
      <c r="BA14" s="26">
        <f>现金流量表!BA13</f>
        <v>84963000000</v>
      </c>
      <c r="BB14" s="26">
        <f>现金流量表!BB13</f>
        <v>47245000000</v>
      </c>
      <c r="BC14" s="26">
        <f>现金流量表!BC13</f>
        <v>25044000000</v>
      </c>
      <c r="BD14" s="26">
        <f>现金流量表!BD13</f>
        <v>14854000000</v>
      </c>
      <c r="BE14" s="26">
        <f>现金流量表!BE13</f>
        <v>70139000000</v>
      </c>
      <c r="BF14" s="26">
        <f>现金流量表!BF13</f>
        <v>45237000000</v>
      </c>
      <c r="BG14" s="26">
        <f>现金流量表!BG13</f>
        <v>21694000000</v>
      </c>
      <c r="BH14" s="26">
        <f>现金流量表!BH13</f>
        <v>11208000000</v>
      </c>
      <c r="BI14" s="26">
        <f>现金流量表!BI13</f>
        <v>64448000000</v>
      </c>
      <c r="BJ14" s="26">
        <f>现金流量表!BJ13</f>
        <v>45969000000</v>
      </c>
      <c r="BK14" s="26">
        <f>现金流量表!BK13</f>
        <v>29982000000</v>
      </c>
      <c r="BL14" s="26">
        <f>现金流量表!BL13</f>
        <v>13605000000</v>
      </c>
      <c r="BM14" s="26">
        <f>现金流量表!BM13</f>
        <v>60069000000</v>
      </c>
      <c r="BN14" s="26">
        <f>现金流量表!BN13</f>
        <v>21659000000</v>
      </c>
      <c r="BO14" s="26">
        <f>现金流量表!BO13</f>
        <v>59692000000</v>
      </c>
      <c r="BP14" s="26">
        <f>现金流量表!BP13</f>
        <v>8157000000</v>
      </c>
      <c r="BQ14" s="26">
        <f>现金流量表!BQ13</f>
        <v>34472000000</v>
      </c>
      <c r="BR14" s="26">
        <f>现金流量表!BR13</f>
        <v>0</v>
      </c>
      <c r="BS14" s="26">
        <f>现金流量表!BS13</f>
        <v>0</v>
      </c>
      <c r="BT14" s="26">
        <f>现金流量表!BT13</f>
        <v>0</v>
      </c>
      <c r="BU14" s="26">
        <f>现金流量表!BU13</f>
        <v>0</v>
      </c>
      <c r="BV14" s="26">
        <f>现金流量表!BV13</f>
        <v>0</v>
      </c>
      <c r="BW14" s="26">
        <f>现金流量表!BW13</f>
        <v>0</v>
      </c>
      <c r="BX14" s="26">
        <f>现金流量表!BX13</f>
        <v>0</v>
      </c>
      <c r="BY14" s="26">
        <f>现金流量表!BY13</f>
        <v>0</v>
      </c>
      <c r="BZ14" s="26">
        <f>现金流量表!BZ13</f>
        <v>0</v>
      </c>
      <c r="CA14" s="26">
        <f>现金流量表!CA13</f>
        <v>0</v>
      </c>
      <c r="CB14" s="26">
        <f>现金流量表!CB13</f>
        <v>0</v>
      </c>
      <c r="CC14" s="26">
        <f>现金流量表!CC13</f>
        <v>0</v>
      </c>
      <c r="CD14" s="26">
        <f>现金流量表!CD13</f>
        <v>0</v>
      </c>
      <c r="CE14" s="26">
        <f>现金流量表!CE13</f>
        <v>0</v>
      </c>
      <c r="CF14" s="26">
        <f>现金流量表!CF13</f>
        <v>0</v>
      </c>
      <c r="CG14" s="26">
        <f>现金流量表!CG13</f>
        <v>0</v>
      </c>
      <c r="CH14" s="26">
        <f>现金流量表!CH13</f>
        <v>0</v>
      </c>
      <c r="CI14" s="26">
        <f>现金流量表!CI13</f>
        <v>0</v>
      </c>
      <c r="CJ14" s="26">
        <f>现金流量表!CJ13</f>
        <v>0</v>
      </c>
      <c r="CK14" s="26">
        <f>现金流量表!CK13</f>
        <v>0</v>
      </c>
    </row>
    <row r="15" spans="1:90" s="26" customFormat="1" x14ac:dyDescent="0.25">
      <c r="A15" s="17" t="s">
        <v>497</v>
      </c>
      <c r="E15" s="26">
        <f>股权价值增加表!E17</f>
        <v>62711485933.64592</v>
      </c>
      <c r="F15" s="26">
        <f>股权价值增加表!F17</f>
        <v>46861698054.629272</v>
      </c>
      <c r="G15" s="26">
        <f>股权价值增加表!G17</f>
        <v>33263703010.187378</v>
      </c>
      <c r="H15" s="26">
        <f>股权价值增加表!H17</f>
        <v>21317357776.640984</v>
      </c>
      <c r="I15" s="26">
        <f>股权价值增加表!I17</f>
        <v>52426830573.327667</v>
      </c>
      <c r="J15" s="26">
        <f>股权价值增加表!J17</f>
        <v>46348834297.823784</v>
      </c>
      <c r="K15" s="26">
        <f>股权价值增加表!K17</f>
        <v>30688668801.701725</v>
      </c>
      <c r="L15" s="26">
        <f>股权价值增加表!L17</f>
        <v>11856852743.631987</v>
      </c>
      <c r="M15" s="26">
        <f>股权价值增加表!M17</f>
        <v>52964664109.623924</v>
      </c>
      <c r="N15" s="26">
        <f>股权价值增加表!N17</f>
        <v>45604168670.133987</v>
      </c>
      <c r="O15" s="26">
        <f>股权价值增加表!O17</f>
        <v>35711376832.906181</v>
      </c>
      <c r="P15" s="26">
        <f>股权价值增加表!P17</f>
        <v>6483365245.2785368</v>
      </c>
      <c r="Q15" s="26">
        <f>股权价值增加表!Q17</f>
        <v>62366741151.987885</v>
      </c>
      <c r="R15" s="26">
        <f>股权价值增加表!R17</f>
        <v>64944125600.90007</v>
      </c>
      <c r="S15" s="26">
        <f>股权价值增加表!S17</f>
        <v>43407711514.490494</v>
      </c>
      <c r="T15" s="26">
        <f>股权价值增加表!T17</f>
        <v>21225348516.094322</v>
      </c>
      <c r="U15" s="26">
        <f>股权价值增加表!U17</f>
        <v>86850218048.737732</v>
      </c>
      <c r="V15" s="26">
        <f>股权价值增加表!V17</f>
        <v>66126595366.685616</v>
      </c>
      <c r="W15" s="26">
        <f>股权价值增加表!W17</f>
        <v>40482094208.895477</v>
      </c>
      <c r="X15" s="26">
        <f>股权价值增加表!X17</f>
        <v>23187027174.321579</v>
      </c>
      <c r="Y15" s="26">
        <f>股权价值增加表!Y17</f>
        <v>89085800773.367615</v>
      </c>
      <c r="Z15" s="26">
        <f>股权价值增加表!Z17</f>
        <v>60951650211.080704</v>
      </c>
      <c r="AA15" s="26">
        <f>股权价值增加表!AA17</f>
        <v>35561853107.892059</v>
      </c>
      <c r="AB15" s="26">
        <f>股权价值增加表!AB17</f>
        <v>20254446940.663406</v>
      </c>
      <c r="AC15" s="26">
        <f>股权价值增加表!AC17</f>
        <v>91018177958.818878</v>
      </c>
      <c r="AD15" s="26">
        <f>股权价值增加表!AD17</f>
        <v>74415591350.340927</v>
      </c>
      <c r="AE15" s="26">
        <f>股权价值增加表!AE17</f>
        <v>49110739951.807228</v>
      </c>
      <c r="AF15" s="26">
        <f>股权价值增加表!AF17</f>
        <v>26020306756.554306</v>
      </c>
      <c r="AG15" s="26">
        <f>股权价值增加表!AG17</f>
        <v>88468233415.564026</v>
      </c>
      <c r="AH15" s="26">
        <f>股权价值增加表!AH17</f>
        <v>69498281366.032547</v>
      </c>
      <c r="AI15" s="26">
        <f>股权价值增加表!AI17</f>
        <v>43840516769.003937</v>
      </c>
      <c r="AJ15" s="26">
        <f>股权价值增加表!AJ17</f>
        <v>19631189310.316208</v>
      </c>
      <c r="AK15" s="26">
        <f>股权价值增加表!AK17</f>
        <v>77730211796.128784</v>
      </c>
      <c r="AL15" s="26">
        <f>股权价值增加表!AL17</f>
        <v>60808358242.062943</v>
      </c>
      <c r="AM15" s="26">
        <f>股权价值增加表!AM17</f>
        <v>41162350849.126259</v>
      </c>
      <c r="AN15" s="26">
        <f>股权价值增加表!AN17</f>
        <v>15331526104.417671</v>
      </c>
      <c r="AO15" s="26">
        <f>股权价值增加表!AO17</f>
        <v>38481793743.271484</v>
      </c>
      <c r="AP15" s="26">
        <f>股权价值增加表!AP17</f>
        <v>23419553377.765511</v>
      </c>
      <c r="AQ15" s="26">
        <f>股权价值增加表!AQ17</f>
        <v>13174913437.236731</v>
      </c>
      <c r="AR15" s="26">
        <f>股权价值增加表!AR17</f>
        <v>6149574074.0740738</v>
      </c>
      <c r="AS15" s="26">
        <f>股权价值增加表!AS17</f>
        <v>69960529463.070114</v>
      </c>
      <c r="AT15" s="26">
        <f>股权价值增加表!AT17</f>
        <v>59644471329.052734</v>
      </c>
      <c r="AU15" s="26">
        <f>股权价值增加表!AU17</f>
        <v>42635169866.451248</v>
      </c>
      <c r="AV15" s="26">
        <f>股权价值增加表!AV17</f>
        <v>17577709485.224022</v>
      </c>
      <c r="AW15" s="26">
        <f>股权价值增加表!AW17</f>
        <v>57432600961.921722</v>
      </c>
      <c r="AX15" s="26">
        <f>股权价值增加表!AX17</f>
        <v>41430083207.717819</v>
      </c>
      <c r="AY15" s="26">
        <f>股权价值增加表!AY17</f>
        <v>25788494702.184975</v>
      </c>
      <c r="AZ15" s="26">
        <f>股权价值增加表!AZ17</f>
        <v>11470829052.804604</v>
      </c>
      <c r="BA15" s="26">
        <f>股权价值增加表!BA17</f>
        <v>41728616249.414459</v>
      </c>
      <c r="BB15" s="26">
        <f>股权价值增加表!BB17</f>
        <v>36166654060.648308</v>
      </c>
      <c r="BC15" s="26">
        <f>股权价值增加表!BC17</f>
        <v>25740955279.272591</v>
      </c>
      <c r="BD15" s="26">
        <f>股权价值增加表!BD17</f>
        <v>12391606479.187313</v>
      </c>
      <c r="BE15" s="26">
        <f>股权价值增加表!BE17</f>
        <v>45126678474.901833</v>
      </c>
      <c r="BF15" s="26">
        <f>股权价值增加表!BF17</f>
        <v>32458254329.210274</v>
      </c>
      <c r="BG15" s="26">
        <f>股权价值增加表!BG17</f>
        <v>19946087953.15329</v>
      </c>
      <c r="BH15" s="26">
        <f>股权价值增加表!BH17</f>
        <v>10563993516.773464</v>
      </c>
      <c r="BI15" s="26">
        <f>股权价值增加表!BI17</f>
        <v>28562160347.954208</v>
      </c>
      <c r="BJ15" s="26">
        <f>股权价值增加表!BJ17</f>
        <v>21573482652.713001</v>
      </c>
      <c r="BK15" s="26">
        <f>股权价值增加表!BK17</f>
        <v>14102504717.790359</v>
      </c>
      <c r="BL15" s="26">
        <f>股权价值增加表!BL17</f>
        <v>8190319909.6355953</v>
      </c>
      <c r="BM15" s="26">
        <f>股权价值增加表!BM17</f>
        <v>21477890449.658638</v>
      </c>
      <c r="BN15" s="26">
        <f>股权价值增加表!BN17</f>
        <v>14500470120.960461</v>
      </c>
      <c r="BO15" s="26">
        <f>股权价值增加表!BO17</f>
        <v>8042340056.2851782</v>
      </c>
      <c r="BP15" s="26">
        <f>股权价值增加表!BP17</f>
        <v>1793773950.4843919</v>
      </c>
      <c r="BQ15" s="26">
        <f>股权价值增加表!BQ17</f>
        <v>18943613034.196976</v>
      </c>
      <c r="BR15" s="26">
        <f>股权价值增加表!BR17</f>
        <v>11882885086.638149</v>
      </c>
      <c r="BS15" s="26">
        <f>股权价值增加表!BS17</f>
        <v>23127202072.53886</v>
      </c>
      <c r="BT15" s="26">
        <f>股权价值增加表!BT17</f>
        <v>14081791471.31056</v>
      </c>
      <c r="BU15" s="26">
        <f>股权价值增加表!BU17</f>
        <v>-6592466504.2630939</v>
      </c>
      <c r="BV15" s="26" t="e">
        <f>股权价值增加表!BV17</f>
        <v>#DIV/0!</v>
      </c>
      <c r="BW15" s="26">
        <f>股权价值增加表!BW17</f>
        <v>0</v>
      </c>
      <c r="BX15" s="26">
        <f>股权价值增加表!BX17</f>
        <v>0</v>
      </c>
      <c r="BY15" s="26">
        <f>股权价值增加表!BY17</f>
        <v>0</v>
      </c>
      <c r="BZ15" s="26">
        <f>股权价值增加表!BZ17</f>
        <v>0</v>
      </c>
      <c r="CA15" s="26">
        <f>股权价值增加表!CA17</f>
        <v>0</v>
      </c>
      <c r="CB15" s="26">
        <f>股权价值增加表!CB17</f>
        <v>0</v>
      </c>
      <c r="CC15" s="26">
        <f>股权价值增加表!CC17</f>
        <v>0</v>
      </c>
      <c r="CD15" s="26" t="e">
        <f>股权价值增加表!CD17</f>
        <v>#DIV/0!</v>
      </c>
      <c r="CE15" s="26">
        <f>股权价值增加表!CE17</f>
        <v>0</v>
      </c>
      <c r="CF15" s="26">
        <f>股权价值增加表!CF17</f>
        <v>0</v>
      </c>
      <c r="CG15" s="26" t="e">
        <f>股权价值增加表!CG17</f>
        <v>#DIV/0!</v>
      </c>
      <c r="CH15" s="26" t="e">
        <f>股权价值增加表!CH17</f>
        <v>#DIV/0!</v>
      </c>
      <c r="CI15" s="26" t="e">
        <f>股权价值增加表!CI17</f>
        <v>#DIV/0!</v>
      </c>
      <c r="CJ15" s="26" t="e">
        <f>股权价值增加表!CJ17</f>
        <v>#DIV/0!</v>
      </c>
      <c r="CK15" s="26">
        <f>股权价值增加表!CK17</f>
        <v>0</v>
      </c>
    </row>
    <row r="16" spans="1:90" s="28" customFormat="1" x14ac:dyDescent="0.25">
      <c r="A16" s="20" t="s">
        <v>498</v>
      </c>
      <c r="E16" s="28">
        <f>E14/E15</f>
        <v>3.0446575640389937</v>
      </c>
      <c r="F16" s="28">
        <f t="shared" ref="F16:BQ16" si="8">F14/F15</f>
        <v>2.3727906716136529</v>
      </c>
      <c r="G16" s="28">
        <f t="shared" si="8"/>
        <v>1.8292310985750724</v>
      </c>
      <c r="H16" s="28">
        <f t="shared" si="8"/>
        <v>0.62277887058533599</v>
      </c>
      <c r="I16" s="28">
        <f t="shared" si="8"/>
        <v>4.0922366973896285</v>
      </c>
      <c r="J16" s="28">
        <f t="shared" si="8"/>
        <v>2.8414954118098219</v>
      </c>
      <c r="K16" s="28">
        <f t="shared" si="8"/>
        <v>2.4801336444994151</v>
      </c>
      <c r="L16" s="28">
        <f t="shared" si="8"/>
        <v>2.8968901564917751</v>
      </c>
      <c r="M16" s="28">
        <f t="shared" si="8"/>
        <v>3.130728813021399</v>
      </c>
      <c r="N16" s="28">
        <f t="shared" si="8"/>
        <v>2.5566303125344843</v>
      </c>
      <c r="O16" s="28">
        <f t="shared" si="8"/>
        <v>1.8885298182582446</v>
      </c>
      <c r="P16" s="28">
        <f t="shared" si="8"/>
        <v>1.0306376005680256</v>
      </c>
      <c r="Q16" s="28">
        <f t="shared" si="8"/>
        <v>2.3786235621719922</v>
      </c>
      <c r="R16" s="28">
        <f t="shared" si="8"/>
        <v>1.6667712283202991</v>
      </c>
      <c r="S16" s="28">
        <f t="shared" si="8"/>
        <v>1.3410981129601092</v>
      </c>
      <c r="T16" s="28">
        <f t="shared" si="8"/>
        <v>0.59461921157289865</v>
      </c>
      <c r="U16" s="28">
        <f t="shared" si="8"/>
        <v>1.7489075262282268</v>
      </c>
      <c r="V16" s="28">
        <f t="shared" si="8"/>
        <v>1.2039331460894824</v>
      </c>
      <c r="W16" s="28">
        <f t="shared" si="8"/>
        <v>0.81277909759841283</v>
      </c>
      <c r="X16" s="28">
        <f t="shared" si="8"/>
        <v>0.35450857663647456</v>
      </c>
      <c r="Y16" s="28">
        <f t="shared" si="8"/>
        <v>1.6103800914913957</v>
      </c>
      <c r="Z16" s="28">
        <f t="shared" si="8"/>
        <v>1.2068418122439504</v>
      </c>
      <c r="AA16" s="28">
        <f t="shared" si="8"/>
        <v>0.57797887915572532</v>
      </c>
      <c r="AB16" s="28">
        <f t="shared" si="8"/>
        <v>-1.5263808530823004</v>
      </c>
      <c r="AC16" s="28">
        <f t="shared" si="8"/>
        <v>1.6609978730666499</v>
      </c>
      <c r="AD16" s="28">
        <f t="shared" si="8"/>
        <v>1.0542011233999364</v>
      </c>
      <c r="AE16" s="28">
        <f t="shared" si="8"/>
        <v>0.62843687613516142</v>
      </c>
      <c r="AF16" s="28">
        <f t="shared" si="8"/>
        <v>0.49976351630537164</v>
      </c>
      <c r="AG16" s="28">
        <f t="shared" si="8"/>
        <v>1.9358587075603371</v>
      </c>
      <c r="AH16" s="28">
        <f t="shared" si="8"/>
        <v>1.3703936000717967</v>
      </c>
      <c r="AI16" s="28">
        <f t="shared" si="8"/>
        <v>1.1417520524162668</v>
      </c>
      <c r="AJ16" s="28">
        <f t="shared" si="8"/>
        <v>1.5357704275286406</v>
      </c>
      <c r="AK16" s="28">
        <f t="shared" si="8"/>
        <v>2.0429122258986121</v>
      </c>
      <c r="AL16" s="28">
        <f t="shared" si="8"/>
        <v>1.7244339928168828</v>
      </c>
      <c r="AM16" s="28">
        <f t="shared" si="8"/>
        <v>2.0011004789768574</v>
      </c>
      <c r="AN16" s="28">
        <f t="shared" si="8"/>
        <v>3.6301017668399891</v>
      </c>
      <c r="AO16" s="28">
        <f t="shared" si="8"/>
        <v>1.9459331989453648</v>
      </c>
      <c r="AP16" s="28">
        <f t="shared" si="8"/>
        <v>-0.14633071539500786</v>
      </c>
      <c r="AQ16" s="28">
        <f t="shared" si="8"/>
        <v>0.45434833621612675</v>
      </c>
      <c r="AR16" s="28">
        <f t="shared" si="8"/>
        <v>0.85453072630745286</v>
      </c>
      <c r="AS16" s="28">
        <f t="shared" si="8"/>
        <v>1.7760014247117373</v>
      </c>
      <c r="AT16" s="28">
        <f t="shared" si="8"/>
        <v>1.7147775430139662</v>
      </c>
      <c r="AU16" s="28">
        <f t="shared" si="8"/>
        <v>1.5010377629656859</v>
      </c>
      <c r="AV16" s="28">
        <f t="shared" si="8"/>
        <v>1.8142864419740159</v>
      </c>
      <c r="AW16" s="28">
        <f t="shared" si="8"/>
        <v>1.7862154644191721</v>
      </c>
      <c r="AX16" s="28">
        <f t="shared" si="8"/>
        <v>1.2097248211817146</v>
      </c>
      <c r="AY16" s="28">
        <f t="shared" si="8"/>
        <v>0.97586153401453735</v>
      </c>
      <c r="AZ16" s="28">
        <f t="shared" si="8"/>
        <v>0.3018962259884172</v>
      </c>
      <c r="BA16" s="28">
        <f t="shared" si="8"/>
        <v>2.0360847695540878</v>
      </c>
      <c r="BB16" s="28">
        <f t="shared" si="8"/>
        <v>1.3063138193755572</v>
      </c>
      <c r="BC16" s="28">
        <f t="shared" si="8"/>
        <v>0.97292426517543429</v>
      </c>
      <c r="BD16" s="28">
        <f t="shared" si="8"/>
        <v>1.1987146319525619</v>
      </c>
      <c r="BE16" s="28">
        <f t="shared" si="8"/>
        <v>1.5542690570281903</v>
      </c>
      <c r="BF16" s="28">
        <f t="shared" si="8"/>
        <v>1.3936978723864919</v>
      </c>
      <c r="BG16" s="28">
        <f t="shared" si="8"/>
        <v>1.0876318228893793</v>
      </c>
      <c r="BH16" s="28">
        <f t="shared" si="8"/>
        <v>1.0609624080329076</v>
      </c>
      <c r="BI16" s="28">
        <f t="shared" si="8"/>
        <v>2.2564119525579285</v>
      </c>
      <c r="BJ16" s="28">
        <f t="shared" si="8"/>
        <v>2.1308103443473976</v>
      </c>
      <c r="BK16" s="28">
        <f t="shared" si="8"/>
        <v>2.1260053160753496</v>
      </c>
      <c r="BL16" s="28">
        <f t="shared" si="8"/>
        <v>1.6611072766515802</v>
      </c>
      <c r="BM16" s="28">
        <f t="shared" si="8"/>
        <v>2.7967830518920778</v>
      </c>
      <c r="BN16" s="28">
        <f t="shared" si="8"/>
        <v>1.4936757097752209</v>
      </c>
      <c r="BO16" s="28">
        <f t="shared" si="8"/>
        <v>7.4222178597571284</v>
      </c>
      <c r="BP16" s="28">
        <f t="shared" si="8"/>
        <v>4.5473957283175386</v>
      </c>
      <c r="BQ16" s="28">
        <f t="shared" si="8"/>
        <v>1.8197162250818368</v>
      </c>
      <c r="BR16" s="28">
        <f t="shared" ref="BR16:CL16" si="9">BR14/BR15</f>
        <v>0</v>
      </c>
      <c r="BS16" s="28">
        <f t="shared" si="9"/>
        <v>0</v>
      </c>
      <c r="BT16" s="28">
        <f t="shared" si="9"/>
        <v>0</v>
      </c>
      <c r="BU16" s="28">
        <f t="shared" si="9"/>
        <v>0</v>
      </c>
      <c r="BV16" s="28" t="e">
        <f t="shared" si="9"/>
        <v>#DIV/0!</v>
      </c>
      <c r="BW16" s="28" t="e">
        <f t="shared" si="9"/>
        <v>#DIV/0!</v>
      </c>
      <c r="BX16" s="28" t="e">
        <f t="shared" si="9"/>
        <v>#DIV/0!</v>
      </c>
      <c r="BY16" s="28" t="e">
        <f t="shared" si="9"/>
        <v>#DIV/0!</v>
      </c>
      <c r="BZ16" s="28" t="e">
        <f t="shared" si="9"/>
        <v>#DIV/0!</v>
      </c>
      <c r="CA16" s="28" t="e">
        <f t="shared" si="9"/>
        <v>#DIV/0!</v>
      </c>
      <c r="CB16" s="28" t="e">
        <f t="shared" si="9"/>
        <v>#DIV/0!</v>
      </c>
      <c r="CC16" s="28" t="e">
        <f t="shared" si="9"/>
        <v>#DIV/0!</v>
      </c>
      <c r="CD16" s="28" t="e">
        <f t="shared" si="9"/>
        <v>#DIV/0!</v>
      </c>
      <c r="CE16" s="28" t="e">
        <f t="shared" si="9"/>
        <v>#DIV/0!</v>
      </c>
      <c r="CF16" s="28" t="e">
        <f t="shared" si="9"/>
        <v>#DIV/0!</v>
      </c>
      <c r="CG16" s="28" t="e">
        <f t="shared" si="9"/>
        <v>#DIV/0!</v>
      </c>
      <c r="CH16" s="28" t="e">
        <f t="shared" si="9"/>
        <v>#DIV/0!</v>
      </c>
      <c r="CI16" s="28" t="e">
        <f t="shared" si="9"/>
        <v>#DIV/0!</v>
      </c>
      <c r="CJ16" s="28" t="e">
        <f t="shared" si="9"/>
        <v>#DIV/0!</v>
      </c>
      <c r="CK16" s="28" t="e">
        <f t="shared" si="9"/>
        <v>#DIV/0!</v>
      </c>
      <c r="CL16" s="28" t="e">
        <f t="shared" si="9"/>
        <v>#DIV/0!</v>
      </c>
    </row>
    <row r="17" spans="1:90" s="26" customFormat="1" x14ac:dyDescent="0.25">
      <c r="A17" s="17" t="s">
        <v>499</v>
      </c>
      <c r="E17" s="26">
        <f>股权价值增加表!E42</f>
        <v>73723000000</v>
      </c>
      <c r="F17" s="26">
        <f>股权价值增加表!F42</f>
        <v>52937996112</v>
      </c>
      <c r="G17" s="26">
        <f>股权价值增加表!G42</f>
        <v>38227999509</v>
      </c>
      <c r="H17" s="26">
        <f>股权价值增加表!H42</f>
        <v>23057998348</v>
      </c>
      <c r="I17" s="26">
        <f>股权价值增加表!I42</f>
        <v>75730000000</v>
      </c>
      <c r="J17" s="26">
        <f>股权价值增加表!J42</f>
        <v>49480000000</v>
      </c>
      <c r="K17" s="26">
        <f>股权价值增加表!K42</f>
        <v>33931000000</v>
      </c>
      <c r="L17" s="26">
        <f>股权价值增加表!L42</f>
        <v>12601000000</v>
      </c>
      <c r="M17" s="26">
        <f>股权价值增加表!M42</f>
        <v>50220000000</v>
      </c>
      <c r="N17" s="26">
        <f>股权价值增加表!N42</f>
        <v>47602000000</v>
      </c>
      <c r="O17" s="26">
        <f>股权价值增加表!O42</f>
        <v>37928000000</v>
      </c>
      <c r="P17" s="26">
        <f>股权价值增加表!P42</f>
        <v>7469000000</v>
      </c>
      <c r="Q17" s="26">
        <f>股权价值增加表!Q42</f>
        <v>51145000000</v>
      </c>
      <c r="R17" s="26">
        <f>股权价值增加表!R42</f>
        <v>60592000000</v>
      </c>
      <c r="S17" s="26">
        <f>股权价值增加表!S42</f>
        <v>39436000000</v>
      </c>
      <c r="T17" s="26">
        <f>股权价值增加表!T42</f>
        <v>17488000000</v>
      </c>
      <c r="U17" s="26">
        <f>股权价值增加表!U42</f>
        <v>88475000000</v>
      </c>
      <c r="V17" s="26">
        <f>股权价值增加表!V42</f>
        <v>64330000000</v>
      </c>
      <c r="W17" s="26">
        <f>股权价值增加表!W42</f>
        <v>39491000000</v>
      </c>
      <c r="X17" s="26">
        <f>股权价值增加表!X42</f>
        <v>20431000000</v>
      </c>
      <c r="Y17" s="26">
        <f>股权价值增加表!Y42</f>
        <v>82851000000</v>
      </c>
      <c r="Z17" s="26">
        <f>股权价值增加表!Z42</f>
        <v>55969000000</v>
      </c>
      <c r="AA17" s="26">
        <f>股权价值增加表!AA42</f>
        <v>31945000000</v>
      </c>
      <c r="AB17" s="26">
        <f>股权价值增加表!AB42</f>
        <v>18264000000</v>
      </c>
      <c r="AC17" s="26">
        <f>股权价值增加表!AC42</f>
        <v>90590000000</v>
      </c>
      <c r="AD17" s="26">
        <f>股权价值增加表!AD42</f>
        <v>73882000000</v>
      </c>
      <c r="AE17" s="26">
        <f>股权价值增加表!AE42</f>
        <v>48707000000</v>
      </c>
      <c r="AF17" s="26">
        <f>股权价值增加表!AF42</f>
        <v>25637000000</v>
      </c>
      <c r="AG17" s="26">
        <f>股权价值增加表!AG42</f>
        <v>86140000000</v>
      </c>
      <c r="AH17" s="26">
        <f>股权价值增加表!AH42</f>
        <v>68112000000</v>
      </c>
      <c r="AI17" s="26">
        <f>股权价值增加表!AI42</f>
        <v>42557000000</v>
      </c>
      <c r="AJ17" s="26">
        <f>股权价值增加表!AJ42</f>
        <v>19440000000</v>
      </c>
      <c r="AK17" s="26">
        <f>股权价值增加表!AK42</f>
        <v>74903000000</v>
      </c>
      <c r="AL17" s="26">
        <f>股权价值增加表!AL42</f>
        <v>58048000000</v>
      </c>
      <c r="AM17" s="26">
        <f>股权价值增加表!AM42</f>
        <v>39638000000</v>
      </c>
      <c r="AN17" s="26">
        <f>股权价值增加表!AN42</f>
        <v>13882000000</v>
      </c>
      <c r="AO17" s="26">
        <f>股权价值增加表!AO42</f>
        <v>33471000000</v>
      </c>
      <c r="AP17" s="26">
        <f>股权价值增加表!AP42</f>
        <v>22679000000</v>
      </c>
      <c r="AQ17" s="26">
        <f>股权价值增加表!AQ42</f>
        <v>14143000000</v>
      </c>
      <c r="AR17" s="26">
        <f>股权价值增加表!AR42</f>
        <v>9098000000</v>
      </c>
      <c r="AS17" s="26">
        <f>股权价值增加表!AS42</f>
        <v>68258000000</v>
      </c>
      <c r="AT17" s="26">
        <f>股权价值增加表!AT42</f>
        <v>58560000000</v>
      </c>
      <c r="AU17" s="26">
        <f>股权价值增加表!AU42</f>
        <v>42074000000</v>
      </c>
      <c r="AV17" s="26">
        <f>股权价值增加表!AV42</f>
        <v>17383000000</v>
      </c>
      <c r="AW17" s="26">
        <f>股权价值增加表!AW42</f>
        <v>52747000000</v>
      </c>
      <c r="AX17" s="26">
        <f>股权价值增加表!AX42</f>
        <v>37733000000</v>
      </c>
      <c r="AY17" s="26">
        <f>股权价值增加表!AY42</f>
        <v>23446000000</v>
      </c>
      <c r="AZ17" s="26">
        <f>股权价值增加表!AZ42</f>
        <v>10445000000</v>
      </c>
      <c r="BA17" s="26">
        <f>股权价值增加表!BA42</f>
        <v>38736000000</v>
      </c>
      <c r="BB17" s="26">
        <f>股权价值增加表!BB42</f>
        <v>32977000000</v>
      </c>
      <c r="BC17" s="26">
        <f>股权价值增加表!BC42</f>
        <v>23166000000</v>
      </c>
      <c r="BD17" s="26">
        <f>股权价值增加表!BD42</f>
        <v>11515000000</v>
      </c>
      <c r="BE17" s="26">
        <f>股权价值增加表!BE42</f>
        <v>42769000000</v>
      </c>
      <c r="BF17" s="26">
        <f>股权价值增加表!BF42</f>
        <v>30724000000</v>
      </c>
      <c r="BG17" s="26">
        <f>股权价值增加表!BG42</f>
        <v>18803000000</v>
      </c>
      <c r="BH17" s="26">
        <f>股权价值增加表!BH42</f>
        <v>9809000000</v>
      </c>
      <c r="BI17" s="26">
        <f>股权价值增加表!BI42</f>
        <v>25931000000</v>
      </c>
      <c r="BJ17" s="26">
        <f>股权价值增加表!BJ42</f>
        <v>19378000000</v>
      </c>
      <c r="BK17" s="26">
        <f>股权价值增加表!BK42</f>
        <v>12725000000</v>
      </c>
      <c r="BL17" s="26">
        <f>股权价值增加表!BL42</f>
        <v>7393000000</v>
      </c>
      <c r="BM17" s="26">
        <f>股权价值增加表!BM42</f>
        <v>18677000000</v>
      </c>
      <c r="BN17" s="26">
        <f>股权价值增加表!BN42</f>
        <v>12118000000</v>
      </c>
      <c r="BO17" s="26">
        <f>股权价值增加表!BO42</f>
        <v>6354000000</v>
      </c>
      <c r="BP17" s="26">
        <f>股权价值增加表!BP42</f>
        <v>894000000</v>
      </c>
      <c r="BQ17" s="26">
        <f>股权价值增加表!BQ42</f>
        <v>16799000000</v>
      </c>
      <c r="BR17" s="26">
        <f>股权价值增加表!BR42</f>
        <v>10382000000</v>
      </c>
      <c r="BS17" s="26">
        <f>股权价值增加表!BS42</f>
        <v>19838000000</v>
      </c>
      <c r="BT17" s="26">
        <f>股权价值增加表!BT42</f>
        <v>7792000000</v>
      </c>
      <c r="BU17" s="26">
        <f>股权价值增加表!BU42</f>
        <v>815000000</v>
      </c>
      <c r="BV17" s="26">
        <f>股权价值增加表!BV42</f>
        <v>0</v>
      </c>
      <c r="BW17" s="26">
        <f>股权价值增加表!BW42</f>
        <v>-288342438.87</v>
      </c>
      <c r="BX17" s="26">
        <f>股权价值增加表!BX42</f>
        <v>-57060547.329999998</v>
      </c>
      <c r="BY17" s="26">
        <f>股权价值增加表!BY42</f>
        <v>-217786839.49000001</v>
      </c>
      <c r="BZ17" s="26">
        <f>股权价值增加表!BZ42</f>
        <v>-40798540.960000001</v>
      </c>
      <c r="CA17" s="26">
        <f>股权价值增加表!CA42</f>
        <v>-179937260.47</v>
      </c>
      <c r="CB17" s="26">
        <f>股权价值增加表!CB42</f>
        <v>-144282576.27000001</v>
      </c>
      <c r="CC17" s="26">
        <f>股权价值增加表!CC42</f>
        <v>-119252620.25</v>
      </c>
      <c r="CD17" s="26">
        <f>股权价值增加表!CD42</f>
        <v>0</v>
      </c>
      <c r="CE17" s="26">
        <f>股权价值增加表!CE42</f>
        <v>-20081000</v>
      </c>
      <c r="CF17" s="26">
        <f>股权价值增加表!CF42</f>
        <v>-14354563.84</v>
      </c>
      <c r="CG17" s="26">
        <f>股权价值增加表!CG42</f>
        <v>-4330000</v>
      </c>
      <c r="CH17" s="26">
        <f>股权价值增加表!CH42</f>
        <v>-4220000</v>
      </c>
      <c r="CI17" s="26">
        <f>股权价值增加表!CI42</f>
        <v>-12510000</v>
      </c>
      <c r="CJ17" s="26">
        <f>股权价值增加表!CJ42</f>
        <v>-3630000</v>
      </c>
      <c r="CK17" s="26">
        <f>股权价值增加表!CK42</f>
        <v>0</v>
      </c>
      <c r="CL17" s="26">
        <f>股权价值增加表!CL42</f>
        <v>0</v>
      </c>
    </row>
    <row r="18" spans="1:90" s="28" customFormat="1" x14ac:dyDescent="0.25">
      <c r="A18" s="20" t="s">
        <v>500</v>
      </c>
      <c r="E18" s="28">
        <f>E14/E17</f>
        <v>2.5898973183402738</v>
      </c>
      <c r="F18" s="28">
        <f t="shared" ref="F18:BQ18" si="10">F14/F17</f>
        <v>2.1004384027825855</v>
      </c>
      <c r="G18" s="28">
        <f t="shared" si="10"/>
        <v>1.5916867422182219</v>
      </c>
      <c r="H18" s="28">
        <f t="shared" si="10"/>
        <v>0.57576550226232148</v>
      </c>
      <c r="I18" s="28">
        <f t="shared" si="10"/>
        <v>2.8329988115674105</v>
      </c>
      <c r="J18" s="28">
        <f t="shared" si="10"/>
        <v>2.6616814874696848</v>
      </c>
      <c r="K18" s="28">
        <f t="shared" si="10"/>
        <v>2.2431404909964341</v>
      </c>
      <c r="L18" s="28">
        <f t="shared" si="10"/>
        <v>2.7258154114752799</v>
      </c>
      <c r="M18" s="28">
        <f t="shared" si="10"/>
        <v>3.3018319394663482</v>
      </c>
      <c r="N18" s="28">
        <f t="shared" si="10"/>
        <v>2.4493298600899123</v>
      </c>
      <c r="O18" s="28">
        <f t="shared" si="10"/>
        <v>1.7781586163256697</v>
      </c>
      <c r="P18" s="28">
        <f t="shared" si="10"/>
        <v>0.89463114205382244</v>
      </c>
      <c r="Q18" s="28">
        <f t="shared" si="10"/>
        <v>2.9005181347150257</v>
      </c>
      <c r="R18" s="28">
        <f t="shared" si="10"/>
        <v>1.7864899656720359</v>
      </c>
      <c r="S18" s="28">
        <f t="shared" si="10"/>
        <v>1.4761639111471752</v>
      </c>
      <c r="T18" s="28">
        <f t="shared" si="10"/>
        <v>0.72169487648673381</v>
      </c>
      <c r="U18" s="28">
        <f t="shared" si="10"/>
        <v>1.7167900536874823</v>
      </c>
      <c r="V18" s="28">
        <f t="shared" si="10"/>
        <v>1.2375563500699518</v>
      </c>
      <c r="W18" s="28">
        <f t="shared" si="10"/>
        <v>0.83317717961054416</v>
      </c>
      <c r="X18" s="28">
        <f t="shared" si="10"/>
        <v>0.40232979296167587</v>
      </c>
      <c r="Y18" s="28">
        <f t="shared" si="10"/>
        <v>1.7315663057778421</v>
      </c>
      <c r="Z18" s="28">
        <f t="shared" si="10"/>
        <v>1.3142811199056621</v>
      </c>
      <c r="AA18" s="28">
        <f t="shared" si="10"/>
        <v>0.64341837533260293</v>
      </c>
      <c r="AB18" s="28">
        <f t="shared" si="10"/>
        <v>-1.6927288655278143</v>
      </c>
      <c r="AC18" s="28">
        <f t="shared" si="10"/>
        <v>1.6688486587923612</v>
      </c>
      <c r="AD18" s="28">
        <f t="shared" si="10"/>
        <v>1.0618147857394222</v>
      </c>
      <c r="AE18" s="28">
        <f t="shared" si="10"/>
        <v>0.63364608783131793</v>
      </c>
      <c r="AF18" s="28">
        <f t="shared" si="10"/>
        <v>0.50723563599485122</v>
      </c>
      <c r="AG18" s="28">
        <f t="shared" si="10"/>
        <v>1.9881820292547017</v>
      </c>
      <c r="AH18" s="28">
        <f t="shared" si="10"/>
        <v>1.3982851773549447</v>
      </c>
      <c r="AI18" s="28">
        <f t="shared" si="10"/>
        <v>1.1761872312428037</v>
      </c>
      <c r="AJ18" s="28">
        <f t="shared" si="10"/>
        <v>1.5508744855967078</v>
      </c>
      <c r="AK18" s="28">
        <f t="shared" si="10"/>
        <v>2.1200218949841796</v>
      </c>
      <c r="AL18" s="28">
        <f t="shared" si="10"/>
        <v>1.80643605292172</v>
      </c>
      <c r="AM18" s="28">
        <f t="shared" si="10"/>
        <v>2.0780564105151624</v>
      </c>
      <c r="AN18" s="28">
        <f t="shared" si="10"/>
        <v>4.0091485376746867</v>
      </c>
      <c r="AO18" s="28">
        <f t="shared" si="10"/>
        <v>2.2372501568522005</v>
      </c>
      <c r="AP18" s="28">
        <f t="shared" si="10"/>
        <v>-0.15110895542131486</v>
      </c>
      <c r="AQ18" s="28">
        <f t="shared" si="10"/>
        <v>0.42324825001767657</v>
      </c>
      <c r="AR18" s="28">
        <f t="shared" si="10"/>
        <v>0.57759947241151899</v>
      </c>
      <c r="AS18" s="28">
        <f t="shared" si="10"/>
        <v>1.8202994520788771</v>
      </c>
      <c r="AT18" s="28">
        <f t="shared" si="10"/>
        <v>1.7465334699453552</v>
      </c>
      <c r="AU18" s="28">
        <f t="shared" si="10"/>
        <v>1.5210581356657318</v>
      </c>
      <c r="AV18" s="28">
        <f t="shared" si="10"/>
        <v>1.8346085255709601</v>
      </c>
      <c r="AW18" s="28">
        <f t="shared" si="10"/>
        <v>1.9448878609210003</v>
      </c>
      <c r="AX18" s="28">
        <f t="shared" si="10"/>
        <v>1.3282537831606287</v>
      </c>
      <c r="AY18" s="28">
        <f t="shared" si="10"/>
        <v>1.0733600614177259</v>
      </c>
      <c r="AZ18" s="28">
        <f t="shared" si="10"/>
        <v>0.33154619435136429</v>
      </c>
      <c r="BA18" s="28">
        <f t="shared" si="10"/>
        <v>2.1933859975216854</v>
      </c>
      <c r="BB18" s="28">
        <f t="shared" si="10"/>
        <v>1.4326651908906207</v>
      </c>
      <c r="BC18" s="28">
        <f t="shared" si="10"/>
        <v>1.081067081067081</v>
      </c>
      <c r="BD18" s="28">
        <f t="shared" si="10"/>
        <v>1.2899696048632219</v>
      </c>
      <c r="BE18" s="28">
        <f t="shared" si="10"/>
        <v>1.6399494961303749</v>
      </c>
      <c r="BF18" s="28">
        <f t="shared" si="10"/>
        <v>1.4723668793125895</v>
      </c>
      <c r="BG18" s="28">
        <f t="shared" si="10"/>
        <v>1.1537520608413552</v>
      </c>
      <c r="BH18" s="28">
        <f t="shared" si="10"/>
        <v>1.1426241207054746</v>
      </c>
      <c r="BI18" s="28">
        <f t="shared" si="10"/>
        <v>2.4853650071343178</v>
      </c>
      <c r="BJ18" s="28">
        <f t="shared" si="10"/>
        <v>2.3722262359376614</v>
      </c>
      <c r="BK18" s="28">
        <f t="shared" si="10"/>
        <v>2.3561493123772101</v>
      </c>
      <c r="BL18" s="28">
        <f t="shared" si="10"/>
        <v>1.8402542946030029</v>
      </c>
      <c r="BM18" s="28">
        <f t="shared" si="10"/>
        <v>3.2162017454623335</v>
      </c>
      <c r="BN18" s="28">
        <f t="shared" si="10"/>
        <v>1.787341145403532</v>
      </c>
      <c r="BO18" s="28">
        <f t="shared" si="10"/>
        <v>9.3943972300912808</v>
      </c>
      <c r="BP18" s="28">
        <f t="shared" si="10"/>
        <v>9.124161073825503</v>
      </c>
      <c r="BQ18" s="28">
        <f t="shared" si="10"/>
        <v>2.0520269063634742</v>
      </c>
      <c r="BR18" s="28">
        <f t="shared" ref="BR18:CK18" si="11">BR14/BR17</f>
        <v>0</v>
      </c>
      <c r="BS18" s="28">
        <f t="shared" si="11"/>
        <v>0</v>
      </c>
      <c r="BT18" s="28">
        <f t="shared" si="11"/>
        <v>0</v>
      </c>
      <c r="BU18" s="28">
        <f t="shared" si="11"/>
        <v>0</v>
      </c>
      <c r="BV18" s="28" t="e">
        <f t="shared" si="11"/>
        <v>#DIV/0!</v>
      </c>
      <c r="BW18" s="28">
        <f t="shared" si="11"/>
        <v>0</v>
      </c>
      <c r="BX18" s="28">
        <f t="shared" si="11"/>
        <v>0</v>
      </c>
      <c r="BY18" s="28">
        <f t="shared" si="11"/>
        <v>0</v>
      </c>
      <c r="BZ18" s="28">
        <f t="shared" si="11"/>
        <v>0</v>
      </c>
      <c r="CA18" s="28">
        <f t="shared" si="11"/>
        <v>0</v>
      </c>
      <c r="CB18" s="28">
        <f t="shared" si="11"/>
        <v>0</v>
      </c>
      <c r="CC18" s="28">
        <f t="shared" si="11"/>
        <v>0</v>
      </c>
      <c r="CD18" s="28" t="e">
        <f t="shared" si="11"/>
        <v>#DIV/0!</v>
      </c>
      <c r="CE18" s="28">
        <f t="shared" si="11"/>
        <v>0</v>
      </c>
      <c r="CF18" s="28">
        <f t="shared" si="11"/>
        <v>0</v>
      </c>
      <c r="CG18" s="28">
        <f t="shared" si="11"/>
        <v>0</v>
      </c>
      <c r="CH18" s="28">
        <f t="shared" si="11"/>
        <v>0</v>
      </c>
      <c r="CI18" s="28">
        <f t="shared" si="11"/>
        <v>0</v>
      </c>
      <c r="CJ18" s="28">
        <f t="shared" si="11"/>
        <v>0</v>
      </c>
      <c r="CK18" s="28" t="e">
        <f t="shared" si="11"/>
        <v>#DIV/0!</v>
      </c>
    </row>
    <row r="19" spans="1:90" s="26" customFormat="1" x14ac:dyDescent="0.25">
      <c r="A19" s="17" t="s">
        <v>501</v>
      </c>
      <c r="E19" s="26">
        <f>现金流量表!E48</f>
        <v>21791000000</v>
      </c>
      <c r="F19" s="26">
        <f>现金流量表!F48</f>
        <v>0</v>
      </c>
      <c r="G19" s="26">
        <f>现金流量表!G48</f>
        <v>4076000000</v>
      </c>
      <c r="H19" s="26">
        <f>现金流量表!H48</f>
        <v>0</v>
      </c>
      <c r="I19" s="26">
        <f>现金流量表!I48</f>
        <v>17076000000</v>
      </c>
      <c r="J19" s="26">
        <f>现金流量表!J48</f>
        <v>0</v>
      </c>
      <c r="K19" s="26">
        <f>现金流量表!K48</f>
        <v>1423000000</v>
      </c>
      <c r="L19" s="26">
        <f>现金流量表!L48</f>
        <v>0</v>
      </c>
      <c r="M19" s="26">
        <f>现金流量表!M48</f>
        <v>8767000000</v>
      </c>
      <c r="N19" s="26">
        <f>现金流量表!N48</f>
        <v>0</v>
      </c>
      <c r="O19" s="26">
        <f>现金流量表!O48</f>
        <v>205000000</v>
      </c>
      <c r="P19" s="26">
        <f>现金流量表!P48</f>
        <v>0</v>
      </c>
      <c r="Q19" s="26">
        <f>现金流量表!Q48</f>
        <v>6839000000</v>
      </c>
      <c r="R19" s="26">
        <f>现金流量表!R48</f>
        <v>0</v>
      </c>
      <c r="S19" s="26">
        <f>现金流量表!S48</f>
        <v>1112000000</v>
      </c>
      <c r="T19" s="26">
        <f>现金流量表!T48</f>
        <v>0</v>
      </c>
      <c r="U19" s="26">
        <f>现金流量表!U48</f>
        <v>4044000000</v>
      </c>
      <c r="V19" s="26">
        <f>现金流量表!V48</f>
        <v>0</v>
      </c>
      <c r="W19" s="26">
        <f>现金流量表!W48</f>
        <v>73000000</v>
      </c>
      <c r="X19" s="26">
        <f>现金流量表!X48</f>
        <v>0</v>
      </c>
      <c r="Y19" s="26">
        <f>现金流量表!Y48</f>
        <v>7906000000</v>
      </c>
      <c r="Z19" s="26">
        <f>现金流量表!Z48</f>
        <v>0</v>
      </c>
      <c r="AA19" s="26">
        <f>现金流量表!AA48</f>
        <v>7048000000</v>
      </c>
      <c r="AB19" s="26">
        <f>现金流量表!AB48</f>
        <v>0</v>
      </c>
      <c r="AC19" s="26">
        <f>现金流量表!AC48</f>
        <v>5811000000</v>
      </c>
      <c r="AD19" s="26">
        <f>现金流量表!AD48</f>
        <v>0</v>
      </c>
      <c r="AE19" s="26">
        <f>现金流量表!AE48</f>
        <v>2712000000</v>
      </c>
      <c r="AF19" s="26">
        <f>现金流量表!AF48</f>
        <v>0</v>
      </c>
      <c r="AG19" s="26">
        <f>现金流量表!AG48</f>
        <v>15445000000</v>
      </c>
      <c r="AH19" s="26">
        <f>现金流量表!AH48</f>
        <v>0</v>
      </c>
      <c r="AI19" s="26">
        <f>现金流量表!AI48</f>
        <v>741000000</v>
      </c>
      <c r="AJ19" s="26">
        <f>现金流量表!AJ48</f>
        <v>0</v>
      </c>
      <c r="AK19" s="26">
        <f>现金流量表!AK48</f>
        <v>7453000000</v>
      </c>
      <c r="AL19" s="26">
        <f>现金流量表!AL48</f>
        <v>0</v>
      </c>
      <c r="AM19" s="26">
        <f>现金流量表!AM48</f>
        <v>178000000</v>
      </c>
      <c r="AN19" s="26">
        <f>现金流量表!AN48</f>
        <v>0</v>
      </c>
      <c r="AO19" s="26">
        <f>现金流量表!AO48</f>
        <v>16617000000</v>
      </c>
      <c r="AP19" s="26">
        <f>现金流量表!AP48</f>
        <v>0</v>
      </c>
      <c r="AQ19" s="26">
        <f>现金流量表!AQ48</f>
        <v>16079000000</v>
      </c>
      <c r="AR19" s="26">
        <f>现金流量表!AR48</f>
        <v>0</v>
      </c>
      <c r="AS19" s="26">
        <f>现金流量表!AS48</f>
        <v>7458000000</v>
      </c>
      <c r="AT19" s="26">
        <f>现金流量表!AT48</f>
        <v>1593000000</v>
      </c>
      <c r="AU19" s="26">
        <f>现金流量表!AU48</f>
        <v>1535000000</v>
      </c>
      <c r="AV19" s="26">
        <f>现金流量表!AV48</f>
        <v>0</v>
      </c>
      <c r="AW19" s="26">
        <f>现金流量表!AW48</f>
        <v>1003000000</v>
      </c>
      <c r="AX19" s="26">
        <f>现金流量表!AX48</f>
        <v>105000000</v>
      </c>
      <c r="AY19" s="26">
        <f>现金流量表!AY48</f>
        <v>85000000</v>
      </c>
      <c r="AZ19" s="26">
        <f>现金流量表!AZ48</f>
        <v>-15000000</v>
      </c>
      <c r="BA19" s="26">
        <f>现金流量表!BA48</f>
        <v>1866000000</v>
      </c>
      <c r="BB19" s="26">
        <f>现金流量表!BB48</f>
        <v>0</v>
      </c>
      <c r="BC19" s="26">
        <f>现金流量表!BC48</f>
        <v>346000000</v>
      </c>
      <c r="BD19" s="26">
        <f>现金流量表!BD48</f>
        <v>-96000000</v>
      </c>
      <c r="BE19" s="26">
        <f>现金流量表!BE48</f>
        <v>7199000000</v>
      </c>
      <c r="BF19" s="26">
        <f>现金流量表!BF48</f>
        <v>5554000000</v>
      </c>
      <c r="BG19" s="26">
        <f>现金流量表!BG48</f>
        <v>650000000</v>
      </c>
      <c r="BH19" s="26">
        <f>现金流量表!BH48</f>
        <v>497000000</v>
      </c>
      <c r="BI19" s="26">
        <f>现金流量表!BI48</f>
        <v>940000000</v>
      </c>
      <c r="BJ19" s="26">
        <f>现金流量表!BJ48</f>
        <v>304000000</v>
      </c>
      <c r="BK19" s="26">
        <f>现金流量表!BK48</f>
        <v>1043000000</v>
      </c>
      <c r="BL19" s="26">
        <f>现金流量表!BL48</f>
        <v>0</v>
      </c>
      <c r="BM19" s="26">
        <f>现金流量表!BM48</f>
        <v>0</v>
      </c>
      <c r="BN19" s="26">
        <f>现金流量表!BN48</f>
        <v>392000000</v>
      </c>
      <c r="BO19" s="26">
        <f>现金流量表!BO48</f>
        <v>0</v>
      </c>
      <c r="BP19" s="26">
        <f>现金流量表!BP48</f>
        <v>-416000000</v>
      </c>
      <c r="BQ19" s="26">
        <f>现金流量表!BQ48</f>
        <v>187000000</v>
      </c>
      <c r="BR19" s="26">
        <f>现金流量表!BR48</f>
        <v>0</v>
      </c>
      <c r="BS19" s="26">
        <f>现金流量表!BS48</f>
        <v>0</v>
      </c>
      <c r="BT19" s="26">
        <f>现金流量表!BT48</f>
        <v>0</v>
      </c>
      <c r="BU19" s="26">
        <f>现金流量表!BU48</f>
        <v>0</v>
      </c>
      <c r="BV19" s="26">
        <f>现金流量表!BV48</f>
        <v>0</v>
      </c>
      <c r="BW19" s="26">
        <f>现金流量表!BW48</f>
        <v>0</v>
      </c>
      <c r="BX19" s="26">
        <f>现金流量表!BX48</f>
        <v>0</v>
      </c>
      <c r="BY19" s="26">
        <f>现金流量表!BY48</f>
        <v>0</v>
      </c>
      <c r="BZ19" s="26">
        <f>现金流量表!BZ48</f>
        <v>0</v>
      </c>
      <c r="CA19" s="26">
        <f>现金流量表!CA48</f>
        <v>0</v>
      </c>
      <c r="CB19" s="26">
        <f>现金流量表!CB48</f>
        <v>0</v>
      </c>
      <c r="CC19" s="26">
        <f>现金流量表!CC48</f>
        <v>0</v>
      </c>
      <c r="CD19" s="26">
        <f>现金流量表!CD48</f>
        <v>0</v>
      </c>
      <c r="CE19" s="26">
        <f>现金流量表!CE48</f>
        <v>0</v>
      </c>
      <c r="CF19" s="26">
        <f>现金流量表!CF48</f>
        <v>0</v>
      </c>
      <c r="CG19" s="26">
        <f>现金流量表!CG48</f>
        <v>0</v>
      </c>
      <c r="CH19" s="26">
        <f>现金流量表!CH48</f>
        <v>0</v>
      </c>
      <c r="CI19" s="26">
        <f>现金流量表!CI48</f>
        <v>0</v>
      </c>
      <c r="CJ19" s="26">
        <f>现金流量表!CJ48</f>
        <v>0</v>
      </c>
      <c r="CK19" s="26">
        <f>现金流量表!CK48</f>
        <v>0</v>
      </c>
    </row>
    <row r="20" spans="1:90" s="26" customFormat="1" x14ac:dyDescent="0.25">
      <c r="A20" s="17" t="s">
        <v>502</v>
      </c>
      <c r="E20" s="26">
        <f>现金流量表!E49</f>
        <v>106149000000</v>
      </c>
      <c r="F20" s="26">
        <f>现金流量表!F49</f>
        <v>0</v>
      </c>
      <c r="G20" s="26">
        <f>现金流量表!G49</f>
        <v>50862000000</v>
      </c>
      <c r="H20" s="26">
        <f>现金流量表!H49</f>
        <v>0</v>
      </c>
      <c r="I20" s="26">
        <f>现金流量表!I49</f>
        <v>99592000000</v>
      </c>
      <c r="J20" s="26">
        <f>现金流量表!J49</f>
        <v>0</v>
      </c>
      <c r="K20" s="26">
        <f>现金流量表!K49</f>
        <v>44869000000</v>
      </c>
      <c r="L20" s="26">
        <f>现金流量表!L49</f>
        <v>0</v>
      </c>
      <c r="M20" s="26">
        <f>现金流量表!M49</f>
        <v>87069000000</v>
      </c>
      <c r="N20" s="26">
        <f>现金流量表!N49</f>
        <v>0</v>
      </c>
      <c r="O20" s="26">
        <f>现金流量表!O49</f>
        <v>41155000000</v>
      </c>
      <c r="P20" s="26">
        <f>现金流量表!P49</f>
        <v>0</v>
      </c>
      <c r="Q20" s="26">
        <f>现金流量表!Q49</f>
        <v>82156000000</v>
      </c>
      <c r="R20" s="26">
        <f>现金流量表!R49</f>
        <v>0</v>
      </c>
      <c r="S20" s="26">
        <f>现金流量表!S49</f>
        <v>39573000000</v>
      </c>
      <c r="T20" s="26">
        <f>现金流量表!T49</f>
        <v>0</v>
      </c>
      <c r="U20" s="26">
        <f>现金流量表!U49</f>
        <v>74853000000</v>
      </c>
      <c r="V20" s="26">
        <f>现金流量表!V49</f>
        <v>0</v>
      </c>
      <c r="W20" s="26">
        <f>现金流量表!W49</f>
        <v>36254000000</v>
      </c>
      <c r="X20" s="26">
        <f>现金流量表!X49</f>
        <v>0</v>
      </c>
      <c r="Y20" s="26">
        <f>现金流量表!Y49</f>
        <v>68180000000</v>
      </c>
      <c r="Z20" s="26">
        <f>现金流量表!Z49</f>
        <v>0</v>
      </c>
      <c r="AA20" s="26">
        <f>现金流量表!AA49</f>
        <v>33589000000</v>
      </c>
      <c r="AB20" s="26">
        <f>现金流量表!AB49</f>
        <v>0</v>
      </c>
      <c r="AC20" s="26">
        <f>现金流量表!AC49</f>
        <v>0</v>
      </c>
      <c r="AD20" s="26">
        <f>现金流量表!AD49</f>
        <v>0</v>
      </c>
      <c r="AE20" s="26">
        <f>现金流量表!AE49</f>
        <v>29779000000</v>
      </c>
      <c r="AF20" s="26">
        <f>现金流量表!AF49</f>
        <v>0</v>
      </c>
      <c r="AG20" s="26">
        <f>现金流量表!AG49</f>
        <v>57974000000</v>
      </c>
      <c r="AH20" s="26">
        <f>现金流量表!AH49</f>
        <v>0</v>
      </c>
      <c r="AI20" s="26">
        <f>现金流量表!AI49</f>
        <v>26195000000</v>
      </c>
      <c r="AJ20" s="26">
        <f>现金流量表!AJ49</f>
        <v>0</v>
      </c>
      <c r="AK20" s="26">
        <f>现金流量表!AK49</f>
        <v>49515000000</v>
      </c>
      <c r="AL20" s="26">
        <f>现金流量表!AL49</f>
        <v>0</v>
      </c>
      <c r="AM20" s="26">
        <f>现金流量表!AM49</f>
        <v>24103000000</v>
      </c>
      <c r="AN20" s="26">
        <f>现金流量表!AN49</f>
        <v>0</v>
      </c>
      <c r="AO20" s="26">
        <f>现金流量表!AO49</f>
        <v>45012000000</v>
      </c>
      <c r="AP20" s="26">
        <f>现金流量表!AP49</f>
        <v>0</v>
      </c>
      <c r="AQ20" s="26">
        <f>现金流量表!AQ49</f>
        <v>20631000000</v>
      </c>
      <c r="AR20" s="26">
        <f>现金流量表!AR49</f>
        <v>0</v>
      </c>
      <c r="AS20" s="26">
        <f>现金流量表!AS49</f>
        <v>42138000000</v>
      </c>
      <c r="AT20" s="26">
        <f>现金流量表!AT49</f>
        <v>28809000000</v>
      </c>
      <c r="AU20" s="26">
        <f>现金流量表!AU49</f>
        <v>19000000000</v>
      </c>
      <c r="AV20" s="26">
        <f>现金流量表!AV49</f>
        <v>9497000000</v>
      </c>
      <c r="AW20" s="26">
        <f>现金流量表!AW49</f>
        <v>33627000000</v>
      </c>
      <c r="AX20" s="26">
        <f>现金流量表!AX49</f>
        <v>24688000000</v>
      </c>
      <c r="AY20" s="26">
        <f>现金流量表!AY49</f>
        <v>16292000000</v>
      </c>
      <c r="AZ20" s="26">
        <f>现金流量表!AZ49</f>
        <v>7956000000</v>
      </c>
      <c r="BA20" s="26">
        <f>现金流量表!BA49</f>
        <v>30845000000</v>
      </c>
      <c r="BB20" s="26">
        <f>现金流量表!BB49</f>
        <v>22797000000</v>
      </c>
      <c r="BC20" s="26">
        <f>现金流量表!BC49</f>
        <v>15107000000</v>
      </c>
      <c r="BD20" s="26">
        <f>现金流量表!BD49</f>
        <v>7545000000</v>
      </c>
      <c r="BE20" s="26">
        <f>现金流量表!BE49</f>
        <v>30766000000</v>
      </c>
      <c r="BF20" s="26">
        <f>现金流量表!BF49</f>
        <v>22038000000</v>
      </c>
      <c r="BG20" s="26">
        <f>现金流量表!BG49</f>
        <v>14749000000</v>
      </c>
      <c r="BH20" s="26">
        <f>现金流量表!BH49</f>
        <v>6907000000</v>
      </c>
      <c r="BI20" s="26">
        <f>现金流量表!BI49</f>
        <v>27151000000</v>
      </c>
      <c r="BJ20" s="26">
        <f>现金流量表!BJ49</f>
        <v>20148000000</v>
      </c>
      <c r="BK20" s="26">
        <f>现金流量表!BK49</f>
        <v>13542000000</v>
      </c>
      <c r="BL20" s="26">
        <f>现金流量表!BL49</f>
        <v>6744000000</v>
      </c>
      <c r="BM20" s="26">
        <f>现金流量表!BM49</f>
        <v>26327000000</v>
      </c>
      <c r="BN20" s="26">
        <f>现金流量表!BN49</f>
        <v>12484000000</v>
      </c>
      <c r="BO20" s="26">
        <f>现金流量表!BO49</f>
        <v>24659000000</v>
      </c>
      <c r="BP20" s="26">
        <f>现金流量表!BP49</f>
        <v>11860000000</v>
      </c>
      <c r="BQ20" s="26">
        <f>现金流量表!BQ49</f>
        <v>24150000000</v>
      </c>
      <c r="BR20" s="26">
        <f>现金流量表!BR49</f>
        <v>0</v>
      </c>
      <c r="BS20" s="26">
        <f>现金流量表!BS49</f>
        <v>0</v>
      </c>
      <c r="BT20" s="26">
        <f>现金流量表!BT49</f>
        <v>0</v>
      </c>
      <c r="BU20" s="26">
        <f>现金流量表!BU49</f>
        <v>0</v>
      </c>
      <c r="BV20" s="26">
        <f>现金流量表!BV49</f>
        <v>0</v>
      </c>
      <c r="BW20" s="26">
        <f>现金流量表!BW49</f>
        <v>0</v>
      </c>
      <c r="BX20" s="26">
        <f>现金流量表!BX49</f>
        <v>0</v>
      </c>
      <c r="BY20" s="26">
        <f>现金流量表!BY49</f>
        <v>0</v>
      </c>
      <c r="BZ20" s="26">
        <f>现金流量表!BZ49</f>
        <v>0</v>
      </c>
      <c r="CA20" s="26">
        <f>现金流量表!CA49</f>
        <v>0</v>
      </c>
      <c r="CB20" s="26">
        <f>现金流量表!CB49</f>
        <v>0</v>
      </c>
      <c r="CC20" s="26">
        <f>现金流量表!CC49</f>
        <v>0</v>
      </c>
      <c r="CD20" s="26">
        <f>现金流量表!CD49</f>
        <v>0</v>
      </c>
      <c r="CE20" s="26">
        <f>现金流量表!CE49</f>
        <v>0</v>
      </c>
      <c r="CF20" s="26">
        <f>现金流量表!CF49</f>
        <v>0</v>
      </c>
      <c r="CG20" s="26">
        <f>现金流量表!CG49</f>
        <v>0</v>
      </c>
      <c r="CH20" s="26">
        <f>现金流量表!CH49</f>
        <v>0</v>
      </c>
      <c r="CI20" s="26">
        <f>现金流量表!CI49</f>
        <v>0</v>
      </c>
      <c r="CJ20" s="26">
        <f>现金流量表!CJ49</f>
        <v>0</v>
      </c>
      <c r="CK20" s="26">
        <f>现金流量表!CK49</f>
        <v>0</v>
      </c>
      <c r="CL20" s="26">
        <f>现金流量表!CL49</f>
        <v>0</v>
      </c>
    </row>
    <row r="21" spans="1:90" s="26" customFormat="1" x14ac:dyDescent="0.25">
      <c r="A21" s="17" t="s">
        <v>503</v>
      </c>
      <c r="E21" s="26">
        <f>现金流量表!E50</f>
        <v>9161000000</v>
      </c>
      <c r="F21" s="26">
        <f>现金流量表!F50</f>
        <v>0</v>
      </c>
      <c r="G21" s="26">
        <f>现金流量表!G50</f>
        <v>4355000000</v>
      </c>
      <c r="H21" s="26">
        <f>现金流量表!H50</f>
        <v>0</v>
      </c>
      <c r="I21" s="26">
        <f>现金流量表!I50</f>
        <v>8833000000</v>
      </c>
      <c r="J21" s="26">
        <f>现金流量表!J50</f>
        <v>0</v>
      </c>
      <c r="K21" s="26">
        <f>现金流量表!K50</f>
        <v>4236000000</v>
      </c>
      <c r="L21" s="26">
        <f>现金流量表!L50</f>
        <v>0</v>
      </c>
      <c r="M21" s="26">
        <f>现金流量表!M50</f>
        <v>9299000000</v>
      </c>
      <c r="N21" s="26">
        <f>现金流量表!N50</f>
        <v>0</v>
      </c>
      <c r="O21" s="26">
        <f>现金流量表!O50</f>
        <v>5094000000</v>
      </c>
      <c r="P21" s="26">
        <f>现金流量表!P50</f>
        <v>0</v>
      </c>
      <c r="Q21" s="26">
        <f>现金流量表!Q50</f>
        <v>7941000000</v>
      </c>
      <c r="R21" s="26">
        <f>现金流量表!R50</f>
        <v>0</v>
      </c>
      <c r="S21" s="26">
        <f>现金流量表!S50</f>
        <v>3660000000</v>
      </c>
      <c r="T21" s="26">
        <f>现金流量表!T50</f>
        <v>0</v>
      </c>
      <c r="U21" s="26">
        <f>现金流量表!U50</f>
        <v>6412000000</v>
      </c>
      <c r="V21" s="26">
        <f>现金流量表!V50</f>
        <v>0</v>
      </c>
      <c r="W21" s="26">
        <f>现金流量表!W50</f>
        <v>2715000000</v>
      </c>
      <c r="X21" s="26">
        <f>现金流量表!X50</f>
        <v>0</v>
      </c>
      <c r="Y21" s="26">
        <f>现金流量表!Y50</f>
        <v>2276000000</v>
      </c>
      <c r="Z21" s="26">
        <f>现金流量表!Z50</f>
        <v>0</v>
      </c>
      <c r="AA21" s="26">
        <f>现金流量表!AA50</f>
        <v>945000000</v>
      </c>
      <c r="AB21" s="26">
        <f>现金流量表!AB50</f>
        <v>0</v>
      </c>
      <c r="AC21" s="26">
        <f>现金流量表!AC50</f>
        <v>1561000000</v>
      </c>
      <c r="AD21" s="26">
        <f>现金流量表!AD50</f>
        <v>0</v>
      </c>
      <c r="AE21" s="26">
        <f>现金流量表!AE50</f>
        <v>731000000</v>
      </c>
      <c r="AF21" s="26">
        <f>现金流量表!AF50</f>
        <v>0</v>
      </c>
      <c r="AG21" s="26">
        <f>现金流量表!AG50</f>
        <v>1279000000</v>
      </c>
      <c r="AH21" s="26">
        <f>现金流量表!AH50</f>
        <v>0</v>
      </c>
      <c r="AI21" s="26">
        <f>现金流量表!AI50</f>
        <v>620000000</v>
      </c>
      <c r="AJ21" s="26">
        <f>现金流量表!AJ50</f>
        <v>0</v>
      </c>
      <c r="AK21" s="26">
        <f>现金流量表!AK50</f>
        <v>1002000000</v>
      </c>
      <c r="AL21" s="26">
        <f>现金流量表!AL50</f>
        <v>0</v>
      </c>
      <c r="AM21" s="26">
        <f>现金流量表!AM50</f>
        <v>496000000</v>
      </c>
      <c r="AN21" s="26">
        <f>现金流量表!AN50</f>
        <v>0</v>
      </c>
      <c r="AO21" s="26">
        <f>现金流量表!AO50</f>
        <v>841000000</v>
      </c>
      <c r="AP21" s="26">
        <f>现金流量表!AP50</f>
        <v>0</v>
      </c>
      <c r="AQ21" s="26">
        <f>现金流量表!AQ50</f>
        <v>483000000</v>
      </c>
      <c r="AR21" s="26">
        <f>现金流量表!AR50</f>
        <v>0</v>
      </c>
      <c r="AS21" s="26">
        <f>现金流量表!AS50</f>
        <v>1246000000</v>
      </c>
      <c r="AT21" s="26">
        <f>现金流量表!AT50</f>
        <v>663000000</v>
      </c>
      <c r="AU21" s="26">
        <f>现金流量表!AU50</f>
        <v>369000000</v>
      </c>
      <c r="AV21" s="26">
        <f>现金流量表!AV50</f>
        <v>130000000</v>
      </c>
      <c r="AW21" s="26">
        <f>现金流量表!AW50</f>
        <v>633000000</v>
      </c>
      <c r="AX21" s="26">
        <f>现金流量表!AX50</f>
        <v>424000000</v>
      </c>
      <c r="AY21" s="26">
        <f>现金流量表!AY50</f>
        <v>341000000</v>
      </c>
      <c r="AZ21" s="26">
        <f>现金流量表!AZ50</f>
        <v>139000000</v>
      </c>
      <c r="BA21" s="26">
        <f>现金流量表!BA50</f>
        <v>986000000</v>
      </c>
      <c r="BB21" s="26">
        <f>现金流量表!BB50</f>
        <v>465000000</v>
      </c>
      <c r="BC21" s="26">
        <f>现金流量表!BC50</f>
        <v>305000000</v>
      </c>
      <c r="BD21" s="26">
        <f>现金流量表!BD50</f>
        <v>133000000</v>
      </c>
      <c r="BE21" s="26">
        <f>现金流量表!BE50</f>
        <v>476000000</v>
      </c>
      <c r="BF21" s="26">
        <f>现金流量表!BF50</f>
        <v>383000000</v>
      </c>
      <c r="BG21" s="26">
        <f>现金流量表!BG50</f>
        <v>287000000</v>
      </c>
      <c r="BH21" s="26">
        <f>现金流量表!BH50</f>
        <v>140000000</v>
      </c>
      <c r="BI21" s="26">
        <f>现金流量表!BI50</f>
        <v>520000000</v>
      </c>
      <c r="BJ21" s="26">
        <f>现金流量表!BJ50</f>
        <v>231000000</v>
      </c>
      <c r="BK21" s="26">
        <f>现金流量表!BK50</f>
        <v>153000000</v>
      </c>
      <c r="BL21" s="26">
        <f>现金流量表!BL50</f>
        <v>105000000</v>
      </c>
      <c r="BM21" s="26">
        <f>现金流量表!BM50</f>
        <v>286000000</v>
      </c>
      <c r="BN21" s="26">
        <f>现金流量表!BN50</f>
        <v>219000000</v>
      </c>
      <c r="BO21" s="26">
        <f>现金流量表!BO50</f>
        <v>260000000</v>
      </c>
      <c r="BP21" s="26">
        <f>现金流量表!BP50</f>
        <v>82000000</v>
      </c>
      <c r="BQ21" s="26">
        <f>现金流量表!BQ50</f>
        <v>136000000</v>
      </c>
      <c r="BR21" s="26">
        <f>现金流量表!BR50</f>
        <v>0</v>
      </c>
      <c r="BS21" s="26">
        <f>现金流量表!BS50</f>
        <v>0</v>
      </c>
      <c r="BT21" s="26">
        <f>现金流量表!BT50</f>
        <v>0</v>
      </c>
      <c r="BU21" s="26">
        <f>现金流量表!BU50</f>
        <v>0</v>
      </c>
      <c r="BV21" s="26">
        <f>现金流量表!BV50</f>
        <v>0</v>
      </c>
      <c r="BW21" s="26">
        <f>现金流量表!BW50</f>
        <v>0</v>
      </c>
      <c r="BX21" s="26">
        <f>现金流量表!BX50</f>
        <v>0</v>
      </c>
      <c r="BY21" s="26">
        <f>现金流量表!BY50</f>
        <v>0</v>
      </c>
      <c r="BZ21" s="26">
        <f>现金流量表!BZ50</f>
        <v>0</v>
      </c>
      <c r="CA21" s="26">
        <f>现金流量表!CA50</f>
        <v>0</v>
      </c>
      <c r="CB21" s="26">
        <f>现金流量表!CB50</f>
        <v>0</v>
      </c>
      <c r="CC21" s="26">
        <f>现金流量表!CC50</f>
        <v>0</v>
      </c>
      <c r="CD21" s="26">
        <f>现金流量表!CD50</f>
        <v>0</v>
      </c>
      <c r="CE21" s="26">
        <f>现金流量表!CE50</f>
        <v>0</v>
      </c>
      <c r="CF21" s="26">
        <f>现金流量表!CF50</f>
        <v>0</v>
      </c>
      <c r="CG21" s="26">
        <f>现金流量表!CG50</f>
        <v>0</v>
      </c>
      <c r="CH21" s="26">
        <f>现金流量表!CH50</f>
        <v>0</v>
      </c>
      <c r="CI21" s="26">
        <f>现金流量表!CI50</f>
        <v>0</v>
      </c>
      <c r="CJ21" s="26">
        <f>现金流量表!CJ50</f>
        <v>0</v>
      </c>
      <c r="CK21" s="26">
        <f>现金流量表!CK50</f>
        <v>0</v>
      </c>
      <c r="CL21" s="26">
        <f>现金流量表!CL50</f>
        <v>0</v>
      </c>
    </row>
    <row r="22" spans="1:90" s="26" customFormat="1" x14ac:dyDescent="0.25">
      <c r="A22" s="17" t="s">
        <v>504</v>
      </c>
      <c r="E22" s="26">
        <f>现金流量表!E51</f>
        <v>0</v>
      </c>
      <c r="F22" s="26">
        <f>现金流量表!F51</f>
        <v>0</v>
      </c>
      <c r="G22" s="26">
        <f>现金流量表!G51</f>
        <v>0</v>
      </c>
      <c r="H22" s="26">
        <f>现金流量表!H51</f>
        <v>0</v>
      </c>
      <c r="I22" s="26">
        <f>现金流量表!I51</f>
        <v>0</v>
      </c>
      <c r="J22" s="26">
        <f>现金流量表!J51</f>
        <v>0</v>
      </c>
      <c r="K22" s="26">
        <f>现金流量表!K51</f>
        <v>0</v>
      </c>
      <c r="L22" s="26">
        <f>现金流量表!L51</f>
        <v>0</v>
      </c>
      <c r="M22" s="26">
        <f>现金流量表!M51</f>
        <v>0</v>
      </c>
      <c r="N22" s="26">
        <f>现金流量表!N51</f>
        <v>0</v>
      </c>
      <c r="O22" s="26">
        <f>现金流量表!O51</f>
        <v>0</v>
      </c>
      <c r="P22" s="26">
        <f>现金流量表!P51</f>
        <v>0</v>
      </c>
      <c r="Q22" s="26">
        <f>现金流量表!Q51</f>
        <v>0</v>
      </c>
      <c r="R22" s="26">
        <f>现金流量表!R51</f>
        <v>0</v>
      </c>
      <c r="S22" s="26">
        <f>现金流量表!S51</f>
        <v>0</v>
      </c>
      <c r="T22" s="26">
        <f>现金流量表!T51</f>
        <v>0</v>
      </c>
      <c r="U22" s="26">
        <f>现金流量表!U51</f>
        <v>0</v>
      </c>
      <c r="V22" s="26">
        <f>现金流量表!V51</f>
        <v>0</v>
      </c>
      <c r="W22" s="26">
        <f>现金流量表!W51</f>
        <v>0</v>
      </c>
      <c r="X22" s="26">
        <f>现金流量表!X51</f>
        <v>0</v>
      </c>
      <c r="Y22" s="26">
        <f>现金流量表!Y51</f>
        <v>0</v>
      </c>
      <c r="Z22" s="26">
        <f>现金流量表!Z51</f>
        <v>0</v>
      </c>
      <c r="AA22" s="26">
        <f>现金流量表!AA51</f>
        <v>0</v>
      </c>
      <c r="AB22" s="26">
        <f>现金流量表!AB51</f>
        <v>0</v>
      </c>
      <c r="AC22" s="26">
        <f>现金流量表!AC51</f>
        <v>0</v>
      </c>
      <c r="AD22" s="26">
        <f>现金流量表!AD51</f>
        <v>0</v>
      </c>
      <c r="AE22" s="26">
        <f>现金流量表!AE51</f>
        <v>0</v>
      </c>
      <c r="AF22" s="26">
        <f>现金流量表!AF51</f>
        <v>0</v>
      </c>
      <c r="AG22" s="26">
        <f>现金流量表!AG51</f>
        <v>0</v>
      </c>
      <c r="AH22" s="26">
        <f>现金流量表!AH51</f>
        <v>0</v>
      </c>
      <c r="AI22" s="26">
        <f>现金流量表!AI51</f>
        <v>0</v>
      </c>
      <c r="AJ22" s="26">
        <f>现金流量表!AJ51</f>
        <v>0</v>
      </c>
      <c r="AK22" s="26">
        <f>现金流量表!AK51</f>
        <v>0</v>
      </c>
      <c r="AL22" s="26">
        <f>现金流量表!AL51</f>
        <v>0</v>
      </c>
      <c r="AM22" s="26">
        <f>现金流量表!AM51</f>
        <v>0</v>
      </c>
      <c r="AN22" s="26">
        <f>现金流量表!AN51</f>
        <v>0</v>
      </c>
      <c r="AO22" s="26">
        <f>现金流量表!AO51</f>
        <v>0</v>
      </c>
      <c r="AP22" s="26">
        <f>现金流量表!AP51</f>
        <v>0</v>
      </c>
      <c r="AQ22" s="26">
        <f>现金流量表!AQ51</f>
        <v>0</v>
      </c>
      <c r="AR22" s="26">
        <f>现金流量表!AR51</f>
        <v>0</v>
      </c>
      <c r="AS22" s="26">
        <f>现金流量表!AS51</f>
        <v>0</v>
      </c>
      <c r="AT22" s="26">
        <f>现金流量表!AT51</f>
        <v>0</v>
      </c>
      <c r="AU22" s="26">
        <f>现金流量表!AU51</f>
        <v>0</v>
      </c>
      <c r="AV22" s="26">
        <f>现金流量表!AV51</f>
        <v>0</v>
      </c>
      <c r="AW22" s="26">
        <f>现金流量表!AW51</f>
        <v>0</v>
      </c>
      <c r="AX22" s="26">
        <f>现金流量表!AX51</f>
        <v>0</v>
      </c>
      <c r="AY22" s="26">
        <f>现金流量表!AY51</f>
        <v>0</v>
      </c>
      <c r="AZ22" s="26">
        <f>现金流量表!AZ51</f>
        <v>0</v>
      </c>
      <c r="BA22" s="26">
        <f>现金流量表!BA51</f>
        <v>0</v>
      </c>
      <c r="BB22" s="26">
        <f>现金流量表!BB51</f>
        <v>0</v>
      </c>
      <c r="BC22" s="26">
        <f>现金流量表!BC51</f>
        <v>0</v>
      </c>
      <c r="BD22" s="26">
        <f>现金流量表!BD51</f>
        <v>0</v>
      </c>
      <c r="BE22" s="26">
        <f>现金流量表!BE51</f>
        <v>0</v>
      </c>
      <c r="BF22" s="26">
        <f>现金流量表!BF51</f>
        <v>0</v>
      </c>
      <c r="BG22" s="26">
        <f>现金流量表!BG51</f>
        <v>0</v>
      </c>
      <c r="BH22" s="26">
        <f>现金流量表!BH51</f>
        <v>0</v>
      </c>
      <c r="BI22" s="26">
        <f>现金流量表!BI51</f>
        <v>0</v>
      </c>
      <c r="BJ22" s="26">
        <f>现金流量表!BJ51</f>
        <v>0</v>
      </c>
      <c r="BK22" s="26">
        <f>现金流量表!BK51</f>
        <v>0</v>
      </c>
      <c r="BL22" s="26">
        <f>现金流量表!BL51</f>
        <v>0</v>
      </c>
      <c r="BM22" s="26">
        <f>现金流量表!BM51</f>
        <v>0</v>
      </c>
      <c r="BN22" s="26">
        <f>现金流量表!BN51</f>
        <v>0</v>
      </c>
      <c r="BO22" s="26">
        <f>现金流量表!BO51</f>
        <v>0</v>
      </c>
      <c r="BP22" s="26">
        <f>现金流量表!BP51</f>
        <v>0</v>
      </c>
      <c r="BQ22" s="26">
        <f>现金流量表!BQ51</f>
        <v>0</v>
      </c>
      <c r="BR22" s="26">
        <f>现金流量表!BR51</f>
        <v>0</v>
      </c>
      <c r="BS22" s="26">
        <f>现金流量表!BS51</f>
        <v>0</v>
      </c>
      <c r="BT22" s="26">
        <f>现金流量表!BT51</f>
        <v>0</v>
      </c>
      <c r="BU22" s="26">
        <f>现金流量表!BU51</f>
        <v>0</v>
      </c>
      <c r="BV22" s="26">
        <f>现金流量表!BV51</f>
        <v>0</v>
      </c>
      <c r="BW22" s="26">
        <f>现金流量表!BW51</f>
        <v>0</v>
      </c>
      <c r="BX22" s="26">
        <f>现金流量表!BX51</f>
        <v>0</v>
      </c>
      <c r="BY22" s="26">
        <f>现金流量表!BY51</f>
        <v>0</v>
      </c>
      <c r="BZ22" s="26">
        <f>现金流量表!BZ51</f>
        <v>0</v>
      </c>
      <c r="CA22" s="26">
        <f>现金流量表!CA51</f>
        <v>0</v>
      </c>
      <c r="CB22" s="26">
        <f>现金流量表!CB51</f>
        <v>0</v>
      </c>
      <c r="CC22" s="26">
        <f>现金流量表!CC51</f>
        <v>0</v>
      </c>
      <c r="CD22" s="26">
        <f>现金流量表!CD51</f>
        <v>0</v>
      </c>
      <c r="CE22" s="26">
        <f>现金流量表!CE51</f>
        <v>0</v>
      </c>
      <c r="CF22" s="26">
        <f>现金流量表!CF51</f>
        <v>0</v>
      </c>
      <c r="CG22" s="26">
        <f>现金流量表!CG51</f>
        <v>0</v>
      </c>
      <c r="CH22" s="26">
        <f>现金流量表!CH51</f>
        <v>0</v>
      </c>
      <c r="CI22" s="26">
        <f>现金流量表!CI51</f>
        <v>0</v>
      </c>
      <c r="CJ22" s="26">
        <f>现金流量表!CJ51</f>
        <v>0</v>
      </c>
      <c r="CK22" s="26">
        <f>现金流量表!CK51</f>
        <v>0</v>
      </c>
    </row>
    <row r="23" spans="1:90" s="26" customFormat="1" x14ac:dyDescent="0.25">
      <c r="A23" s="17" t="s">
        <v>505</v>
      </c>
      <c r="E23" s="26">
        <f>现金流量表!E54</f>
        <v>1518000000</v>
      </c>
      <c r="F23" s="26">
        <f>现金流量表!F54</f>
        <v>0</v>
      </c>
      <c r="G23" s="26">
        <f>现金流量表!G54</f>
        <v>98000000</v>
      </c>
      <c r="H23" s="26">
        <f>现金流量表!H54</f>
        <v>0</v>
      </c>
      <c r="I23" s="26">
        <f>现金流量表!I54</f>
        <v>1528000000</v>
      </c>
      <c r="J23" s="26">
        <f>现金流量表!J54</f>
        <v>0</v>
      </c>
      <c r="K23" s="26">
        <f>现金流量表!K54</f>
        <v>-7000000</v>
      </c>
      <c r="L23" s="26">
        <f>现金流量表!L54</f>
        <v>0</v>
      </c>
      <c r="M23" s="26">
        <f>现金流量表!M54</f>
        <v>721000000</v>
      </c>
      <c r="N23" s="26">
        <f>现金流量表!N54</f>
        <v>0</v>
      </c>
      <c r="O23" s="26">
        <f>现金流量表!O54</f>
        <v>61000000</v>
      </c>
      <c r="P23" s="26">
        <f>现金流量表!P54</f>
        <v>0</v>
      </c>
      <c r="Q23" s="26">
        <f>现金流量表!Q54</f>
        <v>1622000000</v>
      </c>
      <c r="R23" s="26">
        <f>现金流量表!R54</f>
        <v>0</v>
      </c>
      <c r="S23" s="26">
        <f>现金流量表!S54</f>
        <v>561000000</v>
      </c>
      <c r="T23" s="26">
        <f>现金流量表!T54</f>
        <v>0</v>
      </c>
      <c r="U23" s="26">
        <f>现金流量表!U54</f>
        <v>826000000</v>
      </c>
      <c r="V23" s="26">
        <f>现金流量表!V54</f>
        <v>0</v>
      </c>
      <c r="W23" s="26">
        <f>现金流量表!W54</f>
        <v>95000000</v>
      </c>
      <c r="X23" s="26">
        <f>现金流量表!X54</f>
        <v>0</v>
      </c>
      <c r="Y23" s="26">
        <f>现金流量表!Y54</f>
        <v>-16000000</v>
      </c>
      <c r="Z23" s="26">
        <f>现金流量表!Z54</f>
        <v>0</v>
      </c>
      <c r="AA23" s="26">
        <f>现金流量表!AA54</f>
        <v>0</v>
      </c>
      <c r="AB23" s="26">
        <f>现金流量表!AB54</f>
        <v>0</v>
      </c>
      <c r="AC23" s="26">
        <f>现金流量表!AC54</f>
        <v>0</v>
      </c>
      <c r="AD23" s="26">
        <f>现金流量表!AD54</f>
        <v>0</v>
      </c>
      <c r="AE23" s="26">
        <f>现金流量表!AE54</f>
        <v>0</v>
      </c>
      <c r="AF23" s="26">
        <f>现金流量表!AF54</f>
        <v>0</v>
      </c>
      <c r="AG23" s="26">
        <f>现金流量表!AG54</f>
        <v>0</v>
      </c>
      <c r="AH23" s="26">
        <f>现金流量表!AH54</f>
        <v>0</v>
      </c>
      <c r="AI23" s="26">
        <f>现金流量表!AI54</f>
        <v>0</v>
      </c>
      <c r="AJ23" s="26">
        <f>现金流量表!AJ54</f>
        <v>0</v>
      </c>
      <c r="AK23" s="26">
        <f>现金流量表!AK54</f>
        <v>0</v>
      </c>
      <c r="AL23" s="26">
        <f>现金流量表!AL54</f>
        <v>0</v>
      </c>
      <c r="AM23" s="26">
        <f>现金流量表!AM54</f>
        <v>0</v>
      </c>
      <c r="AN23" s="26">
        <f>现金流量表!AN54</f>
        <v>0</v>
      </c>
      <c r="AO23" s="26">
        <f>现金流量表!AO54</f>
        <v>0</v>
      </c>
      <c r="AP23" s="26">
        <f>现金流量表!AP54</f>
        <v>0</v>
      </c>
      <c r="AQ23" s="26">
        <f>现金流量表!AQ54</f>
        <v>0</v>
      </c>
      <c r="AR23" s="26">
        <f>现金流量表!AR54</f>
        <v>0</v>
      </c>
      <c r="AS23" s="26">
        <f>现金流量表!AS54</f>
        <v>0</v>
      </c>
      <c r="AT23" s="26">
        <f>现金流量表!AT54</f>
        <v>0</v>
      </c>
      <c r="AU23" s="26">
        <f>现金流量表!AU54</f>
        <v>0</v>
      </c>
      <c r="AV23" s="26">
        <f>现金流量表!AV54</f>
        <v>-11000000</v>
      </c>
      <c r="AW23" s="26">
        <f>现金流量表!AW54</f>
        <v>1646000000</v>
      </c>
      <c r="AX23" s="26">
        <f>现金流量表!AX54</f>
        <v>-6000000</v>
      </c>
      <c r="AY23" s="26">
        <f>现金流量表!AY54</f>
        <v>13000000</v>
      </c>
      <c r="AZ23" s="26">
        <f>现金流量表!AZ54</f>
        <v>3000000</v>
      </c>
      <c r="BA23" s="26">
        <f>现金流量表!BA54</f>
        <v>2202000000</v>
      </c>
      <c r="BB23" s="26">
        <f>现金流量表!BB54</f>
        <v>-18000000</v>
      </c>
      <c r="BC23" s="26">
        <f>现金流量表!BC54</f>
        <v>21000000</v>
      </c>
      <c r="BD23" s="26">
        <f>现金流量表!BD54</f>
        <v>306000000</v>
      </c>
      <c r="BE23" s="26">
        <f>现金流量表!BE54</f>
        <v>3989000000</v>
      </c>
      <c r="BF23" s="26">
        <f>现金流量表!BF54</f>
        <v>3021000000</v>
      </c>
      <c r="BG23" s="26">
        <f>现金流量表!BG54</f>
        <v>1376000000</v>
      </c>
      <c r="BH23" s="26">
        <f>现金流量表!BH54</f>
        <v>844000000</v>
      </c>
      <c r="BI23" s="26">
        <f>现金流量表!BI54</f>
        <v>3291000000</v>
      </c>
      <c r="BJ23" s="26">
        <f>现金流量表!BJ54</f>
        <v>1703000000</v>
      </c>
      <c r="BK23" s="26">
        <f>现金流量表!BK54</f>
        <v>234000000</v>
      </c>
      <c r="BL23" s="26">
        <f>现金流量表!BL54</f>
        <v>55000000</v>
      </c>
      <c r="BM23" s="26">
        <f>现金流量表!BM54</f>
        <v>663000000</v>
      </c>
      <c r="BN23" s="26">
        <f>现金流量表!BN54</f>
        <v>92000000</v>
      </c>
      <c r="BO23" s="26">
        <f>现金流量表!BO54</f>
        <v>107000000</v>
      </c>
      <c r="BP23" s="26">
        <f>现金流量表!BP54</f>
        <v>258000000</v>
      </c>
      <c r="BQ23" s="26">
        <f>现金流量表!BQ54</f>
        <v>778000000</v>
      </c>
      <c r="BR23" s="26">
        <f>现金流量表!BR54</f>
        <v>0</v>
      </c>
      <c r="BS23" s="26">
        <f>现金流量表!BS54</f>
        <v>0</v>
      </c>
      <c r="BT23" s="26">
        <f>现金流量表!BT54</f>
        <v>0</v>
      </c>
      <c r="BU23" s="26">
        <f>现金流量表!BU54</f>
        <v>0</v>
      </c>
      <c r="BV23" s="26">
        <f>现金流量表!BV54</f>
        <v>0</v>
      </c>
      <c r="BW23" s="26">
        <f>现金流量表!BW54</f>
        <v>0</v>
      </c>
      <c r="BX23" s="26">
        <f>现金流量表!BX54</f>
        <v>0</v>
      </c>
      <c r="BY23" s="26">
        <f>现金流量表!BY54</f>
        <v>0</v>
      </c>
      <c r="BZ23" s="26">
        <f>现金流量表!BZ54</f>
        <v>0</v>
      </c>
      <c r="CA23" s="26">
        <f>现金流量表!CA54</f>
        <v>0</v>
      </c>
      <c r="CB23" s="26">
        <f>现金流量表!CB54</f>
        <v>0</v>
      </c>
      <c r="CC23" s="26">
        <f>现金流量表!CC54</f>
        <v>0</v>
      </c>
      <c r="CD23" s="26">
        <f>现金流量表!CD54</f>
        <v>0</v>
      </c>
      <c r="CE23" s="26">
        <f>现金流量表!CE54</f>
        <v>0</v>
      </c>
      <c r="CF23" s="26">
        <f>现金流量表!CF54</f>
        <v>0</v>
      </c>
      <c r="CG23" s="26">
        <f>现金流量表!CG54</f>
        <v>0</v>
      </c>
      <c r="CH23" s="26">
        <f>现金流量表!CH54</f>
        <v>0</v>
      </c>
      <c r="CI23" s="26">
        <f>现金流量表!CI54</f>
        <v>0</v>
      </c>
      <c r="CJ23" s="26">
        <f>现金流量表!CJ54</f>
        <v>0</v>
      </c>
      <c r="CK23" s="26">
        <f>现金流量表!CK54</f>
        <v>0</v>
      </c>
    </row>
    <row r="24" spans="1:90" s="26" customFormat="1" x14ac:dyDescent="0.25">
      <c r="A24" s="17" t="s">
        <v>506</v>
      </c>
      <c r="E24" s="26">
        <f>现金流量表!E55</f>
        <v>0</v>
      </c>
      <c r="F24" s="26">
        <f>现金流量表!F55</f>
        <v>0</v>
      </c>
      <c r="G24" s="26">
        <f>现金流量表!G55</f>
        <v>0</v>
      </c>
      <c r="H24" s="26">
        <f>现金流量表!H55</f>
        <v>0</v>
      </c>
      <c r="I24" s="26">
        <f>现金流量表!I55</f>
        <v>0</v>
      </c>
      <c r="J24" s="26">
        <f>现金流量表!J55</f>
        <v>0</v>
      </c>
      <c r="K24" s="26">
        <f>现金流量表!K55</f>
        <v>0</v>
      </c>
      <c r="L24" s="26">
        <f>现金流量表!L55</f>
        <v>0</v>
      </c>
      <c r="M24" s="26">
        <f>现金流量表!M55</f>
        <v>0</v>
      </c>
      <c r="N24" s="26">
        <f>现金流量表!N55</f>
        <v>0</v>
      </c>
      <c r="O24" s="26">
        <f>现金流量表!O55</f>
        <v>0</v>
      </c>
      <c r="P24" s="26">
        <f>现金流量表!P55</f>
        <v>0</v>
      </c>
      <c r="Q24" s="26">
        <f>现金流量表!Q55</f>
        <v>0</v>
      </c>
      <c r="R24" s="26">
        <f>现金流量表!R55</f>
        <v>0</v>
      </c>
      <c r="S24" s="26">
        <f>现金流量表!S55</f>
        <v>0</v>
      </c>
      <c r="T24" s="26">
        <f>现金流量表!T55</f>
        <v>0</v>
      </c>
      <c r="U24" s="26">
        <f>现金流量表!U55</f>
        <v>0</v>
      </c>
      <c r="V24" s="26">
        <f>现金流量表!V55</f>
        <v>0</v>
      </c>
      <c r="W24" s="26">
        <f>现金流量表!W55</f>
        <v>0</v>
      </c>
      <c r="X24" s="26">
        <f>现金流量表!X55</f>
        <v>0</v>
      </c>
      <c r="Y24" s="26">
        <f>现金流量表!Y55</f>
        <v>0</v>
      </c>
      <c r="Z24" s="26">
        <f>现金流量表!Z55</f>
        <v>0</v>
      </c>
      <c r="AA24" s="26">
        <f>现金流量表!AA55</f>
        <v>0</v>
      </c>
      <c r="AB24" s="26">
        <f>现金流量表!AB55</f>
        <v>0</v>
      </c>
      <c r="AC24" s="26">
        <f>现金流量表!AC55</f>
        <v>62255000000</v>
      </c>
      <c r="AD24" s="26">
        <f>现金流量表!AD55</f>
        <v>0</v>
      </c>
      <c r="AE24" s="26">
        <f>现金流量表!AE55</f>
        <v>-541000000</v>
      </c>
      <c r="AF24" s="26">
        <f>现金流量表!AF55</f>
        <v>0</v>
      </c>
      <c r="AG24" s="26">
        <f>现金流量表!AG55</f>
        <v>-253000000</v>
      </c>
      <c r="AH24" s="26">
        <f>现金流量表!AH55</f>
        <v>0</v>
      </c>
      <c r="AI24" s="26">
        <f>现金流量表!AI55</f>
        <v>-361000000</v>
      </c>
      <c r="AJ24" s="26">
        <f>现金流量表!AJ55</f>
        <v>0</v>
      </c>
      <c r="AK24" s="26">
        <f>现金流量表!AK55</f>
        <v>-211000000</v>
      </c>
      <c r="AL24" s="26">
        <f>现金流量表!AL55</f>
        <v>0</v>
      </c>
      <c r="AM24" s="26">
        <f>现金流量表!AM55</f>
        <v>-168000000</v>
      </c>
      <c r="AN24" s="26">
        <f>现金流量表!AN55</f>
        <v>0</v>
      </c>
      <c r="AO24" s="26">
        <f>现金流量表!AO55</f>
        <v>-248000000</v>
      </c>
      <c r="AP24" s="26">
        <f>现金流量表!AP55</f>
        <v>0</v>
      </c>
      <c r="AQ24" s="26">
        <f>现金流量表!AQ55</f>
        <v>-97000000</v>
      </c>
      <c r="AR24" s="26">
        <f>现金流量表!AR55</f>
        <v>0</v>
      </c>
      <c r="AS24" s="26">
        <f>现金流量表!AS55</f>
        <v>-766000000</v>
      </c>
      <c r="AT24" s="26">
        <f>现金流量表!AT55</f>
        <v>294000000</v>
      </c>
      <c r="AU24" s="26">
        <f>现金流量表!AU55</f>
        <v>290000000</v>
      </c>
      <c r="AV24" s="26">
        <f>现金流量表!AV55</f>
        <v>0</v>
      </c>
      <c r="AW24" s="26">
        <f>现金流量表!AW55</f>
        <v>0</v>
      </c>
      <c r="AX24" s="26">
        <f>现金流量表!AX55</f>
        <v>0</v>
      </c>
      <c r="AY24" s="26">
        <f>现金流量表!AY55</f>
        <v>0</v>
      </c>
      <c r="AZ24" s="26">
        <f>现金流量表!AZ55</f>
        <v>0</v>
      </c>
      <c r="BA24" s="26">
        <f>现金流量表!BA55</f>
        <v>0</v>
      </c>
      <c r="BB24" s="26">
        <f>现金流量表!BB55</f>
        <v>0</v>
      </c>
      <c r="BC24" s="26">
        <f>现金流量表!BC55</f>
        <v>0</v>
      </c>
      <c r="BD24" s="26">
        <f>现金流量表!BD55</f>
        <v>0</v>
      </c>
      <c r="BE24" s="26">
        <f>现金流量表!BE55</f>
        <v>0</v>
      </c>
      <c r="BF24" s="26">
        <f>现金流量表!BF55</f>
        <v>0</v>
      </c>
      <c r="BG24" s="26">
        <f>现金流量表!BG55</f>
        <v>0</v>
      </c>
      <c r="BH24" s="26">
        <f>现金流量表!BH55</f>
        <v>0</v>
      </c>
      <c r="BI24" s="26">
        <f>现金流量表!BI55</f>
        <v>0</v>
      </c>
      <c r="BJ24" s="26">
        <f>现金流量表!BJ55</f>
        <v>0</v>
      </c>
      <c r="BK24" s="26">
        <f>现金流量表!BK55</f>
        <v>0</v>
      </c>
      <c r="BL24" s="26">
        <f>现金流量表!BL55</f>
        <v>0</v>
      </c>
      <c r="BM24" s="26">
        <f>现金流量表!BM55</f>
        <v>0</v>
      </c>
      <c r="BN24" s="26">
        <f>现金流量表!BN55</f>
        <v>0</v>
      </c>
      <c r="BO24" s="26">
        <f>现金流量表!BO55</f>
        <v>0</v>
      </c>
      <c r="BP24" s="26">
        <f>现金流量表!BP55</f>
        <v>0</v>
      </c>
      <c r="BQ24" s="26">
        <f>现金流量表!BQ55</f>
        <v>0</v>
      </c>
      <c r="BR24" s="26">
        <f>现金流量表!BR55</f>
        <v>0</v>
      </c>
      <c r="BS24" s="26">
        <f>现金流量表!BS55</f>
        <v>0</v>
      </c>
      <c r="BT24" s="26">
        <f>现金流量表!BT55</f>
        <v>0</v>
      </c>
      <c r="BU24" s="26">
        <f>现金流量表!BU55</f>
        <v>0</v>
      </c>
      <c r="BV24" s="26">
        <f>现金流量表!BV55</f>
        <v>0</v>
      </c>
      <c r="BW24" s="26">
        <f>现金流量表!BW55</f>
        <v>0</v>
      </c>
      <c r="BX24" s="26">
        <f>现金流量表!BX55</f>
        <v>0</v>
      </c>
      <c r="BY24" s="26">
        <f>现金流量表!BY55</f>
        <v>0</v>
      </c>
      <c r="BZ24" s="26">
        <f>现金流量表!BZ55</f>
        <v>0</v>
      </c>
      <c r="CA24" s="26">
        <f>现金流量表!CA55</f>
        <v>0</v>
      </c>
      <c r="CB24" s="26">
        <f>现金流量表!CB55</f>
        <v>0</v>
      </c>
      <c r="CC24" s="26">
        <f>现金流量表!CC55</f>
        <v>0</v>
      </c>
      <c r="CD24" s="26">
        <f>现金流量表!CD55</f>
        <v>0</v>
      </c>
      <c r="CE24" s="26">
        <f>现金流量表!CE55</f>
        <v>0</v>
      </c>
      <c r="CF24" s="26">
        <f>现金流量表!CF55</f>
        <v>0</v>
      </c>
      <c r="CG24" s="26">
        <f>现金流量表!CG55</f>
        <v>0</v>
      </c>
      <c r="CH24" s="26">
        <f>现金流量表!CH55</f>
        <v>0</v>
      </c>
      <c r="CI24" s="26">
        <f>现金流量表!CI55</f>
        <v>0</v>
      </c>
      <c r="CJ24" s="26">
        <f>现金流量表!CJ55</f>
        <v>0</v>
      </c>
      <c r="CK24" s="26">
        <f>现金流量表!CK55</f>
        <v>0</v>
      </c>
    </row>
    <row r="25" spans="1:90" s="28" customFormat="1" x14ac:dyDescent="0.25">
      <c r="A25" s="20" t="s">
        <v>507</v>
      </c>
      <c r="E25" s="28">
        <f>SUM(E19:E24)</f>
        <v>138619000000</v>
      </c>
      <c r="F25" s="28">
        <f t="shared" ref="F25:BQ25" si="12">SUM(F19:F24)</f>
        <v>0</v>
      </c>
      <c r="G25" s="28">
        <f t="shared" si="12"/>
        <v>59391000000</v>
      </c>
      <c r="H25" s="28">
        <f t="shared" si="12"/>
        <v>0</v>
      </c>
      <c r="I25" s="28">
        <f t="shared" si="12"/>
        <v>127029000000</v>
      </c>
      <c r="J25" s="28">
        <f t="shared" si="12"/>
        <v>0</v>
      </c>
      <c r="K25" s="28">
        <f t="shared" si="12"/>
        <v>50521000000</v>
      </c>
      <c r="L25" s="28">
        <f t="shared" si="12"/>
        <v>0</v>
      </c>
      <c r="M25" s="28">
        <f t="shared" si="12"/>
        <v>105856000000</v>
      </c>
      <c r="N25" s="28">
        <f t="shared" si="12"/>
        <v>0</v>
      </c>
      <c r="O25" s="28">
        <f t="shared" si="12"/>
        <v>46515000000</v>
      </c>
      <c r="P25" s="28">
        <f t="shared" si="12"/>
        <v>0</v>
      </c>
      <c r="Q25" s="28">
        <f t="shared" si="12"/>
        <v>98558000000</v>
      </c>
      <c r="R25" s="28">
        <f t="shared" si="12"/>
        <v>0</v>
      </c>
      <c r="S25" s="28">
        <f t="shared" si="12"/>
        <v>44906000000</v>
      </c>
      <c r="T25" s="28">
        <f t="shared" si="12"/>
        <v>0</v>
      </c>
      <c r="U25" s="28">
        <f t="shared" si="12"/>
        <v>86135000000</v>
      </c>
      <c r="V25" s="28">
        <f t="shared" si="12"/>
        <v>0</v>
      </c>
      <c r="W25" s="28">
        <f t="shared" si="12"/>
        <v>39137000000</v>
      </c>
      <c r="X25" s="28">
        <f t="shared" si="12"/>
        <v>0</v>
      </c>
      <c r="Y25" s="28">
        <f t="shared" si="12"/>
        <v>78346000000</v>
      </c>
      <c r="Z25" s="28">
        <f t="shared" si="12"/>
        <v>0</v>
      </c>
      <c r="AA25" s="28">
        <f t="shared" si="12"/>
        <v>41582000000</v>
      </c>
      <c r="AB25" s="28">
        <f t="shared" si="12"/>
        <v>0</v>
      </c>
      <c r="AC25" s="28">
        <f t="shared" si="12"/>
        <v>69627000000</v>
      </c>
      <c r="AD25" s="28">
        <f t="shared" si="12"/>
        <v>0</v>
      </c>
      <c r="AE25" s="28">
        <f t="shared" si="12"/>
        <v>32681000000</v>
      </c>
      <c r="AF25" s="28">
        <f t="shared" si="12"/>
        <v>0</v>
      </c>
      <c r="AG25" s="28">
        <f t="shared" si="12"/>
        <v>74445000000</v>
      </c>
      <c r="AH25" s="28">
        <f t="shared" si="12"/>
        <v>0</v>
      </c>
      <c r="AI25" s="28">
        <f t="shared" si="12"/>
        <v>27195000000</v>
      </c>
      <c r="AJ25" s="28">
        <f t="shared" si="12"/>
        <v>0</v>
      </c>
      <c r="AK25" s="28">
        <f t="shared" si="12"/>
        <v>57759000000</v>
      </c>
      <c r="AL25" s="28">
        <f t="shared" si="12"/>
        <v>0</v>
      </c>
      <c r="AM25" s="28">
        <f t="shared" si="12"/>
        <v>24609000000</v>
      </c>
      <c r="AN25" s="28">
        <f t="shared" si="12"/>
        <v>0</v>
      </c>
      <c r="AO25" s="28">
        <f t="shared" si="12"/>
        <v>62222000000</v>
      </c>
      <c r="AP25" s="28">
        <f t="shared" si="12"/>
        <v>0</v>
      </c>
      <c r="AQ25" s="28">
        <f t="shared" si="12"/>
        <v>37096000000</v>
      </c>
      <c r="AR25" s="28">
        <f t="shared" si="12"/>
        <v>0</v>
      </c>
      <c r="AS25" s="28">
        <f t="shared" si="12"/>
        <v>50076000000</v>
      </c>
      <c r="AT25" s="28">
        <f t="shared" si="12"/>
        <v>31359000000</v>
      </c>
      <c r="AU25" s="28">
        <f t="shared" si="12"/>
        <v>21194000000</v>
      </c>
      <c r="AV25" s="28">
        <f t="shared" si="12"/>
        <v>9616000000</v>
      </c>
      <c r="AW25" s="28">
        <f t="shared" si="12"/>
        <v>36909000000</v>
      </c>
      <c r="AX25" s="28">
        <f t="shared" si="12"/>
        <v>25211000000</v>
      </c>
      <c r="AY25" s="28">
        <f t="shared" si="12"/>
        <v>16731000000</v>
      </c>
      <c r="AZ25" s="28">
        <f t="shared" si="12"/>
        <v>8083000000</v>
      </c>
      <c r="BA25" s="28">
        <f t="shared" si="12"/>
        <v>35899000000</v>
      </c>
      <c r="BB25" s="28">
        <f t="shared" si="12"/>
        <v>23244000000</v>
      </c>
      <c r="BC25" s="28">
        <f t="shared" si="12"/>
        <v>15779000000</v>
      </c>
      <c r="BD25" s="28">
        <f t="shared" si="12"/>
        <v>7888000000</v>
      </c>
      <c r="BE25" s="28">
        <f t="shared" si="12"/>
        <v>42430000000</v>
      </c>
      <c r="BF25" s="28">
        <f t="shared" si="12"/>
        <v>30996000000</v>
      </c>
      <c r="BG25" s="28">
        <f t="shared" si="12"/>
        <v>17062000000</v>
      </c>
      <c r="BH25" s="28">
        <f t="shared" si="12"/>
        <v>8388000000</v>
      </c>
      <c r="BI25" s="28">
        <f t="shared" si="12"/>
        <v>31902000000</v>
      </c>
      <c r="BJ25" s="28">
        <f t="shared" si="12"/>
        <v>22386000000</v>
      </c>
      <c r="BK25" s="28">
        <f t="shared" si="12"/>
        <v>14972000000</v>
      </c>
      <c r="BL25" s="28">
        <f t="shared" si="12"/>
        <v>6904000000</v>
      </c>
      <c r="BM25" s="28">
        <f t="shared" si="12"/>
        <v>27276000000</v>
      </c>
      <c r="BN25" s="28">
        <f t="shared" si="12"/>
        <v>13187000000</v>
      </c>
      <c r="BO25" s="28">
        <f t="shared" si="12"/>
        <v>25026000000</v>
      </c>
      <c r="BP25" s="28">
        <f t="shared" si="12"/>
        <v>11784000000</v>
      </c>
      <c r="BQ25" s="28">
        <f t="shared" si="12"/>
        <v>25251000000</v>
      </c>
      <c r="BR25" s="28">
        <f t="shared" ref="BR25:CK25" si="13">SUM(BR19:BR24)</f>
        <v>0</v>
      </c>
      <c r="BS25" s="28">
        <f t="shared" si="13"/>
        <v>0</v>
      </c>
      <c r="BT25" s="28">
        <f t="shared" si="13"/>
        <v>0</v>
      </c>
      <c r="BU25" s="28">
        <f t="shared" si="13"/>
        <v>0</v>
      </c>
      <c r="BV25" s="28">
        <f t="shared" si="13"/>
        <v>0</v>
      </c>
      <c r="BW25" s="28">
        <f t="shared" si="13"/>
        <v>0</v>
      </c>
      <c r="BX25" s="28">
        <f t="shared" si="13"/>
        <v>0</v>
      </c>
      <c r="BY25" s="28">
        <f t="shared" si="13"/>
        <v>0</v>
      </c>
      <c r="BZ25" s="28">
        <f t="shared" si="13"/>
        <v>0</v>
      </c>
      <c r="CA25" s="28">
        <f t="shared" si="13"/>
        <v>0</v>
      </c>
      <c r="CB25" s="28">
        <f t="shared" si="13"/>
        <v>0</v>
      </c>
      <c r="CC25" s="28">
        <f t="shared" si="13"/>
        <v>0</v>
      </c>
      <c r="CD25" s="28">
        <f t="shared" si="13"/>
        <v>0</v>
      </c>
      <c r="CE25" s="28">
        <f t="shared" si="13"/>
        <v>0</v>
      </c>
      <c r="CF25" s="28">
        <f t="shared" si="13"/>
        <v>0</v>
      </c>
      <c r="CG25" s="28">
        <f t="shared" si="13"/>
        <v>0</v>
      </c>
      <c r="CH25" s="28">
        <f t="shared" si="13"/>
        <v>0</v>
      </c>
      <c r="CI25" s="28">
        <f t="shared" si="13"/>
        <v>0</v>
      </c>
      <c r="CJ25" s="28">
        <f t="shared" si="13"/>
        <v>0</v>
      </c>
      <c r="CK25" s="28">
        <f t="shared" si="13"/>
        <v>0</v>
      </c>
    </row>
    <row r="26" spans="1:90" s="28" customFormat="1" x14ac:dyDescent="0.25">
      <c r="A26" s="20" t="s">
        <v>508</v>
      </c>
      <c r="E26" s="28">
        <f>E14-E25</f>
        <v>52316000000</v>
      </c>
      <c r="F26" s="28">
        <f t="shared" ref="F26:BQ26" si="14">F14-F25</f>
        <v>111193000000</v>
      </c>
      <c r="G26" s="28">
        <f t="shared" si="14"/>
        <v>1456000000</v>
      </c>
      <c r="H26" s="28">
        <f t="shared" si="14"/>
        <v>13276000000</v>
      </c>
      <c r="I26" s="28">
        <f t="shared" si="14"/>
        <v>87514000000</v>
      </c>
      <c r="J26" s="28">
        <f t="shared" si="14"/>
        <v>131700000000</v>
      </c>
      <c r="K26" s="28">
        <f t="shared" si="14"/>
        <v>25591000000</v>
      </c>
      <c r="L26" s="28">
        <f t="shared" si="14"/>
        <v>34348000000</v>
      </c>
      <c r="M26" s="28">
        <f t="shared" si="14"/>
        <v>59962000000</v>
      </c>
      <c r="N26" s="28">
        <f t="shared" si="14"/>
        <v>116593000000</v>
      </c>
      <c r="O26" s="28">
        <f t="shared" si="14"/>
        <v>20927000000</v>
      </c>
      <c r="P26" s="28">
        <f t="shared" si="14"/>
        <v>6682000000</v>
      </c>
      <c r="Q26" s="28">
        <f t="shared" si="14"/>
        <v>49789000000</v>
      </c>
      <c r="R26" s="28">
        <f t="shared" si="14"/>
        <v>108247000000</v>
      </c>
      <c r="S26" s="28">
        <f t="shared" si="14"/>
        <v>13308000000</v>
      </c>
      <c r="T26" s="28">
        <f t="shared" si="14"/>
        <v>12621000000</v>
      </c>
      <c r="U26" s="28">
        <f t="shared" si="14"/>
        <v>65758000000</v>
      </c>
      <c r="V26" s="28">
        <f t="shared" si="14"/>
        <v>79612000000</v>
      </c>
      <c r="W26" s="28">
        <f t="shared" si="14"/>
        <v>-6234000000</v>
      </c>
      <c r="X26" s="28">
        <f t="shared" si="14"/>
        <v>8220000000</v>
      </c>
      <c r="Y26" s="28">
        <f t="shared" si="14"/>
        <v>65116000000</v>
      </c>
      <c r="Z26" s="28">
        <f t="shared" si="14"/>
        <v>73559000000</v>
      </c>
      <c r="AA26" s="28">
        <f t="shared" si="14"/>
        <v>-21028000000</v>
      </c>
      <c r="AB26" s="28">
        <f t="shared" si="14"/>
        <v>-30916000000</v>
      </c>
      <c r="AC26" s="28">
        <f t="shared" si="14"/>
        <v>81554000000</v>
      </c>
      <c r="AD26" s="28">
        <f t="shared" si="14"/>
        <v>78449000000</v>
      </c>
      <c r="AE26" s="28">
        <f t="shared" si="14"/>
        <v>-1818000000</v>
      </c>
      <c r="AF26" s="28">
        <f t="shared" si="14"/>
        <v>13004000000</v>
      </c>
      <c r="AG26" s="28">
        <f t="shared" si="14"/>
        <v>96817000000</v>
      </c>
      <c r="AH26" s="28">
        <f t="shared" si="14"/>
        <v>95240000000</v>
      </c>
      <c r="AI26" s="28">
        <f t="shared" si="14"/>
        <v>22860000000</v>
      </c>
      <c r="AJ26" s="28">
        <f t="shared" si="14"/>
        <v>30149000000</v>
      </c>
      <c r="AK26" s="28">
        <f t="shared" si="14"/>
        <v>101037000000</v>
      </c>
      <c r="AL26" s="28">
        <f t="shared" si="14"/>
        <v>104860000000</v>
      </c>
      <c r="AM26" s="28">
        <f t="shared" si="14"/>
        <v>57761000000</v>
      </c>
      <c r="AN26" s="28">
        <f t="shared" si="14"/>
        <v>55655000000</v>
      </c>
      <c r="AO26" s="28">
        <f t="shared" si="14"/>
        <v>12661000000</v>
      </c>
      <c r="AP26" s="28">
        <f t="shared" si="14"/>
        <v>-3427000000</v>
      </c>
      <c r="AQ26" s="28">
        <f t="shared" si="14"/>
        <v>-31110000000</v>
      </c>
      <c r="AR26" s="28">
        <f t="shared" si="14"/>
        <v>5255000000</v>
      </c>
      <c r="AS26" s="28">
        <f t="shared" si="14"/>
        <v>74174000000</v>
      </c>
      <c r="AT26" s="28">
        <f t="shared" si="14"/>
        <v>70918000000</v>
      </c>
      <c r="AU26" s="28">
        <f t="shared" si="14"/>
        <v>42803000000</v>
      </c>
      <c r="AV26" s="28">
        <f t="shared" si="14"/>
        <v>22275000000</v>
      </c>
      <c r="AW26" s="28">
        <f t="shared" si="14"/>
        <v>65678000000</v>
      </c>
      <c r="AX26" s="28">
        <f t="shared" si="14"/>
        <v>24908000000</v>
      </c>
      <c r="AY26" s="28">
        <f t="shared" si="14"/>
        <v>8435000000</v>
      </c>
      <c r="AZ26" s="28">
        <f t="shared" si="14"/>
        <v>-4620000000</v>
      </c>
      <c r="BA26" s="28">
        <f t="shared" si="14"/>
        <v>49064000000</v>
      </c>
      <c r="BB26" s="28">
        <f t="shared" si="14"/>
        <v>24001000000</v>
      </c>
      <c r="BC26" s="28">
        <f t="shared" si="14"/>
        <v>9265000000</v>
      </c>
      <c r="BD26" s="28">
        <f t="shared" si="14"/>
        <v>6966000000</v>
      </c>
      <c r="BE26" s="28">
        <f t="shared" si="14"/>
        <v>27709000000</v>
      </c>
      <c r="BF26" s="28">
        <f t="shared" si="14"/>
        <v>14241000000</v>
      </c>
      <c r="BG26" s="28">
        <f t="shared" si="14"/>
        <v>4632000000</v>
      </c>
      <c r="BH26" s="28">
        <f t="shared" si="14"/>
        <v>2820000000</v>
      </c>
      <c r="BI26" s="28">
        <f t="shared" si="14"/>
        <v>32546000000</v>
      </c>
      <c r="BJ26" s="28">
        <f t="shared" si="14"/>
        <v>23583000000</v>
      </c>
      <c r="BK26" s="28">
        <f t="shared" si="14"/>
        <v>15010000000</v>
      </c>
      <c r="BL26" s="28">
        <f t="shared" si="14"/>
        <v>6701000000</v>
      </c>
      <c r="BM26" s="28">
        <f t="shared" si="14"/>
        <v>32793000000</v>
      </c>
      <c r="BN26" s="28">
        <f t="shared" si="14"/>
        <v>8472000000</v>
      </c>
      <c r="BO26" s="28">
        <f t="shared" si="14"/>
        <v>34666000000</v>
      </c>
      <c r="BP26" s="28">
        <f t="shared" si="14"/>
        <v>-3627000000</v>
      </c>
      <c r="BQ26" s="28">
        <f t="shared" si="14"/>
        <v>9221000000</v>
      </c>
      <c r="BR26" s="28">
        <f t="shared" ref="BR26:CK26" si="15">BR14-BR25</f>
        <v>0</v>
      </c>
      <c r="BS26" s="28">
        <f t="shared" si="15"/>
        <v>0</v>
      </c>
      <c r="BT26" s="28">
        <f t="shared" si="15"/>
        <v>0</v>
      </c>
      <c r="BU26" s="28">
        <f t="shared" si="15"/>
        <v>0</v>
      </c>
      <c r="BV26" s="28">
        <f t="shared" si="15"/>
        <v>0</v>
      </c>
      <c r="BW26" s="28">
        <f t="shared" si="15"/>
        <v>0</v>
      </c>
      <c r="BX26" s="28">
        <f t="shared" si="15"/>
        <v>0</v>
      </c>
      <c r="BY26" s="28">
        <f t="shared" si="15"/>
        <v>0</v>
      </c>
      <c r="BZ26" s="28">
        <f t="shared" si="15"/>
        <v>0</v>
      </c>
      <c r="CA26" s="28">
        <f t="shared" si="15"/>
        <v>0</v>
      </c>
      <c r="CB26" s="28">
        <f t="shared" si="15"/>
        <v>0</v>
      </c>
      <c r="CC26" s="28">
        <f t="shared" si="15"/>
        <v>0</v>
      </c>
      <c r="CD26" s="28">
        <f t="shared" si="15"/>
        <v>0</v>
      </c>
      <c r="CE26" s="28">
        <f t="shared" si="15"/>
        <v>0</v>
      </c>
      <c r="CF26" s="28">
        <f t="shared" si="15"/>
        <v>0</v>
      </c>
      <c r="CG26" s="28">
        <f t="shared" si="15"/>
        <v>0</v>
      </c>
      <c r="CH26" s="28">
        <f t="shared" si="15"/>
        <v>0</v>
      </c>
      <c r="CI26" s="28">
        <f t="shared" si="15"/>
        <v>0</v>
      </c>
      <c r="CJ26" s="28">
        <f t="shared" si="15"/>
        <v>0</v>
      </c>
      <c r="CK26" s="28">
        <f t="shared" si="15"/>
        <v>0</v>
      </c>
    </row>
    <row r="27" spans="1:90" s="26" customFormat="1" x14ac:dyDescent="0.25">
      <c r="A27" s="17" t="s">
        <v>509</v>
      </c>
      <c r="E27" s="26">
        <f>E26-E24</f>
        <v>52316000000</v>
      </c>
      <c r="F27" s="26">
        <f t="shared" ref="F27:BQ27" si="16">F26-F24</f>
        <v>111193000000</v>
      </c>
      <c r="G27" s="26">
        <f t="shared" si="16"/>
        <v>1456000000</v>
      </c>
      <c r="H27" s="26">
        <f t="shared" si="16"/>
        <v>13276000000</v>
      </c>
      <c r="I27" s="26">
        <f t="shared" si="16"/>
        <v>87514000000</v>
      </c>
      <c r="J27" s="26">
        <f t="shared" si="16"/>
        <v>131700000000</v>
      </c>
      <c r="K27" s="26">
        <f t="shared" si="16"/>
        <v>25591000000</v>
      </c>
      <c r="L27" s="26">
        <f t="shared" si="16"/>
        <v>34348000000</v>
      </c>
      <c r="M27" s="26">
        <f t="shared" si="16"/>
        <v>59962000000</v>
      </c>
      <c r="N27" s="26">
        <f t="shared" si="16"/>
        <v>116593000000</v>
      </c>
      <c r="O27" s="26">
        <f t="shared" si="16"/>
        <v>20927000000</v>
      </c>
      <c r="P27" s="26">
        <f t="shared" si="16"/>
        <v>6682000000</v>
      </c>
      <c r="Q27" s="26">
        <f t="shared" si="16"/>
        <v>49789000000</v>
      </c>
      <c r="R27" s="26">
        <f t="shared" si="16"/>
        <v>108247000000</v>
      </c>
      <c r="S27" s="26">
        <f t="shared" si="16"/>
        <v>13308000000</v>
      </c>
      <c r="T27" s="26">
        <f t="shared" si="16"/>
        <v>12621000000</v>
      </c>
      <c r="U27" s="26">
        <f t="shared" si="16"/>
        <v>65758000000</v>
      </c>
      <c r="V27" s="26">
        <f t="shared" si="16"/>
        <v>79612000000</v>
      </c>
      <c r="W27" s="26">
        <f t="shared" si="16"/>
        <v>-6234000000</v>
      </c>
      <c r="X27" s="26">
        <f t="shared" si="16"/>
        <v>8220000000</v>
      </c>
      <c r="Y27" s="26">
        <f t="shared" si="16"/>
        <v>65116000000</v>
      </c>
      <c r="Z27" s="26">
        <f t="shared" si="16"/>
        <v>73559000000</v>
      </c>
      <c r="AA27" s="26">
        <f t="shared" si="16"/>
        <v>-21028000000</v>
      </c>
      <c r="AB27" s="26">
        <f t="shared" si="16"/>
        <v>-30916000000</v>
      </c>
      <c r="AC27" s="26">
        <f t="shared" si="16"/>
        <v>19299000000</v>
      </c>
      <c r="AD27" s="26">
        <f t="shared" si="16"/>
        <v>78449000000</v>
      </c>
      <c r="AE27" s="26">
        <f t="shared" si="16"/>
        <v>-1277000000</v>
      </c>
      <c r="AF27" s="26">
        <f t="shared" si="16"/>
        <v>13004000000</v>
      </c>
      <c r="AG27" s="26">
        <f t="shared" si="16"/>
        <v>97070000000</v>
      </c>
      <c r="AH27" s="26">
        <f t="shared" si="16"/>
        <v>95240000000</v>
      </c>
      <c r="AI27" s="26">
        <f t="shared" si="16"/>
        <v>23221000000</v>
      </c>
      <c r="AJ27" s="26">
        <f t="shared" si="16"/>
        <v>30149000000</v>
      </c>
      <c r="AK27" s="26">
        <f t="shared" si="16"/>
        <v>101248000000</v>
      </c>
      <c r="AL27" s="26">
        <f t="shared" si="16"/>
        <v>104860000000</v>
      </c>
      <c r="AM27" s="26">
        <f t="shared" si="16"/>
        <v>57929000000</v>
      </c>
      <c r="AN27" s="26">
        <f t="shared" si="16"/>
        <v>55655000000</v>
      </c>
      <c r="AO27" s="26">
        <f t="shared" si="16"/>
        <v>12909000000</v>
      </c>
      <c r="AP27" s="26">
        <f t="shared" si="16"/>
        <v>-3427000000</v>
      </c>
      <c r="AQ27" s="26">
        <f t="shared" si="16"/>
        <v>-31013000000</v>
      </c>
      <c r="AR27" s="26">
        <f t="shared" si="16"/>
        <v>5255000000</v>
      </c>
      <c r="AS27" s="26">
        <f t="shared" si="16"/>
        <v>74940000000</v>
      </c>
      <c r="AT27" s="26">
        <f t="shared" si="16"/>
        <v>70624000000</v>
      </c>
      <c r="AU27" s="26">
        <f t="shared" si="16"/>
        <v>42513000000</v>
      </c>
      <c r="AV27" s="26">
        <f t="shared" si="16"/>
        <v>22275000000</v>
      </c>
      <c r="AW27" s="26">
        <f t="shared" si="16"/>
        <v>65678000000</v>
      </c>
      <c r="AX27" s="26">
        <f t="shared" si="16"/>
        <v>24908000000</v>
      </c>
      <c r="AY27" s="26">
        <f t="shared" si="16"/>
        <v>8435000000</v>
      </c>
      <c r="AZ27" s="26">
        <f t="shared" si="16"/>
        <v>-4620000000</v>
      </c>
      <c r="BA27" s="26">
        <f t="shared" si="16"/>
        <v>49064000000</v>
      </c>
      <c r="BB27" s="26">
        <f t="shared" si="16"/>
        <v>24001000000</v>
      </c>
      <c r="BC27" s="26">
        <f t="shared" si="16"/>
        <v>9265000000</v>
      </c>
      <c r="BD27" s="26">
        <f t="shared" si="16"/>
        <v>6966000000</v>
      </c>
      <c r="BE27" s="26">
        <f t="shared" si="16"/>
        <v>27709000000</v>
      </c>
      <c r="BF27" s="26">
        <f t="shared" si="16"/>
        <v>14241000000</v>
      </c>
      <c r="BG27" s="26">
        <f t="shared" si="16"/>
        <v>4632000000</v>
      </c>
      <c r="BH27" s="26">
        <f t="shared" si="16"/>
        <v>2820000000</v>
      </c>
      <c r="BI27" s="26">
        <f t="shared" si="16"/>
        <v>32546000000</v>
      </c>
      <c r="BJ27" s="26">
        <f t="shared" si="16"/>
        <v>23583000000</v>
      </c>
      <c r="BK27" s="26">
        <f t="shared" si="16"/>
        <v>15010000000</v>
      </c>
      <c r="BL27" s="26">
        <f t="shared" si="16"/>
        <v>6701000000</v>
      </c>
      <c r="BM27" s="26">
        <f t="shared" si="16"/>
        <v>32793000000</v>
      </c>
      <c r="BN27" s="26">
        <f t="shared" si="16"/>
        <v>8472000000</v>
      </c>
      <c r="BO27" s="26">
        <f t="shared" si="16"/>
        <v>34666000000</v>
      </c>
      <c r="BP27" s="26">
        <f t="shared" si="16"/>
        <v>-3627000000</v>
      </c>
      <c r="BQ27" s="26">
        <f t="shared" si="16"/>
        <v>9221000000</v>
      </c>
      <c r="BR27" s="26">
        <f t="shared" ref="BR27:CL27" si="17">BR26-BR24</f>
        <v>0</v>
      </c>
      <c r="BS27" s="26">
        <f t="shared" si="17"/>
        <v>0</v>
      </c>
      <c r="BT27" s="26">
        <f t="shared" si="17"/>
        <v>0</v>
      </c>
      <c r="BU27" s="26">
        <f t="shared" si="17"/>
        <v>0</v>
      </c>
      <c r="BV27" s="26">
        <f t="shared" si="17"/>
        <v>0</v>
      </c>
      <c r="BW27" s="26">
        <f t="shared" si="17"/>
        <v>0</v>
      </c>
      <c r="BX27" s="26">
        <f t="shared" si="17"/>
        <v>0</v>
      </c>
      <c r="BY27" s="26">
        <f t="shared" si="17"/>
        <v>0</v>
      </c>
      <c r="BZ27" s="26">
        <f t="shared" si="17"/>
        <v>0</v>
      </c>
      <c r="CA27" s="26">
        <f t="shared" si="17"/>
        <v>0</v>
      </c>
      <c r="CB27" s="26">
        <f t="shared" si="17"/>
        <v>0</v>
      </c>
      <c r="CC27" s="26">
        <f t="shared" si="17"/>
        <v>0</v>
      </c>
      <c r="CD27" s="26">
        <f t="shared" si="17"/>
        <v>0</v>
      </c>
      <c r="CE27" s="26">
        <f t="shared" si="17"/>
        <v>0</v>
      </c>
      <c r="CF27" s="26">
        <f t="shared" si="17"/>
        <v>0</v>
      </c>
      <c r="CG27" s="26">
        <f t="shared" si="17"/>
        <v>0</v>
      </c>
      <c r="CH27" s="26">
        <f t="shared" si="17"/>
        <v>0</v>
      </c>
      <c r="CI27" s="26">
        <f t="shared" si="17"/>
        <v>0</v>
      </c>
      <c r="CJ27" s="26">
        <f t="shared" si="17"/>
        <v>0</v>
      </c>
      <c r="CK27" s="26">
        <f t="shared" si="17"/>
        <v>0</v>
      </c>
      <c r="CL27" s="26">
        <f t="shared" si="17"/>
        <v>0</v>
      </c>
    </row>
    <row r="28" spans="1:90" s="63" customFormat="1" x14ac:dyDescent="0.25">
      <c r="A28" s="17" t="s">
        <v>510</v>
      </c>
      <c r="E28" s="63">
        <f>(E27-I27)/I27</f>
        <v>-0.40219850538199603</v>
      </c>
      <c r="F28" s="63">
        <f t="shared" ref="F28:BQ28" si="18">(F27-J27)/J27</f>
        <v>-0.15570994684889902</v>
      </c>
      <c r="G28" s="63">
        <f t="shared" si="18"/>
        <v>-0.94310499785080693</v>
      </c>
      <c r="H28" s="63">
        <f t="shared" si="18"/>
        <v>-0.61348550133923374</v>
      </c>
      <c r="I28" s="63">
        <f t="shared" si="18"/>
        <v>0.45949101097361661</v>
      </c>
      <c r="J28" s="63">
        <f t="shared" si="18"/>
        <v>0.12957038587222217</v>
      </c>
      <c r="K28" s="63">
        <f t="shared" si="18"/>
        <v>0.22286997658527261</v>
      </c>
      <c r="L28" s="63">
        <f t="shared" si="18"/>
        <v>4.1403771325950318</v>
      </c>
      <c r="M28" s="63">
        <f t="shared" si="18"/>
        <v>0.20432223985217618</v>
      </c>
      <c r="N28" s="63">
        <f t="shared" si="18"/>
        <v>7.7101443919923879E-2</v>
      </c>
      <c r="O28" s="63">
        <f t="shared" si="18"/>
        <v>0.57251277427111513</v>
      </c>
      <c r="P28" s="63">
        <f t="shared" si="18"/>
        <v>-0.47056493146343398</v>
      </c>
      <c r="Q28" s="63">
        <f t="shared" si="18"/>
        <v>-0.24284497703701452</v>
      </c>
      <c r="R28" s="63">
        <f t="shared" si="18"/>
        <v>0.35968195749384513</v>
      </c>
      <c r="S28" s="63">
        <f t="shared" si="18"/>
        <v>-3.134744947064485</v>
      </c>
      <c r="T28" s="63">
        <f t="shared" si="18"/>
        <v>0.53540145985401455</v>
      </c>
      <c r="U28" s="63">
        <f t="shared" si="18"/>
        <v>9.859327968548437E-3</v>
      </c>
      <c r="V28" s="63">
        <f t="shared" si="18"/>
        <v>8.2287687434576332E-2</v>
      </c>
      <c r="W28" s="63">
        <f t="shared" si="18"/>
        <v>-0.70353813962335932</v>
      </c>
      <c r="X28" s="63">
        <f t="shared" si="18"/>
        <v>-1.2658817440807348</v>
      </c>
      <c r="Y28" s="63">
        <f t="shared" si="18"/>
        <v>2.3740608321674697</v>
      </c>
      <c r="Z28" s="63">
        <f t="shared" si="18"/>
        <v>-6.2333490547999339E-2</v>
      </c>
      <c r="AA28" s="63">
        <f t="shared" si="18"/>
        <v>15.466718872357086</v>
      </c>
      <c r="AB28" s="63">
        <f t="shared" si="18"/>
        <v>-3.3774223315902798</v>
      </c>
      <c r="AC28" s="63">
        <f t="shared" si="18"/>
        <v>-0.80118471206345931</v>
      </c>
      <c r="AD28" s="63">
        <f t="shared" si="18"/>
        <v>-0.1763019739605208</v>
      </c>
      <c r="AE28" s="63">
        <f t="shared" si="18"/>
        <v>-1.0549933250075363</v>
      </c>
      <c r="AF28" s="63">
        <f t="shared" si="18"/>
        <v>-0.56867557796278478</v>
      </c>
      <c r="AG28" s="63">
        <f t="shared" si="18"/>
        <v>-4.1265012642225034E-2</v>
      </c>
      <c r="AH28" s="63">
        <f t="shared" si="18"/>
        <v>-9.1741369444974255E-2</v>
      </c>
      <c r="AI28" s="63">
        <f t="shared" si="18"/>
        <v>-0.59914723195636033</v>
      </c>
      <c r="AJ28" s="63">
        <f t="shared" si="18"/>
        <v>-0.45828766507950769</v>
      </c>
      <c r="AK28" s="63">
        <f t="shared" si="18"/>
        <v>6.8432101634518556</v>
      </c>
      <c r="AL28" s="63">
        <f t="shared" si="18"/>
        <v>-31.598190837467172</v>
      </c>
      <c r="AM28" s="63">
        <f t="shared" si="18"/>
        <v>-2.8678941089220649</v>
      </c>
      <c r="AN28" s="63">
        <f t="shared" si="18"/>
        <v>9.5908658420551856</v>
      </c>
      <c r="AO28" s="63">
        <f t="shared" si="18"/>
        <v>-0.82774219375500402</v>
      </c>
      <c r="AP28" s="63">
        <f t="shared" si="18"/>
        <v>-1.0485245808790213</v>
      </c>
      <c r="AQ28" s="63">
        <f t="shared" si="18"/>
        <v>-1.7294945075623926</v>
      </c>
      <c r="AR28" s="63">
        <f t="shared" si="18"/>
        <v>-0.76408529741863074</v>
      </c>
      <c r="AS28" s="63">
        <f t="shared" si="18"/>
        <v>0.14102134656962759</v>
      </c>
      <c r="AT28" s="63">
        <f t="shared" si="18"/>
        <v>1.8353942508431027</v>
      </c>
      <c r="AU28" s="63">
        <f t="shared" si="18"/>
        <v>4.0400711321873146</v>
      </c>
      <c r="AV28" s="63">
        <f t="shared" si="18"/>
        <v>-5.8214285714285712</v>
      </c>
      <c r="AW28" s="63">
        <f t="shared" si="18"/>
        <v>0.33861894668188486</v>
      </c>
      <c r="AX28" s="63">
        <f t="shared" si="18"/>
        <v>3.7790092079496684E-2</v>
      </c>
      <c r="AY28" s="63">
        <f t="shared" si="18"/>
        <v>-8.9584457636265519E-2</v>
      </c>
      <c r="AZ28" s="63">
        <f t="shared" si="18"/>
        <v>-1.6632213608957795</v>
      </c>
      <c r="BA28" s="63">
        <f t="shared" si="18"/>
        <v>0.77068822404272985</v>
      </c>
      <c r="BB28" s="63">
        <f t="shared" si="18"/>
        <v>0.6853451302577066</v>
      </c>
      <c r="BC28" s="63">
        <f t="shared" si="18"/>
        <v>1.0002158894645941</v>
      </c>
      <c r="BD28" s="63">
        <f t="shared" si="18"/>
        <v>1.4702127659574469</v>
      </c>
      <c r="BE28" s="63">
        <f t="shared" si="18"/>
        <v>-0.14862041418300251</v>
      </c>
      <c r="BF28" s="63">
        <f t="shared" si="18"/>
        <v>-0.39613280753084851</v>
      </c>
      <c r="BG28" s="63">
        <f t="shared" si="18"/>
        <v>-0.69140572951365753</v>
      </c>
      <c r="BH28" s="63">
        <f t="shared" si="18"/>
        <v>-0.57916728846440835</v>
      </c>
      <c r="BI28" s="63">
        <f t="shared" si="18"/>
        <v>-7.5320952642332203E-3</v>
      </c>
      <c r="BJ28" s="63">
        <f t="shared" si="18"/>
        <v>1.7836402266288951</v>
      </c>
      <c r="BK28" s="63">
        <f t="shared" si="18"/>
        <v>-0.5670109040558472</v>
      </c>
      <c r="BL28" s="63">
        <f t="shared" si="18"/>
        <v>-2.8475323959194925</v>
      </c>
      <c r="BM28" s="63">
        <f t="shared" si="18"/>
        <v>2.5563387918880816</v>
      </c>
      <c r="BN28" s="63" t="e">
        <f t="shared" si="18"/>
        <v>#DIV/0!</v>
      </c>
      <c r="BO28" s="63" t="e">
        <f t="shared" si="18"/>
        <v>#DIV/0!</v>
      </c>
      <c r="BP28" s="63" t="e">
        <f t="shared" si="18"/>
        <v>#DIV/0!</v>
      </c>
      <c r="BQ28" s="63" t="e">
        <f t="shared" si="18"/>
        <v>#DIV/0!</v>
      </c>
      <c r="BR28" s="63" t="e">
        <f t="shared" ref="BR28:CK28" si="19">(BR27-BV27)/BV27</f>
        <v>#DIV/0!</v>
      </c>
      <c r="BS28" s="63" t="e">
        <f t="shared" si="19"/>
        <v>#DIV/0!</v>
      </c>
      <c r="BT28" s="63" t="e">
        <f t="shared" si="19"/>
        <v>#DIV/0!</v>
      </c>
      <c r="BU28" s="63" t="e">
        <f t="shared" si="19"/>
        <v>#DIV/0!</v>
      </c>
      <c r="BV28" s="63" t="e">
        <f t="shared" si="19"/>
        <v>#DIV/0!</v>
      </c>
      <c r="BW28" s="63" t="e">
        <f t="shared" si="19"/>
        <v>#DIV/0!</v>
      </c>
      <c r="BX28" s="63" t="e">
        <f t="shared" si="19"/>
        <v>#DIV/0!</v>
      </c>
      <c r="BY28" s="63" t="e">
        <f t="shared" si="19"/>
        <v>#DIV/0!</v>
      </c>
      <c r="BZ28" s="63" t="e">
        <f t="shared" si="19"/>
        <v>#DIV/0!</v>
      </c>
      <c r="CA28" s="63" t="e">
        <f t="shared" si="19"/>
        <v>#DIV/0!</v>
      </c>
      <c r="CB28" s="63" t="e">
        <f t="shared" si="19"/>
        <v>#DIV/0!</v>
      </c>
      <c r="CC28" s="63" t="e">
        <f t="shared" si="19"/>
        <v>#DIV/0!</v>
      </c>
      <c r="CD28" s="63" t="e">
        <f t="shared" si="19"/>
        <v>#DIV/0!</v>
      </c>
      <c r="CE28" s="63" t="e">
        <f t="shared" si="19"/>
        <v>#DIV/0!</v>
      </c>
      <c r="CF28" s="63" t="e">
        <f t="shared" si="19"/>
        <v>#DIV/0!</v>
      </c>
      <c r="CG28" s="63" t="e">
        <f t="shared" si="19"/>
        <v>#DIV/0!</v>
      </c>
      <c r="CH28" s="63" t="e">
        <f t="shared" si="19"/>
        <v>#DIV/0!</v>
      </c>
      <c r="CI28" s="63" t="e">
        <f t="shared" si="19"/>
        <v>#DIV/0!</v>
      </c>
      <c r="CJ28" s="63" t="e">
        <f t="shared" si="19"/>
        <v>#DIV/0!</v>
      </c>
      <c r="CK28" s="63" t="e">
        <f t="shared" si="19"/>
        <v>#DIV/0!</v>
      </c>
    </row>
    <row r="29" spans="1:90" s="16" customFormat="1" ht="367.2" customHeight="1" x14ac:dyDescent="0.25">
      <c r="A29" s="278" t="s">
        <v>737</v>
      </c>
      <c r="B29" s="277"/>
      <c r="C29" s="277"/>
      <c r="D29" s="277"/>
      <c r="E29" s="277"/>
      <c r="F29" s="277"/>
      <c r="G29" s="277"/>
      <c r="H29" s="277"/>
      <c r="I29" s="277"/>
      <c r="J29" s="277"/>
      <c r="K29" s="277"/>
      <c r="L29" s="277"/>
      <c r="M29" s="277"/>
      <c r="N29" s="277"/>
      <c r="O29" s="277"/>
      <c r="P29" s="277"/>
      <c r="Q29" s="277"/>
      <c r="R29" s="277"/>
      <c r="S29" s="277"/>
      <c r="T29" s="277"/>
      <c r="U29" s="277"/>
      <c r="V29" s="277"/>
      <c r="W29" s="277"/>
      <c r="X29" s="277"/>
      <c r="Y29" s="277"/>
      <c r="Z29" s="277"/>
      <c r="AA29" s="277"/>
      <c r="AB29" s="277"/>
      <c r="AC29" s="277"/>
    </row>
    <row r="30" spans="1:90" x14ac:dyDescent="0.25">
      <c r="A30" s="111" t="s">
        <v>568</v>
      </c>
      <c r="B30" s="96"/>
      <c r="C30" s="96"/>
      <c r="D30" s="96"/>
      <c r="E30" s="96" t="s">
        <v>567</v>
      </c>
      <c r="F30" s="96"/>
      <c r="G30" s="96"/>
      <c r="H30" s="96"/>
      <c r="I30" s="96" t="s">
        <v>601</v>
      </c>
      <c r="M30" s="96" t="s">
        <v>569</v>
      </c>
      <c r="Q30" s="114" t="s">
        <v>607</v>
      </c>
      <c r="R30" s="114"/>
      <c r="S30" s="114"/>
      <c r="T30" s="114"/>
      <c r="U30" s="114" t="s">
        <v>604</v>
      </c>
      <c r="V30" s="114"/>
      <c r="W30" s="114"/>
      <c r="X30" s="114"/>
      <c r="Y30" s="114" t="s">
        <v>605</v>
      </c>
      <c r="Z30" s="114"/>
      <c r="AA30" s="114"/>
      <c r="AB30" s="114"/>
      <c r="AC30" s="114" t="s">
        <v>606</v>
      </c>
    </row>
    <row r="31" spans="1:90" s="63" customFormat="1" x14ac:dyDescent="0.25">
      <c r="A31" s="111" t="s">
        <v>570</v>
      </c>
      <c r="B31" s="112"/>
      <c r="C31" s="112"/>
      <c r="D31" s="112"/>
      <c r="E31" s="112">
        <f>POWER(E27/U27,1/5)-1</f>
        <v>-4.470569863453977E-2</v>
      </c>
      <c r="F31" s="112"/>
      <c r="G31" s="112"/>
      <c r="H31" s="112"/>
      <c r="I31" s="112">
        <f>POWER(E27/Y27,1/6)-1</f>
        <v>-3.582070132141435E-2</v>
      </c>
      <c r="M31" s="112">
        <f>POWER(E27/AC27,1/7)-1</f>
        <v>0.15311172806931372</v>
      </c>
      <c r="Q31" s="115" t="s">
        <v>603</v>
      </c>
      <c r="R31" s="115"/>
      <c r="S31" s="115"/>
      <c r="T31" s="115"/>
      <c r="U31" s="115">
        <f>POWER(E14/U14,1/5)-1</f>
        <v>4.6814084167088321E-2</v>
      </c>
      <c r="V31" s="115"/>
      <c r="W31" s="115"/>
      <c r="X31" s="115"/>
      <c r="Y31" s="115">
        <f>POWER(E14/Y14,1/6)-1</f>
        <v>4.879701851353091E-2</v>
      </c>
      <c r="Z31" s="115"/>
      <c r="AA31" s="115"/>
      <c r="AB31" s="115"/>
      <c r="AC31" s="115">
        <f>POWER(E14/AC14,1/7)-1</f>
        <v>3.3913122377997595E-2</v>
      </c>
    </row>
    <row r="32" spans="1:90" s="66" customFormat="1" x14ac:dyDescent="0.25">
      <c r="A32" s="46" t="s">
        <v>512</v>
      </c>
      <c r="E32" s="66">
        <v>0.17</v>
      </c>
    </row>
    <row r="39" spans="1:13" ht="43.2" x14ac:dyDescent="0.25">
      <c r="A39" s="67" t="s">
        <v>513</v>
      </c>
    </row>
    <row r="41" spans="1:13" ht="111" customHeight="1" x14ac:dyDescent="0.25">
      <c r="A41" s="278" t="s">
        <v>736</v>
      </c>
      <c r="B41" s="277"/>
      <c r="C41" s="277"/>
      <c r="D41" s="277"/>
      <c r="E41" s="277"/>
      <c r="F41" s="277"/>
      <c r="G41" s="277"/>
      <c r="H41" s="277"/>
      <c r="I41" s="277"/>
      <c r="J41" s="277"/>
      <c r="K41" s="277"/>
      <c r="L41" s="277"/>
      <c r="M41" s="277"/>
    </row>
  </sheetData>
  <mergeCells count="2">
    <mergeCell ref="A29:AC29"/>
    <mergeCell ref="A41:M41"/>
  </mergeCells>
  <phoneticPr fontId="1" type="noConversion"/>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根据DCF测算价值表"/>
  <dimension ref="A1:BV71"/>
  <sheetViews>
    <sheetView workbookViewId="0">
      <selection activeCell="C1" sqref="C1"/>
    </sheetView>
  </sheetViews>
  <sheetFormatPr defaultRowHeight="14.4" x14ac:dyDescent="0.25"/>
  <cols>
    <col min="1" max="1" width="43.5546875" style="17" bestFit="1" customWidth="1"/>
    <col min="2" max="2" width="26.33203125" style="26" bestFit="1" customWidth="1"/>
    <col min="3" max="3" width="38" bestFit="1" customWidth="1"/>
    <col min="4" max="4" width="23.88671875" bestFit="1" customWidth="1"/>
    <col min="5" max="5" width="20.44140625" bestFit="1" customWidth="1"/>
    <col min="6" max="8" width="21.5546875" bestFit="1" customWidth="1"/>
    <col min="9" max="9" width="23.77734375" bestFit="1" customWidth="1"/>
    <col min="10" max="11" width="21.5546875" bestFit="1" customWidth="1"/>
    <col min="12" max="12" width="40.21875" bestFit="1" customWidth="1"/>
    <col min="13" max="18" width="21.5546875" bestFit="1" customWidth="1"/>
    <col min="19" max="19" width="23.77734375" bestFit="1" customWidth="1"/>
    <col min="20" max="74" width="9.44140625" bestFit="1" customWidth="1"/>
  </cols>
  <sheetData>
    <row r="1" spans="1:10" ht="16.2" customHeight="1" x14ac:dyDescent="0.25">
      <c r="A1" s="68" t="s">
        <v>514</v>
      </c>
      <c r="B1" s="69">
        <f>自由现金流分析表!E1</f>
        <v>43100</v>
      </c>
      <c r="C1" s="191" t="s">
        <v>750</v>
      </c>
      <c r="D1" s="316">
        <v>0.08</v>
      </c>
      <c r="E1" s="262" t="s">
        <v>751</v>
      </c>
      <c r="F1" s="63">
        <f>平均资本成本表!E13</f>
        <v>6.6848851947730811E-2</v>
      </c>
    </row>
    <row r="2" spans="1:10" x14ac:dyDescent="0.25">
      <c r="A2" s="70" t="s">
        <v>515</v>
      </c>
      <c r="B2" s="71">
        <f>(自由现金流分析表!E27+自由现金流分析表!I27+自由现金流分析表!M27)/3</f>
        <v>66597333333.333336</v>
      </c>
      <c r="C2" t="s">
        <v>548</v>
      </c>
      <c r="D2" s="63"/>
      <c r="E2" s="63"/>
      <c r="F2" s="56"/>
    </row>
    <row r="3" spans="1:10" s="63" customFormat="1" x14ac:dyDescent="0.25">
      <c r="A3" s="72" t="s">
        <v>516</v>
      </c>
      <c r="B3" s="98">
        <v>0</v>
      </c>
      <c r="D3" s="190"/>
      <c r="E3" s="190"/>
      <c r="F3" s="260"/>
    </row>
    <row r="4" spans="1:10" s="63" customFormat="1" x14ac:dyDescent="0.25">
      <c r="A4" s="72" t="s">
        <v>517</v>
      </c>
      <c r="B4" s="98">
        <f>(平均资本成本表!E13)/1</f>
        <v>6.6848851947730811E-2</v>
      </c>
      <c r="D4" s="190"/>
      <c r="E4" s="190"/>
      <c r="F4" s="261"/>
    </row>
    <row r="5" spans="1:10" x14ac:dyDescent="0.25">
      <c r="A5" s="70" t="s">
        <v>518</v>
      </c>
      <c r="B5" s="71">
        <f>B2*(1+B3)/(B4-B3)</f>
        <v>996237502858.02759</v>
      </c>
      <c r="D5" s="63"/>
      <c r="E5" s="63"/>
    </row>
    <row r="6" spans="1:10" x14ac:dyDescent="0.25">
      <c r="A6" s="70" t="s">
        <v>519</v>
      </c>
      <c r="B6" s="71">
        <f>资产资本表!E17</f>
        <v>217876000000</v>
      </c>
      <c r="D6" s="190"/>
      <c r="E6" s="190"/>
      <c r="F6" s="190"/>
      <c r="G6" s="190"/>
    </row>
    <row r="7" spans="1:10" x14ac:dyDescent="0.25">
      <c r="A7" s="70" t="s">
        <v>520</v>
      </c>
      <c r="B7" s="71">
        <f>资产资本表!E19</f>
        <v>131087000000</v>
      </c>
      <c r="D7" s="190"/>
      <c r="E7" s="190"/>
      <c r="F7" s="190"/>
      <c r="G7" s="190"/>
    </row>
    <row r="8" spans="1:10" x14ac:dyDescent="0.25">
      <c r="A8" s="70" t="s">
        <v>521</v>
      </c>
      <c r="B8" s="197">
        <f>资产资本表!E89</f>
        <v>196946000000</v>
      </c>
      <c r="C8" s="272" t="s">
        <v>748</v>
      </c>
      <c r="D8" s="273">
        <f>B2/B4</f>
        <v>996237502858.02759</v>
      </c>
      <c r="E8" s="63"/>
      <c r="F8" s="190"/>
      <c r="G8" s="190"/>
    </row>
    <row r="9" spans="1:10" x14ac:dyDescent="0.25">
      <c r="A9" s="70" t="s">
        <v>522</v>
      </c>
      <c r="B9" s="197">
        <f>B5+B6+B7-B8</f>
        <v>1148254502858.0276</v>
      </c>
      <c r="C9" s="272" t="s">
        <v>749</v>
      </c>
      <c r="D9" s="273">
        <f>(D8+资产资本结构分析表!$E$2+资产资本结构分析表!$E$3)/B55</f>
        <v>11.110931716015756</v>
      </c>
      <c r="E9" s="190"/>
      <c r="F9" s="190"/>
      <c r="G9" s="190"/>
    </row>
    <row r="10" spans="1:10" x14ac:dyDescent="0.25">
      <c r="A10" s="70" t="s">
        <v>523</v>
      </c>
      <c r="B10" s="73">
        <f>资产资本表!E103/资产资本表!E107</f>
        <v>0.14849602491599048</v>
      </c>
      <c r="D10" s="190"/>
      <c r="E10" s="190"/>
      <c r="F10" s="190"/>
      <c r="G10" s="190"/>
    </row>
    <row r="11" spans="1:10" x14ac:dyDescent="0.25">
      <c r="A11" s="70" t="s">
        <v>549</v>
      </c>
      <c r="B11" s="197">
        <f>B9*(1-B10)</f>
        <v>977743273591.72363</v>
      </c>
      <c r="C11" s="269" t="s">
        <v>745</v>
      </c>
      <c r="D11" s="270">
        <f>资产资本结构分析表!E2</f>
        <v>217876000000</v>
      </c>
      <c r="E11" s="63"/>
      <c r="F11" s="190"/>
      <c r="G11" s="190"/>
    </row>
    <row r="12" spans="1:10" x14ac:dyDescent="0.25">
      <c r="A12" s="70" t="s">
        <v>524</v>
      </c>
      <c r="B12" s="268">
        <f>B55</f>
        <v>121070000000</v>
      </c>
      <c r="C12" s="269" t="s">
        <v>746</v>
      </c>
      <c r="D12" s="271">
        <f>D11/B55</f>
        <v>1.7995870157759974</v>
      </c>
      <c r="E12" s="190"/>
      <c r="F12" s="190"/>
      <c r="G12" s="190"/>
    </row>
    <row r="13" spans="1:10" ht="15" thickBot="1" x14ac:dyDescent="0.3">
      <c r="A13" s="74" t="s">
        <v>525</v>
      </c>
      <c r="B13" s="75">
        <f>B11/B12</f>
        <v>8.0758509423616385</v>
      </c>
      <c r="D13" s="190"/>
      <c r="E13" s="190"/>
    </row>
    <row r="14" spans="1:10" s="16" customFormat="1" ht="53.25" customHeight="1" x14ac:dyDescent="0.25">
      <c r="A14" s="278" t="s">
        <v>738</v>
      </c>
      <c r="B14" s="277"/>
      <c r="C14" s="277"/>
      <c r="D14" s="277"/>
      <c r="E14" s="277"/>
      <c r="F14" s="277"/>
      <c r="G14" s="277"/>
      <c r="H14" s="277"/>
      <c r="I14" s="277"/>
    </row>
    <row r="16" spans="1:10" x14ac:dyDescent="0.25">
      <c r="A16" s="88"/>
      <c r="B16" s="76"/>
      <c r="C16" s="77"/>
      <c r="D16" s="77"/>
      <c r="E16" s="77"/>
      <c r="F16" s="77"/>
      <c r="G16" s="77"/>
      <c r="H16" s="77"/>
      <c r="I16" s="78"/>
      <c r="J16" s="77"/>
    </row>
    <row r="17" spans="1:10" s="63" customFormat="1" x14ac:dyDescent="0.25">
      <c r="A17" s="90"/>
      <c r="B17" s="90"/>
      <c r="C17" s="90" t="s">
        <v>541</v>
      </c>
      <c r="D17" s="90">
        <v>0.15</v>
      </c>
      <c r="E17" s="90"/>
      <c r="F17" s="90"/>
      <c r="G17" s="90"/>
      <c r="H17" s="90" t="s">
        <v>542</v>
      </c>
      <c r="I17" s="90">
        <v>0.04</v>
      </c>
      <c r="J17" s="78"/>
    </row>
    <row r="18" spans="1:10" s="2" customFormat="1" x14ac:dyDescent="0.25">
      <c r="A18" s="299" t="s">
        <v>526</v>
      </c>
      <c r="B18" s="299"/>
      <c r="C18" s="65" t="s">
        <v>540</v>
      </c>
      <c r="D18" s="97">
        <v>1</v>
      </c>
      <c r="E18" s="97">
        <v>2</v>
      </c>
      <c r="F18" s="97">
        <v>3</v>
      </c>
      <c r="G18" s="97">
        <v>4</v>
      </c>
      <c r="H18" s="97">
        <v>5</v>
      </c>
      <c r="I18" s="96">
        <v>6</v>
      </c>
      <c r="J18" s="80"/>
    </row>
    <row r="19" spans="1:10" s="26" customFormat="1" x14ac:dyDescent="0.25">
      <c r="A19" s="99" t="s">
        <v>527</v>
      </c>
      <c r="B19" s="94"/>
      <c r="C19" s="89">
        <f>B2</f>
        <v>66597333333.333336</v>
      </c>
      <c r="D19" s="89">
        <f>C19*(1+$D$17)</f>
        <v>76586933333.333328</v>
      </c>
      <c r="E19" s="89">
        <f>D19*(1+$D$17)</f>
        <v>88074973333.333328</v>
      </c>
      <c r="F19" s="89">
        <f>E19*(1+$D$17)</f>
        <v>101286219333.33331</v>
      </c>
      <c r="G19" s="89">
        <f>F19*(1+$D$17)</f>
        <v>116479152233.3333</v>
      </c>
      <c r="H19" s="89">
        <f>G19*(1+$D$17)</f>
        <v>133951025068.33328</v>
      </c>
      <c r="I19" s="89">
        <f>H19*(1+I17)</f>
        <v>139309066071.06662</v>
      </c>
      <c r="J19" s="76"/>
    </row>
    <row r="20" spans="1:10" s="26" customFormat="1" x14ac:dyDescent="0.25">
      <c r="A20" s="99" t="s">
        <v>528</v>
      </c>
      <c r="B20" s="95">
        <f>B4</f>
        <v>6.6848851947730811E-2</v>
      </c>
      <c r="C20" s="89"/>
      <c r="D20" s="89">
        <f t="shared" ref="D20:I20" si="0">(1+$B$20)^D18</f>
        <v>1.0668488519477308</v>
      </c>
      <c r="E20" s="89">
        <f t="shared" si="0"/>
        <v>1.1381664729021912</v>
      </c>
      <c r="F20" s="89">
        <f t="shared" si="0"/>
        <v>1.2142515949411008</v>
      </c>
      <c r="G20" s="89">
        <f t="shared" si="0"/>
        <v>1.2954229200386143</v>
      </c>
      <c r="H20" s="89">
        <f t="shared" si="0"/>
        <v>1.3820204550299728</v>
      </c>
      <c r="I20" s="89">
        <f t="shared" si="0"/>
        <v>1.4744069358170069</v>
      </c>
      <c r="J20" s="76"/>
    </row>
    <row r="21" spans="1:10" s="26" customFormat="1" x14ac:dyDescent="0.25">
      <c r="A21" s="300" t="s">
        <v>529</v>
      </c>
      <c r="B21" s="300"/>
      <c r="C21" s="89"/>
      <c r="D21" s="89">
        <f>D19/D20</f>
        <v>71787988704.781982</v>
      </c>
      <c r="E21" s="89">
        <f>E19/E20</f>
        <v>77383208370.874313</v>
      </c>
      <c r="F21" s="89">
        <f>F19/F20</f>
        <v>83414524432.431458</v>
      </c>
      <c r="G21" s="89">
        <f>G19/G20</f>
        <v>89915926630.247726</v>
      </c>
      <c r="H21" s="89">
        <f>H19/H20</f>
        <v>96924053895.734985</v>
      </c>
      <c r="I21" s="89">
        <f>I19/((B20-I17)*I20)</f>
        <v>3519137982088.5967</v>
      </c>
      <c r="J21" s="76"/>
    </row>
    <row r="22" spans="1:10" s="26" customFormat="1" x14ac:dyDescent="0.25">
      <c r="A22" s="300" t="s">
        <v>547</v>
      </c>
      <c r="B22" s="300"/>
      <c r="C22" s="89"/>
      <c r="D22" s="296">
        <f>SUM(D21:H21)</f>
        <v>419425702034.0705</v>
      </c>
      <c r="E22" s="297"/>
      <c r="F22" s="297"/>
      <c r="G22" s="297"/>
      <c r="H22" s="298"/>
      <c r="I22" s="89">
        <f>I21</f>
        <v>3519137982088.5967</v>
      </c>
      <c r="J22" s="76"/>
    </row>
    <row r="23" spans="1:10" x14ac:dyDescent="0.25">
      <c r="A23" s="92" t="s">
        <v>530</v>
      </c>
      <c r="B23" s="76">
        <f>D22+I22</f>
        <v>3938563684122.667</v>
      </c>
      <c r="C23" s="77"/>
      <c r="D23" s="77"/>
      <c r="E23" s="77"/>
      <c r="F23" s="77"/>
      <c r="G23" s="77"/>
      <c r="H23" s="77"/>
      <c r="I23" s="79"/>
      <c r="J23" s="77"/>
    </row>
    <row r="24" spans="1:10" x14ac:dyDescent="0.25">
      <c r="A24" s="92" t="s">
        <v>531</v>
      </c>
      <c r="B24" s="76">
        <f>B23</f>
        <v>3938563684122.667</v>
      </c>
      <c r="C24" s="77"/>
      <c r="D24" s="77"/>
      <c r="E24" s="77"/>
      <c r="F24" s="77"/>
      <c r="G24" s="77"/>
      <c r="H24" s="77"/>
      <c r="I24" s="79"/>
      <c r="J24" s="77"/>
    </row>
    <row r="25" spans="1:10" x14ac:dyDescent="0.25">
      <c r="A25" s="70" t="s">
        <v>532</v>
      </c>
      <c r="B25" s="71">
        <f>资产资本表!E17</f>
        <v>217876000000</v>
      </c>
      <c r="C25" s="77"/>
      <c r="D25" s="77"/>
      <c r="E25" s="77"/>
      <c r="F25" s="77"/>
      <c r="G25" s="77"/>
      <c r="H25" s="77"/>
      <c r="I25" s="79"/>
      <c r="J25" s="77"/>
    </row>
    <row r="26" spans="1:10" x14ac:dyDescent="0.25">
      <c r="A26" s="70" t="s">
        <v>533</v>
      </c>
      <c r="B26" s="71">
        <f>资产资本表!E19</f>
        <v>131087000000</v>
      </c>
      <c r="C26" s="77"/>
      <c r="D26" s="77"/>
      <c r="E26" s="77"/>
      <c r="F26" s="77"/>
      <c r="G26" s="77"/>
      <c r="H26" s="77"/>
      <c r="I26" s="79"/>
      <c r="J26" s="77"/>
    </row>
    <row r="27" spans="1:10" x14ac:dyDescent="0.25">
      <c r="A27" s="70" t="s">
        <v>534</v>
      </c>
      <c r="B27" s="71">
        <f>资产资本表!E89</f>
        <v>196946000000</v>
      </c>
      <c r="C27" s="77"/>
      <c r="D27" s="77"/>
      <c r="E27" s="77"/>
      <c r="F27" s="77"/>
      <c r="G27" s="77"/>
      <c r="H27" s="77"/>
      <c r="I27" s="79"/>
      <c r="J27" s="77"/>
    </row>
    <row r="28" spans="1:10" s="2" customFormat="1" x14ac:dyDescent="0.25">
      <c r="A28" s="82" t="s">
        <v>535</v>
      </c>
      <c r="B28" s="83">
        <f>B24+B25+B26-B27</f>
        <v>4090580684122.667</v>
      </c>
      <c r="C28" s="80"/>
      <c r="D28" s="80"/>
      <c r="E28" s="80"/>
      <c r="F28" s="80"/>
      <c r="G28" s="80"/>
      <c r="H28" s="80"/>
      <c r="I28" s="81"/>
      <c r="J28" s="80"/>
    </row>
    <row r="29" spans="1:10" x14ac:dyDescent="0.25">
      <c r="A29" s="70" t="s">
        <v>536</v>
      </c>
      <c r="B29" s="78">
        <f>资产资本表!E103/资产资本表!E107</f>
        <v>0.14849602491599048</v>
      </c>
      <c r="C29" s="301" t="s">
        <v>543</v>
      </c>
      <c r="D29" s="301"/>
      <c r="E29" s="301"/>
      <c r="F29" s="77"/>
      <c r="G29" s="77"/>
      <c r="H29" s="77"/>
      <c r="I29" s="79"/>
      <c r="J29" s="77"/>
    </row>
    <row r="30" spans="1:10" s="2" customFormat="1" x14ac:dyDescent="0.25">
      <c r="A30" s="82" t="s">
        <v>537</v>
      </c>
      <c r="B30" s="83">
        <f>B28*(1-B29)</f>
        <v>3483145712932.3184</v>
      </c>
      <c r="C30" s="91">
        <v>0.4</v>
      </c>
      <c r="D30" s="91">
        <v>0.3</v>
      </c>
      <c r="E30" s="91">
        <v>0.2</v>
      </c>
      <c r="F30" s="80"/>
      <c r="G30" s="80"/>
      <c r="H30" s="80"/>
      <c r="I30" s="81"/>
      <c r="J30" s="80"/>
    </row>
    <row r="31" spans="1:10" x14ac:dyDescent="0.25">
      <c r="A31" s="70" t="s">
        <v>747</v>
      </c>
      <c r="B31" s="101">
        <f>B55</f>
        <v>121070000000</v>
      </c>
      <c r="C31" s="215">
        <f>$B$32*(1-C30)</f>
        <v>17.261810752121836</v>
      </c>
      <c r="D31" s="215">
        <f>$B$32*(1-D30)</f>
        <v>20.13877921080881</v>
      </c>
      <c r="E31" s="215">
        <f>$B$32*(1-E30)</f>
        <v>23.015747669495784</v>
      </c>
      <c r="F31" s="77"/>
      <c r="G31" s="77"/>
      <c r="H31" s="77"/>
      <c r="I31" s="79"/>
      <c r="J31" s="77"/>
    </row>
    <row r="32" spans="1:10" s="2" customFormat="1" ht="15" thickBot="1" x14ac:dyDescent="0.3">
      <c r="A32" s="84" t="s">
        <v>538</v>
      </c>
      <c r="B32" s="85">
        <f>B30/B31</f>
        <v>28.76968458686973</v>
      </c>
      <c r="C32" s="86"/>
      <c r="D32" s="86"/>
      <c r="E32" s="86"/>
      <c r="F32" s="86"/>
      <c r="G32" s="86"/>
      <c r="H32" s="86"/>
      <c r="I32" s="87"/>
      <c r="J32" s="80"/>
    </row>
    <row r="33" spans="1:19" ht="63" customHeight="1" x14ac:dyDescent="0.25">
      <c r="A33" s="302" t="s">
        <v>739</v>
      </c>
      <c r="B33" s="303"/>
      <c r="C33" s="303"/>
      <c r="D33" s="303"/>
      <c r="E33" s="303"/>
      <c r="F33" s="303"/>
      <c r="G33" s="303"/>
      <c r="H33" s="303"/>
      <c r="I33" s="303"/>
    </row>
    <row r="37" spans="1:19" s="63" customFormat="1" x14ac:dyDescent="0.25">
      <c r="A37" s="204"/>
      <c r="B37" s="204"/>
      <c r="C37" s="214" t="s">
        <v>541</v>
      </c>
      <c r="D37" s="214">
        <v>0.15</v>
      </c>
      <c r="E37" s="214"/>
      <c r="F37" s="214"/>
      <c r="G37" s="214"/>
      <c r="H37" s="214" t="s">
        <v>636</v>
      </c>
      <c r="I37" s="214">
        <v>0.09</v>
      </c>
      <c r="J37" s="214"/>
      <c r="K37" s="214"/>
      <c r="L37" s="214"/>
      <c r="M37" s="214"/>
      <c r="N37" s="214"/>
      <c r="O37" s="214"/>
      <c r="P37" s="214"/>
      <c r="Q37" s="214"/>
      <c r="R37" s="214" t="s">
        <v>546</v>
      </c>
      <c r="S37" s="214">
        <v>0.02</v>
      </c>
    </row>
    <row r="38" spans="1:19" s="24" customFormat="1" x14ac:dyDescent="0.25">
      <c r="A38" s="310" t="s">
        <v>544</v>
      </c>
      <c r="B38" s="311"/>
      <c r="C38" s="216" t="s">
        <v>540</v>
      </c>
      <c r="D38" s="217">
        <v>1</v>
      </c>
      <c r="E38" s="217">
        <v>2</v>
      </c>
      <c r="F38" s="217">
        <v>3</v>
      </c>
      <c r="G38" s="217">
        <v>4</v>
      </c>
      <c r="H38" s="217">
        <v>5</v>
      </c>
      <c r="I38" s="218">
        <v>6</v>
      </c>
      <c r="J38" s="218">
        <v>7</v>
      </c>
      <c r="K38" s="218">
        <v>8</v>
      </c>
      <c r="L38" s="218">
        <v>9</v>
      </c>
      <c r="M38" s="218">
        <v>10</v>
      </c>
      <c r="N38" s="218">
        <v>11</v>
      </c>
      <c r="O38" s="218">
        <v>12</v>
      </c>
      <c r="P38" s="218">
        <v>13</v>
      </c>
      <c r="Q38" s="218">
        <v>14</v>
      </c>
      <c r="R38" s="218">
        <v>15</v>
      </c>
      <c r="S38" s="219">
        <v>16</v>
      </c>
    </row>
    <row r="39" spans="1:19" s="193" customFormat="1" x14ac:dyDescent="0.25">
      <c r="A39" s="99" t="s">
        <v>527</v>
      </c>
      <c r="B39" s="94"/>
      <c r="C39" s="89">
        <f>B2</f>
        <v>66597333333.333336</v>
      </c>
      <c r="D39" s="89">
        <f>$C$39*(1+$D$37)^D38</f>
        <v>76586933333.333328</v>
      </c>
      <c r="E39" s="89">
        <f>$C$39*(1+$D$37)^E38</f>
        <v>88074973333.333328</v>
      </c>
      <c r="F39" s="89">
        <f>$C$39*(1+$D$37)^F38</f>
        <v>101286219333.33331</v>
      </c>
      <c r="G39" s="89">
        <f>$C$39*(1+$D$37)^G38</f>
        <v>116479152233.3333</v>
      </c>
      <c r="H39" s="89">
        <f>$C$39*(1+$D$37)^H38</f>
        <v>133951025068.3333</v>
      </c>
      <c r="I39" s="89">
        <f>H39*(1+$I$37)</f>
        <v>146006617324.48331</v>
      </c>
      <c r="J39" s="89">
        <f t="shared" ref="J39:N39" si="1">I39*(1+$I$37)</f>
        <v>159147212883.68683</v>
      </c>
      <c r="K39" s="89">
        <f t="shared" si="1"/>
        <v>173470462043.21866</v>
      </c>
      <c r="L39" s="89">
        <f t="shared" si="1"/>
        <v>189082803627.10834</v>
      </c>
      <c r="M39" s="89">
        <f t="shared" si="1"/>
        <v>206100255953.5481</v>
      </c>
      <c r="N39" s="89">
        <f t="shared" si="1"/>
        <v>224649278989.36743</v>
      </c>
      <c r="O39" s="89">
        <f t="shared" ref="O39" si="2">N39*(1+$I$37)</f>
        <v>244867714098.41052</v>
      </c>
      <c r="P39" s="89">
        <f t="shared" ref="P39" si="3">O39*(1+$I$37)</f>
        <v>266905808367.26749</v>
      </c>
      <c r="Q39" s="89">
        <f t="shared" ref="Q39" si="4">P39*(1+$I$37)</f>
        <v>290927331120.32159</v>
      </c>
      <c r="R39" s="89">
        <f t="shared" ref="R39" si="5">Q39*(1+$I$37)</f>
        <v>317110790921.15057</v>
      </c>
      <c r="S39" s="89">
        <f>R39*(1+S37)</f>
        <v>323453006739.57361</v>
      </c>
    </row>
    <row r="40" spans="1:19" s="23" customFormat="1" x14ac:dyDescent="0.25">
      <c r="A40" s="210" t="s">
        <v>528</v>
      </c>
      <c r="B40" s="209">
        <f>B4</f>
        <v>6.6848851947730811E-2</v>
      </c>
      <c r="C40" s="215"/>
      <c r="D40" s="215">
        <f>(1+$B$40)^D38</f>
        <v>1.0668488519477308</v>
      </c>
      <c r="E40" s="215">
        <f t="shared" ref="E40:R40" si="6">(1+$B$40)^E38</f>
        <v>1.1381664729021912</v>
      </c>
      <c r="F40" s="215">
        <f t="shared" si="6"/>
        <v>1.2142515949411008</v>
      </c>
      <c r="G40" s="215">
        <f t="shared" si="6"/>
        <v>1.2954229200386143</v>
      </c>
      <c r="H40" s="215">
        <f t="shared" si="6"/>
        <v>1.3820204550299728</v>
      </c>
      <c r="I40" s="215">
        <f t="shared" si="6"/>
        <v>1.4744069358170069</v>
      </c>
      <c r="J40" s="215">
        <f t="shared" si="6"/>
        <v>1.5729693467801455</v>
      </c>
      <c r="K40" s="215">
        <f t="shared" si="6"/>
        <v>1.67812054176137</v>
      </c>
      <c r="L40" s="215">
        <f t="shared" si="6"/>
        <v>1.7903009734080217</v>
      </c>
      <c r="M40" s="215">
        <f t="shared" si="6"/>
        <v>1.9099805381212527</v>
      </c>
      <c r="N40" s="215">
        <f t="shared" si="6"/>
        <v>2.0376605443371676</v>
      </c>
      <c r="O40" s="215">
        <f t="shared" si="6"/>
        <v>2.1738758123852953</v>
      </c>
      <c r="P40" s="215">
        <f t="shared" si="6"/>
        <v>2.3191969147201932</v>
      </c>
      <c r="Q40" s="215">
        <f t="shared" si="6"/>
        <v>2.4742325659099573</v>
      </c>
      <c r="R40" s="215">
        <f t="shared" si="6"/>
        <v>2.6396321723927261</v>
      </c>
      <c r="S40" s="183">
        <f>(1+$B$40)^S38</f>
        <v>2.8160885526814741</v>
      </c>
    </row>
    <row r="41" spans="1:19" s="193" customFormat="1" x14ac:dyDescent="0.25">
      <c r="A41" s="312" t="s">
        <v>529</v>
      </c>
      <c r="B41" s="313"/>
      <c r="C41" s="89"/>
      <c r="D41" s="89">
        <f t="shared" ref="D41:R41" si="7">D39/D40</f>
        <v>71787988704.781982</v>
      </c>
      <c r="E41" s="89">
        <f t="shared" si="7"/>
        <v>77383208370.874313</v>
      </c>
      <c r="F41" s="89">
        <f t="shared" si="7"/>
        <v>83414524432.431458</v>
      </c>
      <c r="G41" s="89">
        <f t="shared" si="7"/>
        <v>89915926630.247726</v>
      </c>
      <c r="H41" s="89">
        <f t="shared" si="7"/>
        <v>96924053895.735001</v>
      </c>
      <c r="I41" s="89">
        <f t="shared" si="7"/>
        <v>99027353831.30661</v>
      </c>
      <c r="J41" s="89">
        <f t="shared" si="7"/>
        <v>101176296416.36678</v>
      </c>
      <c r="K41" s="89">
        <f t="shared" si="7"/>
        <v>103371872118.99721</v>
      </c>
      <c r="L41" s="89">
        <f t="shared" si="7"/>
        <v>105615092900.92705</v>
      </c>
      <c r="M41" s="89">
        <f t="shared" si="7"/>
        <v>107906992683.95586</v>
      </c>
      <c r="N41" s="89">
        <f t="shared" si="7"/>
        <v>110248627826.49786</v>
      </c>
      <c r="O41" s="89">
        <f t="shared" si="7"/>
        <v>112641077610.46768</v>
      </c>
      <c r="P41" s="89">
        <f t="shared" si="7"/>
        <v>115085444738.73154</v>
      </c>
      <c r="Q41" s="89">
        <f t="shared" si="7"/>
        <v>117582855843.35368</v>
      </c>
      <c r="R41" s="89">
        <f t="shared" si="7"/>
        <v>120134462004.87158</v>
      </c>
      <c r="S41" s="89">
        <f>S39/((B40-S37)*S40)</f>
        <v>2451692128099.085</v>
      </c>
    </row>
    <row r="42" spans="1:19" s="23" customFormat="1" x14ac:dyDescent="0.25">
      <c r="A42" s="314" t="s">
        <v>547</v>
      </c>
      <c r="B42" s="315"/>
      <c r="C42" s="215"/>
      <c r="D42" s="307">
        <f>SUM(D41:H41)</f>
        <v>419425702034.0705</v>
      </c>
      <c r="E42" s="308"/>
      <c r="F42" s="308"/>
      <c r="G42" s="308"/>
      <c r="H42" s="309"/>
      <c r="I42" s="307">
        <f>SUM(I41:R41)</f>
        <v>1092790075975.4758</v>
      </c>
      <c r="J42" s="308"/>
      <c r="K42" s="308"/>
      <c r="L42" s="308"/>
      <c r="M42" s="308"/>
      <c r="N42" s="308"/>
      <c r="O42" s="308"/>
      <c r="P42" s="308"/>
      <c r="Q42" s="308"/>
      <c r="R42" s="309"/>
      <c r="S42" s="215">
        <f>S41</f>
        <v>2451692128099.085</v>
      </c>
    </row>
    <row r="43" spans="1:19" x14ac:dyDescent="0.25">
      <c r="A43" s="206" t="s">
        <v>545</v>
      </c>
      <c r="B43" s="197">
        <f>D42+I42+S42</f>
        <v>3963907906108.6313</v>
      </c>
      <c r="C43" s="198"/>
      <c r="D43" s="198"/>
      <c r="E43" s="198"/>
      <c r="F43" s="198"/>
      <c r="G43" s="198"/>
      <c r="H43" s="198"/>
      <c r="I43" s="198"/>
      <c r="J43" s="198"/>
      <c r="K43" s="198"/>
      <c r="L43" s="198"/>
      <c r="M43" s="198"/>
      <c r="N43" s="198"/>
      <c r="O43" s="198"/>
      <c r="P43" s="198"/>
      <c r="Q43" s="198"/>
      <c r="R43" s="198"/>
      <c r="S43" s="200"/>
    </row>
    <row r="44" spans="1:19" x14ac:dyDescent="0.25">
      <c r="A44" s="206" t="s">
        <v>531</v>
      </c>
      <c r="B44" s="197">
        <f>B43</f>
        <v>3963907906108.6313</v>
      </c>
      <c r="C44" s="198"/>
      <c r="D44" s="198"/>
      <c r="E44" s="198"/>
      <c r="F44" s="198"/>
      <c r="G44" s="198"/>
      <c r="H44" s="198"/>
      <c r="I44" s="198"/>
      <c r="J44" s="198"/>
      <c r="K44" s="198"/>
      <c r="L44" s="198"/>
      <c r="M44" s="198"/>
      <c r="N44" s="198"/>
      <c r="O44" s="198"/>
      <c r="P44" s="198"/>
      <c r="Q44" s="198"/>
      <c r="R44" s="198"/>
      <c r="S44" s="200"/>
    </row>
    <row r="45" spans="1:19" x14ac:dyDescent="0.25">
      <c r="A45" s="196" t="s">
        <v>532</v>
      </c>
      <c r="B45" s="197">
        <f>资产资本表!E17</f>
        <v>217876000000</v>
      </c>
      <c r="C45" s="198"/>
      <c r="D45" s="198"/>
      <c r="E45" s="198"/>
      <c r="F45" s="198"/>
      <c r="G45" s="198"/>
      <c r="H45" s="198"/>
      <c r="I45" s="198"/>
      <c r="J45" s="198"/>
      <c r="K45" s="198"/>
      <c r="L45" s="198"/>
      <c r="M45" s="198"/>
      <c r="N45" s="198"/>
      <c r="O45" s="198"/>
      <c r="P45" s="198"/>
      <c r="Q45" s="198"/>
      <c r="R45" s="198"/>
      <c r="S45" s="200"/>
    </row>
    <row r="46" spans="1:19" x14ac:dyDescent="0.25">
      <c r="A46" s="196" t="s">
        <v>533</v>
      </c>
      <c r="B46" s="197">
        <f>资产资本表!E19</f>
        <v>131087000000</v>
      </c>
      <c r="C46" s="198"/>
      <c r="D46" s="198"/>
      <c r="E46" s="198"/>
      <c r="F46" s="198"/>
      <c r="G46" s="198"/>
      <c r="H46" s="198"/>
      <c r="I46" s="198"/>
      <c r="J46" s="198"/>
      <c r="K46" s="198"/>
      <c r="L46" s="198"/>
      <c r="M46" s="198"/>
      <c r="N46" s="198"/>
      <c r="O46" s="198"/>
      <c r="P46" s="198"/>
      <c r="Q46" s="198"/>
      <c r="R46" s="198"/>
      <c r="S46" s="200"/>
    </row>
    <row r="47" spans="1:19" x14ac:dyDescent="0.25">
      <c r="A47" s="196" t="s">
        <v>534</v>
      </c>
      <c r="B47" s="197">
        <f>资产资本表!E89</f>
        <v>196946000000</v>
      </c>
      <c r="C47" s="198"/>
      <c r="D47" s="198"/>
      <c r="E47" s="198"/>
      <c r="F47" s="198"/>
      <c r="G47" s="198"/>
      <c r="H47" s="198"/>
      <c r="I47" s="198"/>
      <c r="J47" s="198"/>
      <c r="K47" s="198"/>
      <c r="L47" s="198"/>
      <c r="M47" s="198"/>
      <c r="N47" s="198"/>
      <c r="O47" s="198"/>
      <c r="P47" s="198"/>
      <c r="Q47" s="198"/>
      <c r="R47" s="198"/>
      <c r="S47" s="200"/>
    </row>
    <row r="48" spans="1:19" x14ac:dyDescent="0.25">
      <c r="A48" s="201" t="s">
        <v>535</v>
      </c>
      <c r="B48" s="197">
        <f>B44+B45+B46-B47</f>
        <v>4115924906108.6313</v>
      </c>
      <c r="C48" s="198"/>
      <c r="D48" s="198"/>
      <c r="E48" s="198"/>
      <c r="F48" s="198"/>
      <c r="G48" s="198"/>
      <c r="H48" s="198"/>
      <c r="I48" s="198"/>
      <c r="J48" s="198"/>
      <c r="K48" s="198"/>
      <c r="L48" s="198"/>
      <c r="M48" s="198"/>
      <c r="N48" s="198"/>
      <c r="O48" s="198"/>
      <c r="P48" s="198"/>
      <c r="Q48" s="198"/>
      <c r="R48" s="198"/>
      <c r="S48" s="200"/>
    </row>
    <row r="49" spans="1:74" x14ac:dyDescent="0.25">
      <c r="A49" s="196" t="s">
        <v>536</v>
      </c>
      <c r="B49" s="199">
        <f>资产资本表!E103/资产资本表!E107</f>
        <v>0.14849602491599048</v>
      </c>
      <c r="C49" s="198"/>
      <c r="D49" s="198"/>
      <c r="E49" s="198"/>
      <c r="F49" s="198"/>
      <c r="G49" s="198"/>
      <c r="H49" s="198"/>
      <c r="I49" s="198"/>
      <c r="J49" s="198"/>
      <c r="K49" s="198"/>
      <c r="L49" s="198"/>
      <c r="M49" s="198"/>
      <c r="N49" s="198"/>
      <c r="O49" s="198"/>
      <c r="P49" s="198"/>
      <c r="Q49" s="198"/>
      <c r="R49" s="198"/>
      <c r="S49" s="200"/>
      <c r="T49" s="190"/>
      <c r="U49" s="190"/>
      <c r="V49" s="190"/>
      <c r="W49" s="190"/>
      <c r="X49" s="190"/>
      <c r="Y49" s="190"/>
      <c r="Z49" s="190"/>
      <c r="AA49" s="190"/>
      <c r="AB49" s="190"/>
      <c r="AC49" s="190"/>
      <c r="AD49" s="190"/>
      <c r="AE49" s="190"/>
      <c r="AF49" s="190"/>
      <c r="AG49" s="190"/>
      <c r="AH49" s="190"/>
      <c r="AI49" s="190"/>
      <c r="AJ49" s="190"/>
      <c r="AK49" s="190"/>
      <c r="AL49" s="190"/>
      <c r="AM49" s="190"/>
      <c r="AN49" s="190"/>
      <c r="AO49" s="190"/>
      <c r="AP49" s="190"/>
      <c r="AQ49" s="190"/>
      <c r="AR49" s="190"/>
      <c r="AS49" s="190"/>
      <c r="AT49" s="190"/>
      <c r="AU49" s="190"/>
      <c r="AV49" s="190"/>
      <c r="AW49" s="190"/>
      <c r="AX49" s="190"/>
      <c r="AY49" s="190"/>
      <c r="AZ49" s="190"/>
      <c r="BA49" s="190"/>
      <c r="BB49" s="190"/>
      <c r="BC49" s="190"/>
      <c r="BD49" s="190"/>
      <c r="BE49" s="190"/>
      <c r="BF49" s="190"/>
      <c r="BG49" s="190"/>
      <c r="BH49" s="190"/>
      <c r="BI49" s="190"/>
      <c r="BJ49" s="190"/>
      <c r="BK49" s="190"/>
      <c r="BL49" s="190"/>
      <c r="BM49" s="190"/>
      <c r="BN49" s="190"/>
      <c r="BO49" s="190"/>
      <c r="BP49" s="190"/>
      <c r="BQ49" s="190"/>
      <c r="BR49" s="190"/>
      <c r="BS49" s="190"/>
      <c r="BT49" s="190"/>
      <c r="BU49" s="190"/>
      <c r="BV49" s="190"/>
    </row>
    <row r="50" spans="1:74" x14ac:dyDescent="0.25">
      <c r="A50" s="201" t="s">
        <v>537</v>
      </c>
      <c r="B50" s="197">
        <f>B48*(1-B49)</f>
        <v>3504726418698.7783</v>
      </c>
      <c r="C50" s="304" t="s">
        <v>543</v>
      </c>
      <c r="D50" s="305"/>
      <c r="E50" s="306"/>
      <c r="F50" s="198"/>
      <c r="G50" s="198"/>
      <c r="H50" s="198"/>
      <c r="I50" s="198"/>
      <c r="J50" s="198"/>
      <c r="K50" s="198"/>
      <c r="L50" s="198"/>
      <c r="M50" s="198"/>
      <c r="N50" s="198"/>
      <c r="O50" s="198"/>
      <c r="P50" s="198"/>
      <c r="Q50" s="198"/>
      <c r="R50" s="198"/>
      <c r="S50" s="200"/>
      <c r="T50" s="190"/>
      <c r="U50" s="190"/>
      <c r="V50" s="190"/>
      <c r="W50" s="190"/>
      <c r="X50" s="190"/>
      <c r="Y50" s="190"/>
      <c r="Z50" s="190"/>
      <c r="AA50" s="190"/>
      <c r="AB50" s="190"/>
      <c r="AC50" s="190"/>
      <c r="AD50" s="190"/>
      <c r="AE50" s="190"/>
      <c r="AF50" s="190"/>
      <c r="AG50" s="190"/>
      <c r="AH50" s="190"/>
      <c r="AI50" s="190"/>
      <c r="AJ50" s="190"/>
      <c r="AK50" s="190"/>
      <c r="AL50" s="190"/>
      <c r="AM50" s="190"/>
      <c r="AN50" s="190"/>
      <c r="AO50" s="190"/>
      <c r="AP50" s="190"/>
      <c r="AQ50" s="190"/>
      <c r="AR50" s="190"/>
      <c r="AS50" s="190"/>
      <c r="AT50" s="190"/>
      <c r="AU50" s="190"/>
      <c r="AV50" s="190"/>
      <c r="AW50" s="190"/>
      <c r="AX50" s="190"/>
      <c r="AY50" s="190"/>
      <c r="AZ50" s="190"/>
      <c r="BA50" s="190"/>
      <c r="BB50" s="190"/>
      <c r="BC50" s="190"/>
      <c r="BD50" s="190"/>
      <c r="BE50" s="190"/>
      <c r="BF50" s="190"/>
      <c r="BG50" s="190"/>
      <c r="BH50" s="190"/>
      <c r="BI50" s="190"/>
      <c r="BJ50" s="190"/>
      <c r="BK50" s="190"/>
      <c r="BL50" s="190"/>
      <c r="BM50" s="190"/>
      <c r="BN50" s="190"/>
      <c r="BO50" s="190"/>
      <c r="BP50" s="190"/>
      <c r="BQ50" s="190"/>
      <c r="BR50" s="190"/>
      <c r="BS50" s="190"/>
      <c r="BT50" s="190"/>
      <c r="BU50" s="190"/>
      <c r="BV50" s="190"/>
    </row>
    <row r="51" spans="1:74" x14ac:dyDescent="0.25">
      <c r="A51" s="196" t="s">
        <v>539</v>
      </c>
      <c r="B51" s="211">
        <f>B55</f>
        <v>121070000000</v>
      </c>
      <c r="C51" s="205">
        <v>0.4</v>
      </c>
      <c r="D51" s="205">
        <v>0.3</v>
      </c>
      <c r="E51" s="205">
        <v>0.2</v>
      </c>
      <c r="F51" s="198"/>
      <c r="G51" s="198"/>
      <c r="H51" s="198"/>
      <c r="I51" s="198"/>
      <c r="J51" s="198"/>
      <c r="K51" s="198"/>
      <c r="L51" s="198"/>
      <c r="M51" s="198"/>
      <c r="N51" s="198"/>
      <c r="O51" s="198"/>
      <c r="P51" s="198"/>
      <c r="Q51" s="198"/>
      <c r="R51" s="198"/>
      <c r="S51" s="200"/>
      <c r="T51" s="190"/>
      <c r="U51" s="190"/>
      <c r="V51" s="190"/>
      <c r="W51" s="190"/>
      <c r="X51" s="190"/>
      <c r="Y51" s="190"/>
      <c r="Z51" s="190"/>
      <c r="AA51" s="190"/>
      <c r="AB51" s="190"/>
      <c r="AC51" s="190"/>
      <c r="AD51" s="190"/>
      <c r="AE51" s="190"/>
      <c r="AF51" s="190"/>
      <c r="AG51" s="190"/>
      <c r="AH51" s="190"/>
      <c r="AI51" s="190"/>
      <c r="AJ51" s="190"/>
      <c r="AK51" s="190"/>
      <c r="AL51" s="190"/>
      <c r="AM51" s="190"/>
      <c r="AN51" s="190"/>
      <c r="AO51" s="190"/>
      <c r="AP51" s="190"/>
      <c r="AQ51" s="190"/>
      <c r="AR51" s="190"/>
      <c r="AS51" s="190"/>
      <c r="AT51" s="190"/>
      <c r="AU51" s="190"/>
      <c r="AV51" s="190"/>
      <c r="AW51" s="190"/>
      <c r="AX51" s="190"/>
      <c r="AY51" s="190"/>
      <c r="AZ51" s="190"/>
      <c r="BA51" s="190"/>
      <c r="BB51" s="190"/>
      <c r="BC51" s="190"/>
      <c r="BD51" s="190"/>
      <c r="BE51" s="190"/>
      <c r="BF51" s="190"/>
      <c r="BG51" s="190"/>
      <c r="BH51" s="190"/>
      <c r="BI51" s="190"/>
      <c r="BJ51" s="190"/>
      <c r="BK51" s="190"/>
      <c r="BL51" s="190"/>
      <c r="BM51" s="190"/>
      <c r="BN51" s="190"/>
      <c r="BO51" s="190"/>
      <c r="BP51" s="190"/>
      <c r="BQ51" s="190"/>
      <c r="BR51" s="190"/>
      <c r="BS51" s="190"/>
      <c r="BT51" s="190"/>
      <c r="BU51" s="190"/>
      <c r="BV51" s="190"/>
    </row>
    <row r="52" spans="1:74" ht="15" thickBot="1" x14ac:dyDescent="0.3">
      <c r="A52" s="202" t="s">
        <v>538</v>
      </c>
      <c r="B52" s="207">
        <f>B50/B51</f>
        <v>28.947934407357547</v>
      </c>
      <c r="C52" s="208">
        <f>$B$52*(1-C51)</f>
        <v>17.368760644414529</v>
      </c>
      <c r="D52" s="208">
        <f>$B$52*(1-D51)</f>
        <v>20.263554085150282</v>
      </c>
      <c r="E52" s="208">
        <f>$B$52*(1-E51)</f>
        <v>23.15834752588604</v>
      </c>
      <c r="F52" s="194"/>
      <c r="G52" s="194"/>
      <c r="H52" s="194"/>
      <c r="I52" s="194"/>
      <c r="J52" s="194"/>
      <c r="K52" s="194"/>
      <c r="L52" s="194"/>
      <c r="M52" s="194"/>
      <c r="N52" s="194"/>
      <c r="O52" s="194"/>
      <c r="P52" s="194"/>
      <c r="Q52" s="194"/>
      <c r="R52" s="194"/>
      <c r="S52" s="203"/>
      <c r="T52" s="190"/>
      <c r="U52" s="190"/>
      <c r="V52" s="190"/>
      <c r="W52" s="190"/>
      <c r="X52" s="190"/>
      <c r="Y52" s="190"/>
      <c r="Z52" s="190"/>
      <c r="AA52" s="190"/>
      <c r="AB52" s="190"/>
      <c r="AC52" s="190"/>
      <c r="AD52" s="190"/>
      <c r="AE52" s="190"/>
      <c r="AF52" s="190"/>
      <c r="AG52" s="190"/>
      <c r="AH52" s="190"/>
      <c r="AI52" s="190"/>
      <c r="AJ52" s="190"/>
      <c r="AK52" s="190"/>
      <c r="AL52" s="190"/>
      <c r="AM52" s="190"/>
      <c r="AN52" s="190"/>
      <c r="AO52" s="190"/>
      <c r="AP52" s="190"/>
      <c r="AQ52" s="190"/>
      <c r="AR52" s="190"/>
      <c r="AS52" s="190"/>
      <c r="AT52" s="190"/>
      <c r="AU52" s="190"/>
      <c r="AV52" s="190"/>
      <c r="AW52" s="190"/>
      <c r="AX52" s="190"/>
      <c r="AY52" s="190"/>
      <c r="AZ52" s="190"/>
      <c r="BA52" s="190"/>
      <c r="BB52" s="190"/>
      <c r="BC52" s="190"/>
      <c r="BD52" s="190"/>
      <c r="BE52" s="190"/>
      <c r="BF52" s="190"/>
      <c r="BG52" s="190"/>
      <c r="BH52" s="190"/>
      <c r="BI52" s="190"/>
      <c r="BJ52" s="190"/>
      <c r="BK52" s="190"/>
      <c r="BL52" s="190"/>
      <c r="BM52" s="190"/>
      <c r="BN52" s="190"/>
      <c r="BO52" s="190"/>
      <c r="BP52" s="190"/>
      <c r="BQ52" s="190"/>
      <c r="BR52" s="190"/>
      <c r="BS52" s="190"/>
      <c r="BT52" s="190"/>
      <c r="BU52" s="190"/>
      <c r="BV52" s="190"/>
    </row>
    <row r="53" spans="1:74" ht="12.75" customHeight="1" thickBot="1" x14ac:dyDescent="0.3">
      <c r="A53" s="192"/>
      <c r="B53" s="193"/>
      <c r="C53" s="190"/>
      <c r="D53" s="190"/>
      <c r="E53" s="190"/>
      <c r="F53" s="190"/>
      <c r="G53" s="190"/>
      <c r="H53" s="190"/>
      <c r="I53" s="190"/>
      <c r="J53" s="190"/>
      <c r="K53" s="190"/>
      <c r="L53" s="190"/>
      <c r="M53" s="190"/>
      <c r="N53" s="190"/>
      <c r="O53" s="190"/>
      <c r="P53" s="190"/>
      <c r="Q53" s="190"/>
      <c r="R53" s="190"/>
      <c r="S53" s="190"/>
      <c r="T53" s="190"/>
      <c r="U53" s="190"/>
      <c r="V53" s="190"/>
      <c r="W53" s="190"/>
      <c r="X53" s="190"/>
      <c r="Y53" s="190"/>
      <c r="Z53" s="190"/>
      <c r="AA53" s="190"/>
      <c r="AB53" s="190"/>
      <c r="AC53" s="190"/>
      <c r="AD53" s="190"/>
      <c r="AE53" s="190"/>
      <c r="AF53" s="190"/>
      <c r="AG53" s="190"/>
      <c r="AH53" s="190"/>
      <c r="AI53" s="190"/>
      <c r="AJ53" s="190"/>
      <c r="AK53" s="190"/>
      <c r="AL53" s="190"/>
      <c r="AM53" s="190"/>
      <c r="AN53" s="190"/>
      <c r="AO53" s="190"/>
      <c r="AP53" s="190"/>
      <c r="AQ53" s="190"/>
      <c r="AR53" s="190"/>
      <c r="AS53" s="190"/>
      <c r="AT53" s="190"/>
      <c r="AU53" s="190"/>
      <c r="AV53" s="190"/>
      <c r="AW53" s="190"/>
      <c r="AX53" s="190"/>
      <c r="AY53" s="190"/>
      <c r="AZ53" s="190"/>
      <c r="BA53" s="190"/>
      <c r="BB53" s="190"/>
      <c r="BC53" s="190"/>
      <c r="BD53" s="190"/>
      <c r="BE53" s="190"/>
      <c r="BF53" s="190"/>
      <c r="BG53" s="190"/>
      <c r="BH53" s="190"/>
      <c r="BI53" s="190"/>
      <c r="BJ53" s="190"/>
      <c r="BK53" s="190"/>
      <c r="BL53" s="190"/>
      <c r="BM53" s="190"/>
      <c r="BN53" s="190"/>
      <c r="BO53" s="190"/>
      <c r="BP53" s="190"/>
      <c r="BQ53" s="190"/>
      <c r="BR53" s="190"/>
      <c r="BS53" s="190"/>
      <c r="BT53" s="190"/>
      <c r="BU53" s="190"/>
      <c r="BV53" s="190"/>
    </row>
    <row r="54" spans="1:74" s="103" customFormat="1" x14ac:dyDescent="0.25">
      <c r="A54" s="195">
        <v>600028</v>
      </c>
      <c r="B54" s="180">
        <f>自由现金流分析表!E1</f>
        <v>43100</v>
      </c>
      <c r="C54" s="191"/>
      <c r="D54" s="191"/>
      <c r="E54" s="191"/>
      <c r="F54" s="191"/>
      <c r="G54" s="191"/>
      <c r="H54" s="191"/>
      <c r="I54" s="191"/>
      <c r="J54" s="191"/>
      <c r="K54" s="191"/>
      <c r="L54" s="191"/>
      <c r="M54" s="191"/>
      <c r="N54" s="191"/>
      <c r="O54" s="191"/>
      <c r="P54" s="191"/>
      <c r="Q54" s="191"/>
      <c r="R54" s="191"/>
      <c r="S54" s="191"/>
      <c r="T54" s="191"/>
      <c r="U54" s="191"/>
      <c r="V54" s="191"/>
      <c r="W54" s="191"/>
      <c r="X54" s="191"/>
      <c r="Y54" s="191"/>
      <c r="Z54" s="191"/>
      <c r="AA54" s="191"/>
      <c r="AB54" s="191"/>
      <c r="AC54" s="191"/>
      <c r="AD54" s="191"/>
      <c r="AE54" s="191"/>
      <c r="AF54" s="191"/>
      <c r="AG54" s="191"/>
      <c r="AH54" s="191"/>
      <c r="AI54" s="191"/>
      <c r="AJ54" s="191"/>
      <c r="AK54" s="191"/>
      <c r="AL54" s="191"/>
      <c r="AM54" s="191"/>
      <c r="AN54" s="191"/>
      <c r="AO54" s="191"/>
      <c r="AP54" s="191"/>
      <c r="AQ54" s="191"/>
      <c r="AR54" s="191"/>
      <c r="AS54" s="191"/>
      <c r="AT54" s="191"/>
      <c r="AU54" s="191"/>
      <c r="AV54" s="191"/>
      <c r="AW54" s="191"/>
      <c r="AX54" s="191"/>
      <c r="AY54" s="191"/>
      <c r="AZ54" s="191"/>
      <c r="BA54" s="191"/>
      <c r="BB54" s="191"/>
      <c r="BC54" s="191"/>
      <c r="BD54" s="191"/>
      <c r="BE54" s="191"/>
      <c r="BF54" s="191"/>
      <c r="BG54" s="191"/>
      <c r="BH54" s="191"/>
      <c r="BI54" s="191"/>
      <c r="BJ54" s="191"/>
      <c r="BK54" s="191"/>
      <c r="BL54" s="191"/>
      <c r="BM54" s="191"/>
      <c r="BN54" s="191"/>
      <c r="BO54" s="191"/>
      <c r="BP54" s="191"/>
      <c r="BQ54" s="191"/>
      <c r="BR54" s="191"/>
      <c r="BS54" s="191"/>
      <c r="BT54" s="191"/>
      <c r="BU54" s="191"/>
      <c r="BV54" s="191"/>
    </row>
    <row r="55" spans="1:74" s="102" customFormat="1" x14ac:dyDescent="0.25">
      <c r="A55" s="212" t="s">
        <v>550</v>
      </c>
      <c r="B55" s="100">
        <v>121070000000</v>
      </c>
      <c r="C55" s="213"/>
      <c r="D55" s="213"/>
      <c r="E55" s="213"/>
      <c r="F55" s="213"/>
      <c r="G55" s="213"/>
      <c r="H55" s="213"/>
      <c r="I55" s="213"/>
      <c r="J55" s="213"/>
      <c r="K55" s="213"/>
      <c r="L55" s="213"/>
      <c r="M55" s="213"/>
      <c r="N55" s="213"/>
      <c r="O55" s="213"/>
      <c r="P55" s="213"/>
      <c r="Q55" s="213"/>
      <c r="R55" s="213"/>
      <c r="S55" s="213"/>
      <c r="T55" s="213"/>
      <c r="U55" s="213"/>
      <c r="V55" s="213"/>
      <c r="W55" s="213"/>
      <c r="X55" s="213"/>
      <c r="Y55" s="213"/>
      <c r="Z55" s="213"/>
      <c r="AA55" s="213"/>
      <c r="AB55" s="213"/>
      <c r="AC55" s="213"/>
      <c r="AD55" s="213"/>
      <c r="AE55" s="213"/>
      <c r="AF55" s="213"/>
      <c r="AG55" s="213"/>
      <c r="AH55" s="213"/>
      <c r="AI55" s="213"/>
      <c r="AJ55" s="213"/>
      <c r="AK55" s="213"/>
      <c r="AL55" s="213"/>
      <c r="AM55" s="213"/>
      <c r="AN55" s="213"/>
      <c r="AO55" s="213"/>
      <c r="AP55" s="213"/>
      <c r="AQ55" s="213"/>
      <c r="AR55" s="213"/>
      <c r="AS55" s="213"/>
      <c r="AT55" s="213"/>
      <c r="AU55" s="213"/>
      <c r="AV55" s="213"/>
      <c r="AW55" s="213"/>
      <c r="AX55" s="213"/>
      <c r="AY55" s="213"/>
      <c r="AZ55" s="213"/>
      <c r="BA55" s="213"/>
      <c r="BB55" s="213"/>
      <c r="BC55" s="213"/>
      <c r="BD55" s="213"/>
      <c r="BE55" s="213"/>
      <c r="BF55" s="213"/>
      <c r="BG55" s="213"/>
      <c r="BH55" s="213"/>
      <c r="BI55" s="213"/>
      <c r="BJ55" s="213"/>
      <c r="BK55" s="213"/>
      <c r="BL55" s="213"/>
      <c r="BM55" s="213"/>
      <c r="BN55" s="213"/>
      <c r="BO55" s="213"/>
      <c r="BP55" s="213"/>
      <c r="BQ55" s="213"/>
      <c r="BR55" s="213"/>
      <c r="BS55" s="213"/>
      <c r="BT55" s="213"/>
      <c r="BU55" s="213"/>
      <c r="BV55" s="213"/>
    </row>
    <row r="56" spans="1:74" s="62" customFormat="1" ht="15" thickBot="1" x14ac:dyDescent="0.3">
      <c r="A56" s="74"/>
      <c r="B56" s="93"/>
    </row>
    <row r="57" spans="1:74" ht="52.8" customHeight="1" x14ac:dyDescent="0.25">
      <c r="A57" s="294" t="s">
        <v>740</v>
      </c>
      <c r="B57" s="295"/>
      <c r="C57" s="295"/>
      <c r="D57" s="295"/>
      <c r="E57" s="295"/>
      <c r="F57" s="295"/>
      <c r="G57" s="295"/>
      <c r="H57" s="295"/>
      <c r="I57" s="295"/>
    </row>
    <row r="60" spans="1:74" s="156" customFormat="1" ht="51" customHeight="1" x14ac:dyDescent="0.25">
      <c r="A60" s="292" t="s">
        <v>608</v>
      </c>
      <c r="B60" s="293"/>
      <c r="C60" s="293"/>
      <c r="D60" s="293"/>
      <c r="E60" s="293"/>
      <c r="F60" s="293"/>
      <c r="G60" s="293"/>
      <c r="H60" s="293"/>
      <c r="I60" s="293"/>
    </row>
    <row r="63" spans="1:74" s="4" customFormat="1" x14ac:dyDescent="0.25">
      <c r="A63" s="178" t="s">
        <v>610</v>
      </c>
      <c r="B63" s="177" t="s">
        <v>611</v>
      </c>
      <c r="C63" s="96" t="s">
        <v>612</v>
      </c>
      <c r="D63" s="96" t="s">
        <v>613</v>
      </c>
      <c r="E63" s="96" t="s">
        <v>628</v>
      </c>
      <c r="F63" s="96" t="s">
        <v>614</v>
      </c>
      <c r="G63" s="96" t="s">
        <v>615</v>
      </c>
      <c r="H63" s="96" t="s">
        <v>624</v>
      </c>
      <c r="I63" s="96" t="s">
        <v>617</v>
      </c>
      <c r="J63" s="96" t="s">
        <v>623</v>
      </c>
      <c r="K63" s="96" t="s">
        <v>619</v>
      </c>
      <c r="L63" s="96" t="s">
        <v>625</v>
      </c>
    </row>
    <row r="64" spans="1:74" s="26" customFormat="1" x14ac:dyDescent="0.25">
      <c r="A64" s="179">
        <f>股权价值增加表!M1</f>
        <v>42369</v>
      </c>
      <c r="B64" s="167">
        <v>42366</v>
      </c>
      <c r="C64" s="166">
        <v>17.39</v>
      </c>
      <c r="D64" s="166">
        <v>3.4</v>
      </c>
      <c r="E64" s="168">
        <f>股权价值增加表!M42/100000000</f>
        <v>502.2</v>
      </c>
      <c r="F64" s="168">
        <v>0</v>
      </c>
      <c r="G64" s="166">
        <v>16.47</v>
      </c>
      <c r="H64" s="168">
        <f>G64*D64</f>
        <v>55.997999999999998</v>
      </c>
      <c r="I64" s="168">
        <f>C64*D64</f>
        <v>59.125999999999998</v>
      </c>
      <c r="J64" s="168">
        <f>H64/E64</f>
        <v>0.11150537634408601</v>
      </c>
      <c r="K64" s="168">
        <f>I64/E64</f>
        <v>0.11773397052966945</v>
      </c>
      <c r="L64" s="263">
        <v>0</v>
      </c>
    </row>
    <row r="65" spans="1:12" s="26" customFormat="1" x14ac:dyDescent="0.25">
      <c r="A65" s="179">
        <f>股权价值增加表!I1</f>
        <v>42735</v>
      </c>
      <c r="B65" s="167">
        <v>42543</v>
      </c>
      <c r="C65" s="166">
        <v>23.13</v>
      </c>
      <c r="D65" s="166">
        <v>3.64</v>
      </c>
      <c r="E65" s="168">
        <f>股权价值增加表!I42/100000000</f>
        <v>757.3</v>
      </c>
      <c r="F65" s="168">
        <f>(E65-E64)/E64*100</f>
        <v>50.796495420151331</v>
      </c>
      <c r="G65" s="166">
        <v>23.11</v>
      </c>
      <c r="H65" s="168">
        <f t="shared" ref="H65:H66" si="8">G65*D65</f>
        <v>84.120400000000004</v>
      </c>
      <c r="I65" s="168">
        <f t="shared" ref="I65:I66" si="9">C65*D65</f>
        <v>84.193200000000004</v>
      </c>
      <c r="J65" s="168">
        <f t="shared" ref="J65:J66" si="10">H65/E65</f>
        <v>0.11107936088736302</v>
      </c>
      <c r="K65" s="168">
        <f t="shared" ref="K65:K66" si="11">I65/E65</f>
        <v>0.11117549187904398</v>
      </c>
      <c r="L65" s="263">
        <f>K65/F65</f>
        <v>2.188644924408306E-3</v>
      </c>
    </row>
    <row r="66" spans="1:12" s="26" customFormat="1" x14ac:dyDescent="0.25">
      <c r="A66" s="179">
        <f>股权价值增加表!E1</f>
        <v>43100</v>
      </c>
      <c r="B66" s="167">
        <v>42872</v>
      </c>
      <c r="C66" s="166">
        <v>16.399999999999999</v>
      </c>
      <c r="D66" s="166">
        <v>9.09</v>
      </c>
      <c r="E66" s="168">
        <f>股权价值增加表!E42/100000000</f>
        <v>737.23</v>
      </c>
      <c r="F66" s="168">
        <f t="shared" ref="F66" si="12">(E66-E65)/E65*100</f>
        <v>-2.6502046745015102</v>
      </c>
      <c r="G66" s="166">
        <v>15.76</v>
      </c>
      <c r="H66" s="168">
        <f t="shared" si="8"/>
        <v>143.25839999999999</v>
      </c>
      <c r="I66" s="168">
        <f t="shared" si="9"/>
        <v>149.07599999999999</v>
      </c>
      <c r="J66" s="168">
        <f t="shared" si="10"/>
        <v>0.19431981878111307</v>
      </c>
      <c r="K66" s="168">
        <f t="shared" si="11"/>
        <v>0.20221097893466081</v>
      </c>
      <c r="L66" s="263">
        <f t="shared" ref="L66" si="13">K66/F66</f>
        <v>-7.6300136695176435E-2</v>
      </c>
    </row>
    <row r="67" spans="1:12" s="26" customFormat="1" x14ac:dyDescent="0.25">
      <c r="A67" s="162"/>
      <c r="B67" s="163"/>
      <c r="C67" s="83"/>
      <c r="D67" s="83"/>
      <c r="E67" s="83"/>
      <c r="F67" s="165"/>
      <c r="G67" s="83"/>
      <c r="H67" s="165"/>
      <c r="I67" s="165"/>
      <c r="J67" s="165"/>
      <c r="K67" s="165"/>
      <c r="L67" s="264"/>
    </row>
    <row r="68" spans="1:12" s="157" customFormat="1" ht="15" thickBot="1" x14ac:dyDescent="0.3">
      <c r="A68" s="164" t="s">
        <v>622</v>
      </c>
      <c r="B68" s="44" t="s">
        <v>611</v>
      </c>
      <c r="C68" s="44" t="s">
        <v>612</v>
      </c>
      <c r="D68" s="44" t="s">
        <v>613</v>
      </c>
      <c r="E68" s="44" t="s">
        <v>621</v>
      </c>
      <c r="F68" s="44" t="s">
        <v>614</v>
      </c>
      <c r="G68" s="44" t="s">
        <v>615</v>
      </c>
      <c r="H68" s="44" t="s">
        <v>616</v>
      </c>
      <c r="I68" s="44" t="s">
        <v>617</v>
      </c>
      <c r="J68" s="44" t="s">
        <v>618</v>
      </c>
      <c r="K68" s="44" t="s">
        <v>619</v>
      </c>
      <c r="L68" s="265" t="s">
        <v>620</v>
      </c>
    </row>
    <row r="69" spans="1:12" s="26" customFormat="1" ht="15" thickBot="1" x14ac:dyDescent="0.3">
      <c r="A69" s="169" t="s">
        <v>627</v>
      </c>
      <c r="B69" s="170">
        <v>43305</v>
      </c>
      <c r="C69" s="171">
        <v>11.65</v>
      </c>
      <c r="D69" s="171">
        <v>9.09</v>
      </c>
      <c r="E69" s="171">
        <v>4.33</v>
      </c>
      <c r="F69" s="172">
        <f>(E69-E66)/E66*100</f>
        <v>-99.412666332080889</v>
      </c>
      <c r="G69" s="171">
        <v>10.119999999999999</v>
      </c>
      <c r="H69" s="172">
        <f>G69*D69</f>
        <v>91.990799999999993</v>
      </c>
      <c r="I69" s="172">
        <f>C69*D69</f>
        <v>105.8985</v>
      </c>
      <c r="J69" s="172">
        <f>H69/E69</f>
        <v>21.244988452655885</v>
      </c>
      <c r="K69" s="172">
        <f>I69/E69</f>
        <v>24.456928406466513</v>
      </c>
      <c r="L69" s="266">
        <f>K69/F69</f>
        <v>-0.24601420833809945</v>
      </c>
    </row>
    <row r="70" spans="1:12" s="26" customFormat="1" ht="15" thickBot="1" x14ac:dyDescent="0.3">
      <c r="A70" s="173" t="s">
        <v>626</v>
      </c>
      <c r="B70" s="174">
        <v>43305</v>
      </c>
      <c r="C70" s="175">
        <v>11.65</v>
      </c>
      <c r="D70" s="175">
        <v>9.09</v>
      </c>
      <c r="E70" s="175">
        <v>3.86</v>
      </c>
      <c r="F70" s="176">
        <f>(E70-E66)/E66*100</f>
        <v>-99.476418485411614</v>
      </c>
      <c r="G70" s="171">
        <v>10.119999999999999</v>
      </c>
      <c r="H70" s="176">
        <f t="shared" ref="H70" si="14">G70*D70</f>
        <v>91.990799999999993</v>
      </c>
      <c r="I70" s="176">
        <f t="shared" ref="I70" si="15">C70*D70</f>
        <v>105.8985</v>
      </c>
      <c r="J70" s="176">
        <f t="shared" ref="J70" si="16">H70/E70</f>
        <v>23.831813471502588</v>
      </c>
      <c r="K70" s="176">
        <f t="shared" ref="K70" si="17">I70/E70</f>
        <v>27.434844559585493</v>
      </c>
      <c r="L70" s="267">
        <f t="shared" ref="L70" si="18">K70/F70</f>
        <v>-0.27579244385048762</v>
      </c>
    </row>
    <row r="71" spans="1:12" s="88" customFormat="1" ht="138" customHeight="1" x14ac:dyDescent="0.25">
      <c r="A71" s="290" t="s">
        <v>629</v>
      </c>
      <c r="B71" s="291"/>
      <c r="C71" s="291"/>
      <c r="D71" s="291"/>
      <c r="E71" s="291"/>
      <c r="F71" s="291"/>
      <c r="G71" s="291"/>
      <c r="H71" s="291"/>
    </row>
  </sheetData>
  <mergeCells count="16">
    <mergeCell ref="A71:H71"/>
    <mergeCell ref="A60:I60"/>
    <mergeCell ref="A57:I57"/>
    <mergeCell ref="A14:I14"/>
    <mergeCell ref="D22:H22"/>
    <mergeCell ref="A18:B18"/>
    <mergeCell ref="A21:B21"/>
    <mergeCell ref="A22:B22"/>
    <mergeCell ref="C29:E29"/>
    <mergeCell ref="A33:I33"/>
    <mergeCell ref="C50:E50"/>
    <mergeCell ref="D42:H42"/>
    <mergeCell ref="I42:R42"/>
    <mergeCell ref="A38:B38"/>
    <mergeCell ref="A41:B41"/>
    <mergeCell ref="A42:B42"/>
  </mergeCells>
  <phoneticPr fontId="1" type="noConversion"/>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12</vt:i4>
      </vt:variant>
    </vt:vector>
  </HeadingPairs>
  <TitlesOfParts>
    <vt:vector size="12" baseType="lpstr">
      <vt:lpstr>资产负债表</vt:lpstr>
      <vt:lpstr>利润表</vt:lpstr>
      <vt:lpstr>现金流量表</vt:lpstr>
      <vt:lpstr>资产资本表</vt:lpstr>
      <vt:lpstr>股权价值增加表</vt:lpstr>
      <vt:lpstr>投资和筹资活动现金流表</vt:lpstr>
      <vt:lpstr>平均资本成本表</vt:lpstr>
      <vt:lpstr>资产资本结构分析表</vt:lpstr>
      <vt:lpstr>股权价值增加分析表</vt:lpstr>
      <vt:lpstr>股东权益回报率分析表</vt:lpstr>
      <vt:lpstr>自由现金流分析表</vt:lpstr>
      <vt:lpstr>根据DCF测算价值表</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Justin</dc:creator>
  <cp:lastModifiedBy>Justin Zhang</cp:lastModifiedBy>
  <dcterms:created xsi:type="dcterms:W3CDTF">2018-12-03T08:51:04Z</dcterms:created>
  <dcterms:modified xsi:type="dcterms:W3CDTF">2019-02-11T03:23:26Z</dcterms:modified>
</cp:coreProperties>
</file>