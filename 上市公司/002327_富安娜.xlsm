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6"/>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F13" i="8" l="1"/>
  <c r="G13" i="8"/>
  <c r="H13" i="8"/>
  <c r="I13" i="8"/>
  <c r="J13" i="8"/>
  <c r="K13" i="8"/>
  <c r="L13" i="8"/>
  <c r="M13" i="8"/>
  <c r="N13" i="8"/>
  <c r="O13" i="8"/>
  <c r="P13" i="8"/>
  <c r="Q13" i="8"/>
  <c r="R13" i="8"/>
  <c r="S13" i="8"/>
  <c r="T13" i="8"/>
  <c r="U13" i="8"/>
  <c r="V13"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BI13" i="8"/>
  <c r="BJ13" i="8"/>
  <c r="BK13" i="8"/>
  <c r="BL13" i="8"/>
  <c r="BM13" i="8"/>
  <c r="BN13" i="8"/>
  <c r="BO13" i="8"/>
  <c r="BP13" i="8"/>
  <c r="BQ13" i="8"/>
  <c r="BR13" i="8"/>
  <c r="BS13" i="8"/>
  <c r="BT13" i="8"/>
  <c r="BU13" i="8"/>
  <c r="BV13" i="8"/>
  <c r="E13" i="8"/>
  <c r="E5" i="8"/>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3" i="11"/>
  <c r="G93" i="11"/>
  <c r="H93" i="11"/>
  <c r="I93" i="11"/>
  <c r="J93" i="11"/>
  <c r="K93" i="11"/>
  <c r="L93" i="11"/>
  <c r="M93" i="11"/>
  <c r="N93" i="11"/>
  <c r="O93" i="11"/>
  <c r="P93" i="11"/>
  <c r="Q93" i="11"/>
  <c r="R93" i="11"/>
  <c r="S93" i="11"/>
  <c r="T93" i="11"/>
  <c r="U93" i="11"/>
  <c r="V93" i="11"/>
  <c r="W93" i="11"/>
  <c r="X93" i="11"/>
  <c r="Y93" i="11"/>
  <c r="Z93" i="11"/>
  <c r="AA93" i="11"/>
  <c r="AB93" i="11"/>
  <c r="AC93" i="11"/>
  <c r="AD93" i="11"/>
  <c r="AE93" i="11"/>
  <c r="AF93" i="11"/>
  <c r="AG93" i="11"/>
  <c r="AH93" i="11"/>
  <c r="AI93" i="11"/>
  <c r="AJ93" i="11"/>
  <c r="AK93" i="11"/>
  <c r="AL93" i="11"/>
  <c r="AM93" i="11"/>
  <c r="AN93" i="11"/>
  <c r="AO93" i="11"/>
  <c r="AP93" i="11"/>
  <c r="AQ93" i="11"/>
  <c r="AR93" i="11"/>
  <c r="AS93"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E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7" i="11"/>
  <c r="G87" i="11"/>
  <c r="H87" i="11"/>
  <c r="I87" i="11"/>
  <c r="J87" i="11"/>
  <c r="K87" i="11"/>
  <c r="L87" i="11"/>
  <c r="M87" i="11"/>
  <c r="N87" i="11"/>
  <c r="O87" i="11"/>
  <c r="P87" i="11"/>
  <c r="Q87" i="11"/>
  <c r="R87" i="11"/>
  <c r="S87" i="11"/>
  <c r="T87" i="11"/>
  <c r="U87" i="11"/>
  <c r="V87" i="11"/>
  <c r="W87" i="11"/>
  <c r="X87" i="11"/>
  <c r="Y87" i="11"/>
  <c r="Z87" i="11"/>
  <c r="AA87" i="11"/>
  <c r="AB87" i="11"/>
  <c r="AC87" i="11"/>
  <c r="AD87" i="11"/>
  <c r="AE87" i="11"/>
  <c r="AF87" i="11"/>
  <c r="AG87" i="11"/>
  <c r="AH87" i="11"/>
  <c r="AI87" i="11"/>
  <c r="AJ87" i="11"/>
  <c r="AK87" i="11"/>
  <c r="AL87" i="11"/>
  <c r="AM87" i="11"/>
  <c r="AN87" i="11"/>
  <c r="AO87" i="11"/>
  <c r="AP87" i="11"/>
  <c r="AQ87" i="11"/>
  <c r="AR87" i="11"/>
  <c r="AS87"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E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5" i="11"/>
  <c r="G85" i="11"/>
  <c r="H85" i="11"/>
  <c r="I85" i="11"/>
  <c r="J85" i="11"/>
  <c r="K85" i="11"/>
  <c r="L85" i="11"/>
  <c r="M85" i="11"/>
  <c r="N85" i="11"/>
  <c r="O85" i="11"/>
  <c r="P85" i="11"/>
  <c r="Q85" i="11"/>
  <c r="R85" i="11"/>
  <c r="S85" i="11"/>
  <c r="T85" i="11"/>
  <c r="U85" i="11"/>
  <c r="V85" i="11"/>
  <c r="W85" i="11"/>
  <c r="X85" i="11"/>
  <c r="Y85" i="11"/>
  <c r="Z85" i="11"/>
  <c r="AA85" i="11"/>
  <c r="AB85" i="11"/>
  <c r="AC85" i="11"/>
  <c r="AD85" i="11"/>
  <c r="AE85" i="11"/>
  <c r="AF85" i="11"/>
  <c r="AG85" i="11"/>
  <c r="AH85" i="11"/>
  <c r="AI85" i="11"/>
  <c r="AJ85" i="11"/>
  <c r="AK85" i="11"/>
  <c r="AL85" i="11"/>
  <c r="AM85" i="11"/>
  <c r="AN85" i="11"/>
  <c r="AO85" i="11"/>
  <c r="AP85" i="11"/>
  <c r="AQ85" i="11"/>
  <c r="AR85" i="11"/>
  <c r="AS85"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E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F83" i="11"/>
  <c r="G83" i="11"/>
  <c r="H83" i="11"/>
  <c r="I83" i="11"/>
  <c r="J83" i="11"/>
  <c r="K83" i="11"/>
  <c r="L83" i="11"/>
  <c r="M83" i="11"/>
  <c r="N83" i="11"/>
  <c r="O83" i="11"/>
  <c r="P83" i="11"/>
  <c r="Q83" i="11"/>
  <c r="R83" i="11"/>
  <c r="S83" i="11"/>
  <c r="T83" i="11"/>
  <c r="U83" i="11"/>
  <c r="V83" i="11"/>
  <c r="W83" i="11"/>
  <c r="X83" i="11"/>
  <c r="Y83" i="11"/>
  <c r="Z83" i="11"/>
  <c r="AA83" i="11"/>
  <c r="AB83" i="11"/>
  <c r="AC83" i="11"/>
  <c r="AD83" i="11"/>
  <c r="AE83" i="11"/>
  <c r="AF83" i="11"/>
  <c r="AG83" i="11"/>
  <c r="AH83" i="11"/>
  <c r="AI83" i="11"/>
  <c r="AJ83" i="11"/>
  <c r="AK83" i="11"/>
  <c r="AL83" i="11"/>
  <c r="AM83" i="11"/>
  <c r="AN83" i="11"/>
  <c r="AO83" i="11"/>
  <c r="AP83" i="11"/>
  <c r="AQ83" i="11"/>
  <c r="AR83" i="11"/>
  <c r="AS83" i="11"/>
  <c r="AT83" i="11"/>
  <c r="AU83" i="11"/>
  <c r="AV83" i="11"/>
  <c r="AW83" i="11"/>
  <c r="AX83" i="11"/>
  <c r="AY83" i="11"/>
  <c r="AZ83" i="11"/>
  <c r="BA83" i="11"/>
  <c r="BB83" i="11"/>
  <c r="BC83" i="11"/>
  <c r="BD83" i="11"/>
  <c r="BE83" i="11"/>
  <c r="BF83" i="11"/>
  <c r="BG83" i="11"/>
  <c r="BH83" i="11"/>
  <c r="BI83" i="11"/>
  <c r="BJ83" i="11"/>
  <c r="BK83" i="11"/>
  <c r="BL83" i="11"/>
  <c r="BM83" i="11"/>
  <c r="BN83" i="11"/>
  <c r="BO83" i="11"/>
  <c r="BP83" i="11"/>
  <c r="BQ83" i="11"/>
  <c r="BR83" i="11"/>
  <c r="BS83" i="11"/>
  <c r="BT83" i="11"/>
  <c r="BU83" i="11"/>
  <c r="BV83" i="11"/>
  <c r="BW83" i="11"/>
  <c r="BX83" i="11"/>
  <c r="BY83" i="11"/>
  <c r="BZ83" i="11"/>
  <c r="CA83" i="11"/>
  <c r="CB83" i="11"/>
  <c r="CC83" i="11"/>
  <c r="CD83" i="11"/>
  <c r="CE83" i="11"/>
  <c r="CF83" i="11"/>
  <c r="CG83" i="11"/>
  <c r="CH83" i="11"/>
  <c r="CI83" i="11"/>
  <c r="CJ83" i="11"/>
  <c r="CK83" i="11"/>
  <c r="E83" i="11"/>
  <c r="F82" i="11"/>
  <c r="G82" i="11"/>
  <c r="H82" i="11"/>
  <c r="I82" i="11"/>
  <c r="J82" i="11"/>
  <c r="K82" i="11"/>
  <c r="L82" i="11"/>
  <c r="M82" i="11"/>
  <c r="N82" i="11"/>
  <c r="O82" i="11"/>
  <c r="P82" i="11"/>
  <c r="Q82" i="11"/>
  <c r="R82" i="11"/>
  <c r="S82" i="11"/>
  <c r="T82" i="11"/>
  <c r="U82" i="11"/>
  <c r="V82" i="11"/>
  <c r="W82" i="11"/>
  <c r="X82" i="11"/>
  <c r="Y82" i="11"/>
  <c r="Z82" i="11"/>
  <c r="AA82" i="11"/>
  <c r="AB82" i="11"/>
  <c r="AC82" i="11"/>
  <c r="AD82" i="11"/>
  <c r="AE82" i="11"/>
  <c r="AF82" i="11"/>
  <c r="AG82" i="11"/>
  <c r="AH82" i="11"/>
  <c r="AI82" i="11"/>
  <c r="AJ82"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E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S81" i="1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I24" i="9"/>
  <c r="E24" i="9"/>
  <c r="F56" i="6"/>
  <c r="G56" i="6"/>
  <c r="H56" i="6"/>
  <c r="I56" i="6"/>
  <c r="J56" i="6"/>
  <c r="K56" i="6"/>
  <c r="L56" i="6"/>
  <c r="M56" i="6"/>
  <c r="N56" i="6"/>
  <c r="O56" i="6"/>
  <c r="P56" i="6"/>
  <c r="Q56" i="6"/>
  <c r="R56" i="6"/>
  <c r="S56" i="6"/>
  <c r="T56" i="6"/>
  <c r="U56" i="6"/>
  <c r="V56" i="6"/>
  <c r="W56" i="6"/>
  <c r="X56" i="6"/>
  <c r="Y56" i="6"/>
  <c r="Z56" i="6"/>
  <c r="AA56" i="6"/>
  <c r="AB56" i="6"/>
  <c r="AC56" i="6"/>
  <c r="AD56" i="6"/>
  <c r="AE56" i="6"/>
  <c r="AF56" i="6"/>
  <c r="AG56" i="6"/>
  <c r="AH56" i="6"/>
  <c r="AI56" i="6"/>
  <c r="AJ56" i="6"/>
  <c r="AK56" i="6"/>
  <c r="AL56" i="6"/>
  <c r="AM56" i="6"/>
  <c r="AN56" i="6"/>
  <c r="AO56" i="6"/>
  <c r="AP56" i="6"/>
  <c r="AQ56" i="6"/>
  <c r="AR56" i="6"/>
  <c r="AS56"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44" i="11" l="1"/>
  <c r="CL27" i="9"/>
  <c r="B54" i="13" l="1"/>
  <c r="B51" i="13"/>
  <c r="B46" i="13"/>
  <c r="S40" i="13"/>
  <c r="R40" i="13"/>
  <c r="Q40" i="13"/>
  <c r="P40" i="13"/>
  <c r="O40" i="13"/>
  <c r="N40" i="13"/>
  <c r="M40" i="13"/>
  <c r="L40" i="13"/>
  <c r="K40" i="13"/>
  <c r="J40" i="13"/>
  <c r="I40" i="13"/>
  <c r="H40" i="13"/>
  <c r="G40" i="13"/>
  <c r="F40" i="13"/>
  <c r="E40" i="13"/>
  <c r="D40" i="13"/>
  <c r="B31" i="13"/>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H25" i="12" s="1"/>
  <c r="CG19" i="12"/>
  <c r="CG25" i="12" s="1"/>
  <c r="CF19" i="12"/>
  <c r="CE19" i="12"/>
  <c r="CE25" i="12" s="1"/>
  <c r="CD19" i="12"/>
  <c r="CC19" i="12"/>
  <c r="CB19" i="12"/>
  <c r="CA19" i="12"/>
  <c r="BZ19" i="12"/>
  <c r="BZ25" i="12" s="1"/>
  <c r="BY19" i="12"/>
  <c r="BY25" i="12" s="1"/>
  <c r="BX19" i="12"/>
  <c r="BW19" i="12"/>
  <c r="BW25" i="12" s="1"/>
  <c r="BV19" i="12"/>
  <c r="BU19" i="12"/>
  <c r="BU25" i="12" s="1"/>
  <c r="BT19" i="12"/>
  <c r="BS19" i="12"/>
  <c r="BR19" i="12"/>
  <c r="BR25" i="12" s="1"/>
  <c r="BQ19" i="12"/>
  <c r="BQ25" i="12" s="1"/>
  <c r="BP19" i="12"/>
  <c r="BO19" i="12"/>
  <c r="BO25" i="12" s="1"/>
  <c r="BN19" i="12"/>
  <c r="BM19" i="12"/>
  <c r="BM25" i="12" s="1"/>
  <c r="BL19" i="12"/>
  <c r="BK19" i="12"/>
  <c r="BJ19" i="12"/>
  <c r="BJ25" i="12" s="1"/>
  <c r="BI19" i="12"/>
  <c r="BI25" i="12" s="1"/>
  <c r="BH19" i="12"/>
  <c r="BG19" i="12"/>
  <c r="BG25" i="12" s="1"/>
  <c r="BF19" i="12"/>
  <c r="BE19" i="12"/>
  <c r="BE25" i="12" s="1"/>
  <c r="BD19" i="12"/>
  <c r="BC19" i="12"/>
  <c r="BB19" i="12"/>
  <c r="BB25" i="12" s="1"/>
  <c r="BA19" i="12"/>
  <c r="BA25" i="12" s="1"/>
  <c r="AZ19" i="12"/>
  <c r="AY19" i="12"/>
  <c r="AY25" i="12" s="1"/>
  <c r="AX19" i="12"/>
  <c r="AW19" i="12"/>
  <c r="AW25" i="12" s="1"/>
  <c r="AV19" i="12"/>
  <c r="AU19" i="12"/>
  <c r="AT19" i="12"/>
  <c r="AT25" i="12" s="1"/>
  <c r="AS19" i="12"/>
  <c r="AS25" i="12" s="1"/>
  <c r="AR19" i="12"/>
  <c r="AQ19" i="12"/>
  <c r="AQ25" i="12" s="1"/>
  <c r="AP19" i="12"/>
  <c r="AO19" i="12"/>
  <c r="AO25" i="12" s="1"/>
  <c r="AN19" i="12"/>
  <c r="AM19" i="12"/>
  <c r="AL19" i="12"/>
  <c r="AL25" i="12" s="1"/>
  <c r="AK19" i="12"/>
  <c r="AK25" i="12" s="1"/>
  <c r="AJ19" i="12"/>
  <c r="AI19" i="12"/>
  <c r="AI25" i="12" s="1"/>
  <c r="AH19" i="12"/>
  <c r="AG19" i="12"/>
  <c r="AG25" i="12" s="1"/>
  <c r="AF19" i="12"/>
  <c r="AE19" i="12"/>
  <c r="AD19" i="12"/>
  <c r="AD25" i="12" s="1"/>
  <c r="AC19" i="12"/>
  <c r="AC25" i="12" s="1"/>
  <c r="AB19" i="12"/>
  <c r="AA19" i="12"/>
  <c r="AA25" i="12" s="1"/>
  <c r="Z19" i="12"/>
  <c r="Y19" i="12"/>
  <c r="Y25" i="12" s="1"/>
  <c r="X19" i="12"/>
  <c r="W19" i="12"/>
  <c r="V19" i="12"/>
  <c r="V25" i="12" s="1"/>
  <c r="U19" i="12"/>
  <c r="U25" i="12" s="1"/>
  <c r="T19" i="12"/>
  <c r="S19" i="12"/>
  <c r="S25" i="12" s="1"/>
  <c r="R19" i="12"/>
  <c r="Q19" i="12"/>
  <c r="Q25" i="12" s="1"/>
  <c r="P19" i="12"/>
  <c r="O19" i="12"/>
  <c r="N19" i="12"/>
  <c r="N25" i="12" s="1"/>
  <c r="M19" i="12"/>
  <c r="M25" i="12" s="1"/>
  <c r="L19" i="12"/>
  <c r="K19" i="12"/>
  <c r="K25" i="12" s="1"/>
  <c r="J19" i="12"/>
  <c r="I19" i="12"/>
  <c r="I25" i="12" s="1"/>
  <c r="H19" i="12"/>
  <c r="G19" i="12"/>
  <c r="F19" i="12"/>
  <c r="F25" i="12" s="1"/>
  <c r="E19" i="12"/>
  <c r="E25" i="12" s="1"/>
  <c r="CL17" i="12"/>
  <c r="CK17" i="12"/>
  <c r="CL16" i="12"/>
  <c r="CK15" i="12"/>
  <c r="CK14" i="12"/>
  <c r="CK16" i="12" s="1"/>
  <c r="CJ14" i="12"/>
  <c r="CI14" i="12"/>
  <c r="CH14" i="12"/>
  <c r="CG14" i="12"/>
  <c r="CF14" i="12"/>
  <c r="CE14" i="12"/>
  <c r="CE26" i="12" s="1"/>
  <c r="CE27" i="12" s="1"/>
  <c r="CD14" i="12"/>
  <c r="CC14" i="12"/>
  <c r="CB14" i="12"/>
  <c r="CA14" i="12"/>
  <c r="BZ14" i="12"/>
  <c r="BY14" i="12"/>
  <c r="BX14" i="12"/>
  <c r="BW14" i="12"/>
  <c r="BW26" i="12" s="1"/>
  <c r="BW27" i="12" s="1"/>
  <c r="BV14" i="12"/>
  <c r="BU14" i="12"/>
  <c r="BT14" i="12"/>
  <c r="BS14" i="12"/>
  <c r="BR14" i="12"/>
  <c r="BQ14" i="12"/>
  <c r="BP14" i="12"/>
  <c r="BO14" i="12"/>
  <c r="BO26" i="12" s="1"/>
  <c r="BO27" i="12" s="1"/>
  <c r="BN14" i="12"/>
  <c r="BM14" i="12"/>
  <c r="BL14" i="12"/>
  <c r="BK14" i="12"/>
  <c r="BJ14" i="12"/>
  <c r="BI14" i="12"/>
  <c r="BH14" i="12"/>
  <c r="BG14" i="12"/>
  <c r="BG26" i="12" s="1"/>
  <c r="BG27" i="12" s="1"/>
  <c r="BF14" i="12"/>
  <c r="BE14" i="12"/>
  <c r="BD14" i="12"/>
  <c r="BC14" i="12"/>
  <c r="BB14" i="12"/>
  <c r="BA14" i="12"/>
  <c r="AZ14" i="12"/>
  <c r="AY14" i="12"/>
  <c r="AY26" i="12" s="1"/>
  <c r="AY27" i="12" s="1"/>
  <c r="AX14" i="12"/>
  <c r="AW14" i="12"/>
  <c r="AV14" i="12"/>
  <c r="AU14" i="12"/>
  <c r="AT14" i="12"/>
  <c r="AS14" i="12"/>
  <c r="AR14" i="12"/>
  <c r="AQ14" i="12"/>
  <c r="AQ26" i="12" s="1"/>
  <c r="AQ27" i="12" s="1"/>
  <c r="AP14" i="12"/>
  <c r="AO14" i="12"/>
  <c r="AN14" i="12"/>
  <c r="AM14" i="12"/>
  <c r="AL14" i="12"/>
  <c r="AK14" i="12"/>
  <c r="AJ14" i="12"/>
  <c r="AI14" i="12"/>
  <c r="AI26" i="12" s="1"/>
  <c r="AI27" i="12" s="1"/>
  <c r="AH14" i="12"/>
  <c r="AG14" i="12"/>
  <c r="AF14" i="12"/>
  <c r="AE14" i="12"/>
  <c r="AD14" i="12"/>
  <c r="AC14" i="12"/>
  <c r="AB14" i="12"/>
  <c r="AA14" i="12"/>
  <c r="AA26" i="12" s="1"/>
  <c r="AA27" i="12" s="1"/>
  <c r="Z14" i="12"/>
  <c r="Y14" i="12"/>
  <c r="X14" i="12"/>
  <c r="W14" i="12"/>
  <c r="V14" i="12"/>
  <c r="U14" i="12"/>
  <c r="T14" i="12"/>
  <c r="S14" i="12"/>
  <c r="S26" i="12" s="1"/>
  <c r="S27" i="12" s="1"/>
  <c r="R14" i="12"/>
  <c r="Q14" i="12"/>
  <c r="P14" i="12"/>
  <c r="O14" i="12"/>
  <c r="N14" i="12"/>
  <c r="M14" i="12"/>
  <c r="L14" i="12"/>
  <c r="K14" i="12"/>
  <c r="K26" i="12" s="1"/>
  <c r="K27" i="12" s="1"/>
  <c r="J14" i="12"/>
  <c r="I14" i="12"/>
  <c r="H14" i="12"/>
  <c r="G14" i="12"/>
  <c r="F14" i="12"/>
  <c r="E14" i="12"/>
  <c r="CI12" i="12"/>
  <c r="W12"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J12" i="12" s="1"/>
  <c r="CI8" i="12"/>
  <c r="CH8" i="12"/>
  <c r="CG8" i="12"/>
  <c r="CG12" i="12" s="1"/>
  <c r="CF8" i="12"/>
  <c r="CF12" i="12" s="1"/>
  <c r="CE8" i="12"/>
  <c r="CE12" i="12" s="1"/>
  <c r="CD8" i="12"/>
  <c r="CD12" i="12" s="1"/>
  <c r="CC8" i="12"/>
  <c r="CB8" i="12"/>
  <c r="CB12" i="12" s="1"/>
  <c r="CA8" i="12"/>
  <c r="CA12" i="12" s="1"/>
  <c r="BZ8" i="12"/>
  <c r="BY8" i="12"/>
  <c r="BY12" i="12" s="1"/>
  <c r="BX8" i="12"/>
  <c r="BX12" i="12" s="1"/>
  <c r="BW8" i="12"/>
  <c r="BW12" i="12" s="1"/>
  <c r="BV8" i="12"/>
  <c r="BV12" i="12" s="1"/>
  <c r="BU8" i="12"/>
  <c r="BT8" i="12"/>
  <c r="BT12" i="12" s="1"/>
  <c r="BS8" i="12"/>
  <c r="BS12" i="12" s="1"/>
  <c r="BR8" i="12"/>
  <c r="BQ8" i="12"/>
  <c r="BQ12" i="12" s="1"/>
  <c r="BP8" i="12"/>
  <c r="BP12" i="12" s="1"/>
  <c r="BO8" i="12"/>
  <c r="BO12" i="12" s="1"/>
  <c r="BN8" i="12"/>
  <c r="BN12" i="12" s="1"/>
  <c r="BM8" i="12"/>
  <c r="BL8" i="12"/>
  <c r="BL12" i="12" s="1"/>
  <c r="BK8" i="12"/>
  <c r="BK12" i="12" s="1"/>
  <c r="BJ8" i="12"/>
  <c r="BI8" i="12"/>
  <c r="BI12" i="12" s="1"/>
  <c r="BH8" i="12"/>
  <c r="BH12" i="12" s="1"/>
  <c r="BG8" i="12"/>
  <c r="BG12" i="12" s="1"/>
  <c r="BF8" i="12"/>
  <c r="BF12" i="12" s="1"/>
  <c r="BE8" i="12"/>
  <c r="BD8" i="12"/>
  <c r="BD12" i="12" s="1"/>
  <c r="BC8" i="12"/>
  <c r="BC12" i="12" s="1"/>
  <c r="BB8" i="12"/>
  <c r="BA8" i="12"/>
  <c r="BA12" i="12" s="1"/>
  <c r="AZ8" i="12"/>
  <c r="AZ12" i="12" s="1"/>
  <c r="AY8" i="12"/>
  <c r="AY12" i="12" s="1"/>
  <c r="AX8" i="12"/>
  <c r="AX12" i="12" s="1"/>
  <c r="AW8" i="12"/>
  <c r="AV8" i="12"/>
  <c r="AV12" i="12" s="1"/>
  <c r="AU8" i="12"/>
  <c r="AU12" i="12" s="1"/>
  <c r="AT8" i="12"/>
  <c r="AS8" i="12"/>
  <c r="AS12" i="12" s="1"/>
  <c r="AR8" i="12"/>
  <c r="AR12" i="12" s="1"/>
  <c r="AQ8" i="12"/>
  <c r="AQ12" i="12" s="1"/>
  <c r="AP8" i="12"/>
  <c r="AP12" i="12" s="1"/>
  <c r="AO8" i="12"/>
  <c r="AN8" i="12"/>
  <c r="AN12" i="12" s="1"/>
  <c r="AM8" i="12"/>
  <c r="AM12" i="12" s="1"/>
  <c r="AL8" i="12"/>
  <c r="AK8" i="12"/>
  <c r="AK12" i="12" s="1"/>
  <c r="AJ8" i="12"/>
  <c r="AJ12" i="12" s="1"/>
  <c r="AI8" i="12"/>
  <c r="AI12" i="12" s="1"/>
  <c r="AH8" i="12"/>
  <c r="AH12" i="12" s="1"/>
  <c r="AG8" i="12"/>
  <c r="AF8" i="12"/>
  <c r="AF12" i="12" s="1"/>
  <c r="AE8" i="12"/>
  <c r="AE12" i="12" s="1"/>
  <c r="AD8" i="12"/>
  <c r="AC8" i="12"/>
  <c r="AC12" i="12" s="1"/>
  <c r="AB8" i="12"/>
  <c r="AB12" i="12" s="1"/>
  <c r="AA8" i="12"/>
  <c r="AA12" i="12" s="1"/>
  <c r="Z8" i="12"/>
  <c r="Z12" i="12" s="1"/>
  <c r="Y8" i="12"/>
  <c r="X8" i="12"/>
  <c r="X12" i="12" s="1"/>
  <c r="W8" i="12"/>
  <c r="V8" i="12"/>
  <c r="U8" i="12"/>
  <c r="U12" i="12" s="1"/>
  <c r="T8" i="12"/>
  <c r="T12" i="12" s="1"/>
  <c r="S8" i="12"/>
  <c r="S12" i="12" s="1"/>
  <c r="R8" i="12"/>
  <c r="R12" i="12" s="1"/>
  <c r="Q8" i="12"/>
  <c r="P8" i="12"/>
  <c r="P12" i="12" s="1"/>
  <c r="O8" i="12"/>
  <c r="O12" i="12" s="1"/>
  <c r="N8" i="12"/>
  <c r="M8" i="12"/>
  <c r="M12" i="12" s="1"/>
  <c r="L8" i="12"/>
  <c r="L12" i="12" s="1"/>
  <c r="K8" i="12"/>
  <c r="K12" i="12" s="1"/>
  <c r="J8" i="12"/>
  <c r="J12" i="12" s="1"/>
  <c r="I8" i="12"/>
  <c r="H8" i="12"/>
  <c r="H12" i="12" s="1"/>
  <c r="G8" i="12"/>
  <c r="G12" i="12" s="1"/>
  <c r="F8" i="12"/>
  <c r="E8" i="12"/>
  <c r="E12" i="12" s="1"/>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K57" i="11" s="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D57" i="11" s="1"/>
  <c r="AC49" i="11"/>
  <c r="AB49" i="11"/>
  <c r="AB63" i="11" s="1"/>
  <c r="AB65" i="11" s="1"/>
  <c r="AB66" i="11" s="1"/>
  <c r="AA49" i="11"/>
  <c r="AA63" i="11" s="1"/>
  <c r="Z49" i="11"/>
  <c r="Y49" i="11"/>
  <c r="Y63" i="11" s="1"/>
  <c r="X49" i="11"/>
  <c r="W49" i="11"/>
  <c r="V49" i="11"/>
  <c r="V57" i="11" s="1"/>
  <c r="U49" i="11"/>
  <c r="T49" i="11"/>
  <c r="T63" i="11" s="1"/>
  <c r="T65" i="11" s="1"/>
  <c r="T66" i="11" s="1"/>
  <c r="S49" i="11"/>
  <c r="S63" i="11" s="1"/>
  <c r="R49" i="11"/>
  <c r="Q49" i="11"/>
  <c r="Q63" i="11" s="1"/>
  <c r="P49" i="11"/>
  <c r="O49" i="11"/>
  <c r="N49" i="11"/>
  <c r="N57" i="11" s="1"/>
  <c r="M49" i="11"/>
  <c r="L49" i="11"/>
  <c r="L57" i="11" s="1"/>
  <c r="K49" i="11"/>
  <c r="K57" i="11" s="1"/>
  <c r="J49" i="11"/>
  <c r="J63" i="11" s="1"/>
  <c r="J65" i="11" s="1"/>
  <c r="J66" i="11" s="1"/>
  <c r="I49" i="11"/>
  <c r="I63" i="11" s="1"/>
  <c r="H49" i="11"/>
  <c r="H63" i="11" s="1"/>
  <c r="H65" i="11" s="1"/>
  <c r="H66" i="11" s="1"/>
  <c r="G49" i="11"/>
  <c r="F49" i="11"/>
  <c r="F57" i="11" s="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V43" i="11" s="1"/>
  <c r="U35" i="11"/>
  <c r="T35" i="11"/>
  <c r="S35" i="11"/>
  <c r="R35" i="11"/>
  <c r="Q35" i="11"/>
  <c r="P35" i="11"/>
  <c r="O35" i="11"/>
  <c r="N35" i="11"/>
  <c r="N43" i="11" s="1"/>
  <c r="M35" i="11"/>
  <c r="L35" i="11"/>
  <c r="K35" i="11"/>
  <c r="J35" i="11"/>
  <c r="I35" i="11"/>
  <c r="H35" i="11"/>
  <c r="G35" i="11"/>
  <c r="F35" i="11"/>
  <c r="F43" i="11" s="1"/>
  <c r="E35" i="11"/>
  <c r="CJ34" i="11"/>
  <c r="CI34" i="11"/>
  <c r="CH34" i="11"/>
  <c r="CG34" i="11"/>
  <c r="CF34" i="11"/>
  <c r="CE34" i="11"/>
  <c r="CD34" i="11"/>
  <c r="CC34" i="11"/>
  <c r="CB34" i="11"/>
  <c r="CA34" i="11"/>
  <c r="BZ34" i="11"/>
  <c r="BY34" i="11"/>
  <c r="BX34" i="11"/>
  <c r="BX43" i="11" s="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D28" i="11"/>
  <c r="AT28" i="11"/>
  <c r="CK27" i="11"/>
  <c r="CJ27" i="11"/>
  <c r="CI27" i="11"/>
  <c r="CH27" i="11"/>
  <c r="CG27" i="11"/>
  <c r="CF27" i="11"/>
  <c r="CF28" i="11" s="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J28" i="11" s="1"/>
  <c r="BI27" i="11"/>
  <c r="BH27" i="11"/>
  <c r="BG27" i="11"/>
  <c r="BF27" i="11"/>
  <c r="BF28" i="11" s="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S28" i="11" s="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S26" i="11"/>
  <c r="AS28" i="11" s="1"/>
  <c r="AR26" i="11"/>
  <c r="AQ26" i="11"/>
  <c r="AQ28" i="11" s="1"/>
  <c r="AP26" i="11"/>
  <c r="AP28" i="11" s="1"/>
  <c r="AO26" i="11"/>
  <c r="AN26" i="11"/>
  <c r="AN28" i="11" s="1"/>
  <c r="AM26" i="11"/>
  <c r="AL26" i="11"/>
  <c r="AL28" i="11" s="1"/>
  <c r="AK26" i="11"/>
  <c r="AK28" i="11" s="1"/>
  <c r="AJ26" i="11"/>
  <c r="AI26" i="11"/>
  <c r="AI28" i="11" s="1"/>
  <c r="AH26" i="11"/>
  <c r="AH28" i="11" s="1"/>
  <c r="AG26" i="11"/>
  <c r="AF26" i="11"/>
  <c r="AF28" i="11" s="1"/>
  <c r="AE26" i="11"/>
  <c r="AD26" i="11"/>
  <c r="AD28" i="11" s="1"/>
  <c r="AC26" i="11"/>
  <c r="AC28" i="11" s="1"/>
  <c r="AB26" i="11"/>
  <c r="AA26" i="11"/>
  <c r="AA28" i="11" s="1"/>
  <c r="Z26" i="11"/>
  <c r="Z28" i="11" s="1"/>
  <c r="Y26" i="11"/>
  <c r="X26" i="11"/>
  <c r="X28" i="11" s="1"/>
  <c r="W26" i="11"/>
  <c r="V26" i="11"/>
  <c r="V28" i="11" s="1"/>
  <c r="U26" i="11"/>
  <c r="U28" i="11" s="1"/>
  <c r="T26" i="11"/>
  <c r="S26" i="11"/>
  <c r="R26" i="11"/>
  <c r="R28" i="11" s="1"/>
  <c r="Q26" i="11"/>
  <c r="P26" i="11"/>
  <c r="P28" i="11" s="1"/>
  <c r="O26" i="11"/>
  <c r="N26" i="11"/>
  <c r="N28" i="11" s="1"/>
  <c r="M26" i="11"/>
  <c r="M28" i="11" s="1"/>
  <c r="L26" i="11"/>
  <c r="K26" i="11"/>
  <c r="K28" i="11" s="1"/>
  <c r="J26" i="11"/>
  <c r="J28" i="11" s="1"/>
  <c r="I26" i="11"/>
  <c r="H26" i="11"/>
  <c r="H28" i="11" s="1"/>
  <c r="G26" i="11"/>
  <c r="F26" i="11"/>
  <c r="F28" i="11" s="1"/>
  <c r="E26" i="11"/>
  <c r="E28" i="11" s="1"/>
  <c r="CK21" i="11"/>
  <c r="CK20" i="11"/>
  <c r="CJ20" i="11"/>
  <c r="CI20" i="11"/>
  <c r="CH20" i="11"/>
  <c r="CG20" i="11"/>
  <c r="CF20" i="11"/>
  <c r="CE20" i="11"/>
  <c r="CD20" i="11"/>
  <c r="CC20" i="11"/>
  <c r="CB20" i="11"/>
  <c r="CA20" i="11"/>
  <c r="BZ20" i="11"/>
  <c r="BY20" i="11"/>
  <c r="BX20" i="11"/>
  <c r="BW20" i="11"/>
  <c r="BV20" i="11"/>
  <c r="BU20" i="11"/>
  <c r="BT20" i="11"/>
  <c r="BS20" i="11"/>
  <c r="BR20" i="11"/>
  <c r="BQ20" i="11"/>
  <c r="BP20"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AF18" i="10"/>
  <c r="AE18" i="10"/>
  <c r="AD18" i="10"/>
  <c r="P18" i="10"/>
  <c r="O18" i="10"/>
  <c r="N18" i="10"/>
  <c r="L18" i="10"/>
  <c r="K18" i="10"/>
  <c r="J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P6" i="10" s="1"/>
  <c r="O4" i="10"/>
  <c r="N4" i="10"/>
  <c r="N6" i="10" s="1"/>
  <c r="M4" i="10"/>
  <c r="M6" i="10" s="1"/>
  <c r="L4" i="10"/>
  <c r="L6" i="10" s="1"/>
  <c r="K4" i="10"/>
  <c r="K6" i="10" s="1"/>
  <c r="J4" i="10"/>
  <c r="I4" i="10"/>
  <c r="H4" i="10"/>
  <c r="H6" i="10" s="1"/>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F19" i="10" s="1"/>
  <c r="AE2" i="10"/>
  <c r="AD2" i="10"/>
  <c r="AD3" i="10" s="1"/>
  <c r="AC2" i="10"/>
  <c r="AC5" i="10" s="1"/>
  <c r="AB2" i="10"/>
  <c r="AA2" i="10"/>
  <c r="Z2" i="10"/>
  <c r="Y2" i="10"/>
  <c r="X2" i="10"/>
  <c r="W2" i="10"/>
  <c r="V2" i="10"/>
  <c r="V3" i="10" s="1"/>
  <c r="U2" i="10"/>
  <c r="U5" i="10" s="1"/>
  <c r="T2" i="10"/>
  <c r="S2" i="10"/>
  <c r="R2" i="10"/>
  <c r="Q2" i="10"/>
  <c r="P2" i="10"/>
  <c r="P19" i="10" s="1"/>
  <c r="O2" i="10"/>
  <c r="N2" i="10"/>
  <c r="N3" i="10" s="1"/>
  <c r="M2" i="10"/>
  <c r="M5" i="10" s="1"/>
  <c r="L2" i="10"/>
  <c r="L19" i="10" s="1"/>
  <c r="K2" i="10"/>
  <c r="K19" i="10" s="1"/>
  <c r="J2" i="10"/>
  <c r="I2" i="10"/>
  <c r="H2" i="10"/>
  <c r="H19" i="10" s="1"/>
  <c r="G2" i="10"/>
  <c r="F2" i="10"/>
  <c r="F3" i="10" s="1"/>
  <c r="E2" i="10"/>
  <c r="E5" i="10" s="1"/>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BU45" i="7"/>
  <c r="BU48" i="7" s="1"/>
  <c r="BT45" i="7"/>
  <c r="BT48" i="7" s="1"/>
  <c r="BS45" i="7"/>
  <c r="BS48" i="7" s="1"/>
  <c r="BR45" i="7"/>
  <c r="BR48" i="7" s="1"/>
  <c r="BQ45" i="7"/>
  <c r="BQ48" i="7" s="1"/>
  <c r="BP45" i="7"/>
  <c r="BP48" i="7" s="1"/>
  <c r="BO45" i="7"/>
  <c r="BO48" i="7" s="1"/>
  <c r="BN45" i="7"/>
  <c r="BN48" i="7" s="1"/>
  <c r="BM45" i="7"/>
  <c r="BM48" i="7" s="1"/>
  <c r="BL45" i="7"/>
  <c r="BL48" i="7" s="1"/>
  <c r="BK45" i="7"/>
  <c r="BK48" i="7" s="1"/>
  <c r="BJ45" i="7"/>
  <c r="BJ48" i="7" s="1"/>
  <c r="BI45" i="7"/>
  <c r="BI48" i="7" s="1"/>
  <c r="BH45" i="7"/>
  <c r="BH48" i="7" s="1"/>
  <c r="BG45" i="7"/>
  <c r="BG48" i="7" s="1"/>
  <c r="BF45" i="7"/>
  <c r="BF48" i="7" s="1"/>
  <c r="BE45" i="7"/>
  <c r="BE48" i="7" s="1"/>
  <c r="BD45" i="7"/>
  <c r="BD48" i="7" s="1"/>
  <c r="BC45" i="7"/>
  <c r="BC48" i="7" s="1"/>
  <c r="BB45" i="7"/>
  <c r="BB48" i="7" s="1"/>
  <c r="BA45" i="7"/>
  <c r="BA48" i="7" s="1"/>
  <c r="AZ45" i="7"/>
  <c r="AZ48" i="7" s="1"/>
  <c r="AY45" i="7"/>
  <c r="AY48" i="7" s="1"/>
  <c r="AX45" i="7"/>
  <c r="AX48" i="7" s="1"/>
  <c r="AW45" i="7"/>
  <c r="AW48" i="7" s="1"/>
  <c r="AV45" i="7"/>
  <c r="AV48" i="7" s="1"/>
  <c r="AU45" i="7"/>
  <c r="AU48" i="7" s="1"/>
  <c r="AT45" i="7"/>
  <c r="AT48" i="7" s="1"/>
  <c r="AS45" i="7"/>
  <c r="AS48" i="7" s="1"/>
  <c r="AR45" i="7"/>
  <c r="AR48" i="7" s="1"/>
  <c r="AQ45" i="7"/>
  <c r="AQ48" i="7" s="1"/>
  <c r="AP45" i="7"/>
  <c r="AP48" i="7" s="1"/>
  <c r="AO45" i="7"/>
  <c r="AO48" i="7" s="1"/>
  <c r="AN45" i="7"/>
  <c r="AN48" i="7" s="1"/>
  <c r="AM45" i="7"/>
  <c r="AM48" i="7" s="1"/>
  <c r="AL45" i="7"/>
  <c r="AL48" i="7" s="1"/>
  <c r="AK45" i="7"/>
  <c r="AK48" i="7" s="1"/>
  <c r="AJ45" i="7"/>
  <c r="AJ48" i="7" s="1"/>
  <c r="AI45" i="7"/>
  <c r="AI48" i="7" s="1"/>
  <c r="AH45" i="7"/>
  <c r="AH48" i="7" s="1"/>
  <c r="AG45" i="7"/>
  <c r="AG48" i="7" s="1"/>
  <c r="AF45" i="7"/>
  <c r="AF48" i="7" s="1"/>
  <c r="AE45" i="7"/>
  <c r="AE48" i="7" s="1"/>
  <c r="AD45" i="7"/>
  <c r="AD48" i="7" s="1"/>
  <c r="AC45" i="7"/>
  <c r="AC48" i="7" s="1"/>
  <c r="AB45" i="7"/>
  <c r="AB48" i="7" s="1"/>
  <c r="AA45" i="7"/>
  <c r="AA48" i="7" s="1"/>
  <c r="Z45" i="7"/>
  <c r="Z48" i="7" s="1"/>
  <c r="Y45" i="7"/>
  <c r="Y48" i="7" s="1"/>
  <c r="X45" i="7"/>
  <c r="X48" i="7" s="1"/>
  <c r="W45" i="7"/>
  <c r="W48" i="7" s="1"/>
  <c r="V45" i="7"/>
  <c r="V48" i="7" s="1"/>
  <c r="U45" i="7"/>
  <c r="U48" i="7" s="1"/>
  <c r="T45" i="7"/>
  <c r="T48" i="7" s="1"/>
  <c r="S45" i="7"/>
  <c r="S48" i="7" s="1"/>
  <c r="R45" i="7"/>
  <c r="R48" i="7" s="1"/>
  <c r="Q45" i="7"/>
  <c r="Q48" i="7" s="1"/>
  <c r="P45" i="7"/>
  <c r="P48" i="7" s="1"/>
  <c r="O45" i="7"/>
  <c r="O48" i="7" s="1"/>
  <c r="N45" i="7"/>
  <c r="N48" i="7" s="1"/>
  <c r="M45" i="7"/>
  <c r="M48" i="7" s="1"/>
  <c r="L45" i="7"/>
  <c r="L48" i="7" s="1"/>
  <c r="K45" i="7"/>
  <c r="K48" i="7" s="1"/>
  <c r="J45" i="7"/>
  <c r="J48" i="7" s="1"/>
  <c r="I45" i="7"/>
  <c r="I48" i="7" s="1"/>
  <c r="H45" i="7"/>
  <c r="H48" i="7" s="1"/>
  <c r="G45" i="7"/>
  <c r="G48" i="7" s="1"/>
  <c r="F45" i="7"/>
  <c r="F48" i="7" s="1"/>
  <c r="E45" i="7"/>
  <c r="E48" i="7" s="1"/>
  <c r="BU42" i="7"/>
  <c r="BT42" i="7"/>
  <c r="BS42" i="7"/>
  <c r="BR42" i="7"/>
  <c r="BQ42" i="7"/>
  <c r="BP42" i="7"/>
  <c r="BO42" i="7"/>
  <c r="BN42" i="7"/>
  <c r="BM42" i="7"/>
  <c r="BL42" i="7"/>
  <c r="BK42" i="7"/>
  <c r="BJ42" i="7"/>
  <c r="BI42" i="7"/>
  <c r="BH42" i="7"/>
  <c r="BG42" i="7"/>
  <c r="BF42" i="7"/>
  <c r="BE42" i="7"/>
  <c r="BD42" i="7"/>
  <c r="BC42" i="7"/>
  <c r="BB42" i="7"/>
  <c r="BA42" i="7"/>
  <c r="AZ42" i="7"/>
  <c r="AY42" i="7"/>
  <c r="AX42" i="7"/>
  <c r="AW42" i="7"/>
  <c r="AV42" i="7"/>
  <c r="AU42" i="7"/>
  <c r="AT42" i="7"/>
  <c r="AS42" i="7"/>
  <c r="AR42" i="7"/>
  <c r="AQ42" i="7"/>
  <c r="AP42" i="7"/>
  <c r="AO42" i="7"/>
  <c r="AN42" i="7"/>
  <c r="AM42" i="7"/>
  <c r="AL42" i="7"/>
  <c r="AK42" i="7"/>
  <c r="AJ42" i="7"/>
  <c r="AI42" i="7"/>
  <c r="AH42" i="7"/>
  <c r="AG42" i="7"/>
  <c r="AF42" i="7"/>
  <c r="AE42" i="7"/>
  <c r="AD42" i="7"/>
  <c r="AC42" i="7"/>
  <c r="AB42" i="7"/>
  <c r="AA42" i="7"/>
  <c r="Z42" i="7"/>
  <c r="Y42" i="7"/>
  <c r="X42" i="7"/>
  <c r="W42" i="7"/>
  <c r="V42" i="7"/>
  <c r="U42" i="7"/>
  <c r="T42" i="7"/>
  <c r="S42" i="7"/>
  <c r="R42" i="7"/>
  <c r="Q42" i="7"/>
  <c r="P42" i="7"/>
  <c r="O42" i="7"/>
  <c r="N42" i="7"/>
  <c r="M42" i="7"/>
  <c r="L42" i="7"/>
  <c r="K42" i="7"/>
  <c r="J42" i="7"/>
  <c r="I42" i="7"/>
  <c r="H42" i="7"/>
  <c r="G42" i="7"/>
  <c r="F42" i="7"/>
  <c r="E42" i="7"/>
  <c r="D35" i="7"/>
  <c r="C35" i="7"/>
  <c r="B35" i="7"/>
  <c r="BU34" i="7"/>
  <c r="BT34" i="7"/>
  <c r="BS34" i="7"/>
  <c r="BR34" i="7"/>
  <c r="BQ34" i="7"/>
  <c r="BP34" i="7"/>
  <c r="BO34" i="7"/>
  <c r="BN34" i="7"/>
  <c r="BM34" i="7"/>
  <c r="BL34" i="7"/>
  <c r="BK34" i="7"/>
  <c r="BJ34" i="7"/>
  <c r="BI34" i="7"/>
  <c r="BH34" i="7"/>
  <c r="BG34" i="7"/>
  <c r="BF34" i="7"/>
  <c r="BE34" i="7"/>
  <c r="BD34" i="7"/>
  <c r="BC34" i="7"/>
  <c r="BB34" i="7"/>
  <c r="BA34" i="7"/>
  <c r="AZ34" i="7"/>
  <c r="AY34" i="7"/>
  <c r="AX34" i="7"/>
  <c r="AW34" i="7"/>
  <c r="AV34" i="7"/>
  <c r="AU34" i="7"/>
  <c r="AT34" i="7"/>
  <c r="AS34" i="7"/>
  <c r="AO12" i="7" s="1"/>
  <c r="AR34" i="7"/>
  <c r="AQ34" i="7"/>
  <c r="AP34" i="7"/>
  <c r="AO34" i="7"/>
  <c r="AN34" i="7"/>
  <c r="AM34" i="7"/>
  <c r="AI12" i="7" s="1"/>
  <c r="AL34" i="7"/>
  <c r="AH12" i="7" s="1"/>
  <c r="AK34" i="7"/>
  <c r="AG12" i="7" s="1"/>
  <c r="AJ34" i="7"/>
  <c r="AI34" i="7"/>
  <c r="AH34" i="7"/>
  <c r="AG34" i="7"/>
  <c r="AF34" i="7"/>
  <c r="AE34" i="7"/>
  <c r="AA12" i="7" s="1"/>
  <c r="AD34" i="7"/>
  <c r="Z12" i="7" s="1"/>
  <c r="AC34" i="7"/>
  <c r="Y12" i="7" s="1"/>
  <c r="AB34" i="7"/>
  <c r="AA34" i="7"/>
  <c r="Z34" i="7"/>
  <c r="Y34" i="7"/>
  <c r="X34" i="7"/>
  <c r="W34" i="7"/>
  <c r="S12" i="7" s="1"/>
  <c r="V34" i="7"/>
  <c r="R12" i="7" s="1"/>
  <c r="U34" i="7"/>
  <c r="Q12" i="7" s="1"/>
  <c r="T34" i="7"/>
  <c r="S34" i="7"/>
  <c r="R34" i="7"/>
  <c r="Q34" i="7"/>
  <c r="P34" i="7"/>
  <c r="O34" i="7"/>
  <c r="N34" i="7"/>
  <c r="J12" i="7" s="1"/>
  <c r="M34" i="7"/>
  <c r="I12" i="7" s="1"/>
  <c r="L34" i="7"/>
  <c r="K34" i="7"/>
  <c r="J34" i="7"/>
  <c r="I34" i="7"/>
  <c r="H34" i="7"/>
  <c r="G34" i="7"/>
  <c r="F34" i="7"/>
  <c r="E34" i="7"/>
  <c r="BV23" i="7"/>
  <c r="BV35" i="7" s="1"/>
  <c r="BT22" i="7" s="1"/>
  <c r="BU22" i="7"/>
  <c r="BV21" i="7"/>
  <c r="BV19" i="7"/>
  <c r="BU17" i="7"/>
  <c r="BT17" i="7"/>
  <c r="BS17" i="7"/>
  <c r="BR17" i="7"/>
  <c r="BQ17" i="7"/>
  <c r="BP17" i="7"/>
  <c r="BO17" i="7"/>
  <c r="BN17" i="7"/>
  <c r="BM17" i="7"/>
  <c r="BL17" i="7"/>
  <c r="BK17" i="7"/>
  <c r="BJ17" i="7"/>
  <c r="BI17" i="7"/>
  <c r="BH17" i="7"/>
  <c r="BG17" i="7"/>
  <c r="BF17" i="7"/>
  <c r="BE17" i="7"/>
  <c r="BD17" i="7"/>
  <c r="BC17" i="7"/>
  <c r="BB17" i="7"/>
  <c r="BA17" i="7"/>
  <c r="AZ17" i="7"/>
  <c r="AY17" i="7"/>
  <c r="AX17" i="7"/>
  <c r="AW17" i="7"/>
  <c r="AV17" i="7"/>
  <c r="AU17" i="7"/>
  <c r="AT17" i="7"/>
  <c r="AS17" i="7"/>
  <c r="AR17" i="7"/>
  <c r="AQ17"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BV12" i="7"/>
  <c r="BU12" i="7"/>
  <c r="BT12" i="7"/>
  <c r="BS12" i="7"/>
  <c r="BR12" i="7"/>
  <c r="BQ12" i="7"/>
  <c r="BP12" i="7"/>
  <c r="BO12" i="7"/>
  <c r="BN12" i="7"/>
  <c r="BM12" i="7"/>
  <c r="BL12" i="7"/>
  <c r="BK12" i="7"/>
  <c r="BJ12" i="7"/>
  <c r="BI12" i="7"/>
  <c r="BH12" i="7"/>
  <c r="BG12" i="7"/>
  <c r="BF12" i="7"/>
  <c r="BE12" i="7"/>
  <c r="BD12" i="7"/>
  <c r="BC12" i="7"/>
  <c r="BB12" i="7"/>
  <c r="BA12" i="7"/>
  <c r="AZ12" i="7"/>
  <c r="AY12" i="7"/>
  <c r="AX12" i="7"/>
  <c r="AW12" i="7"/>
  <c r="AV12" i="7"/>
  <c r="AU12" i="7"/>
  <c r="AT12" i="7"/>
  <c r="AS12" i="7"/>
  <c r="AR12" i="7"/>
  <c r="AQ12" i="7"/>
  <c r="AP12" i="7"/>
  <c r="AN12" i="7"/>
  <c r="AM12" i="7"/>
  <c r="AL12" i="7"/>
  <c r="AK12" i="7"/>
  <c r="AJ12" i="7"/>
  <c r="AF12" i="7"/>
  <c r="AE12" i="7"/>
  <c r="AD12" i="7"/>
  <c r="AC12" i="7"/>
  <c r="AB12" i="7"/>
  <c r="X12" i="7"/>
  <c r="W12" i="7"/>
  <c r="V12" i="7"/>
  <c r="U12" i="7"/>
  <c r="T12" i="7"/>
  <c r="P12" i="7"/>
  <c r="O12" i="7"/>
  <c r="N12" i="7"/>
  <c r="M12" i="7"/>
  <c r="L12" i="7"/>
  <c r="K12" i="7"/>
  <c r="H12" i="7"/>
  <c r="G12" i="7"/>
  <c r="F12" i="7"/>
  <c r="E12" i="7"/>
  <c r="BV11" i="7"/>
  <c r="BU5" i="7"/>
  <c r="BU11" i="7" s="1"/>
  <c r="BU13" i="7" s="1"/>
  <c r="BT5" i="7"/>
  <c r="BT11" i="7" s="1"/>
  <c r="BT13" i="7" s="1"/>
  <c r="BS5" i="7"/>
  <c r="BS11" i="7" s="1"/>
  <c r="BS13" i="7" s="1"/>
  <c r="BR5" i="7"/>
  <c r="BR19" i="7" s="1"/>
  <c r="BR21" i="7" s="1"/>
  <c r="BQ5" i="7"/>
  <c r="BQ19" i="7" s="1"/>
  <c r="BQ21" i="7" s="1"/>
  <c r="BP5" i="7"/>
  <c r="BP11" i="7" s="1"/>
  <c r="BP13" i="7" s="1"/>
  <c r="BO5" i="7"/>
  <c r="BO11" i="7" s="1"/>
  <c r="BO13" i="7" s="1"/>
  <c r="BN5" i="7"/>
  <c r="BN11" i="7" s="1"/>
  <c r="BN13" i="7" s="1"/>
  <c r="BM5" i="7"/>
  <c r="BM11" i="7" s="1"/>
  <c r="BM13" i="7" s="1"/>
  <c r="BL5" i="7"/>
  <c r="BL11" i="7" s="1"/>
  <c r="BL13" i="7" s="1"/>
  <c r="BK5" i="7"/>
  <c r="BK11" i="7" s="1"/>
  <c r="BK13" i="7" s="1"/>
  <c r="BJ5" i="7"/>
  <c r="BJ19" i="7" s="1"/>
  <c r="BJ21" i="7" s="1"/>
  <c r="BI5" i="7"/>
  <c r="BI19" i="7" s="1"/>
  <c r="BI21" i="7" s="1"/>
  <c r="BH5" i="7"/>
  <c r="BH11" i="7" s="1"/>
  <c r="BH13" i="7" s="1"/>
  <c r="BG5" i="7"/>
  <c r="BG11" i="7" s="1"/>
  <c r="BG13" i="7" s="1"/>
  <c r="BF5" i="7"/>
  <c r="BF11" i="7" s="1"/>
  <c r="BF13" i="7" s="1"/>
  <c r="BE5" i="7"/>
  <c r="BE11" i="7" s="1"/>
  <c r="BE13" i="7" s="1"/>
  <c r="BD5" i="7"/>
  <c r="BD11" i="7" s="1"/>
  <c r="BD13" i="7" s="1"/>
  <c r="BC5" i="7"/>
  <c r="BC11" i="7" s="1"/>
  <c r="BC13" i="7" s="1"/>
  <c r="BB5" i="7"/>
  <c r="BB19" i="7" s="1"/>
  <c r="BB21" i="7" s="1"/>
  <c r="BA5" i="7"/>
  <c r="BA19" i="7" s="1"/>
  <c r="BA21" i="7" s="1"/>
  <c r="AZ5" i="7"/>
  <c r="AZ11" i="7" s="1"/>
  <c r="AZ13" i="7" s="1"/>
  <c r="AY5" i="7"/>
  <c r="AY11" i="7" s="1"/>
  <c r="AY13" i="7" s="1"/>
  <c r="AX5" i="7"/>
  <c r="AX11" i="7" s="1"/>
  <c r="AX13" i="7" s="1"/>
  <c r="AW5" i="7"/>
  <c r="AW11" i="7" s="1"/>
  <c r="AW13" i="7" s="1"/>
  <c r="AV5" i="7"/>
  <c r="AV11" i="7" s="1"/>
  <c r="AV13" i="7" s="1"/>
  <c r="AU5" i="7"/>
  <c r="AU11" i="7" s="1"/>
  <c r="AU13" i="7" s="1"/>
  <c r="AT5" i="7"/>
  <c r="AT19" i="7" s="1"/>
  <c r="AT21" i="7" s="1"/>
  <c r="AS5" i="7"/>
  <c r="AS19" i="7" s="1"/>
  <c r="AS21" i="7" s="1"/>
  <c r="AR5" i="7"/>
  <c r="AR11" i="7" s="1"/>
  <c r="AR13" i="7" s="1"/>
  <c r="AQ5" i="7"/>
  <c r="AQ11" i="7" s="1"/>
  <c r="AQ13" i="7" s="1"/>
  <c r="AP5" i="7"/>
  <c r="AP11" i="7" s="1"/>
  <c r="AP13" i="7" s="1"/>
  <c r="AO5" i="7"/>
  <c r="AO11" i="7" s="1"/>
  <c r="AN5" i="7"/>
  <c r="AN11" i="7" s="1"/>
  <c r="AN13" i="7" s="1"/>
  <c r="AM5" i="7"/>
  <c r="AM11" i="7" s="1"/>
  <c r="AM13" i="7" s="1"/>
  <c r="AL5" i="7"/>
  <c r="AL19" i="7" s="1"/>
  <c r="AL21" i="7" s="1"/>
  <c r="AK5" i="7"/>
  <c r="AK19" i="7" s="1"/>
  <c r="AK21" i="7" s="1"/>
  <c r="AJ5" i="7"/>
  <c r="AJ11" i="7" s="1"/>
  <c r="AI5" i="7"/>
  <c r="AI11" i="7" s="1"/>
  <c r="AH5" i="7"/>
  <c r="AH11" i="7" s="1"/>
  <c r="AG5" i="7"/>
  <c r="AG11" i="7" s="1"/>
  <c r="AF5" i="7"/>
  <c r="AF11" i="7" s="1"/>
  <c r="AF13" i="7" s="1"/>
  <c r="AE5" i="7"/>
  <c r="AE11" i="7" s="1"/>
  <c r="AE13" i="7" s="1"/>
  <c r="AD5" i="7"/>
  <c r="AD19" i="7" s="1"/>
  <c r="AD21" i="7" s="1"/>
  <c r="AC5" i="7"/>
  <c r="AC19" i="7" s="1"/>
  <c r="AC21" i="7" s="1"/>
  <c r="AB5" i="7"/>
  <c r="AB11" i="7" s="1"/>
  <c r="AB13" i="7" s="1"/>
  <c r="AA5" i="7"/>
  <c r="AA11" i="7" s="1"/>
  <c r="Z5" i="7"/>
  <c r="Z11" i="7" s="1"/>
  <c r="Y5" i="7"/>
  <c r="Y11" i="7" s="1"/>
  <c r="X5" i="7"/>
  <c r="X11" i="7" s="1"/>
  <c r="W5" i="7"/>
  <c r="W11" i="7" s="1"/>
  <c r="W13" i="7" s="1"/>
  <c r="V5" i="7"/>
  <c r="V19" i="7" s="1"/>
  <c r="V21" i="7" s="1"/>
  <c r="U5" i="7"/>
  <c r="U19" i="7" s="1"/>
  <c r="U21" i="7" s="1"/>
  <c r="T5" i="7"/>
  <c r="T11" i="7" s="1"/>
  <c r="S5" i="7"/>
  <c r="S11" i="7" s="1"/>
  <c r="R5" i="7"/>
  <c r="R11" i="7" s="1"/>
  <c r="Q5" i="7"/>
  <c r="Q11" i="7" s="1"/>
  <c r="P5" i="7"/>
  <c r="P11" i="7" s="1"/>
  <c r="P13" i="7" s="1"/>
  <c r="O5" i="7"/>
  <c r="O11" i="7" s="1"/>
  <c r="N5" i="7"/>
  <c r="N19" i="7" s="1"/>
  <c r="N21" i="7" s="1"/>
  <c r="M5" i="7"/>
  <c r="M19" i="7" s="1"/>
  <c r="M21" i="7" s="1"/>
  <c r="L5" i="7"/>
  <c r="L11" i="7" s="1"/>
  <c r="L13" i="7" s="1"/>
  <c r="K5" i="7"/>
  <c r="K11" i="7" s="1"/>
  <c r="J5" i="7"/>
  <c r="J11" i="7" s="1"/>
  <c r="I5" i="7"/>
  <c r="I11" i="7" s="1"/>
  <c r="H5" i="7"/>
  <c r="H11" i="7" s="1"/>
  <c r="H13" i="7" s="1"/>
  <c r="G5" i="7"/>
  <c r="G11" i="7" s="1"/>
  <c r="G13" i="7" s="1"/>
  <c r="F5" i="7"/>
  <c r="F19" i="7" s="1"/>
  <c r="F21" i="7" s="1"/>
  <c r="E5" i="7"/>
  <c r="E19" i="7" s="1"/>
  <c r="E21" i="7" s="1"/>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D67" i="6"/>
  <c r="AC67" i="6"/>
  <c r="AB67" i="6"/>
  <c r="AA67" i="6"/>
  <c r="Z67" i="6"/>
  <c r="Y67" i="6"/>
  <c r="X67" i="6"/>
  <c r="W67" i="6"/>
  <c r="V67" i="6"/>
  <c r="U67" i="6"/>
  <c r="T67" i="6"/>
  <c r="S67" i="6"/>
  <c r="R67" i="6"/>
  <c r="Q67" i="6"/>
  <c r="P67" i="6"/>
  <c r="O67" i="6"/>
  <c r="N67" i="6"/>
  <c r="M67" i="6"/>
  <c r="L67" i="6"/>
  <c r="K67" i="6"/>
  <c r="J67" i="6"/>
  <c r="I67" i="6"/>
  <c r="H67" i="6"/>
  <c r="G67" i="6"/>
  <c r="F67" i="6"/>
  <c r="E67" i="6"/>
  <c r="D67" i="6"/>
  <c r="C67" i="6"/>
  <c r="B67" i="6"/>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3"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AF35" i="6"/>
  <c r="AE35" i="6"/>
  <c r="AD35" i="6"/>
  <c r="P35" i="6"/>
  <c r="O35" i="6"/>
  <c r="N35" i="6"/>
  <c r="L35" i="6"/>
  <c r="K35" i="6"/>
  <c r="J35" i="6"/>
  <c r="H35" i="6"/>
  <c r="G35" i="6"/>
  <c r="F35" i="6"/>
  <c r="D35" i="6"/>
  <c r="C35" i="6"/>
  <c r="B35" i="6"/>
  <c r="CK34"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F27" i="6" s="1"/>
  <c r="AE24" i="6"/>
  <c r="AE27" i="6" s="1"/>
  <c r="AE32" i="10" s="1"/>
  <c r="AD24" i="6"/>
  <c r="AD27" i="6" s="1"/>
  <c r="AD32" i="10" s="1"/>
  <c r="AC24" i="6"/>
  <c r="AB24" i="6"/>
  <c r="AA24" i="6"/>
  <c r="Z24" i="6"/>
  <c r="Y24" i="6"/>
  <c r="X24" i="6"/>
  <c r="W24" i="6"/>
  <c r="V24" i="6"/>
  <c r="U24" i="6"/>
  <c r="T24" i="6"/>
  <c r="S24" i="6"/>
  <c r="R24" i="6"/>
  <c r="Q24" i="6"/>
  <c r="P24" i="6"/>
  <c r="P27" i="6" s="1"/>
  <c r="O24" i="6"/>
  <c r="O27" i="6" s="1"/>
  <c r="O32" i="10" s="1"/>
  <c r="N24" i="6"/>
  <c r="N27" i="6" s="1"/>
  <c r="N32" i="10" s="1"/>
  <c r="M24" i="6"/>
  <c r="L24" i="6"/>
  <c r="L27" i="6" s="1"/>
  <c r="K24" i="6"/>
  <c r="K27" i="6" s="1"/>
  <c r="K32" i="10" s="1"/>
  <c r="J24" i="6"/>
  <c r="J27" i="6" s="1"/>
  <c r="J32" i="10" s="1"/>
  <c r="I24" i="6"/>
  <c r="H24" i="6"/>
  <c r="H27" i="6" s="1"/>
  <c r="G24" i="6"/>
  <c r="G27" i="6" s="1"/>
  <c r="G32" i="10" s="1"/>
  <c r="F24" i="6"/>
  <c r="F27" i="6" s="1"/>
  <c r="F32" i="10" s="1"/>
  <c r="E24" i="6"/>
  <c r="D24" i="6"/>
  <c r="D27" i="6" s="1"/>
  <c r="C24" i="6"/>
  <c r="C27" i="6" s="1"/>
  <c r="B24" i="6"/>
  <c r="B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E23" i="6"/>
  <c r="AD23" i="6"/>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O23" i="6"/>
  <c r="N23" i="6"/>
  <c r="M23" i="6"/>
  <c r="M35" i="6" s="1"/>
  <c r="L23" i="6"/>
  <c r="K23" i="6"/>
  <c r="J23" i="6"/>
  <c r="I23" i="6"/>
  <c r="I35" i="6" s="1"/>
  <c r="H23" i="6"/>
  <c r="G23" i="6"/>
  <c r="F23" i="6"/>
  <c r="E23" i="6"/>
  <c r="E35" i="6" s="1"/>
  <c r="D23" i="6"/>
  <c r="C23" i="6"/>
  <c r="B23" i="6"/>
  <c r="CK18"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E12" i="6"/>
  <c r="AD12" i="6"/>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O12" i="6"/>
  <c r="N12" i="6"/>
  <c r="M12" i="6"/>
  <c r="M18" i="10" s="1"/>
  <c r="L12" i="6"/>
  <c r="K12" i="6"/>
  <c r="J12" i="6"/>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S7" i="10" s="1"/>
  <c r="AR6" i="6"/>
  <c r="AR7" i="10" s="1"/>
  <c r="AQ6" i="6"/>
  <c r="AQ7" i="10" s="1"/>
  <c r="AP6" i="6"/>
  <c r="AP7" i="10" s="1"/>
  <c r="AO6" i="6"/>
  <c r="AO7" i="10" s="1"/>
  <c r="AN6" i="6"/>
  <c r="AN7" i="10" s="1"/>
  <c r="AM6" i="6"/>
  <c r="AM7" i="10" s="1"/>
  <c r="AL6" i="6"/>
  <c r="AL7" i="10" s="1"/>
  <c r="AK6" i="6"/>
  <c r="AK7" i="10" s="1"/>
  <c r="AJ6" i="6"/>
  <c r="AJ7" i="10" s="1"/>
  <c r="AI6" i="6"/>
  <c r="AI7" i="10" s="1"/>
  <c r="AH6" i="6"/>
  <c r="AH7" i="10" s="1"/>
  <c r="AG6" i="6"/>
  <c r="AG7" i="10" s="1"/>
  <c r="AF6" i="6"/>
  <c r="AF7" i="10" s="1"/>
  <c r="AE6" i="6"/>
  <c r="AE7" i="10" s="1"/>
  <c r="AD6" i="6"/>
  <c r="AD7" i="10" s="1"/>
  <c r="AC6" i="6"/>
  <c r="AC7" i="10" s="1"/>
  <c r="AB6" i="6"/>
  <c r="AB7" i="10" s="1"/>
  <c r="AA6" i="6"/>
  <c r="AA7" i="10" s="1"/>
  <c r="Z6" i="6"/>
  <c r="Z7" i="10" s="1"/>
  <c r="Y6" i="6"/>
  <c r="Y7" i="10" s="1"/>
  <c r="X6" i="6"/>
  <c r="X7" i="10" s="1"/>
  <c r="W6" i="6"/>
  <c r="W7" i="10" s="1"/>
  <c r="V6" i="6"/>
  <c r="V7" i="10" s="1"/>
  <c r="U6" i="6"/>
  <c r="U7" i="10" s="1"/>
  <c r="T6" i="6"/>
  <c r="T7" i="10" s="1"/>
  <c r="S6" i="6"/>
  <c r="S7" i="10" s="1"/>
  <c r="R6" i="6"/>
  <c r="R7" i="10" s="1"/>
  <c r="Q6" i="6"/>
  <c r="Q7" i="10" s="1"/>
  <c r="P6" i="6"/>
  <c r="P7" i="10" s="1"/>
  <c r="O6" i="6"/>
  <c r="O7" i="10" s="1"/>
  <c r="N6" i="6"/>
  <c r="N7" i="10" s="1"/>
  <c r="M6" i="6"/>
  <c r="M7" i="10" s="1"/>
  <c r="L6" i="6"/>
  <c r="L7" i="10" s="1"/>
  <c r="K6" i="6"/>
  <c r="K7" i="10" s="1"/>
  <c r="J6" i="6"/>
  <c r="J7" i="10" s="1"/>
  <c r="I6" i="6"/>
  <c r="I7" i="10" s="1"/>
  <c r="H6" i="6"/>
  <c r="H7" i="10" s="1"/>
  <c r="G6" i="6"/>
  <c r="G7" i="10" s="1"/>
  <c r="F6" i="6"/>
  <c r="F7" i="10" s="1"/>
  <c r="E6" i="6"/>
  <c r="E7" i="10" s="1"/>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E8" i="8" s="1"/>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B50" i="5" s="1"/>
  <c r="B69" i="5" s="1"/>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C70" i="5" s="1"/>
  <c r="B17" i="5"/>
  <c r="B70" i="5" s="1"/>
  <c r="I22" i="9" l="1"/>
  <c r="E22" i="9"/>
  <c r="I23"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Y27" i="6"/>
  <c r="Y32" i="10" s="1"/>
  <c r="M27" i="6"/>
  <c r="M32" i="10" s="1"/>
  <c r="I27" i="6"/>
  <c r="E27" i="6"/>
  <c r="E32" i="10" s="1"/>
  <c r="AJ13" i="7"/>
  <c r="O13" i="7"/>
  <c r="X13" i="7"/>
  <c r="I13" i="7"/>
  <c r="Q13" i="7"/>
  <c r="Y13" i="7"/>
  <c r="AG13" i="7"/>
  <c r="AO13" i="7"/>
  <c r="K13" i="7"/>
  <c r="S13" i="7"/>
  <c r="AA13" i="7"/>
  <c r="AI13" i="7"/>
  <c r="T13" i="7"/>
  <c r="J13" i="7"/>
  <c r="R13" i="7"/>
  <c r="Z13" i="7"/>
  <c r="AH13" i="7"/>
  <c r="E11" i="7"/>
  <c r="E13" i="7" s="1"/>
  <c r="M11" i="7"/>
  <c r="M13" i="7" s="1"/>
  <c r="U11" i="7"/>
  <c r="U13" i="7" s="1"/>
  <c r="AC11" i="7"/>
  <c r="AC13" i="7" s="1"/>
  <c r="AK11" i="7"/>
  <c r="AK13" i="7" s="1"/>
  <c r="AS11" i="7"/>
  <c r="AS13" i="7" s="1"/>
  <c r="BA11" i="7"/>
  <c r="BA13" i="7" s="1"/>
  <c r="BI11" i="7"/>
  <c r="BI13" i="7" s="1"/>
  <c r="BQ11" i="7"/>
  <c r="BQ13" i="7" s="1"/>
  <c r="G19" i="7"/>
  <c r="G21" i="7" s="1"/>
  <c r="O19" i="7"/>
  <c r="O21" i="7" s="1"/>
  <c r="W19" i="7"/>
  <c r="W21" i="7" s="1"/>
  <c r="AE19" i="7"/>
  <c r="AE21" i="7" s="1"/>
  <c r="AM19" i="7"/>
  <c r="AM21" i="7" s="1"/>
  <c r="AU19" i="7"/>
  <c r="AU21" i="7" s="1"/>
  <c r="BC19" i="7"/>
  <c r="BC21" i="7" s="1"/>
  <c r="BK19" i="7"/>
  <c r="BK21" i="7" s="1"/>
  <c r="BS19" i="7"/>
  <c r="BS21" i="7" s="1"/>
  <c r="F11" i="7"/>
  <c r="F13" i="7" s="1"/>
  <c r="N11" i="7"/>
  <c r="N13" i="7" s="1"/>
  <c r="V11" i="7"/>
  <c r="V13" i="7" s="1"/>
  <c r="AD11" i="7"/>
  <c r="AD13" i="7" s="1"/>
  <c r="AL11" i="7"/>
  <c r="AL13" i="7" s="1"/>
  <c r="AT11" i="7"/>
  <c r="AT13" i="7" s="1"/>
  <c r="BB11" i="7"/>
  <c r="BB13" i="7" s="1"/>
  <c r="BJ11" i="7"/>
  <c r="BJ13" i="7" s="1"/>
  <c r="BR11" i="7"/>
  <c r="BR13" i="7" s="1"/>
  <c r="H19" i="7"/>
  <c r="H21" i="7" s="1"/>
  <c r="P19" i="7"/>
  <c r="P21" i="7" s="1"/>
  <c r="X19" i="7"/>
  <c r="X21" i="7" s="1"/>
  <c r="AF19" i="7"/>
  <c r="AF21" i="7" s="1"/>
  <c r="AN19" i="7"/>
  <c r="AN21" i="7" s="1"/>
  <c r="AV19" i="7"/>
  <c r="AV21" i="7" s="1"/>
  <c r="BD19" i="7"/>
  <c r="BD21" i="7" s="1"/>
  <c r="BL19" i="7"/>
  <c r="BL21" i="7" s="1"/>
  <c r="BT19" i="7"/>
  <c r="BT21" i="7" s="1"/>
  <c r="I19" i="7"/>
  <c r="I21" i="7" s="1"/>
  <c r="Q19" i="7"/>
  <c r="Q21" i="7" s="1"/>
  <c r="Y19" i="7"/>
  <c r="Y21" i="7" s="1"/>
  <c r="AG19" i="7"/>
  <c r="AG21" i="7" s="1"/>
  <c r="AO19" i="7"/>
  <c r="AO21" i="7" s="1"/>
  <c r="AW19" i="7"/>
  <c r="AW21" i="7" s="1"/>
  <c r="BE19" i="7"/>
  <c r="BE21" i="7" s="1"/>
  <c r="BM19" i="7"/>
  <c r="BM21" i="7" s="1"/>
  <c r="BU19" i="7"/>
  <c r="J19" i="7"/>
  <c r="J21" i="7" s="1"/>
  <c r="R19" i="7"/>
  <c r="R21" i="7" s="1"/>
  <c r="Z19" i="7"/>
  <c r="Z21" i="7" s="1"/>
  <c r="AH19" i="7"/>
  <c r="AH21" i="7" s="1"/>
  <c r="AP19" i="7"/>
  <c r="AP21" i="7" s="1"/>
  <c r="AX19" i="7"/>
  <c r="AX21" i="7" s="1"/>
  <c r="BF19" i="7"/>
  <c r="BF21" i="7" s="1"/>
  <c r="BN19" i="7"/>
  <c r="BN21" i="7" s="1"/>
  <c r="K19" i="7"/>
  <c r="K21" i="7" s="1"/>
  <c r="S19" i="7"/>
  <c r="S21" i="7" s="1"/>
  <c r="AA19" i="7"/>
  <c r="AA21" i="7" s="1"/>
  <c r="AI19" i="7"/>
  <c r="AI21" i="7" s="1"/>
  <c r="AQ19" i="7"/>
  <c r="AQ21" i="7" s="1"/>
  <c r="AY19" i="7"/>
  <c r="AY21" i="7" s="1"/>
  <c r="BG19" i="7"/>
  <c r="BG21" i="7" s="1"/>
  <c r="BO19" i="7"/>
  <c r="BO21" i="7" s="1"/>
  <c r="L19" i="7"/>
  <c r="L21" i="7" s="1"/>
  <c r="T19" i="7"/>
  <c r="T21" i="7" s="1"/>
  <c r="AB19" i="7"/>
  <c r="AB21" i="7" s="1"/>
  <c r="AJ19" i="7"/>
  <c r="AJ21" i="7" s="1"/>
  <c r="AR19" i="7"/>
  <c r="AR21" i="7" s="1"/>
  <c r="AZ19" i="7"/>
  <c r="AZ21" i="7" s="1"/>
  <c r="BH19" i="7"/>
  <c r="BH21" i="7" s="1"/>
  <c r="BP19" i="7"/>
  <c r="BP21" i="7" s="1"/>
  <c r="X6" i="10"/>
  <c r="N15" i="6"/>
  <c r="I13" i="10"/>
  <c r="Q13" i="10"/>
  <c r="Y13" i="10"/>
  <c r="AG13" i="10"/>
  <c r="AO13" i="10"/>
  <c r="V15" i="6"/>
  <c r="V28" i="10" s="1"/>
  <c r="K3" i="10"/>
  <c r="F5" i="10"/>
  <c r="N5" i="10"/>
  <c r="V5" i="10"/>
  <c r="AD5" i="10"/>
  <c r="AL5" i="10"/>
  <c r="AA5" i="10"/>
  <c r="AD15" i="6"/>
  <c r="AD21" i="11" s="1"/>
  <c r="AD22" i="11" s="1"/>
  <c r="S3" i="10"/>
  <c r="AL15" i="6"/>
  <c r="AA3" i="10"/>
  <c r="H5" i="10"/>
  <c r="P5" i="10"/>
  <c r="X5" i="10"/>
  <c r="AF5" i="10"/>
  <c r="AN5" i="10"/>
  <c r="AI5" i="10"/>
  <c r="I5" i="10"/>
  <c r="Q5" i="10"/>
  <c r="Y5" i="10"/>
  <c r="AG5" i="10"/>
  <c r="AO5" i="10"/>
  <c r="J5" i="10"/>
  <c r="R5" i="10"/>
  <c r="Z5" i="10"/>
  <c r="AH5" i="10"/>
  <c r="AP5" i="10"/>
  <c r="K5" i="10"/>
  <c r="AQ5" i="10"/>
  <c r="F15" i="6"/>
  <c r="AI3" i="10"/>
  <c r="AQ3" i="10"/>
  <c r="S5" i="10"/>
  <c r="BI9" i="10"/>
  <c r="BI8" i="10"/>
  <c r="T9" i="10"/>
  <c r="T8" i="10"/>
  <c r="CF9" i="10"/>
  <c r="CF8" i="10"/>
  <c r="AB7" i="6"/>
  <c r="AT21" i="11"/>
  <c r="AT22" i="11" s="1"/>
  <c r="AT28" i="10"/>
  <c r="AT31" i="6"/>
  <c r="E9" i="10"/>
  <c r="E8" i="10"/>
  <c r="M9" i="10"/>
  <c r="M8" i="10"/>
  <c r="U9" i="10"/>
  <c r="U8" i="10"/>
  <c r="AC9" i="10"/>
  <c r="AC8" i="10"/>
  <c r="AK9" i="10"/>
  <c r="AK8" i="10"/>
  <c r="AS9" i="10"/>
  <c r="AS8" i="10"/>
  <c r="BA9" i="10"/>
  <c r="BA8" i="10"/>
  <c r="BQ9" i="10"/>
  <c r="BQ8" i="10"/>
  <c r="BY9" i="10"/>
  <c r="BY8" i="10"/>
  <c r="CG9" i="10"/>
  <c r="CG8" i="10"/>
  <c r="E7" i="6"/>
  <c r="M7" i="6"/>
  <c r="U7" i="6"/>
  <c r="AC7" i="6"/>
  <c r="AK7" i="6"/>
  <c r="AS7" i="6"/>
  <c r="BA7" i="6"/>
  <c r="BI7" i="6"/>
  <c r="BQ7" i="6"/>
  <c r="BY7" i="6"/>
  <c r="CG7" i="6"/>
  <c r="G15" i="6"/>
  <c r="O15" i="6"/>
  <c r="W15" i="6"/>
  <c r="AE15" i="6"/>
  <c r="AM15" i="6"/>
  <c r="AU15" i="6"/>
  <c r="BC15" i="6"/>
  <c r="BK15" i="6"/>
  <c r="BS15" i="6"/>
  <c r="CA15" i="6"/>
  <c r="CI15" i="6"/>
  <c r="L9" i="10"/>
  <c r="L8" i="10"/>
  <c r="BP9" i="10"/>
  <c r="BP8" i="10"/>
  <c r="AJ7" i="6"/>
  <c r="N21" i="11"/>
  <c r="N22" i="11" s="1"/>
  <c r="N28" i="10"/>
  <c r="N31" i="6"/>
  <c r="BR21" i="11"/>
  <c r="BR22" i="11" s="1"/>
  <c r="BR28" i="10"/>
  <c r="BR31" i="6"/>
  <c r="F8" i="10"/>
  <c r="F9" i="10"/>
  <c r="N8" i="10"/>
  <c r="N9" i="10"/>
  <c r="V8" i="10"/>
  <c r="V9" i="10"/>
  <c r="AD8" i="10"/>
  <c r="AD9" i="10"/>
  <c r="AL8" i="10"/>
  <c r="AL9" i="10"/>
  <c r="AT8" i="10"/>
  <c r="AT9" i="10"/>
  <c r="BB8" i="10"/>
  <c r="BB9" i="10"/>
  <c r="BJ8" i="10"/>
  <c r="BJ9" i="10"/>
  <c r="BR8" i="10"/>
  <c r="BR9" i="10"/>
  <c r="BZ8" i="10"/>
  <c r="BZ9" i="10"/>
  <c r="CH8" i="10"/>
  <c r="CH9" i="10"/>
  <c r="F7" i="6"/>
  <c r="N7" i="6"/>
  <c r="V7" i="6"/>
  <c r="AD7" i="6"/>
  <c r="AL7" i="6"/>
  <c r="AT7" i="6"/>
  <c r="BB7" i="6"/>
  <c r="BJ7" i="6"/>
  <c r="BR7" i="6"/>
  <c r="BZ7" i="6"/>
  <c r="CH7" i="6"/>
  <c r="H15" i="6"/>
  <c r="P15" i="6"/>
  <c r="X15" i="6"/>
  <c r="AF15" i="6"/>
  <c r="AN15" i="6"/>
  <c r="AV15" i="6"/>
  <c r="BD15" i="6"/>
  <c r="BL15" i="6"/>
  <c r="BT15" i="6"/>
  <c r="CB15" i="6"/>
  <c r="CJ15" i="6"/>
  <c r="AZ9" i="10"/>
  <c r="AZ8" i="10"/>
  <c r="CF7" i="6"/>
  <c r="AL21" i="11"/>
  <c r="AL22" i="11" s="1"/>
  <c r="AL28" i="10"/>
  <c r="AL31" i="6"/>
  <c r="BZ21" i="11"/>
  <c r="BZ22" i="11" s="1"/>
  <c r="BZ28" i="10"/>
  <c r="BZ31" i="6"/>
  <c r="L32" i="10"/>
  <c r="G8" i="10"/>
  <c r="G9" i="10"/>
  <c r="O8" i="10"/>
  <c r="O9" i="10"/>
  <c r="W8" i="10"/>
  <c r="W9" i="10"/>
  <c r="AE8" i="10"/>
  <c r="AE9" i="10"/>
  <c r="AM8" i="10"/>
  <c r="AM9" i="10"/>
  <c r="AU8" i="10"/>
  <c r="AU9" i="10"/>
  <c r="BC8" i="10"/>
  <c r="BC9" i="10"/>
  <c r="BK8" i="10"/>
  <c r="BK9" i="10"/>
  <c r="BS8" i="10"/>
  <c r="BS9" i="10"/>
  <c r="CA8" i="10"/>
  <c r="CA9" i="10"/>
  <c r="CI8" i="10"/>
  <c r="CI9" i="10"/>
  <c r="G7" i="6"/>
  <c r="O7" i="6"/>
  <c r="W7" i="6"/>
  <c r="AE7" i="6"/>
  <c r="AM7" i="6"/>
  <c r="AU7" i="6"/>
  <c r="BC7" i="6"/>
  <c r="BK7" i="6"/>
  <c r="BS7" i="6"/>
  <c r="CA7" i="6"/>
  <c r="CI7" i="6"/>
  <c r="I15" i="6"/>
  <c r="Q15" i="6"/>
  <c r="Y15" i="6"/>
  <c r="AG15" i="6"/>
  <c r="AO15" i="6"/>
  <c r="AW15" i="6"/>
  <c r="BE15" i="6"/>
  <c r="BM15" i="6"/>
  <c r="BU15" i="6"/>
  <c r="CC15" i="6"/>
  <c r="AR9" i="10"/>
  <c r="AR8" i="10"/>
  <c r="BP7" i="6"/>
  <c r="CH21" i="11"/>
  <c r="CH22" i="11" s="1"/>
  <c r="CH28" i="10"/>
  <c r="CH31" i="6"/>
  <c r="H8" i="10"/>
  <c r="H9" i="10"/>
  <c r="P8" i="10"/>
  <c r="P9" i="10"/>
  <c r="X8" i="10"/>
  <c r="X9" i="10"/>
  <c r="AF8" i="10"/>
  <c r="AF9" i="10"/>
  <c r="AN8" i="10"/>
  <c r="AN9" i="10"/>
  <c r="AV8" i="10"/>
  <c r="AV9" i="10"/>
  <c r="BD8" i="10"/>
  <c r="BD9" i="10"/>
  <c r="BL8" i="10"/>
  <c r="BL9" i="10"/>
  <c r="BT8" i="10"/>
  <c r="BT9" i="10"/>
  <c r="CB8" i="10"/>
  <c r="CB9" i="10"/>
  <c r="CJ8" i="10"/>
  <c r="CJ9" i="10"/>
  <c r="H7" i="6"/>
  <c r="P7" i="6"/>
  <c r="X7" i="6"/>
  <c r="AF7" i="6"/>
  <c r="AN7" i="6"/>
  <c r="AV7" i="6"/>
  <c r="BD7" i="6"/>
  <c r="BL7" i="6"/>
  <c r="BT7" i="6"/>
  <c r="CB7" i="6"/>
  <c r="CJ7" i="6"/>
  <c r="B15" i="6"/>
  <c r="J15" i="6"/>
  <c r="R15" i="6"/>
  <c r="Z15" i="6"/>
  <c r="AH15" i="6"/>
  <c r="AP15" i="6"/>
  <c r="AX15" i="6"/>
  <c r="BF15" i="6"/>
  <c r="BN15" i="6"/>
  <c r="BV15" i="6"/>
  <c r="CD15" i="6"/>
  <c r="H32" i="10"/>
  <c r="P32" i="10"/>
  <c r="X32" i="10"/>
  <c r="AF32" i="10"/>
  <c r="AN32" i="10"/>
  <c r="AV32" i="10"/>
  <c r="BD32" i="10"/>
  <c r="BL32" i="10"/>
  <c r="BT32" i="10"/>
  <c r="CB32" i="10"/>
  <c r="CJ32" i="10"/>
  <c r="AB9" i="10"/>
  <c r="AB8" i="10"/>
  <c r="BX9" i="10"/>
  <c r="BX8" i="10"/>
  <c r="L7" i="6"/>
  <c r="BH7" i="6"/>
  <c r="F21" i="11"/>
  <c r="F22" i="11" s="1"/>
  <c r="F28" i="10"/>
  <c r="F31" i="6"/>
  <c r="BB21" i="11"/>
  <c r="BB22" i="11" s="1"/>
  <c r="BB28" i="10"/>
  <c r="BB31" i="6"/>
  <c r="I8" i="10"/>
  <c r="I9" i="10"/>
  <c r="Q8" i="10"/>
  <c r="Q9" i="10"/>
  <c r="Y8" i="10"/>
  <c r="Y9" i="10"/>
  <c r="AG8" i="10"/>
  <c r="AG9" i="10"/>
  <c r="AO8" i="10"/>
  <c r="AO9" i="10"/>
  <c r="AW8" i="10"/>
  <c r="AW9" i="10"/>
  <c r="BE8" i="10"/>
  <c r="BE9" i="10"/>
  <c r="BM8" i="10"/>
  <c r="BM9" i="10"/>
  <c r="BU8" i="10"/>
  <c r="BU9" i="10"/>
  <c r="CC8" i="10"/>
  <c r="CC9" i="10"/>
  <c r="I7" i="6"/>
  <c r="Q7" i="6"/>
  <c r="Y7" i="6"/>
  <c r="AG7" i="6"/>
  <c r="AO7" i="6"/>
  <c r="AW7" i="6"/>
  <c r="BE7" i="6"/>
  <c r="BM7" i="6"/>
  <c r="BU7" i="6"/>
  <c r="CC7" i="6"/>
  <c r="C15" i="6"/>
  <c r="K15" i="6"/>
  <c r="S15" i="6"/>
  <c r="AA15" i="6"/>
  <c r="AI15" i="6"/>
  <c r="AQ15" i="6"/>
  <c r="AY15" i="6"/>
  <c r="BG15" i="6"/>
  <c r="BO15" i="6"/>
  <c r="BW15" i="6"/>
  <c r="CE15" i="6"/>
  <c r="I32" i="10"/>
  <c r="Q32" i="10"/>
  <c r="J9" i="10"/>
  <c r="J8" i="10"/>
  <c r="R9" i="10"/>
  <c r="R8" i="10"/>
  <c r="Z9" i="10"/>
  <c r="Z8" i="10"/>
  <c r="AH9" i="10"/>
  <c r="AH8" i="10"/>
  <c r="AP9" i="10"/>
  <c r="AP8" i="10"/>
  <c r="AX9" i="10"/>
  <c r="AX8" i="10"/>
  <c r="BF9" i="10"/>
  <c r="BF8" i="10"/>
  <c r="BN9" i="10"/>
  <c r="BN8" i="10"/>
  <c r="BV9" i="10"/>
  <c r="BV8" i="10"/>
  <c r="CD9" i="10"/>
  <c r="CD8" i="10"/>
  <c r="J7" i="6"/>
  <c r="R7" i="6"/>
  <c r="Z7" i="6"/>
  <c r="AH7" i="6"/>
  <c r="AP7" i="6"/>
  <c r="AX7" i="6"/>
  <c r="BF7" i="6"/>
  <c r="BN7" i="6"/>
  <c r="BV7" i="6"/>
  <c r="CD7" i="6"/>
  <c r="D15" i="6"/>
  <c r="L15" i="6"/>
  <c r="T15" i="6"/>
  <c r="AB15" i="6"/>
  <c r="AJ15" i="6"/>
  <c r="AR15" i="6"/>
  <c r="AZ15" i="6"/>
  <c r="BH15" i="6"/>
  <c r="BP15" i="6"/>
  <c r="BX15" i="6"/>
  <c r="CF15" i="6"/>
  <c r="AJ9" i="10"/>
  <c r="AJ8" i="10"/>
  <c r="BH9" i="10"/>
  <c r="BH8" i="10"/>
  <c r="T7" i="6"/>
  <c r="AR7" i="6"/>
  <c r="AZ7" i="6"/>
  <c r="BX7" i="6"/>
  <c r="BJ21" i="11"/>
  <c r="BJ22" i="11" s="1"/>
  <c r="BJ28" i="10"/>
  <c r="BJ31" i="6"/>
  <c r="K9" i="10"/>
  <c r="K8" i="10"/>
  <c r="S9" i="10"/>
  <c r="S8" i="10"/>
  <c r="AA9" i="10"/>
  <c r="AA8" i="10"/>
  <c r="AI9" i="10"/>
  <c r="AI8" i="10"/>
  <c r="AQ9" i="10"/>
  <c r="AQ8" i="10"/>
  <c r="AY9" i="10"/>
  <c r="AY8" i="10"/>
  <c r="BG9" i="10"/>
  <c r="BG8" i="10"/>
  <c r="BO9" i="10"/>
  <c r="BO8" i="10"/>
  <c r="BW9" i="10"/>
  <c r="BW8" i="10"/>
  <c r="CE9" i="10"/>
  <c r="CE8" i="10"/>
  <c r="K7" i="6"/>
  <c r="S7" i="6"/>
  <c r="AA7" i="6"/>
  <c r="AI7" i="6"/>
  <c r="AQ7" i="6"/>
  <c r="AY7" i="6"/>
  <c r="BG7" i="6"/>
  <c r="BO7" i="6"/>
  <c r="BW7" i="6"/>
  <c r="CE7" i="6"/>
  <c r="E15" i="6"/>
  <c r="M15" i="6"/>
  <c r="U15" i="6"/>
  <c r="AC15" i="6"/>
  <c r="AK15" i="6"/>
  <c r="AS15" i="6"/>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R74" i="11"/>
  <c r="AZ74" i="11"/>
  <c r="BX74" i="11"/>
  <c r="CF74" i="11"/>
  <c r="H69" i="11"/>
  <c r="H70" i="11" s="1"/>
  <c r="H74"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AL74" i="11"/>
  <c r="BJ74" i="11"/>
  <c r="BR74" i="11"/>
  <c r="BZ74" i="11"/>
  <c r="CH74" i="11"/>
  <c r="J69" i="11"/>
  <c r="J70" i="11" s="1"/>
  <c r="J74"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B49" i="13"/>
  <c r="I31" i="9"/>
  <c r="Q31" i="9"/>
  <c r="Y31" i="9"/>
  <c r="AG31" i="9"/>
  <c r="I65" i="11"/>
  <c r="I66" i="11" s="1"/>
  <c r="I74" i="11" s="1"/>
  <c r="Q65" i="11"/>
  <c r="Q66" i="11" s="1"/>
  <c r="Y65" i="11"/>
  <c r="Y66" i="11" s="1"/>
  <c r="AG65" i="11"/>
  <c r="AG66" i="11" s="1"/>
  <c r="AO65" i="11"/>
  <c r="AO66" i="11" s="1"/>
  <c r="AO74"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T74" i="11" s="1"/>
  <c r="E69" i="11"/>
  <c r="E70" i="11" s="1"/>
  <c r="M69" i="11"/>
  <c r="M70" i="11" s="1"/>
  <c r="S65" i="11"/>
  <c r="S66" i="11" s="1"/>
  <c r="S74"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AG25" i="9" s="1"/>
  <c r="AG35" i="7"/>
  <c r="AC22" i="7" s="1"/>
  <c r="AC23" i="7" s="1"/>
  <c r="J54" i="11"/>
  <c r="J2" i="9"/>
  <c r="J35" i="7"/>
  <c r="F22" i="7" s="1"/>
  <c r="F23" i="7" s="1"/>
  <c r="R54" i="11"/>
  <c r="R2" i="9"/>
  <c r="R35" i="7"/>
  <c r="N22" i="7" s="1"/>
  <c r="N23" i="7" s="1"/>
  <c r="Z54" i="11"/>
  <c r="Z2" i="9"/>
  <c r="Z35" i="7"/>
  <c r="V22" i="7" s="1"/>
  <c r="V23" i="7" s="1"/>
  <c r="AH54" i="11"/>
  <c r="AH2" i="9"/>
  <c r="AH35" i="7"/>
  <c r="AD22" i="7" s="1"/>
  <c r="AD23" i="7" s="1"/>
  <c r="AP54" i="11"/>
  <c r="AP55" i="11" s="1"/>
  <c r="AP2" i="9"/>
  <c r="AP35" i="7"/>
  <c r="AL22" i="7" s="1"/>
  <c r="AL23" i="7" s="1"/>
  <c r="AX54" i="11"/>
  <c r="AX2" i="9"/>
  <c r="AT25" i="9" s="1"/>
  <c r="AX35" i="7"/>
  <c r="AT22" i="7" s="1"/>
  <c r="AT23" i="7" s="1"/>
  <c r="BF54" i="11"/>
  <c r="BF2" i="9"/>
  <c r="BF35" i="7"/>
  <c r="BB22" i="7" s="1"/>
  <c r="BB23" i="7" s="1"/>
  <c r="BN54" i="11"/>
  <c r="BN2" i="9"/>
  <c r="BN25" i="9" s="1"/>
  <c r="BN35" i="7"/>
  <c r="BJ22" i="7" s="1"/>
  <c r="BJ23" i="7" s="1"/>
  <c r="BV54" i="11"/>
  <c r="BV2" i="9"/>
  <c r="CD54" i="11"/>
  <c r="CD2" i="9"/>
  <c r="J50" i="5"/>
  <c r="R50" i="5"/>
  <c r="Z50" i="5"/>
  <c r="AH50" i="5"/>
  <c r="AP50" i="5"/>
  <c r="AX50" i="5"/>
  <c r="BF50" i="5"/>
  <c r="BN50" i="5"/>
  <c r="BV50" i="5"/>
  <c r="CD50" i="5"/>
  <c r="J52" i="11"/>
  <c r="J7" i="9"/>
  <c r="R52" i="11"/>
  <c r="R53" i="11" s="1"/>
  <c r="R7" i="9"/>
  <c r="Z52" i="11"/>
  <c r="Z53" i="11" s="1"/>
  <c r="Z7" i="9"/>
  <c r="AH52" i="11"/>
  <c r="AH7" i="9"/>
  <c r="AP52" i="11"/>
  <c r="AP7" i="9"/>
  <c r="AX52" i="11"/>
  <c r="AX53" i="11" s="1"/>
  <c r="AX7" i="9"/>
  <c r="BF52" i="11"/>
  <c r="BF7" i="9"/>
  <c r="BN52" i="11"/>
  <c r="BN7" i="9"/>
  <c r="BV52" i="11"/>
  <c r="BV7" i="9"/>
  <c r="CD52" i="11"/>
  <c r="CD7" i="9"/>
  <c r="AZ89" i="5"/>
  <c r="L54" i="11"/>
  <c r="L2" i="9"/>
  <c r="L16" i="9" s="1"/>
  <c r="L35" i="7"/>
  <c r="H22" i="7" s="1"/>
  <c r="H23" i="7" s="1"/>
  <c r="Q54" i="11"/>
  <c r="Q2" i="9"/>
  <c r="Q35" i="7"/>
  <c r="M22" i="7" s="1"/>
  <c r="M23" i="7" s="1"/>
  <c r="AO54" i="11"/>
  <c r="AO2" i="9"/>
  <c r="AO35" i="7"/>
  <c r="AK22" i="7" s="1"/>
  <c r="AK23" i="7" s="1"/>
  <c r="BE54" i="11"/>
  <c r="BE2" i="9"/>
  <c r="BE35" i="7"/>
  <c r="BA22" i="7" s="1"/>
  <c r="BA23" i="7" s="1"/>
  <c r="CC54" i="11"/>
  <c r="CC2" i="9"/>
  <c r="CC16" i="9" s="1"/>
  <c r="K54" i="11"/>
  <c r="K2" i="9"/>
  <c r="K35" i="7"/>
  <c r="G22" i="7" s="1"/>
  <c r="G23" i="7" s="1"/>
  <c r="S54" i="11"/>
  <c r="S55" i="11" s="1"/>
  <c r="S2" i="9"/>
  <c r="S16" i="9" s="1"/>
  <c r="S35" i="7"/>
  <c r="O22" i="7" s="1"/>
  <c r="O23" i="7" s="1"/>
  <c r="AA54" i="11"/>
  <c r="AA2" i="9"/>
  <c r="W25" i="9" s="1"/>
  <c r="AA35" i="7"/>
  <c r="W22" i="7" s="1"/>
  <c r="W23" i="7" s="1"/>
  <c r="AI54" i="11"/>
  <c r="AI2" i="9"/>
  <c r="AI35" i="7"/>
  <c r="AE22" i="7" s="1"/>
  <c r="AE23" i="7" s="1"/>
  <c r="AQ54" i="11"/>
  <c r="AQ55" i="11" s="1"/>
  <c r="AQ2" i="9"/>
  <c r="AQ25" i="9" s="1"/>
  <c r="AQ35" i="7"/>
  <c r="AM22" i="7" s="1"/>
  <c r="AY54" i="11"/>
  <c r="AY2" i="9"/>
  <c r="AY35" i="7"/>
  <c r="AU22" i="7" s="1"/>
  <c r="AU23" i="7" s="1"/>
  <c r="BG54" i="11"/>
  <c r="BG2" i="9"/>
  <c r="BG35" i="7"/>
  <c r="BC22" i="7" s="1"/>
  <c r="BC23" i="7" s="1"/>
  <c r="BO54" i="11"/>
  <c r="BO2" i="9"/>
  <c r="BO35" i="7"/>
  <c r="BW54" i="11"/>
  <c r="BW2" i="9"/>
  <c r="CE54" i="11"/>
  <c r="CE2" i="9"/>
  <c r="K50" i="5"/>
  <c r="S50" i="5"/>
  <c r="AA50" i="5"/>
  <c r="AI50" i="5"/>
  <c r="AQ50" i="5"/>
  <c r="AY50" i="5"/>
  <c r="BG50" i="5"/>
  <c r="BO50" i="5"/>
  <c r="BW50" i="5"/>
  <c r="CE50" i="5"/>
  <c r="K52" i="11"/>
  <c r="K7" i="9"/>
  <c r="S52" i="11"/>
  <c r="S7" i="9"/>
  <c r="AA52" i="11"/>
  <c r="AA7" i="9"/>
  <c r="AI52" i="11"/>
  <c r="AI7" i="9"/>
  <c r="AQ52" i="11"/>
  <c r="AQ7" i="9"/>
  <c r="AY52" i="11"/>
  <c r="AY7" i="9"/>
  <c r="BG52" i="11"/>
  <c r="BG7" i="9"/>
  <c r="BO52" i="11"/>
  <c r="BO7" i="9"/>
  <c r="BW52" i="11"/>
  <c r="BW7" i="9"/>
  <c r="BS32" i="9" s="1"/>
  <c r="CE52" i="11"/>
  <c r="CE7" i="9"/>
  <c r="I10" i="9"/>
  <c r="I89" i="5"/>
  <c r="BH89" i="5"/>
  <c r="T54" i="11"/>
  <c r="T2" i="9"/>
  <c r="T35" i="7"/>
  <c r="P22" i="7" s="1"/>
  <c r="P23" i="7" s="1"/>
  <c r="AZ54" i="11"/>
  <c r="AZ2" i="9"/>
  <c r="AZ35" i="7"/>
  <c r="AV22" i="7" s="1"/>
  <c r="AV23" i="7" s="1"/>
  <c r="CF54" i="11"/>
  <c r="CF2" i="9"/>
  <c r="L50" i="5"/>
  <c r="T50" i="5"/>
  <c r="AB50" i="5"/>
  <c r="AJ50" i="5"/>
  <c r="AR50" i="5"/>
  <c r="AZ50" i="5"/>
  <c r="BH50" i="5"/>
  <c r="BP50" i="5"/>
  <c r="BX50" i="5"/>
  <c r="CF50" i="5"/>
  <c r="L52" i="11"/>
  <c r="L53" i="11" s="1"/>
  <c r="L7" i="9"/>
  <c r="T52" i="11"/>
  <c r="T53" i="11" s="1"/>
  <c r="T7" i="9"/>
  <c r="AB52" i="11"/>
  <c r="AB7" i="9"/>
  <c r="AJ52" i="11"/>
  <c r="AJ7" i="9"/>
  <c r="AR52" i="11"/>
  <c r="AR7" i="9"/>
  <c r="AZ52" i="11"/>
  <c r="AZ7" i="9"/>
  <c r="BH52" i="11"/>
  <c r="BH7" i="9"/>
  <c r="BP52" i="11"/>
  <c r="BP7" i="9"/>
  <c r="BX52" i="11"/>
  <c r="BX7" i="9"/>
  <c r="CF52" i="11"/>
  <c r="CF7" i="9"/>
  <c r="J10" i="9"/>
  <c r="J16" i="9" s="1"/>
  <c r="J89" i="5"/>
  <c r="R10" i="9"/>
  <c r="N34" i="9" s="1"/>
  <c r="R89" i="5"/>
  <c r="Z10" i="9"/>
  <c r="Z16" i="9" s="1"/>
  <c r="Z89" i="5"/>
  <c r="AH10" i="9"/>
  <c r="AH34" i="9" s="1"/>
  <c r="AH89" i="5"/>
  <c r="AP10" i="9"/>
  <c r="AL34" i="9" s="1"/>
  <c r="AP89" i="5"/>
  <c r="AX10" i="9"/>
  <c r="AX16" i="9" s="1"/>
  <c r="AX89" i="5"/>
  <c r="BF10" i="9"/>
  <c r="BF34" i="9" s="1"/>
  <c r="BF89" i="5"/>
  <c r="BN10" i="9"/>
  <c r="BN89" i="5"/>
  <c r="BV10" i="9"/>
  <c r="BR34" i="9" s="1"/>
  <c r="BV89" i="5"/>
  <c r="CD10" i="9"/>
  <c r="CD34" i="9" s="1"/>
  <c r="CD89" i="5"/>
  <c r="BP89" i="5"/>
  <c r="AB54" i="11"/>
  <c r="AB2" i="9"/>
  <c r="AB35" i="7"/>
  <c r="X22" i="7" s="1"/>
  <c r="X23" i="7" s="1"/>
  <c r="BH54" i="11"/>
  <c r="BH2" i="9"/>
  <c r="BH35" i="7"/>
  <c r="BD22" i="7" s="1"/>
  <c r="BD23" i="7" s="1"/>
  <c r="M54" i="11"/>
  <c r="M2" i="9"/>
  <c r="I25" i="9" s="1"/>
  <c r="M35" i="7"/>
  <c r="I22" i="7" s="1"/>
  <c r="I23" i="7" s="1"/>
  <c r="U54" i="11"/>
  <c r="U2" i="9"/>
  <c r="U35" i="7"/>
  <c r="Q22" i="7" s="1"/>
  <c r="AC54" i="11"/>
  <c r="AC55" i="11" s="1"/>
  <c r="AC2" i="9"/>
  <c r="AC25" i="9" s="1"/>
  <c r="AC35" i="7"/>
  <c r="Y22" i="7" s="1"/>
  <c r="Y23" i="7" s="1"/>
  <c r="AK54" i="11"/>
  <c r="AK2" i="9"/>
  <c r="AK35" i="7"/>
  <c r="AG22" i="7" s="1"/>
  <c r="AS54" i="11"/>
  <c r="AS2" i="9"/>
  <c r="AO25" i="9" s="1"/>
  <c r="AS35" i="7"/>
  <c r="AO22" i="7" s="1"/>
  <c r="AO23" i="7" s="1"/>
  <c r="BA54" i="11"/>
  <c r="BA2" i="9"/>
  <c r="BA35" i="7"/>
  <c r="AW22" i="7" s="1"/>
  <c r="AW23" i="7" s="1"/>
  <c r="BI54" i="11"/>
  <c r="BI2" i="9"/>
  <c r="BI35" i="7"/>
  <c r="BE22" i="7" s="1"/>
  <c r="BE23" i="7" s="1"/>
  <c r="BQ54" i="11"/>
  <c r="BQ2" i="9"/>
  <c r="BQ35" i="7"/>
  <c r="BO22" i="7" s="1"/>
  <c r="BO23" i="7" s="1"/>
  <c r="BY54" i="11"/>
  <c r="BY2" i="9"/>
  <c r="BY25" i="9" s="1"/>
  <c r="CG54" i="11"/>
  <c r="CG2" i="9"/>
  <c r="E50" i="5"/>
  <c r="M50" i="5"/>
  <c r="U50" i="5"/>
  <c r="AC50" i="5"/>
  <c r="AK50" i="5"/>
  <c r="AS50" i="5"/>
  <c r="BA50" i="5"/>
  <c r="BI50" i="5"/>
  <c r="BQ50" i="5"/>
  <c r="BY50" i="5"/>
  <c r="CG50" i="5"/>
  <c r="E52" i="11"/>
  <c r="E7" i="9"/>
  <c r="M52" i="11"/>
  <c r="M7" i="9"/>
  <c r="U52" i="11"/>
  <c r="U53" i="11" s="1"/>
  <c r="U7" i="9"/>
  <c r="AC52" i="11"/>
  <c r="AC7" i="9"/>
  <c r="AK52" i="11"/>
  <c r="AK7" i="9"/>
  <c r="AS52" i="11"/>
  <c r="AS7" i="9"/>
  <c r="BA52" i="11"/>
  <c r="BA7" i="9"/>
  <c r="BI52" i="11"/>
  <c r="BI7" i="9"/>
  <c r="BQ52" i="11"/>
  <c r="BQ7" i="9"/>
  <c r="BY52" i="11"/>
  <c r="BY7" i="9"/>
  <c r="CG52" i="11"/>
  <c r="CG7" i="9"/>
  <c r="L89" i="5"/>
  <c r="BX89" i="5"/>
  <c r="D70" i="5"/>
  <c r="AR54" i="11"/>
  <c r="AR2" i="9"/>
  <c r="AR16" i="9" s="1"/>
  <c r="AR35" i="7"/>
  <c r="AN22" i="7" s="1"/>
  <c r="BX54" i="11"/>
  <c r="BX2" i="9"/>
  <c r="E54" i="11"/>
  <c r="B25" i="13"/>
  <c r="B45" i="13"/>
  <c r="B6" i="13"/>
  <c r="E2" i="9"/>
  <c r="E25" i="9" s="1"/>
  <c r="E35" i="7"/>
  <c r="F54" i="11"/>
  <c r="F2" i="9"/>
  <c r="F16" i="9" s="1"/>
  <c r="F35" i="7"/>
  <c r="N54" i="11"/>
  <c r="N55" i="11" s="1"/>
  <c r="N2" i="9"/>
  <c r="N16" i="9" s="1"/>
  <c r="N35" i="7"/>
  <c r="J22" i="7" s="1"/>
  <c r="V54" i="11"/>
  <c r="V2" i="9"/>
  <c r="V35" i="7"/>
  <c r="R22" i="7" s="1"/>
  <c r="R23" i="7" s="1"/>
  <c r="AD54" i="11"/>
  <c r="AD2" i="9"/>
  <c r="AD16" i="9" s="1"/>
  <c r="AD35" i="7"/>
  <c r="Z22" i="7" s="1"/>
  <c r="Z23" i="7" s="1"/>
  <c r="AL54" i="11"/>
  <c r="AL2" i="9"/>
  <c r="AH25" i="9" s="1"/>
  <c r="AL35" i="7"/>
  <c r="AH22" i="7" s="1"/>
  <c r="AH23" i="7" s="1"/>
  <c r="AT54" i="11"/>
  <c r="AT2" i="9"/>
  <c r="AT35" i="7"/>
  <c r="AP22" i="7" s="1"/>
  <c r="AP23" i="7" s="1"/>
  <c r="BB54" i="11"/>
  <c r="BB2" i="9"/>
  <c r="BB35" i="7"/>
  <c r="AX22" i="7" s="1"/>
  <c r="AX23" i="7" s="1"/>
  <c r="BJ54" i="11"/>
  <c r="BJ2" i="9"/>
  <c r="BJ25" i="9" s="1"/>
  <c r="BJ35" i="7"/>
  <c r="BF22" i="7" s="1"/>
  <c r="BF23" i="7" s="1"/>
  <c r="BR54" i="11"/>
  <c r="BR2" i="9"/>
  <c r="BR25" i="9" s="1"/>
  <c r="BR35" i="7"/>
  <c r="BP22" i="7" s="1"/>
  <c r="BP23" i="7" s="1"/>
  <c r="BZ54" i="11"/>
  <c r="BZ2" i="9"/>
  <c r="BV25" i="9" s="1"/>
  <c r="CH54" i="11"/>
  <c r="CH2" i="9"/>
  <c r="CH16" i="9" s="1"/>
  <c r="F50" i="5"/>
  <c r="N50" i="5"/>
  <c r="V50" i="5"/>
  <c r="AD50" i="5"/>
  <c r="AL50" i="5"/>
  <c r="AT50" i="5"/>
  <c r="BB50" i="5"/>
  <c r="BJ50" i="5"/>
  <c r="BR50" i="5"/>
  <c r="BZ50" i="5"/>
  <c r="CH50" i="5"/>
  <c r="F52" i="11"/>
  <c r="F7" i="9"/>
  <c r="N52" i="11"/>
  <c r="N7" i="9"/>
  <c r="V52" i="11"/>
  <c r="V53" i="11" s="1"/>
  <c r="V7" i="9"/>
  <c r="AD52" i="11"/>
  <c r="AD53" i="11" s="1"/>
  <c r="AD7" i="9"/>
  <c r="AD32" i="9" s="1"/>
  <c r="AL52" i="11"/>
  <c r="AL7" i="9"/>
  <c r="AT52" i="11"/>
  <c r="AT7" i="9"/>
  <c r="BB52" i="11"/>
  <c r="BB7" i="9"/>
  <c r="BJ52" i="11"/>
  <c r="BJ7" i="9"/>
  <c r="BJ32" i="9" s="1"/>
  <c r="BR52" i="11"/>
  <c r="BR7" i="9"/>
  <c r="BZ52" i="11"/>
  <c r="BZ7" i="9"/>
  <c r="CH52" i="11"/>
  <c r="CH7" i="9"/>
  <c r="T89" i="5"/>
  <c r="CF89" i="5"/>
  <c r="AJ54" i="11"/>
  <c r="AJ55" i="11" s="1"/>
  <c r="AJ2" i="9"/>
  <c r="AJ35" i="7"/>
  <c r="AF22" i="7" s="1"/>
  <c r="AF23" i="7" s="1"/>
  <c r="BP54" i="11"/>
  <c r="BP2" i="9"/>
  <c r="BP25" i="9" s="1"/>
  <c r="BP35" i="7"/>
  <c r="G54" i="11"/>
  <c r="G2" i="9"/>
  <c r="G25" i="9" s="1"/>
  <c r="G35" i="7"/>
  <c r="O54" i="11"/>
  <c r="O55" i="11" s="1"/>
  <c r="O2" i="9"/>
  <c r="O35" i="7"/>
  <c r="K22" i="7" s="1"/>
  <c r="W54" i="11"/>
  <c r="W2" i="9"/>
  <c r="W35" i="7"/>
  <c r="S22" i="7" s="1"/>
  <c r="S23" i="7" s="1"/>
  <c r="AE54" i="11"/>
  <c r="AE2" i="9"/>
  <c r="AE16" i="9" s="1"/>
  <c r="AE35" i="7"/>
  <c r="AA22" i="7" s="1"/>
  <c r="AA23" i="7" s="1"/>
  <c r="AM54" i="11"/>
  <c r="AM2" i="9"/>
  <c r="AM35" i="7"/>
  <c r="AI22" i="7" s="1"/>
  <c r="AI23" i="7" s="1"/>
  <c r="AU54" i="11"/>
  <c r="AU2" i="9"/>
  <c r="AU35" i="7"/>
  <c r="AQ22" i="7" s="1"/>
  <c r="AQ23" i="7" s="1"/>
  <c r="BC54" i="11"/>
  <c r="BC2" i="9"/>
  <c r="BC35" i="7"/>
  <c r="AY22" i="7" s="1"/>
  <c r="AY23" i="7" s="1"/>
  <c r="BK54" i="11"/>
  <c r="BK2" i="9"/>
  <c r="BK16" i="9" s="1"/>
  <c r="BK35" i="7"/>
  <c r="BG22" i="7" s="1"/>
  <c r="BG23" i="7" s="1"/>
  <c r="BS54" i="11"/>
  <c r="BS2" i="9"/>
  <c r="BS25" i="9" s="1"/>
  <c r="BS35" i="7"/>
  <c r="BQ22" i="7" s="1"/>
  <c r="BQ23" i="7" s="1"/>
  <c r="CA54" i="11"/>
  <c r="CA2" i="9"/>
  <c r="BW25" i="9" s="1"/>
  <c r="CI54" i="11"/>
  <c r="CI2" i="9"/>
  <c r="CI25" i="9" s="1"/>
  <c r="G50" i="5"/>
  <c r="O50" i="5"/>
  <c r="W50" i="5"/>
  <c r="AE50" i="5"/>
  <c r="AM50" i="5"/>
  <c r="AU50" i="5"/>
  <c r="BC50" i="5"/>
  <c r="BK50" i="5"/>
  <c r="BS50" i="5"/>
  <c r="CA50" i="5"/>
  <c r="CI50" i="5"/>
  <c r="G52" i="11"/>
  <c r="G7" i="9"/>
  <c r="O52" i="11"/>
  <c r="O7" i="9"/>
  <c r="W52" i="11"/>
  <c r="W7" i="9"/>
  <c r="AE52" i="11"/>
  <c r="AE53" i="11" s="1"/>
  <c r="AE7" i="9"/>
  <c r="AM52" i="11"/>
  <c r="AM7" i="9"/>
  <c r="AU52" i="11"/>
  <c r="AU7" i="9"/>
  <c r="BC52" i="11"/>
  <c r="BC7" i="9"/>
  <c r="BK52" i="11"/>
  <c r="BK7" i="9"/>
  <c r="BS52" i="11"/>
  <c r="BS7" i="9"/>
  <c r="CA52" i="11"/>
  <c r="CA7" i="9"/>
  <c r="CI52" i="11"/>
  <c r="CI7" i="9"/>
  <c r="E10" i="9"/>
  <c r="E89" i="5"/>
  <c r="M10" i="9"/>
  <c r="M34" i="9" s="1"/>
  <c r="M89" i="5"/>
  <c r="AB89" i="5"/>
  <c r="H54" i="11"/>
  <c r="H2" i="9"/>
  <c r="H16" i="9" s="1"/>
  <c r="H35" i="7"/>
  <c r="AF54" i="11"/>
  <c r="AF2" i="9"/>
  <c r="AF16" i="9" s="1"/>
  <c r="AF35" i="7"/>
  <c r="AB22" i="7" s="1"/>
  <c r="AN54" i="11"/>
  <c r="AN55" i="11" s="1"/>
  <c r="AN2" i="9"/>
  <c r="AN16" i="9" s="1"/>
  <c r="AN35" i="7"/>
  <c r="AJ22" i="7" s="1"/>
  <c r="AJ23" i="7" s="1"/>
  <c r="AV54" i="11"/>
  <c r="AV2" i="9"/>
  <c r="AV35" i="7"/>
  <c r="AR22" i="7" s="1"/>
  <c r="AR23" i="7" s="1"/>
  <c r="BD54" i="11"/>
  <c r="BD55" i="11" s="1"/>
  <c r="BD2" i="9"/>
  <c r="BD25" i="9" s="1"/>
  <c r="BD35" i="7"/>
  <c r="AZ22" i="7" s="1"/>
  <c r="AZ23" i="7" s="1"/>
  <c r="BL54" i="11"/>
  <c r="BL2" i="9"/>
  <c r="BL35" i="7"/>
  <c r="BH22" i="7" s="1"/>
  <c r="BH23" i="7" s="1"/>
  <c r="BT54" i="11"/>
  <c r="BT2" i="9"/>
  <c r="BT35" i="7"/>
  <c r="BR22" i="7" s="1"/>
  <c r="BR23" i="7" s="1"/>
  <c r="CB54" i="11"/>
  <c r="CB2" i="9"/>
  <c r="CJ54" i="11"/>
  <c r="CJ2" i="9"/>
  <c r="CJ25" i="9" s="1"/>
  <c r="H30" i="9"/>
  <c r="P30" i="9"/>
  <c r="X30" i="9"/>
  <c r="AF30" i="9"/>
  <c r="H50" i="5"/>
  <c r="P50" i="5"/>
  <c r="X50" i="5"/>
  <c r="AF50" i="5"/>
  <c r="AN50" i="5"/>
  <c r="AV50" i="5"/>
  <c r="BD50" i="5"/>
  <c r="BL50" i="5"/>
  <c r="BT50" i="5"/>
  <c r="CB50" i="5"/>
  <c r="CJ50" i="5"/>
  <c r="H52" i="11"/>
  <c r="H7" i="9"/>
  <c r="H32" i="9" s="1"/>
  <c r="P52" i="11"/>
  <c r="P7" i="9"/>
  <c r="L32" i="9" s="1"/>
  <c r="X52" i="1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2" i="9"/>
  <c r="P35" i="7"/>
  <c r="L22" i="7" s="1"/>
  <c r="I54" i="11"/>
  <c r="I2" i="9"/>
  <c r="I35" i="7"/>
  <c r="E22" i="7" s="1"/>
  <c r="E23" i="7" s="1"/>
  <c r="Y54" i="11"/>
  <c r="Y55" i="11" s="1"/>
  <c r="Y2" i="9"/>
  <c r="Y35" i="7"/>
  <c r="U22" i="7" s="1"/>
  <c r="U23" i="7" s="1"/>
  <c r="AW54" i="11"/>
  <c r="AW2" i="9"/>
  <c r="AW16" i="9" s="1"/>
  <c r="AW35" i="7"/>
  <c r="AS22" i="7" s="1"/>
  <c r="AS23" i="7" s="1"/>
  <c r="BM54" i="11"/>
  <c r="BM2" i="9"/>
  <c r="BM25" i="9" s="1"/>
  <c r="BM35" i="7"/>
  <c r="BI22" i="7" s="1"/>
  <c r="BI23" i="7" s="1"/>
  <c r="BU54" i="11"/>
  <c r="BU2" i="9"/>
  <c r="BQ25" i="9" s="1"/>
  <c r="BU35" i="7"/>
  <c r="BS22" i="7" s="1"/>
  <c r="BS23" i="7" s="1"/>
  <c r="CK54" i="11"/>
  <c r="CK2" i="9"/>
  <c r="I50" i="5"/>
  <c r="Q50" i="5"/>
  <c r="Y50" i="5"/>
  <c r="AG50" i="5"/>
  <c r="AO50" i="5"/>
  <c r="AW50" i="5"/>
  <c r="BE50" i="5"/>
  <c r="BM50" i="5"/>
  <c r="BU50" i="5"/>
  <c r="CC50" i="5"/>
  <c r="CK50" i="5"/>
  <c r="I52" i="11"/>
  <c r="I7" i="9"/>
  <c r="Q52" i="11"/>
  <c r="Q7" i="9"/>
  <c r="M32" i="9" s="1"/>
  <c r="Y52" i="11"/>
  <c r="Y7" i="9"/>
  <c r="AG52" i="1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55" i="11"/>
  <c r="W55" i="11"/>
  <c r="G28" i="11"/>
  <c r="W28" i="11"/>
  <c r="AE28" i="11"/>
  <c r="AM28" i="11"/>
  <c r="AU28" i="11"/>
  <c r="BC28" i="11"/>
  <c r="BK28" i="11"/>
  <c r="CI28" i="11"/>
  <c r="E43" i="11"/>
  <c r="M43" i="11"/>
  <c r="U43" i="11"/>
  <c r="AC43" i="11"/>
  <c r="AK43" i="11"/>
  <c r="AS43" i="11"/>
  <c r="BA43" i="11"/>
  <c r="BI43" i="11"/>
  <c r="BQ43" i="11"/>
  <c r="BY43" i="11"/>
  <c r="CG43" i="11"/>
  <c r="P53" i="11"/>
  <c r="X53" i="11"/>
  <c r="AF53" i="11"/>
  <c r="CK53" i="11"/>
  <c r="G72" i="11"/>
  <c r="G73" i="11" s="1"/>
  <c r="O72" i="11"/>
  <c r="O73" i="11" s="1"/>
  <c r="W72" i="11"/>
  <c r="W73" i="11" s="1"/>
  <c r="AE72" i="11"/>
  <c r="AE73" i="11" s="1"/>
  <c r="AM72" i="11"/>
  <c r="AM73" i="11" s="1"/>
  <c r="AM75"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I75" i="11" s="1"/>
  <c r="Q72" i="11"/>
  <c r="Q73" i="11" s="1"/>
  <c r="Y72" i="11"/>
  <c r="Y73" i="11" s="1"/>
  <c r="AG72" i="11"/>
  <c r="AG73" i="11" s="1"/>
  <c r="AO72" i="11"/>
  <c r="AO73" i="11" s="1"/>
  <c r="AO75"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A75" i="11" s="1"/>
  <c r="AI72" i="11"/>
  <c r="AI73" i="11" s="1"/>
  <c r="AQ72" i="11"/>
  <c r="AQ73" i="11" s="1"/>
  <c r="AQ75" i="11" s="1"/>
  <c r="AY72" i="11"/>
  <c r="AY73" i="11" s="1"/>
  <c r="AY75" i="11" s="1"/>
  <c r="BG72" i="11"/>
  <c r="BG73" i="11" s="1"/>
  <c r="BG75" i="11" s="1"/>
  <c r="BO72" i="11"/>
  <c r="BO73" i="11" s="1"/>
  <c r="BO75" i="11" s="1"/>
  <c r="BW72" i="11"/>
  <c r="BW73" i="11" s="1"/>
  <c r="CE72" i="11"/>
  <c r="CE73" i="11" s="1"/>
  <c r="CE75" i="11" s="1"/>
  <c r="L72" i="11"/>
  <c r="L73" i="11" s="1"/>
  <c r="T72" i="11"/>
  <c r="T73" i="11" s="1"/>
  <c r="AB72" i="11"/>
  <c r="AB73" i="11" s="1"/>
  <c r="AJ72" i="11"/>
  <c r="AJ73" i="11" s="1"/>
  <c r="AR72" i="11"/>
  <c r="AR73" i="11" s="1"/>
  <c r="AR75" i="11" s="1"/>
  <c r="AZ72" i="11"/>
  <c r="AZ73" i="11" s="1"/>
  <c r="AZ75" i="11" s="1"/>
  <c r="BH72" i="11"/>
  <c r="BH73" i="11" s="1"/>
  <c r="BP72" i="11"/>
  <c r="BP73" i="11" s="1"/>
  <c r="BX72" i="11"/>
  <c r="BX73" i="11" s="1"/>
  <c r="BX75"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Z26" i="12"/>
  <c r="Z27" i="12" s="1"/>
  <c r="AP26" i="12"/>
  <c r="AP27" i="12" s="1"/>
  <c r="H5" i="12"/>
  <c r="P5" i="12"/>
  <c r="X5" i="12"/>
  <c r="AF5" i="12"/>
  <c r="AN5" i="12"/>
  <c r="AV5" i="12"/>
  <c r="BD5" i="12"/>
  <c r="BL5" i="12"/>
  <c r="BT5" i="12"/>
  <c r="CB5" i="12"/>
  <c r="CJ5" i="12"/>
  <c r="G25" i="12"/>
  <c r="O25" i="12"/>
  <c r="W25" i="12"/>
  <c r="AE25" i="12"/>
  <c r="AM25" i="12"/>
  <c r="AU25" i="12"/>
  <c r="BC25" i="12"/>
  <c r="BK25" i="12"/>
  <c r="BK26" i="12" s="1"/>
  <c r="BK27" i="12" s="1"/>
  <c r="BK28" i="12" s="1"/>
  <c r="BS25" i="12"/>
  <c r="CA25" i="12"/>
  <c r="CI25" i="12"/>
  <c r="H25" i="12"/>
  <c r="P25" i="12"/>
  <c r="X25" i="12"/>
  <c r="X26" i="12" s="1"/>
  <c r="X27" i="12" s="1"/>
  <c r="AF25" i="12"/>
  <c r="AN25" i="12"/>
  <c r="AN26" i="12" s="1"/>
  <c r="AN27" i="12" s="1"/>
  <c r="AN28" i="12" s="1"/>
  <c r="AV25" i="12"/>
  <c r="BD25" i="12"/>
  <c r="BL25" i="12"/>
  <c r="BT25" i="12"/>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AH25" i="12"/>
  <c r="AH26" i="12" s="1"/>
  <c r="AH27" i="12" s="1"/>
  <c r="AP25" i="12"/>
  <c r="AX25" i="12"/>
  <c r="AX26" i="12" s="1"/>
  <c r="AX27" i="12" s="1"/>
  <c r="BF25" i="12"/>
  <c r="BF26" i="12" s="1"/>
  <c r="BF27" i="12" s="1"/>
  <c r="BN25" i="12"/>
  <c r="BN26" i="12" s="1"/>
  <c r="BN27" i="12" s="1"/>
  <c r="BV25" i="12"/>
  <c r="BV26" i="12" s="1"/>
  <c r="BV27" i="12" s="1"/>
  <c r="CD25" i="12"/>
  <c r="CD26" i="12" s="1"/>
  <c r="CD27" i="12" s="1"/>
  <c r="H26" i="12"/>
  <c r="H27" i="12" s="1"/>
  <c r="P26" i="12"/>
  <c r="P27" i="12" s="1"/>
  <c r="AF26" i="12"/>
  <c r="AF27" i="12" s="1"/>
  <c r="AF28" i="12" s="1"/>
  <c r="AV26" i="12"/>
  <c r="AV27" i="12" s="1"/>
  <c r="BD26" i="12"/>
  <c r="BD27" i="12" s="1"/>
  <c r="BL26" i="12"/>
  <c r="BL27" i="12" s="1"/>
  <c r="BT26" i="12"/>
  <c r="BT27" i="12" s="1"/>
  <c r="CB26" i="12"/>
  <c r="CB27" i="12" s="1"/>
  <c r="L25" i="12"/>
  <c r="T25" i="12"/>
  <c r="AB25" i="12"/>
  <c r="AJ25" i="12"/>
  <c r="AR25" i="12"/>
  <c r="AR26" i="12" s="1"/>
  <c r="AR27" i="12" s="1"/>
  <c r="AR28" i="12" s="1"/>
  <c r="AZ25" i="12"/>
  <c r="BH25" i="12"/>
  <c r="BH26" i="12" s="1"/>
  <c r="BH27" i="12" s="1"/>
  <c r="BH28" i="12" s="1"/>
  <c r="BP25" i="12"/>
  <c r="BX25" i="12"/>
  <c r="CF25" i="12"/>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L26" i="12"/>
  <c r="L27" i="12" s="1"/>
  <c r="L28" i="12" s="1"/>
  <c r="T26" i="12"/>
  <c r="T27" i="12" s="1"/>
  <c r="AB26" i="12"/>
  <c r="AB27" i="12" s="1"/>
  <c r="AJ26" i="12"/>
  <c r="AJ27" i="12" s="1"/>
  <c r="AZ26" i="12"/>
  <c r="AZ27" i="12" s="1"/>
  <c r="AZ28" i="12" s="1"/>
  <c r="BP26" i="12"/>
  <c r="BP27" i="12" s="1"/>
  <c r="BP28" i="12" s="1"/>
  <c r="BX26" i="12"/>
  <c r="BX27" i="12" s="1"/>
  <c r="BX28" i="12" s="1"/>
  <c r="CF26" i="12"/>
  <c r="CF27" i="12" s="1"/>
  <c r="AB13" i="12"/>
  <c r="AJ13" i="12"/>
  <c r="AR13" i="12"/>
  <c r="AZ13" i="12"/>
  <c r="BH13" i="12"/>
  <c r="BP13" i="12"/>
  <c r="BX13" i="12"/>
  <c r="CF13" i="12"/>
  <c r="E26" i="12"/>
  <c r="E27" i="12" s="1"/>
  <c r="M26" i="12"/>
  <c r="M27" i="12" s="1"/>
  <c r="U26" i="12"/>
  <c r="U27" i="12" s="1"/>
  <c r="AC26" i="12"/>
  <c r="AC27" i="12" s="1"/>
  <c r="AK26" i="12"/>
  <c r="AK27" i="12" s="1"/>
  <c r="AS26" i="12"/>
  <c r="AS27" i="12" s="1"/>
  <c r="BA26" i="12"/>
  <c r="BA27" i="12" s="1"/>
  <c r="BI26" i="12"/>
  <c r="BI27" i="12" s="1"/>
  <c r="BQ26" i="12"/>
  <c r="BQ27" i="12" s="1"/>
  <c r="BY26" i="12"/>
  <c r="BY27" i="12" s="1"/>
  <c r="CG26" i="12"/>
  <c r="CG27" i="12" s="1"/>
  <c r="E13" i="12"/>
  <c r="M13" i="12"/>
  <c r="U13" i="12"/>
  <c r="AC13" i="12"/>
  <c r="AK13" i="12"/>
  <c r="AS13" i="12"/>
  <c r="BA13" i="12"/>
  <c r="BI13" i="12"/>
  <c r="BQ13" i="12"/>
  <c r="BY13" i="12"/>
  <c r="CG13" i="12"/>
  <c r="F26" i="12"/>
  <c r="F27" i="12" s="1"/>
  <c r="N26" i="12"/>
  <c r="N27" i="12" s="1"/>
  <c r="V26" i="12"/>
  <c r="V27" i="12" s="1"/>
  <c r="V28" i="12" s="1"/>
  <c r="AD26" i="12"/>
  <c r="AD27" i="12" s="1"/>
  <c r="AL26" i="12"/>
  <c r="AL27" i="12" s="1"/>
  <c r="AT26" i="12"/>
  <c r="AT27" i="12" s="1"/>
  <c r="BB26" i="12"/>
  <c r="BB27" i="12" s="1"/>
  <c r="BJ26" i="12"/>
  <c r="BJ27" i="12" s="1"/>
  <c r="BR26" i="12"/>
  <c r="BR27" i="12" s="1"/>
  <c r="BZ26" i="12"/>
  <c r="BZ27" i="12" s="1"/>
  <c r="CH26" i="12"/>
  <c r="CH27" i="12" s="1"/>
  <c r="CH28" i="12" s="1"/>
  <c r="CK18" i="12"/>
  <c r="G26" i="12"/>
  <c r="G27" i="12" s="1"/>
  <c r="G28" i="12" s="1"/>
  <c r="O26" i="12"/>
  <c r="O27" i="12" s="1"/>
  <c r="O28" i="12" s="1"/>
  <c r="W26" i="12"/>
  <c r="W27" i="12" s="1"/>
  <c r="W28" i="12" s="1"/>
  <c r="AE26" i="12"/>
  <c r="AE27" i="12" s="1"/>
  <c r="AE28" i="12" s="1"/>
  <c r="AM26" i="12"/>
  <c r="AM27" i="12" s="1"/>
  <c r="AM28" i="12" s="1"/>
  <c r="AU26" i="12"/>
  <c r="AU27" i="12" s="1"/>
  <c r="AU28" i="12" s="1"/>
  <c r="BC26" i="12"/>
  <c r="BC27" i="12" s="1"/>
  <c r="BC28" i="12" s="1"/>
  <c r="BS26" i="12"/>
  <c r="BS27" i="12" s="1"/>
  <c r="BS28" i="12" s="1"/>
  <c r="CA26" i="12"/>
  <c r="CA27" i="12" s="1"/>
  <c r="CA28" i="12" s="1"/>
  <c r="CI26" i="12"/>
  <c r="CI27" i="12" s="1"/>
  <c r="CI28" i="12" s="1"/>
  <c r="G13" i="12"/>
  <c r="O13" i="12"/>
  <c r="AE13" i="12"/>
  <c r="AM13" i="12"/>
  <c r="AU13" i="12"/>
  <c r="BC13" i="12"/>
  <c r="BK13" i="12"/>
  <c r="BS13" i="12"/>
  <c r="CA13" i="12"/>
  <c r="H13" i="12"/>
  <c r="P13" i="12"/>
  <c r="X13" i="12"/>
  <c r="AF13" i="12"/>
  <c r="AN13" i="12"/>
  <c r="AV13" i="12"/>
  <c r="BD13" i="12"/>
  <c r="BL13" i="12"/>
  <c r="BT13" i="12"/>
  <c r="CB13" i="12"/>
  <c r="CJ13" i="12"/>
  <c r="I26" i="12"/>
  <c r="I27" i="12" s="1"/>
  <c r="I28" i="12" s="1"/>
  <c r="Q26" i="12"/>
  <c r="Q27" i="12" s="1"/>
  <c r="Q28" i="12" s="1"/>
  <c r="Y26" i="12"/>
  <c r="Y27" i="12" s="1"/>
  <c r="Y28" i="12" s="1"/>
  <c r="AG26" i="12"/>
  <c r="AG27" i="12" s="1"/>
  <c r="AO26" i="12"/>
  <c r="AO27" i="12" s="1"/>
  <c r="AO28" i="12" s="1"/>
  <c r="AW26" i="12"/>
  <c r="AW27" i="12" s="1"/>
  <c r="AW28" i="12" s="1"/>
  <c r="BE26" i="12"/>
  <c r="BE27" i="12" s="1"/>
  <c r="BE28" i="12" s="1"/>
  <c r="BM26" i="12"/>
  <c r="BM27" i="12" s="1"/>
  <c r="BM28" i="12" s="1"/>
  <c r="BU26" i="12"/>
  <c r="BU27" i="12" s="1"/>
  <c r="BU28" i="12" s="1"/>
  <c r="CC26" i="12"/>
  <c r="CC27" i="12" s="1"/>
  <c r="CC28" i="12" s="1"/>
  <c r="CK26" i="12"/>
  <c r="CK27" i="12" s="1"/>
  <c r="CK28" i="12" s="1"/>
  <c r="J13" i="12"/>
  <c r="R13" i="12"/>
  <c r="Z13" i="12"/>
  <c r="AH13" i="12"/>
  <c r="AP13" i="12"/>
  <c r="AX13" i="12"/>
  <c r="BF13" i="12"/>
  <c r="BN13" i="12"/>
  <c r="BV13" i="12"/>
  <c r="CD13" i="12"/>
  <c r="W13" i="12"/>
  <c r="BF53" i="11"/>
  <c r="BL55" i="11"/>
  <c r="G57" i="11"/>
  <c r="BS57" i="11"/>
  <c r="BN53" i="11"/>
  <c r="H55" i="11"/>
  <c r="BT55" i="11"/>
  <c r="O57" i="11"/>
  <c r="CA57" i="11"/>
  <c r="J53" i="11"/>
  <c r="BV53" i="11"/>
  <c r="P55" i="11"/>
  <c r="CB55" i="11"/>
  <c r="W57" i="11"/>
  <c r="CI57" i="11"/>
  <c r="CD53" i="11"/>
  <c r="X55" i="11"/>
  <c r="CJ55" i="11"/>
  <c r="AE57" i="11"/>
  <c r="K63" i="11"/>
  <c r="K65" i="11" s="1"/>
  <c r="K66" i="11" s="1"/>
  <c r="K74" i="11" s="1"/>
  <c r="AF55" i="11"/>
  <c r="AM57" i="11"/>
  <c r="V63" i="11"/>
  <c r="V65" i="11" s="1"/>
  <c r="V66" i="11" s="1"/>
  <c r="V74" i="11" s="1"/>
  <c r="V75" i="11" s="1"/>
  <c r="AH53" i="11"/>
  <c r="AU57" i="11"/>
  <c r="AF63" i="11"/>
  <c r="AF65" i="11" s="1"/>
  <c r="AF66" i="11" s="1"/>
  <c r="AF74" i="11" s="1"/>
  <c r="AF75" i="11" s="1"/>
  <c r="AP53" i="11"/>
  <c r="AV55" i="11"/>
  <c r="BC57" i="11"/>
  <c r="BF63" i="11"/>
  <c r="BF65" i="11" s="1"/>
  <c r="BF66" i="11" s="1"/>
  <c r="BF74" i="11" s="1"/>
  <c r="BF75" i="11" s="1"/>
  <c r="E57" i="11"/>
  <c r="E55" i="11"/>
  <c r="E63" i="11"/>
  <c r="E65" i="11" s="1"/>
  <c r="E66" i="11" s="1"/>
  <c r="E74" i="11" s="1"/>
  <c r="E75" i="11" s="1"/>
  <c r="E53" i="11"/>
  <c r="M63" i="11"/>
  <c r="M65" i="11" s="1"/>
  <c r="M66" i="11" s="1"/>
  <c r="M74" i="11" s="1"/>
  <c r="M75" i="11" s="1"/>
  <c r="M57" i="11"/>
  <c r="M55" i="11"/>
  <c r="M53" i="11"/>
  <c r="U63" i="11"/>
  <c r="U65" i="11" s="1"/>
  <c r="U66" i="11" s="1"/>
  <c r="U74" i="11" s="1"/>
  <c r="U57" i="11"/>
  <c r="U55" i="11"/>
  <c r="AC63" i="11"/>
  <c r="AC65" i="11" s="1"/>
  <c r="AC66" i="11" s="1"/>
  <c r="AC74" i="11" s="1"/>
  <c r="AC75" i="11" s="1"/>
  <c r="AC57" i="11"/>
  <c r="AC53" i="11"/>
  <c r="AK63" i="11"/>
  <c r="AK65" i="11" s="1"/>
  <c r="AK66" i="11" s="1"/>
  <c r="AK74" i="11" s="1"/>
  <c r="AK57" i="11"/>
  <c r="AK55" i="11"/>
  <c r="AK53" i="11"/>
  <c r="AS63" i="11"/>
  <c r="AS65" i="11" s="1"/>
  <c r="AS66" i="11" s="1"/>
  <c r="AS74" i="11" s="1"/>
  <c r="AS75"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K53" i="11"/>
  <c r="S53" i="11"/>
  <c r="AA53" i="11"/>
  <c r="AI53" i="11"/>
  <c r="AQ53" i="11"/>
  <c r="AY53" i="11"/>
  <c r="BG53" i="11"/>
  <c r="BO53" i="11"/>
  <c r="BW53" i="11"/>
  <c r="CE53" i="11"/>
  <c r="I55" i="11"/>
  <c r="Q55"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W75" i="11" s="1"/>
  <c r="AH63" i="11"/>
  <c r="AH65" i="11" s="1"/>
  <c r="AH66" i="11" s="1"/>
  <c r="AH74" i="11" s="1"/>
  <c r="AH75" i="11" s="1"/>
  <c r="BH63" i="11"/>
  <c r="BH65" i="11" s="1"/>
  <c r="BH66" i="11" s="1"/>
  <c r="BH74" i="11" s="1"/>
  <c r="BH75" i="11" s="1"/>
  <c r="AB53" i="11"/>
  <c r="AJ53" i="11"/>
  <c r="AR53" i="11"/>
  <c r="AZ53" i="11"/>
  <c r="BH53" i="11"/>
  <c r="BP53" i="11"/>
  <c r="BX53" i="11"/>
  <c r="CF53" i="11"/>
  <c r="J55" i="11"/>
  <c r="R55" i="11"/>
  <c r="Z55" i="11"/>
  <c r="AH55" i="11"/>
  <c r="AX55" i="11"/>
  <c r="BF55" i="11"/>
  <c r="BN55" i="11"/>
  <c r="BV55" i="11"/>
  <c r="CD55" i="11"/>
  <c r="I57" i="11"/>
  <c r="Q57" i="11"/>
  <c r="Y57" i="11"/>
  <c r="AG57" i="11"/>
  <c r="AO57" i="11"/>
  <c r="AW57" i="11"/>
  <c r="BE57" i="11"/>
  <c r="BM57" i="11"/>
  <c r="BU57" i="11"/>
  <c r="CC57" i="11"/>
  <c r="CK57" i="11"/>
  <c r="N63" i="11"/>
  <c r="N65" i="11" s="1"/>
  <c r="N66" i="11" s="1"/>
  <c r="N74" i="11" s="1"/>
  <c r="N75" i="11" s="1"/>
  <c r="X63" i="11"/>
  <c r="X65" i="11" s="1"/>
  <c r="X66" i="11" s="1"/>
  <c r="X74" i="11" s="1"/>
  <c r="X75" i="11" s="1"/>
  <c r="AI63" i="11"/>
  <c r="AI65" i="11" s="1"/>
  <c r="AI66" i="11" s="1"/>
  <c r="AI74" i="11" s="1"/>
  <c r="AI75"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K55" i="11"/>
  <c r="AA55" i="11"/>
  <c r="AI55" i="11"/>
  <c r="AY55" i="11"/>
  <c r="BG55" i="11"/>
  <c r="BO55" i="11"/>
  <c r="BW55" i="11"/>
  <c r="CE55" i="11"/>
  <c r="J57" i="11"/>
  <c r="R57" i="11"/>
  <c r="Z57" i="11"/>
  <c r="AH57" i="11"/>
  <c r="AP57" i="11"/>
  <c r="AX57" i="11"/>
  <c r="BF57" i="11"/>
  <c r="BN57" i="11"/>
  <c r="BV57" i="11"/>
  <c r="CD57" i="11"/>
  <c r="O63" i="11"/>
  <c r="O65" i="11" s="1"/>
  <c r="O66" i="11" s="1"/>
  <c r="O74" i="11" s="1"/>
  <c r="O75" i="11" s="1"/>
  <c r="Z63" i="11"/>
  <c r="Z65" i="11" s="1"/>
  <c r="Z66" i="11" s="1"/>
  <c r="Z74" i="11" s="1"/>
  <c r="AJ63" i="11"/>
  <c r="AJ65" i="11" s="1"/>
  <c r="AJ66" i="11" s="1"/>
  <c r="AJ74" i="11" s="1"/>
  <c r="AJ75" i="11" s="1"/>
  <c r="BV63" i="11"/>
  <c r="BV65" i="11" s="1"/>
  <c r="BV66" i="11" s="1"/>
  <c r="BV74" i="11" s="1"/>
  <c r="BV75" i="11" s="1"/>
  <c r="F53" i="11"/>
  <c r="N53" i="11"/>
  <c r="AL53" i="11"/>
  <c r="AT53" i="11"/>
  <c r="BB53" i="11"/>
  <c r="BJ53" i="11"/>
  <c r="BR53" i="11"/>
  <c r="BZ53" i="11"/>
  <c r="CH53" i="11"/>
  <c r="L55" i="11"/>
  <c r="T55" i="11"/>
  <c r="AB55"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P74" i="11" s="1"/>
  <c r="AP63" i="11"/>
  <c r="AP65" i="11" s="1"/>
  <c r="AP66" i="11" s="1"/>
  <c r="AP74" i="11" s="1"/>
  <c r="CD63" i="11"/>
  <c r="CD65" i="11" s="1"/>
  <c r="CD66" i="11" s="1"/>
  <c r="CD74" i="11" s="1"/>
  <c r="CD75" i="11" s="1"/>
  <c r="G53" i="11"/>
  <c r="O53" i="11"/>
  <c r="W53" i="11"/>
  <c r="AM53" i="11"/>
  <c r="AU53" i="11"/>
  <c r="BC53" i="11"/>
  <c r="BK53" i="11"/>
  <c r="BS53" i="11"/>
  <c r="CA53" i="11"/>
  <c r="CI53" i="11"/>
  <c r="T57" i="11"/>
  <c r="AB57" i="11"/>
  <c r="AR57" i="11"/>
  <c r="AZ57" i="11"/>
  <c r="BP57" i="11"/>
  <c r="BX57" i="11"/>
  <c r="CF57" i="11"/>
  <c r="G63" i="11"/>
  <c r="G65" i="11" s="1"/>
  <c r="G66" i="11" s="1"/>
  <c r="G74" i="11" s="1"/>
  <c r="G75" i="11" s="1"/>
  <c r="R63" i="11"/>
  <c r="R65" i="11" s="1"/>
  <c r="R66" i="11" s="1"/>
  <c r="R74" i="11" s="1"/>
  <c r="R75" i="11" s="1"/>
  <c r="H53" i="11"/>
  <c r="AN53" i="11"/>
  <c r="AV53" i="11"/>
  <c r="BD53" i="11"/>
  <c r="BL53" i="11"/>
  <c r="BT53" i="11"/>
  <c r="CB53" i="11"/>
  <c r="CJ53" i="11"/>
  <c r="F55" i="11"/>
  <c r="V55" i="11"/>
  <c r="AD55" i="11"/>
  <c r="AL55" i="11"/>
  <c r="AT55" i="11"/>
  <c r="BB55" i="11"/>
  <c r="BJ55" i="11"/>
  <c r="BR55" i="11"/>
  <c r="BZ55" i="11"/>
  <c r="CH55" i="11"/>
  <c r="AD63" i="11"/>
  <c r="AD65" i="11" s="1"/>
  <c r="AD66" i="11" s="1"/>
  <c r="AD74" i="11" s="1"/>
  <c r="AD75" i="11" s="1"/>
  <c r="AX63" i="11"/>
  <c r="AX65" i="11" s="1"/>
  <c r="AX66" i="11" s="1"/>
  <c r="AX74" i="11" s="1"/>
  <c r="AX75" i="11" s="1"/>
  <c r="I53" i="11"/>
  <c r="Q53" i="11"/>
  <c r="Y53" i="11"/>
  <c r="AG53" i="1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R34"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F32"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J32"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E32" i="9"/>
  <c r="AS32" i="9"/>
  <c r="BA32" i="9"/>
  <c r="L27" i="9"/>
  <c r="T27" i="9"/>
  <c r="AB27" i="9"/>
  <c r="AJ27" i="9"/>
  <c r="AR27" i="9"/>
  <c r="AZ27" i="9"/>
  <c r="BH27" i="9"/>
  <c r="BP27" i="9"/>
  <c r="BX27" i="9"/>
  <c r="CF27" i="9"/>
  <c r="J30" i="9"/>
  <c r="R30" i="9"/>
  <c r="Z30" i="9"/>
  <c r="K25"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P16" i="9"/>
  <c r="X16" i="9"/>
  <c r="AV16" i="9"/>
  <c r="BL16" i="9"/>
  <c r="BT16" i="9"/>
  <c r="CB16" i="9"/>
  <c r="F25" i="9"/>
  <c r="V25" i="9"/>
  <c r="BZ25" i="9"/>
  <c r="H27" i="9"/>
  <c r="P27" i="9"/>
  <c r="X27" i="9"/>
  <c r="AF27" i="9"/>
  <c r="AN27" i="9"/>
  <c r="AV27" i="9"/>
  <c r="BD27" i="9"/>
  <c r="BL27" i="9"/>
  <c r="BT27" i="9"/>
  <c r="CB27" i="9"/>
  <c r="F30" i="9"/>
  <c r="N30" i="9"/>
  <c r="V30" i="9"/>
  <c r="P25" i="9"/>
  <c r="AV25" i="9"/>
  <c r="CL14" i="9"/>
  <c r="CL13" i="9"/>
  <c r="L34" i="9"/>
  <c r="T34" i="9"/>
  <c r="T16"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I16" i="9"/>
  <c r="Q16" i="9"/>
  <c r="AG16" i="9"/>
  <c r="AO16" i="9"/>
  <c r="BE16" i="9"/>
  <c r="CK16" i="9"/>
  <c r="AH30" i="9"/>
  <c r="AP30" i="9"/>
  <c r="AX30" i="9"/>
  <c r="BF30" i="9"/>
  <c r="BN30" i="9"/>
  <c r="BV30" i="9"/>
  <c r="CD30" i="9"/>
  <c r="L31" i="9"/>
  <c r="T31" i="9"/>
  <c r="AB31" i="9"/>
  <c r="AJ31" i="9"/>
  <c r="AR31" i="9"/>
  <c r="AZ31" i="9"/>
  <c r="BH31" i="9"/>
  <c r="BP31" i="9"/>
  <c r="BX31" i="9"/>
  <c r="CF31" i="9"/>
  <c r="F32" i="9"/>
  <c r="N32"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I32" i="9"/>
  <c r="Y32" i="9"/>
  <c r="BE32" i="9"/>
  <c r="BU32" i="9"/>
  <c r="H34" i="9"/>
  <c r="P34" i="9"/>
  <c r="X34" i="9"/>
  <c r="AF34" i="9"/>
  <c r="AN34" i="9"/>
  <c r="AV34" i="9"/>
  <c r="BD34" i="9"/>
  <c r="BL34" i="9"/>
  <c r="BT34" i="9"/>
  <c r="CB34" i="9"/>
  <c r="K36" i="9"/>
  <c r="S36" i="9"/>
  <c r="AA36" i="9"/>
  <c r="AI36" i="9"/>
  <c r="AQ36" i="9"/>
  <c r="AY36" i="9"/>
  <c r="BG36" i="9"/>
  <c r="BO36" i="9"/>
  <c r="BW36" i="9"/>
  <c r="CE36" i="9"/>
  <c r="V16" i="9"/>
  <c r="AL16" i="9"/>
  <c r="AT16" i="9"/>
  <c r="BB16" i="9"/>
  <c r="BJ16" i="9"/>
  <c r="BR16" i="9"/>
  <c r="BZ16" i="9"/>
  <c r="L36" i="9"/>
  <c r="T36" i="9"/>
  <c r="AB36" i="9"/>
  <c r="AJ36" i="9"/>
  <c r="AR36" i="9"/>
  <c r="AZ36" i="9"/>
  <c r="BH36" i="9"/>
  <c r="BP36" i="9"/>
  <c r="BX36" i="9"/>
  <c r="CF36" i="9"/>
  <c r="O16" i="9"/>
  <c r="W16" i="9"/>
  <c r="AM16" i="9"/>
  <c r="AU16" i="9"/>
  <c r="BC16" i="9"/>
  <c r="CA16" i="9"/>
  <c r="AN25" i="9" l="1"/>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AG23" i="7"/>
  <c r="AN23" i="7"/>
  <c r="L23" i="7"/>
  <c r="K23" i="7"/>
  <c r="J23" i="7"/>
  <c r="AM23" i="7"/>
  <c r="BU23" i="7"/>
  <c r="BU21" i="7"/>
  <c r="BT23" i="7"/>
  <c r="AB22" i="10"/>
  <c r="AD31" i="6"/>
  <c r="AD28" i="10"/>
  <c r="V21" i="11"/>
  <c r="V22" i="11" s="1"/>
  <c r="AG74" i="11"/>
  <c r="AG75" i="11" s="1"/>
  <c r="AE74" i="11"/>
  <c r="AE75" i="11" s="1"/>
  <c r="AB75" i="11"/>
  <c r="V31" i="6"/>
  <c r="V6" i="11" s="1"/>
  <c r="AJ22" i="10"/>
  <c r="BM75" i="11"/>
  <c r="CJ75" i="11"/>
  <c r="BS75" i="11"/>
  <c r="CE22" i="10"/>
  <c r="S22" i="10"/>
  <c r="BQ22" i="10"/>
  <c r="CD22" i="10"/>
  <c r="R22" i="10"/>
  <c r="Y22" i="10"/>
  <c r="BL22" i="10"/>
  <c r="BS22" i="10"/>
  <c r="BC22" i="10"/>
  <c r="W22" i="10"/>
  <c r="BY21" i="11"/>
  <c r="BY22" i="11" s="1"/>
  <c r="BY28" i="10"/>
  <c r="BY31" i="6"/>
  <c r="M21" i="11"/>
  <c r="M22" i="11" s="1"/>
  <c r="M28" i="10"/>
  <c r="M31" i="6"/>
  <c r="BP21" i="11"/>
  <c r="BP22" i="11" s="1"/>
  <c r="BP28" i="10"/>
  <c r="BP31" i="6"/>
  <c r="D31" i="6"/>
  <c r="BW21" i="11"/>
  <c r="BW22" i="11" s="1"/>
  <c r="BW28" i="10"/>
  <c r="BW31" i="6"/>
  <c r="K21" i="11"/>
  <c r="K22" i="11" s="1"/>
  <c r="K28" i="10"/>
  <c r="K31" i="6"/>
  <c r="F6" i="11"/>
  <c r="F39" i="10"/>
  <c r="F34" i="10"/>
  <c r="F29" i="10" s="1"/>
  <c r="F38" i="6"/>
  <c r="F32" i="6"/>
  <c r="Z21" i="11"/>
  <c r="Z22" i="11" s="1"/>
  <c r="Z28" i="10"/>
  <c r="Z31" i="6"/>
  <c r="BE21" i="11"/>
  <c r="BE22" i="11" s="1"/>
  <c r="BE28" i="10"/>
  <c r="BE31" i="6"/>
  <c r="CJ21" i="11"/>
  <c r="CJ22" i="11" s="1"/>
  <c r="CJ28" i="10"/>
  <c r="CJ31" i="6"/>
  <c r="X21" i="11"/>
  <c r="X22" i="11" s="1"/>
  <c r="X28" i="10"/>
  <c r="X31" i="6"/>
  <c r="BK21" i="11"/>
  <c r="BK22" i="11" s="1"/>
  <c r="BK28" i="10"/>
  <c r="BK31" i="6"/>
  <c r="BE75" i="11"/>
  <c r="CB75" i="11"/>
  <c r="BK75" i="11"/>
  <c r="BZ22" i="10"/>
  <c r="BW22" i="10"/>
  <c r="K22" i="10"/>
  <c r="AK22" i="10"/>
  <c r="BV22" i="10"/>
  <c r="J22" i="10"/>
  <c r="CC22" i="10"/>
  <c r="Q22" i="10"/>
  <c r="BD22" i="10"/>
  <c r="BQ21" i="11"/>
  <c r="BQ22" i="11" s="1"/>
  <c r="BQ28" i="10"/>
  <c r="BQ31" i="6"/>
  <c r="E21" i="11"/>
  <c r="E22" i="11" s="1"/>
  <c r="E28" i="10"/>
  <c r="E31" i="6"/>
  <c r="BH21" i="11"/>
  <c r="BH22" i="11" s="1"/>
  <c r="BH28" i="10"/>
  <c r="BH31" i="6"/>
  <c r="BO21" i="11"/>
  <c r="BO22" i="11" s="1"/>
  <c r="BO28" i="10"/>
  <c r="BO31" i="6"/>
  <c r="C31" i="6"/>
  <c r="CD21" i="11"/>
  <c r="CD22" i="11" s="1"/>
  <c r="CD28" i="10"/>
  <c r="CD31" i="6"/>
  <c r="R21" i="11"/>
  <c r="R22" i="11" s="1"/>
  <c r="R28" i="10"/>
  <c r="R31" i="6"/>
  <c r="AW21" i="11"/>
  <c r="AW22" i="11" s="1"/>
  <c r="AW28" i="10"/>
  <c r="AW31" i="6"/>
  <c r="CB21" i="11"/>
  <c r="CB22" i="11" s="1"/>
  <c r="CB28" i="10"/>
  <c r="CB31" i="6"/>
  <c r="P21" i="11"/>
  <c r="P22" i="11" s="1"/>
  <c r="P28" i="10"/>
  <c r="P31" i="6"/>
  <c r="BC21" i="11"/>
  <c r="BC22" i="11" s="1"/>
  <c r="BC28" i="10"/>
  <c r="BC31" i="6"/>
  <c r="BP75" i="11"/>
  <c r="AW75" i="11"/>
  <c r="BT75" i="11"/>
  <c r="H75" i="11"/>
  <c r="BC75" i="11"/>
  <c r="CH75" i="11"/>
  <c r="CF22" i="10"/>
  <c r="T22" i="10"/>
  <c r="AL22" i="10"/>
  <c r="F22" i="10"/>
  <c r="BO22" i="10"/>
  <c r="BI22" i="10"/>
  <c r="M22" i="10"/>
  <c r="BN22" i="10"/>
  <c r="BU22" i="10"/>
  <c r="I22" i="10"/>
  <c r="AV22" i="10"/>
  <c r="CI22" i="10"/>
  <c r="BI21" i="11"/>
  <c r="BI22" i="11" s="1"/>
  <c r="BI28" i="10"/>
  <c r="BI31" i="6"/>
  <c r="BJ6" i="11"/>
  <c r="BJ39" i="10"/>
  <c r="BJ34" i="10"/>
  <c r="BJ38" i="6"/>
  <c r="BJ32" i="6"/>
  <c r="AZ21" i="11"/>
  <c r="AZ22" i="11" s="1"/>
  <c r="AZ28" i="10"/>
  <c r="AZ31" i="6"/>
  <c r="BG21" i="11"/>
  <c r="BG22" i="11" s="1"/>
  <c r="BG28" i="10"/>
  <c r="BG31" i="6"/>
  <c r="BV21" i="11"/>
  <c r="BV22" i="11" s="1"/>
  <c r="BV28" i="10"/>
  <c r="BV31" i="6"/>
  <c r="J21" i="11"/>
  <c r="J22" i="11" s="1"/>
  <c r="J28" i="10"/>
  <c r="J31" i="6"/>
  <c r="AO21" i="11"/>
  <c r="AO22" i="11" s="1"/>
  <c r="AO28" i="10"/>
  <c r="AO31" i="6"/>
  <c r="AL6" i="11"/>
  <c r="AL39" i="10"/>
  <c r="AL34" i="10"/>
  <c r="AL29" i="10" s="1"/>
  <c r="AL38" i="6"/>
  <c r="AL32" i="6"/>
  <c r="BT21" i="11"/>
  <c r="BT22" i="11" s="1"/>
  <c r="BT28" i="10"/>
  <c r="BT31" i="6"/>
  <c r="H21" i="11"/>
  <c r="H22" i="11" s="1"/>
  <c r="H28" i="10"/>
  <c r="H31" i="6"/>
  <c r="BR6" i="11"/>
  <c r="BR39" i="10"/>
  <c r="BR34" i="10"/>
  <c r="BR38" i="6"/>
  <c r="BR32" i="6"/>
  <c r="AU21" i="11"/>
  <c r="AU22" i="11" s="1"/>
  <c r="AU28" i="10"/>
  <c r="AU31" i="6"/>
  <c r="BW75" i="11"/>
  <c r="BL75" i="11"/>
  <c r="AU75" i="11"/>
  <c r="BZ75" i="11"/>
  <c r="BX22" i="10"/>
  <c r="L22" i="10"/>
  <c r="BB22" i="10"/>
  <c r="V22" i="10"/>
  <c r="BG22" i="10"/>
  <c r="BF22" i="10"/>
  <c r="BM22" i="10"/>
  <c r="AN22" i="10"/>
  <c r="AU22" i="10"/>
  <c r="O22" i="10"/>
  <c r="BA21" i="11"/>
  <c r="BA22" i="11" s="1"/>
  <c r="BA28" i="10"/>
  <c r="BA31" i="6"/>
  <c r="BJ29" i="10"/>
  <c r="AR21" i="11"/>
  <c r="AR22" i="11" s="1"/>
  <c r="AR28" i="10"/>
  <c r="AR31" i="6"/>
  <c r="AY21" i="11"/>
  <c r="AY22" i="11" s="1"/>
  <c r="AY28" i="10"/>
  <c r="AY31" i="6"/>
  <c r="BN21" i="11"/>
  <c r="BN22" i="11" s="1"/>
  <c r="BN28" i="10"/>
  <c r="BN31" i="6"/>
  <c r="B31" i="6"/>
  <c r="CH6" i="11"/>
  <c r="CH39" i="10"/>
  <c r="CH34" i="10"/>
  <c r="CH38" i="6"/>
  <c r="CH32" i="6"/>
  <c r="AG21" i="11"/>
  <c r="AG22" i="11" s="1"/>
  <c r="AG28" i="10"/>
  <c r="AG31" i="6"/>
  <c r="BL21" i="11"/>
  <c r="BL22" i="11" s="1"/>
  <c r="BL28" i="10"/>
  <c r="BL31" i="6"/>
  <c r="BR29" i="10"/>
  <c r="AM21" i="11"/>
  <c r="AM22" i="11" s="1"/>
  <c r="AM28" i="10"/>
  <c r="AM31" i="6"/>
  <c r="BD75" i="11"/>
  <c r="BR75" i="11"/>
  <c r="BP22" i="10"/>
  <c r="BR22" i="10"/>
  <c r="AY22" i="10"/>
  <c r="CG22" i="10"/>
  <c r="BA22" i="10"/>
  <c r="AC22" i="10"/>
  <c r="AX22" i="10"/>
  <c r="BE22" i="10"/>
  <c r="AF22" i="10"/>
  <c r="BK22" i="10"/>
  <c r="AE22" i="10"/>
  <c r="AS21" i="11"/>
  <c r="AS22" i="11" s="1"/>
  <c r="AS28" i="10"/>
  <c r="AS31" i="6"/>
  <c r="AJ21" i="11"/>
  <c r="AJ22" i="11" s="1"/>
  <c r="AJ28" i="10"/>
  <c r="AJ31" i="6"/>
  <c r="AQ21" i="11"/>
  <c r="AQ22" i="11" s="1"/>
  <c r="AQ28" i="10"/>
  <c r="AQ31" i="6"/>
  <c r="BF21" i="11"/>
  <c r="BF22" i="11" s="1"/>
  <c r="BF28" i="10"/>
  <c r="BF31" i="6"/>
  <c r="CH29" i="10"/>
  <c r="Y21" i="11"/>
  <c r="Y22" i="11" s="1"/>
  <c r="Y28" i="10"/>
  <c r="Y31" i="6"/>
  <c r="BD21" i="11"/>
  <c r="BD22" i="11" s="1"/>
  <c r="BD28" i="10"/>
  <c r="BD31" i="6"/>
  <c r="AE21" i="11"/>
  <c r="AE22" i="11" s="1"/>
  <c r="AE28" i="10"/>
  <c r="AE31" i="6"/>
  <c r="J75" i="11"/>
  <c r="AV75" i="11"/>
  <c r="Y74" i="11"/>
  <c r="Y75" i="11" s="1"/>
  <c r="BJ75" i="11"/>
  <c r="BH22" i="10"/>
  <c r="AQ22" i="10"/>
  <c r="E22" i="10"/>
  <c r="AP22" i="10"/>
  <c r="AW22" i="10"/>
  <c r="CJ22" i="10"/>
  <c r="X22" i="10"/>
  <c r="CA22" i="10"/>
  <c r="AK21" i="11"/>
  <c r="AK22" i="11" s="1"/>
  <c r="AK28" i="10"/>
  <c r="AK31" i="6"/>
  <c r="AB21" i="11"/>
  <c r="AB22" i="11" s="1"/>
  <c r="AB28" i="10"/>
  <c r="AB31" i="6"/>
  <c r="AI21" i="11"/>
  <c r="AI22" i="11" s="1"/>
  <c r="AI28" i="10"/>
  <c r="AI31" i="6"/>
  <c r="BB6" i="11"/>
  <c r="BB39" i="10"/>
  <c r="BB34" i="10"/>
  <c r="BB38" i="6"/>
  <c r="BB32" i="6"/>
  <c r="AX21" i="11"/>
  <c r="AX22" i="11" s="1"/>
  <c r="AX28" i="10"/>
  <c r="AX31" i="6"/>
  <c r="CC21" i="11"/>
  <c r="CC22" i="11" s="1"/>
  <c r="CC28" i="10"/>
  <c r="CC31" i="6"/>
  <c r="Q21" i="11"/>
  <c r="Q22" i="11" s="1"/>
  <c r="Q28" i="10"/>
  <c r="Q31" i="6"/>
  <c r="AV21" i="11"/>
  <c r="AV22" i="11" s="1"/>
  <c r="AV28" i="10"/>
  <c r="AV31" i="6"/>
  <c r="N6" i="11"/>
  <c r="N39" i="10"/>
  <c r="N34" i="10"/>
  <c r="N29" i="10" s="1"/>
  <c r="N38" i="6"/>
  <c r="N32" i="6"/>
  <c r="CI21" i="11"/>
  <c r="CI22" i="11" s="1"/>
  <c r="CI28" i="10"/>
  <c r="CI31" i="6"/>
  <c r="W21" i="11"/>
  <c r="W22" i="11" s="1"/>
  <c r="W28" i="10"/>
  <c r="W31" i="6"/>
  <c r="CC75" i="11"/>
  <c r="AN75" i="11"/>
  <c r="CI75" i="11"/>
  <c r="AL75" i="11"/>
  <c r="Q74" i="11"/>
  <c r="Q75" i="11" s="1"/>
  <c r="AZ22" i="10"/>
  <c r="AT22" i="10"/>
  <c r="AD22" i="10"/>
  <c r="N22" i="10"/>
  <c r="AI22" i="10"/>
  <c r="BY22" i="10"/>
  <c r="AS22" i="10"/>
  <c r="AH22" i="10"/>
  <c r="AO22" i="10"/>
  <c r="CB22" i="10"/>
  <c r="P22" i="10"/>
  <c r="AC21" i="11"/>
  <c r="AC22" i="11" s="1"/>
  <c r="AC28" i="10"/>
  <c r="AC31" i="6"/>
  <c r="CF21" i="11"/>
  <c r="CF22" i="11" s="1"/>
  <c r="CF28" i="10"/>
  <c r="CF31" i="6"/>
  <c r="T21" i="11"/>
  <c r="T22" i="11" s="1"/>
  <c r="T28" i="10"/>
  <c r="T31" i="6"/>
  <c r="AA21" i="11"/>
  <c r="AA22" i="11" s="1"/>
  <c r="AA28" i="10"/>
  <c r="AA31" i="6"/>
  <c r="BB29" i="10"/>
  <c r="AP21" i="11"/>
  <c r="AP22" i="11" s="1"/>
  <c r="AP28" i="10"/>
  <c r="AP31" i="6"/>
  <c r="AD6" i="11"/>
  <c r="AD39" i="10"/>
  <c r="AD34" i="10"/>
  <c r="AD38" i="6"/>
  <c r="AD32" i="6"/>
  <c r="BU21" i="11"/>
  <c r="BU22" i="11" s="1"/>
  <c r="BU28" i="10"/>
  <c r="BU31" i="6"/>
  <c r="I21" i="11"/>
  <c r="I22" i="11" s="1"/>
  <c r="I28" i="10"/>
  <c r="I31" i="6"/>
  <c r="AN21" i="11"/>
  <c r="AN22" i="11" s="1"/>
  <c r="AN28" i="10"/>
  <c r="AN31" i="6"/>
  <c r="CA21" i="11"/>
  <c r="CA22" i="11" s="1"/>
  <c r="CA28" i="10"/>
  <c r="CA31" i="6"/>
  <c r="O21" i="11"/>
  <c r="O22" i="11" s="1"/>
  <c r="O28" i="10"/>
  <c r="O31" i="6"/>
  <c r="BU75" i="11"/>
  <c r="CA75" i="11"/>
  <c r="AR22" i="10"/>
  <c r="CH22" i="10"/>
  <c r="BJ22" i="10"/>
  <c r="AA22" i="10"/>
  <c r="U22" i="10"/>
  <c r="Z22" i="10"/>
  <c r="AG22" i="10"/>
  <c r="BT22" i="10"/>
  <c r="H22" i="10"/>
  <c r="AM22" i="10"/>
  <c r="G22" i="10"/>
  <c r="CG21" i="11"/>
  <c r="CG22" i="11" s="1"/>
  <c r="CG28" i="10"/>
  <c r="CG31" i="6"/>
  <c r="U21" i="11"/>
  <c r="U22" i="11" s="1"/>
  <c r="U28" i="10"/>
  <c r="U31" i="6"/>
  <c r="BX21" i="11"/>
  <c r="BX22" i="11" s="1"/>
  <c r="BX28" i="10"/>
  <c r="BX31" i="6"/>
  <c r="L21" i="11"/>
  <c r="L22" i="11" s="1"/>
  <c r="L28" i="10"/>
  <c r="L31" i="6"/>
  <c r="CE21" i="11"/>
  <c r="CE22" i="11" s="1"/>
  <c r="CE28" i="10"/>
  <c r="CE31" i="6"/>
  <c r="S21" i="11"/>
  <c r="S22" i="11" s="1"/>
  <c r="S28" i="10"/>
  <c r="S31" i="6"/>
  <c r="AH21" i="11"/>
  <c r="AH22" i="11" s="1"/>
  <c r="AH28" i="10"/>
  <c r="AH31" i="6"/>
  <c r="AD29" i="10"/>
  <c r="BM21" i="11"/>
  <c r="BM22" i="11" s="1"/>
  <c r="BM28" i="10"/>
  <c r="BM31" i="6"/>
  <c r="BZ6" i="11"/>
  <c r="BZ39" i="10"/>
  <c r="BZ34" i="10"/>
  <c r="BZ38" i="6"/>
  <c r="BZ32" i="6"/>
  <c r="AF21" i="11"/>
  <c r="AF22" i="11" s="1"/>
  <c r="AF28" i="10"/>
  <c r="AF31" i="6"/>
  <c r="BS21" i="11"/>
  <c r="BS22" i="11" s="1"/>
  <c r="BS28" i="10"/>
  <c r="BS31" i="6"/>
  <c r="G21" i="11"/>
  <c r="G22" i="11" s="1"/>
  <c r="G28" i="10"/>
  <c r="G31" i="6"/>
  <c r="AT6" i="11"/>
  <c r="AT39" i="10"/>
  <c r="AT34" i="10"/>
  <c r="AT29" i="10" s="1"/>
  <c r="AT38" i="6"/>
  <c r="AT32" i="6"/>
  <c r="AD34" i="9"/>
  <c r="E16" i="9"/>
  <c r="AH16" i="9"/>
  <c r="R16" i="9"/>
  <c r="AM32" i="9"/>
  <c r="G32" i="9"/>
  <c r="O32" i="9"/>
  <c r="AJ32" i="9"/>
  <c r="P32" i="9"/>
  <c r="S75" i="11"/>
  <c r="AK75" i="11"/>
  <c r="Z75" i="11"/>
  <c r="K75" i="11"/>
  <c r="T75" i="11"/>
  <c r="L75" i="11"/>
  <c r="U75" i="11"/>
  <c r="AP75" i="11"/>
  <c r="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29" i="9" s="1"/>
  <c r="U69" i="5"/>
  <c r="CD12" i="9"/>
  <c r="CD108" i="5"/>
  <c r="AX12" i="9"/>
  <c r="AX108" i="5"/>
  <c r="AX4" i="8"/>
  <c r="R12" i="9"/>
  <c r="R4" i="8"/>
  <c r="R108" i="5"/>
  <c r="AB50" i="11"/>
  <c r="AB51" i="11" s="1"/>
  <c r="AB4" i="9"/>
  <c r="AB69" i="5"/>
  <c r="I12" i="9"/>
  <c r="I37" i="9" s="1"/>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108" i="5"/>
  <c r="BL12" i="9"/>
  <c r="BL4" i="8"/>
  <c r="BL108" i="5"/>
  <c r="CC50" i="11"/>
  <c r="CC51" i="11" s="1"/>
  <c r="CC4" i="9"/>
  <c r="CC29" i="9" s="1"/>
  <c r="CC69" i="5"/>
  <c r="Q50" i="11"/>
  <c r="Q51" i="11" s="1"/>
  <c r="Q4" i="9"/>
  <c r="Q29" i="9" s="1"/>
  <c r="Q69" i="5"/>
  <c r="AF50" i="11"/>
  <c r="AF51" i="11" s="1"/>
  <c r="AF4" i="9"/>
  <c r="AF69" i="5"/>
  <c r="AU50" i="11"/>
  <c r="AU51" i="11" s="1"/>
  <c r="AU4" i="9"/>
  <c r="AU69" i="5"/>
  <c r="AT50" i="11"/>
  <c r="AT51" i="11" s="1"/>
  <c r="AT4" i="9"/>
  <c r="AT69" i="5"/>
  <c r="BY50" i="11"/>
  <c r="BY51" i="11" s="1"/>
  <c r="BY4" i="9"/>
  <c r="BY29" i="9" s="1"/>
  <c r="BY69" i="5"/>
  <c r="M50" i="11"/>
  <c r="M51" i="11" s="1"/>
  <c r="M4" i="9"/>
  <c r="M29" i="9" s="1"/>
  <c r="M69" i="5"/>
  <c r="CF50" i="11"/>
  <c r="CF51" i="11" s="1"/>
  <c r="CF4" i="9"/>
  <c r="CF69" i="5"/>
  <c r="T50" i="11"/>
  <c r="T51" i="11" s="1"/>
  <c r="T4" i="9"/>
  <c r="T69" i="5"/>
  <c r="I35" i="9"/>
  <c r="AQ32" i="9"/>
  <c r="K32" i="9"/>
  <c r="AI50" i="11"/>
  <c r="AI51" i="11" s="1"/>
  <c r="AI4" i="9"/>
  <c r="AI69" i="5"/>
  <c r="BM22" i="7"/>
  <c r="BM23" i="7" s="1"/>
  <c r="BK22" i="7"/>
  <c r="BK23" i="7" s="1"/>
  <c r="AX50" i="11"/>
  <c r="AX51" i="11" s="1"/>
  <c r="AX4" i="9"/>
  <c r="AX29" i="9" s="1"/>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29" i="9" s="1"/>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29" i="9" s="1"/>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29" i="9" s="1"/>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29" i="9" s="1"/>
  <c r="H69" i="5"/>
  <c r="M12" i="9"/>
  <c r="M37" i="9" s="1"/>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29" i="9" s="1"/>
  <c r="Z69" i="5"/>
  <c r="BC12" i="9"/>
  <c r="BC4" i="8"/>
  <c r="BC108" i="5"/>
  <c r="AL12" i="9"/>
  <c r="AL4" i="8"/>
  <c r="AL108" i="5"/>
  <c r="CG12" i="9"/>
  <c r="CG108" i="5"/>
  <c r="U12" i="9"/>
  <c r="U4" i="8"/>
  <c r="U108" i="5"/>
  <c r="AY12" i="9"/>
  <c r="AY4" i="8"/>
  <c r="AY108" i="5"/>
  <c r="AO12" i="9"/>
  <c r="AO4" i="8"/>
  <c r="AO108" i="5"/>
  <c r="AF12" i="9"/>
  <c r="AF4" i="8"/>
  <c r="AF108" i="5"/>
  <c r="AW50" i="11"/>
  <c r="AW51" i="11" s="1"/>
  <c r="AW4" i="9"/>
  <c r="AW29" i="9" s="1"/>
  <c r="AW69" i="5"/>
  <c r="AJ12" i="9"/>
  <c r="AJ4" i="8"/>
  <c r="AJ108" i="5"/>
  <c r="BL50" i="11"/>
  <c r="BL51" i="11" s="1"/>
  <c r="BL4" i="9"/>
  <c r="BL29" i="9" s="1"/>
  <c r="BL69" i="5"/>
  <c r="M35" i="9"/>
  <c r="CA50" i="11"/>
  <c r="CA51" i="11" s="1"/>
  <c r="CA4" i="9"/>
  <c r="CA29" i="9" s="1"/>
  <c r="CA69" i="5"/>
  <c r="O50" i="11"/>
  <c r="O51" i="11" s="1"/>
  <c r="O4" i="9"/>
  <c r="O29" i="9" s="1"/>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29" i="9" s="1"/>
  <c r="R69" i="5"/>
  <c r="AU12" i="9"/>
  <c r="AU4" i="8"/>
  <c r="AU108" i="5"/>
  <c r="AD12" i="9"/>
  <c r="AD4" i="8"/>
  <c r="AD108" i="5"/>
  <c r="BY12" i="9"/>
  <c r="BY108" i="5"/>
  <c r="AQ12" i="9"/>
  <c r="AQ4" i="8"/>
  <c r="AQ108" i="5"/>
  <c r="AG12" i="9"/>
  <c r="AG4" i="8"/>
  <c r="AG108" i="5"/>
  <c r="CJ12" i="9"/>
  <c r="CJ108" i="5"/>
  <c r="X12" i="9"/>
  <c r="X4" i="8"/>
  <c r="X108" i="5"/>
  <c r="AO50" i="11"/>
  <c r="AO51" i="11" s="1"/>
  <c r="AO4" i="9"/>
  <c r="AO69" i="5"/>
  <c r="BD50" i="11"/>
  <c r="BD51" i="11" s="1"/>
  <c r="BD4" i="9"/>
  <c r="BD29" i="9" s="1"/>
  <c r="BD69" i="5"/>
  <c r="B27" i="13"/>
  <c r="B47" i="13"/>
  <c r="B8" i="13"/>
  <c r="E12" i="9"/>
  <c r="E37" i="9" s="1"/>
  <c r="E4" i="8"/>
  <c r="E108" i="5"/>
  <c r="CI32" i="9"/>
  <c r="BS50" i="11"/>
  <c r="BS51" i="11" s="1"/>
  <c r="BS4" i="9"/>
  <c r="BS29" i="9" s="1"/>
  <c r="BS69" i="5"/>
  <c r="G50" i="11"/>
  <c r="G51" i="11" s="1"/>
  <c r="G4" i="9"/>
  <c r="G29" i="9" s="1"/>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29" i="9" s="1"/>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E35" i="9"/>
  <c r="BK50" i="11"/>
  <c r="BK51" i="11" s="1"/>
  <c r="BK4" i="9"/>
  <c r="BK29" i="9" s="1"/>
  <c r="BK69" i="5"/>
  <c r="BL22" i="7"/>
  <c r="BL23" i="7" s="1"/>
  <c r="BN22" i="7"/>
  <c r="BN23" i="7" s="1"/>
  <c r="T12" i="9"/>
  <c r="T4" i="8"/>
  <c r="T108" i="5"/>
  <c r="BJ50" i="11"/>
  <c r="BJ51" i="11" s="1"/>
  <c r="BJ4" i="9"/>
  <c r="BJ69" i="5"/>
  <c r="BX12" i="9"/>
  <c r="BX108" i="5"/>
  <c r="AC50" i="11"/>
  <c r="AC51" i="11" s="1"/>
  <c r="AC4" i="9"/>
  <c r="AC29" i="9" s="1"/>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I31" i="12"/>
  <c r="E31" i="12"/>
  <c r="E28" i="12"/>
  <c r="B2"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I21" i="9" l="1"/>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2" i="6"/>
  <c r="V38" i="6"/>
  <c r="V34" i="10"/>
  <c r="V29" i="10" s="1"/>
  <c r="V39" i="10"/>
  <c r="S6" i="11"/>
  <c r="S39" i="10"/>
  <c r="S34" i="10"/>
  <c r="S29" i="10" s="1"/>
  <c r="S38" i="6"/>
  <c r="S32" i="6"/>
  <c r="AD9" i="11"/>
  <c r="AD40" i="10"/>
  <c r="AD41" i="10" s="1"/>
  <c r="AD39" i="6"/>
  <c r="AD41" i="6"/>
  <c r="AD42" i="6"/>
  <c r="W6" i="11"/>
  <c r="W39" i="10"/>
  <c r="W34" i="10"/>
  <c r="W38" i="6"/>
  <c r="W32" i="6"/>
  <c r="AE6" i="11"/>
  <c r="AE39" i="10"/>
  <c r="AE34" i="10"/>
  <c r="AE29" i="10" s="1"/>
  <c r="AE38" i="6"/>
  <c r="AE32" i="6"/>
  <c r="AR6" i="11"/>
  <c r="AR39" i="10"/>
  <c r="AR34" i="10"/>
  <c r="AR38" i="6"/>
  <c r="AR32" i="6"/>
  <c r="AU6" i="11"/>
  <c r="AU39" i="10"/>
  <c r="AU34" i="10"/>
  <c r="AU38" i="6"/>
  <c r="AU32" i="6"/>
  <c r="BH6" i="11"/>
  <c r="BH39" i="10"/>
  <c r="BH34" i="10"/>
  <c r="BH38" i="6"/>
  <c r="BH32" i="6"/>
  <c r="CJ6" i="11"/>
  <c r="CJ34" i="10"/>
  <c r="CJ39" i="10"/>
  <c r="CJ32" i="6"/>
  <c r="CJ38" i="6"/>
  <c r="BZ9" i="11"/>
  <c r="BZ40" i="10"/>
  <c r="BZ41" i="10" s="1"/>
  <c r="BZ42" i="6"/>
  <c r="BZ39" i="6"/>
  <c r="BZ41" i="6"/>
  <c r="BZ33" i="10"/>
  <c r="BZ31" i="10"/>
  <c r="AN6" i="11"/>
  <c r="AN34" i="10"/>
  <c r="AN39" i="10"/>
  <c r="AN32" i="6"/>
  <c r="AN38" i="6"/>
  <c r="AD31" i="10"/>
  <c r="AD33" i="10"/>
  <c r="CF6" i="11"/>
  <c r="CF34" i="10"/>
  <c r="CF39" i="10"/>
  <c r="CF38" i="6"/>
  <c r="CF32" i="6"/>
  <c r="N9" i="11"/>
  <c r="N40" i="10"/>
  <c r="N41" i="10" s="1"/>
  <c r="N39" i="6"/>
  <c r="N41" i="6"/>
  <c r="N42" i="6"/>
  <c r="CC6" i="11"/>
  <c r="CC34" i="10"/>
  <c r="CC39" i="10"/>
  <c r="CC32" i="6"/>
  <c r="CC38" i="6"/>
  <c r="AU29" i="10"/>
  <c r="AO6" i="11"/>
  <c r="AO39" i="10"/>
  <c r="AO34" i="10"/>
  <c r="AO29" i="10" s="1"/>
  <c r="AO32" i="6"/>
  <c r="AO38" i="6"/>
  <c r="AW6" i="11"/>
  <c r="AW39" i="10"/>
  <c r="AW34" i="10"/>
  <c r="AW32" i="6"/>
  <c r="AW38" i="6"/>
  <c r="C38" i="6"/>
  <c r="C32" i="6"/>
  <c r="CJ29" i="10"/>
  <c r="F9" i="11"/>
  <c r="F40" i="10"/>
  <c r="F41" i="10" s="1"/>
  <c r="F39" i="6"/>
  <c r="F41" i="6"/>
  <c r="F42" i="6"/>
  <c r="D38" i="6"/>
  <c r="D32" i="6"/>
  <c r="M6" i="11"/>
  <c r="M39" i="10"/>
  <c r="M34" i="10"/>
  <c r="M38" i="6"/>
  <c r="M32" i="6"/>
  <c r="G6" i="11"/>
  <c r="G39" i="10"/>
  <c r="G34" i="10"/>
  <c r="G38" i="6"/>
  <c r="G32" i="6"/>
  <c r="BZ42" i="10"/>
  <c r="CG6" i="11"/>
  <c r="CG39" i="10"/>
  <c r="CG34" i="10"/>
  <c r="CG38" i="6"/>
  <c r="CG32" i="6"/>
  <c r="AN29" i="10"/>
  <c r="N33" i="10"/>
  <c r="N31" i="10"/>
  <c r="CC29" i="10"/>
  <c r="BB9" i="11"/>
  <c r="BB40" i="10"/>
  <c r="BB41" i="10" s="1"/>
  <c r="BB42" i="6"/>
  <c r="BB39" i="6"/>
  <c r="BB41" i="6"/>
  <c r="AK6" i="11"/>
  <c r="AK39" i="10"/>
  <c r="AK34" i="10"/>
  <c r="AK29" i="10" s="1"/>
  <c r="AK38" i="6"/>
  <c r="AK32" i="6"/>
  <c r="Y6" i="11"/>
  <c r="Y39" i="10"/>
  <c r="Y34" i="10"/>
  <c r="Y32" i="6"/>
  <c r="Y38" i="6"/>
  <c r="AG6" i="11"/>
  <c r="AG39" i="10"/>
  <c r="AG34" i="10"/>
  <c r="AG29" i="10" s="1"/>
  <c r="AG32" i="6"/>
  <c r="AG38" i="6"/>
  <c r="AR29" i="10"/>
  <c r="V9" i="11"/>
  <c r="V40" i="10"/>
  <c r="V41" i="10" s="1"/>
  <c r="V39" i="6"/>
  <c r="V41" i="6"/>
  <c r="V42" i="6"/>
  <c r="H6" i="11"/>
  <c r="H34" i="10"/>
  <c r="H39" i="10"/>
  <c r="H32" i="6"/>
  <c r="H38" i="6"/>
  <c r="BG6" i="11"/>
  <c r="BG39" i="10"/>
  <c r="BG34" i="10"/>
  <c r="BG38" i="6"/>
  <c r="BG32" i="6"/>
  <c r="BI6" i="11"/>
  <c r="BI39" i="10"/>
  <c r="BI34" i="10"/>
  <c r="BI38" i="6"/>
  <c r="BI32" i="6"/>
  <c r="BC6" i="11"/>
  <c r="BC39" i="10"/>
  <c r="BC34" i="10"/>
  <c r="BC38" i="6"/>
  <c r="BC32" i="6"/>
  <c r="AW29" i="10"/>
  <c r="CD6" i="11"/>
  <c r="CD34" i="10"/>
  <c r="CD39" i="10"/>
  <c r="CD32" i="6"/>
  <c r="CD38" i="6"/>
  <c r="BH29" i="10"/>
  <c r="Z6" i="11"/>
  <c r="Z39" i="10"/>
  <c r="Z34" i="10"/>
  <c r="Z32" i="6"/>
  <c r="Z38" i="6"/>
  <c r="F33" i="10"/>
  <c r="F31" i="10"/>
  <c r="M29" i="10"/>
  <c r="G29" i="10"/>
  <c r="L6" i="11"/>
  <c r="L39" i="10"/>
  <c r="L34" i="10"/>
  <c r="L38" i="6"/>
  <c r="L32" i="6"/>
  <c r="CG29" i="10"/>
  <c r="CA6" i="11"/>
  <c r="CA39" i="10"/>
  <c r="CA34" i="10"/>
  <c r="CA38" i="6"/>
  <c r="CA32" i="6"/>
  <c r="CF29" i="10"/>
  <c r="N42" i="10"/>
  <c r="BB31" i="10"/>
  <c r="BB33" i="10"/>
  <c r="AS6" i="11"/>
  <c r="AS39" i="10"/>
  <c r="AS34" i="10"/>
  <c r="AS38" i="6"/>
  <c r="AS32" i="6"/>
  <c r="AY6" i="11"/>
  <c r="AY39" i="10"/>
  <c r="AY34" i="10"/>
  <c r="AY38" i="6"/>
  <c r="AY32" i="6"/>
  <c r="V31" i="10"/>
  <c r="V33" i="10"/>
  <c r="H29" i="10"/>
  <c r="AL9" i="11"/>
  <c r="AL40" i="10"/>
  <c r="AL41" i="10" s="1"/>
  <c r="AL39" i="6"/>
  <c r="AL41" i="6"/>
  <c r="AL42" i="6"/>
  <c r="BV6" i="11"/>
  <c r="BV39" i="10"/>
  <c r="BV34" i="10"/>
  <c r="BV32" i="6"/>
  <c r="BV38" i="6"/>
  <c r="BI29" i="10"/>
  <c r="BC29" i="10"/>
  <c r="BO6" i="11"/>
  <c r="BO39" i="10"/>
  <c r="BO34" i="10"/>
  <c r="BO38" i="6"/>
  <c r="BO32" i="6"/>
  <c r="BQ6" i="11"/>
  <c r="BQ39" i="10"/>
  <c r="BQ34" i="10"/>
  <c r="BQ38" i="6"/>
  <c r="BQ32" i="6"/>
  <c r="X6" i="11"/>
  <c r="X34" i="10"/>
  <c r="X39" i="10"/>
  <c r="X32" i="6"/>
  <c r="X38" i="6"/>
  <c r="BZ29" i="10"/>
  <c r="BW6" i="11"/>
  <c r="BW39" i="10"/>
  <c r="BW34" i="10"/>
  <c r="BW38" i="6"/>
  <c r="BW32" i="6"/>
  <c r="BP6" i="11"/>
  <c r="BP39" i="10"/>
  <c r="BP34" i="10"/>
  <c r="BP38" i="6"/>
  <c r="BP32" i="6"/>
  <c r="AT9" i="11"/>
  <c r="AT40" i="10"/>
  <c r="AT41" i="10" s="1"/>
  <c r="AT39" i="6"/>
  <c r="AT41" i="6"/>
  <c r="AT42" i="6"/>
  <c r="AF6" i="11"/>
  <c r="AF34" i="10"/>
  <c r="AF39" i="10"/>
  <c r="AF32" i="6"/>
  <c r="AF38" i="6"/>
  <c r="AH6" i="11"/>
  <c r="AH39" i="10"/>
  <c r="AH34" i="10"/>
  <c r="AH29" i="10" s="1"/>
  <c r="AH32" i="6"/>
  <c r="AH38" i="6"/>
  <c r="L29" i="10"/>
  <c r="CA29" i="10"/>
  <c r="BU6" i="11"/>
  <c r="BU39" i="10"/>
  <c r="BU34" i="10"/>
  <c r="BU32" i="6"/>
  <c r="BU38" i="6"/>
  <c r="T6" i="11"/>
  <c r="T39" i="10"/>
  <c r="T34" i="10"/>
  <c r="T38" i="6"/>
  <c r="T32" i="6"/>
  <c r="Q6" i="11"/>
  <c r="Q39" i="10"/>
  <c r="Q34" i="10"/>
  <c r="Q29" i="10" s="1"/>
  <c r="Q32" i="6"/>
  <c r="Q38" i="6"/>
  <c r="AX6" i="11"/>
  <c r="AX39" i="10"/>
  <c r="AX34" i="10"/>
  <c r="AX32" i="6"/>
  <c r="AX38" i="6"/>
  <c r="BB42" i="10"/>
  <c r="AB6" i="11"/>
  <c r="AB39" i="10"/>
  <c r="AB34" i="10"/>
  <c r="AB38" i="6"/>
  <c r="AB32" i="6"/>
  <c r="AS29" i="10"/>
  <c r="BL6" i="11"/>
  <c r="BL34" i="10"/>
  <c r="BL39" i="10"/>
  <c r="BL32" i="6"/>
  <c r="BL38" i="6"/>
  <c r="B32" i="6"/>
  <c r="B38" i="6"/>
  <c r="BR9" i="11"/>
  <c r="BR40" i="10"/>
  <c r="BR41" i="10" s="1"/>
  <c r="BR42" i="6"/>
  <c r="BR39" i="6"/>
  <c r="BR41" i="6"/>
  <c r="AL31" i="10"/>
  <c r="AL33" i="10"/>
  <c r="BG29" i="10"/>
  <c r="BJ9" i="11"/>
  <c r="BJ40" i="10"/>
  <c r="BJ41" i="10" s="1"/>
  <c r="BJ42" i="6"/>
  <c r="BJ39" i="6"/>
  <c r="BJ41" i="6"/>
  <c r="CB6" i="11"/>
  <c r="CB34" i="10"/>
  <c r="CB39" i="10"/>
  <c r="CB32" i="6"/>
  <c r="CB38" i="6"/>
  <c r="CD29" i="10"/>
  <c r="BQ29" i="10"/>
  <c r="Z29" i="10"/>
  <c r="AT31" i="10"/>
  <c r="AT33" i="10"/>
  <c r="AF29" i="10"/>
  <c r="CE6" i="11"/>
  <c r="CE39" i="10"/>
  <c r="CE34" i="10"/>
  <c r="CE38" i="6"/>
  <c r="CE32" i="6"/>
  <c r="U6" i="11"/>
  <c r="U39" i="10"/>
  <c r="U34" i="10"/>
  <c r="U29" i="10" s="1"/>
  <c r="U38" i="6"/>
  <c r="U32" i="6"/>
  <c r="BU29" i="10"/>
  <c r="CI6" i="11"/>
  <c r="CI39" i="10"/>
  <c r="CI34" i="10"/>
  <c r="CI38" i="6"/>
  <c r="CI32" i="6"/>
  <c r="BD6" i="11"/>
  <c r="BD34" i="10"/>
  <c r="BD39" i="10"/>
  <c r="BD32" i="6"/>
  <c r="BD38" i="6"/>
  <c r="AJ6" i="11"/>
  <c r="AJ39" i="10"/>
  <c r="AJ34" i="10"/>
  <c r="AJ29" i="10" s="1"/>
  <c r="AJ38" i="6"/>
  <c r="AJ32" i="6"/>
  <c r="BL29" i="10"/>
  <c r="AY29" i="10"/>
  <c r="BR33" i="10"/>
  <c r="BR31" i="10"/>
  <c r="BJ33" i="10"/>
  <c r="BJ31" i="10"/>
  <c r="CB29" i="10"/>
  <c r="BO29" i="10"/>
  <c r="BP29" i="10"/>
  <c r="AT42" i="10"/>
  <c r="BM6" i="11"/>
  <c r="BM39" i="10"/>
  <c r="BM34" i="10"/>
  <c r="BM32" i="6"/>
  <c r="BM38" i="6"/>
  <c r="O6" i="11"/>
  <c r="O39" i="10"/>
  <c r="O34" i="10"/>
  <c r="O38" i="6"/>
  <c r="O32" i="6"/>
  <c r="AP6" i="11"/>
  <c r="AP39" i="10"/>
  <c r="AP34" i="10"/>
  <c r="AP29" i="10" s="1"/>
  <c r="AP32" i="6"/>
  <c r="AP38" i="6"/>
  <c r="AA39" i="10"/>
  <c r="AA6" i="11"/>
  <c r="AA34" i="10"/>
  <c r="AA38" i="6"/>
  <c r="AA32" i="6"/>
  <c r="CI29" i="10"/>
  <c r="BD29" i="10"/>
  <c r="AM6" i="11"/>
  <c r="AM39" i="10"/>
  <c r="AM34" i="10"/>
  <c r="AM29" i="10" s="1"/>
  <c r="AM38" i="6"/>
  <c r="AM32" i="6"/>
  <c r="CH9" i="11"/>
  <c r="CH40" i="10"/>
  <c r="CH41" i="10" s="1"/>
  <c r="CH42" i="6"/>
  <c r="CH39" i="6"/>
  <c r="CH41" i="6"/>
  <c r="BN6" i="11"/>
  <c r="BN39" i="10"/>
  <c r="BN34" i="10"/>
  <c r="BN32" i="6"/>
  <c r="BN38" i="6"/>
  <c r="BR42" i="10"/>
  <c r="J6" i="11"/>
  <c r="J39" i="10"/>
  <c r="J34" i="10"/>
  <c r="J29" i="10" s="1"/>
  <c r="J32" i="6"/>
  <c r="J38" i="6"/>
  <c r="BJ42" i="10"/>
  <c r="R6" i="11"/>
  <c r="R39" i="10"/>
  <c r="R34" i="10"/>
  <c r="R29" i="10" s="1"/>
  <c r="R32" i="6"/>
  <c r="R38" i="6"/>
  <c r="E6" i="11"/>
  <c r="E39" i="10"/>
  <c r="E34" i="10"/>
  <c r="E29" i="10" s="1"/>
  <c r="E38" i="6"/>
  <c r="E32" i="6"/>
  <c r="BK6" i="11"/>
  <c r="BK39" i="10"/>
  <c r="BK34" i="10"/>
  <c r="BK38" i="6"/>
  <c r="BK32" i="6"/>
  <c r="BE6" i="11"/>
  <c r="BE39" i="10"/>
  <c r="BE34" i="10"/>
  <c r="BE32" i="6"/>
  <c r="BE38" i="6"/>
  <c r="BY6" i="11"/>
  <c r="BY39" i="10"/>
  <c r="BY34" i="10"/>
  <c r="BY38" i="6"/>
  <c r="BY32" i="6"/>
  <c r="BS6" i="11"/>
  <c r="BS39" i="10"/>
  <c r="BS34" i="10"/>
  <c r="BS38" i="6"/>
  <c r="BS32" i="6"/>
  <c r="CE29" i="10"/>
  <c r="BX6" i="11"/>
  <c r="BX34" i="10"/>
  <c r="BX39" i="10"/>
  <c r="BX38" i="6"/>
  <c r="BX32" i="6"/>
  <c r="O29" i="10"/>
  <c r="I6" i="11"/>
  <c r="I39" i="10"/>
  <c r="I34" i="10"/>
  <c r="I29" i="10" s="1"/>
  <c r="I32" i="6"/>
  <c r="I38" i="6"/>
  <c r="AC6" i="11"/>
  <c r="AC39" i="10"/>
  <c r="AC34" i="10"/>
  <c r="AC29" i="10" s="1"/>
  <c r="AC38" i="6"/>
  <c r="AC32" i="6"/>
  <c r="AV6" i="11"/>
  <c r="AV34" i="10"/>
  <c r="AV39" i="10"/>
  <c r="AV32" i="6"/>
  <c r="AV38" i="6"/>
  <c r="AX29" i="10"/>
  <c r="AI39" i="10"/>
  <c r="AI6" i="11"/>
  <c r="AI34" i="10"/>
  <c r="AI38" i="6"/>
  <c r="AI32" i="6"/>
  <c r="BF6" i="11"/>
  <c r="BF39" i="10"/>
  <c r="BF34" i="10"/>
  <c r="BF29" i="10" s="1"/>
  <c r="BF32" i="6"/>
  <c r="BF38" i="6"/>
  <c r="AQ39" i="10"/>
  <c r="AQ6" i="11"/>
  <c r="AQ34" i="10"/>
  <c r="AQ29" i="10" s="1"/>
  <c r="AQ38" i="6"/>
  <c r="AQ32" i="6"/>
  <c r="CH31" i="10"/>
  <c r="CH33" i="10"/>
  <c r="BA6" i="11"/>
  <c r="BA39" i="10"/>
  <c r="BA34" i="10"/>
  <c r="BA29" i="10" s="1"/>
  <c r="BA38" i="6"/>
  <c r="BA32" i="6"/>
  <c r="BT6" i="11"/>
  <c r="BT34" i="10"/>
  <c r="BT29" i="10" s="1"/>
  <c r="BT39" i="10"/>
  <c r="BT32" i="6"/>
  <c r="BT38" i="6"/>
  <c r="AZ6" i="11"/>
  <c r="AZ39" i="10"/>
  <c r="AZ34" i="10"/>
  <c r="AZ38" i="6"/>
  <c r="AZ32" i="6"/>
  <c r="P6" i="11"/>
  <c r="P34" i="10"/>
  <c r="P39" i="10"/>
  <c r="P32" i="6"/>
  <c r="P38" i="6"/>
  <c r="BK29" i="10"/>
  <c r="BE29" i="10"/>
  <c r="K6" i="11"/>
  <c r="K39" i="10"/>
  <c r="K34" i="10"/>
  <c r="K38" i="6"/>
  <c r="K32" i="6"/>
  <c r="BY29" i="10"/>
  <c r="AY8" i="9"/>
  <c r="AY70" i="5"/>
  <c r="P5" i="8"/>
  <c r="CK37" i="9"/>
  <c r="CK35" i="9"/>
  <c r="V5" i="8"/>
  <c r="BG8" i="9"/>
  <c r="BG70" i="5"/>
  <c r="BR8" i="9"/>
  <c r="BR70" i="5"/>
  <c r="CF37" i="9"/>
  <c r="CF35" i="9"/>
  <c r="CA8" i="9"/>
  <c r="CA70" i="5"/>
  <c r="AJ5" i="8"/>
  <c r="U37" i="9"/>
  <c r="U35" i="9"/>
  <c r="BC35" i="9"/>
  <c r="BC37" i="9"/>
  <c r="K8" i="9"/>
  <c r="K70" i="5"/>
  <c r="BH8" i="9"/>
  <c r="BH70" i="5"/>
  <c r="BN37" i="9"/>
  <c r="BN35" i="9"/>
  <c r="BT8" i="9"/>
  <c r="BT70" i="5"/>
  <c r="AN5" i="8"/>
  <c r="BK37" i="9"/>
  <c r="BK35" i="9"/>
  <c r="S8" i="9"/>
  <c r="S70" i="5"/>
  <c r="AK35" i="9"/>
  <c r="AK37" i="9"/>
  <c r="BS5" i="8"/>
  <c r="CJ8" i="9"/>
  <c r="CJ70" i="5"/>
  <c r="BU8" i="9"/>
  <c r="BU70" i="5"/>
  <c r="BD5" i="8"/>
  <c r="AU8" i="9"/>
  <c r="AU70" i="5"/>
  <c r="BU5" i="8"/>
  <c r="BA5" i="8"/>
  <c r="AB8" i="9"/>
  <c r="AB70" i="5"/>
  <c r="AX37" i="9"/>
  <c r="AX35" i="9"/>
  <c r="BC8" i="9"/>
  <c r="BC70" i="5"/>
  <c r="H5" i="8"/>
  <c r="AJ8" i="9"/>
  <c r="AJ70" i="5"/>
  <c r="T5" i="8"/>
  <c r="AV8" i="9"/>
  <c r="AV70" i="5"/>
  <c r="P37" i="9"/>
  <c r="P35" i="9"/>
  <c r="V37" i="9"/>
  <c r="V35" i="9"/>
  <c r="G8" i="9"/>
  <c r="G70" i="5"/>
  <c r="BD8" i="9"/>
  <c r="BD70" i="5"/>
  <c r="CJ37" i="9"/>
  <c r="CJ35" i="9"/>
  <c r="BY37" i="9"/>
  <c r="BY35" i="9"/>
  <c r="R8" i="9"/>
  <c r="R70" i="5"/>
  <c r="BP5" i="8"/>
  <c r="AJ37" i="9"/>
  <c r="AJ35" i="9"/>
  <c r="AO5" i="8"/>
  <c r="Z8" i="9"/>
  <c r="Z70" i="5"/>
  <c r="V8" i="9"/>
  <c r="V70" i="5"/>
  <c r="BE8" i="9"/>
  <c r="BE70" i="5"/>
  <c r="AN37" i="9"/>
  <c r="AN35" i="9"/>
  <c r="AC5" i="8"/>
  <c r="AH8" i="9"/>
  <c r="AH70" i="5"/>
  <c r="P8" i="9"/>
  <c r="P70" i="5"/>
  <c r="BE5" i="8"/>
  <c r="BB5" i="8"/>
  <c r="BS37" i="9"/>
  <c r="BS35" i="9"/>
  <c r="AA8" i="9"/>
  <c r="AA70" i="5"/>
  <c r="BV11" i="8"/>
  <c r="BV5" i="8"/>
  <c r="BV7" i="8" s="1"/>
  <c r="BD37" i="9"/>
  <c r="BD35" i="9"/>
  <c r="BW37" i="9"/>
  <c r="BW35" i="9"/>
  <c r="O5" i="8"/>
  <c r="CC8" i="9"/>
  <c r="CC70" i="5"/>
  <c r="BU35" i="9"/>
  <c r="BU37" i="9"/>
  <c r="BA35" i="9"/>
  <c r="BA37" i="9"/>
  <c r="W5" i="8"/>
  <c r="AQ8" i="9"/>
  <c r="AQ70" i="5"/>
  <c r="BB8" i="9"/>
  <c r="BB70" i="5"/>
  <c r="H35" i="9"/>
  <c r="H37" i="9"/>
  <c r="CC35" i="9"/>
  <c r="CC37" i="9"/>
  <c r="N5" i="8"/>
  <c r="BN8" i="9"/>
  <c r="BN70" i="5"/>
  <c r="T37" i="9"/>
  <c r="T35" i="9"/>
  <c r="AI5" i="8"/>
  <c r="BV8" i="9"/>
  <c r="BV70" i="5"/>
  <c r="Z5" i="8"/>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AG5" i="8"/>
  <c r="AD5" i="8"/>
  <c r="BO8" i="9"/>
  <c r="BO70" i="5"/>
  <c r="BW8" i="9"/>
  <c r="BW70" i="5"/>
  <c r="M5" i="8"/>
  <c r="AW5" i="8"/>
  <c r="CE8" i="9"/>
  <c r="CE70" i="5"/>
  <c r="BI8" i="9"/>
  <c r="BI70" i="5"/>
  <c r="AD8" i="9"/>
  <c r="AD70" i="5"/>
  <c r="AR5" i="8"/>
  <c r="BB37" i="9"/>
  <c r="BB35" i="9"/>
  <c r="J5" i="8"/>
  <c r="AB5" i="8"/>
  <c r="BM5" i="8"/>
  <c r="AS5" i="8"/>
  <c r="AF8" i="9"/>
  <c r="AF70" i="5"/>
  <c r="S5" i="8"/>
  <c r="F5" i="8"/>
  <c r="BT5" i="8"/>
  <c r="AA5" i="8"/>
  <c r="AG8" i="9"/>
  <c r="AG70" i="5"/>
  <c r="BH5" i="8"/>
  <c r="BF5" i="8"/>
  <c r="BS8" i="9"/>
  <c r="BS70" i="5"/>
  <c r="AG35" i="9"/>
  <c r="AG37" i="9"/>
  <c r="AD35" i="9"/>
  <c r="AD37" i="9"/>
  <c r="CD8" i="9"/>
  <c r="CD70" i="5"/>
  <c r="AS8" i="9"/>
  <c r="AS70" i="5"/>
  <c r="BL8" i="9"/>
  <c r="BL70" i="5"/>
  <c r="AY5" i="8"/>
  <c r="AL5" i="8"/>
  <c r="AZ5" i="8"/>
  <c r="AH5" i="8"/>
  <c r="CH8" i="9"/>
  <c r="CH70" i="5"/>
  <c r="AW37" i="9"/>
  <c r="AW35" i="9"/>
  <c r="AT5" i="8"/>
  <c r="CB8" i="9"/>
  <c r="CB70" i="5"/>
  <c r="AR37" i="9"/>
  <c r="AR35" i="9"/>
  <c r="BO5" i="8"/>
  <c r="L8" i="9"/>
  <c r="L70" i="5"/>
  <c r="J37" i="9"/>
  <c r="J35" i="9"/>
  <c r="E8" i="9"/>
  <c r="E70" i="5"/>
  <c r="AM8" i="9"/>
  <c r="AM70" i="5"/>
  <c r="AB37" i="9"/>
  <c r="AB35" i="9"/>
  <c r="BM35" i="9"/>
  <c r="BM37" i="9"/>
  <c r="AS35" i="9"/>
  <c r="AS37" i="9"/>
  <c r="CA37" i="9"/>
  <c r="CA35" i="9"/>
  <c r="S37" i="9"/>
  <c r="S35" i="9"/>
  <c r="F37" i="9"/>
  <c r="F35" i="9"/>
  <c r="CI37" i="9"/>
  <c r="CI35" i="9"/>
  <c r="R5" i="8"/>
  <c r="U8" i="9"/>
  <c r="U70" i="5"/>
  <c r="BT37" i="9"/>
  <c r="BT35" i="9"/>
  <c r="AA37" i="9"/>
  <c r="AA35" i="9"/>
  <c r="BZ37" i="9"/>
  <c r="BZ35" i="9"/>
  <c r="BJ8" i="9"/>
  <c r="BJ70" i="5"/>
  <c r="BK8" i="9"/>
  <c r="BK70" i="5"/>
  <c r="Y5" i="8"/>
  <c r="BQ5" i="8"/>
  <c r="AM5" i="8"/>
  <c r="BH37" i="9"/>
  <c r="BH35" i="9"/>
  <c r="F8" i="9"/>
  <c r="F70" i="5"/>
  <c r="O8" i="9"/>
  <c r="O70" i="5"/>
  <c r="AY37" i="9"/>
  <c r="AY35" i="9"/>
  <c r="AL35" i="9"/>
  <c r="AL37" i="9"/>
  <c r="AH37" i="9"/>
  <c r="AH35" i="9"/>
  <c r="CI8" i="9"/>
  <c r="CI70" i="5"/>
  <c r="H8" i="9"/>
  <c r="H70" i="5"/>
  <c r="AT37" i="9"/>
  <c r="AT35" i="9"/>
  <c r="BO35" i="9"/>
  <c r="BO37" i="9"/>
  <c r="G5" i="8"/>
  <c r="X8" i="9"/>
  <c r="X70" i="5"/>
  <c r="I8" i="9"/>
  <c r="I70" i="5"/>
  <c r="BJ5" i="8"/>
  <c r="AX8" i="9"/>
  <c r="AX70" i="5"/>
  <c r="AT8" i="9"/>
  <c r="AT70" i="5"/>
  <c r="BL5" i="8"/>
  <c r="BR5" i="8"/>
  <c r="BF8" i="9"/>
  <c r="BF70" i="5"/>
  <c r="I5" i="8"/>
  <c r="R37" i="9"/>
  <c r="R35" i="9"/>
  <c r="L5" i="8"/>
  <c r="Y35" i="9"/>
  <c r="Y37" i="9"/>
  <c r="BQ35" i="9"/>
  <c r="BQ37" i="9"/>
  <c r="AM37" i="9"/>
  <c r="AM35" i="9"/>
  <c r="AR8" i="9"/>
  <c r="AR70" i="5"/>
  <c r="BF37" i="9"/>
  <c r="BF35" i="9"/>
  <c r="X5" i="8"/>
  <c r="AQ5" i="8"/>
  <c r="AU5" i="8"/>
  <c r="AF5" i="8"/>
  <c r="AZ37" i="9"/>
  <c r="AZ35" i="9"/>
  <c r="BG5" i="8"/>
  <c r="AE8" i="9"/>
  <c r="AE70" i="5"/>
  <c r="AV5" i="8"/>
  <c r="G37" i="9"/>
  <c r="G35" i="9"/>
  <c r="AP5" i="8"/>
  <c r="AL8" i="9"/>
  <c r="AL70" i="5"/>
  <c r="K5" i="8"/>
  <c r="AI8" i="9"/>
  <c r="AI70" i="5"/>
  <c r="Q8" i="9"/>
  <c r="Q70" i="5"/>
  <c r="BL37" i="9"/>
  <c r="BL35" i="9"/>
  <c r="CE37" i="9"/>
  <c r="CE35" i="9"/>
  <c r="AX5" i="8"/>
  <c r="L37" i="9"/>
  <c r="L35" i="9"/>
  <c r="AN8" i="9"/>
  <c r="AN70" i="5"/>
  <c r="Q5" i="8"/>
  <c r="BI5" i="8"/>
  <c r="AE5" i="8"/>
  <c r="BX37" i="9"/>
  <c r="BX35" i="9"/>
  <c r="J8" i="9"/>
  <c r="J70" i="5"/>
  <c r="AK8" i="9"/>
  <c r="AK70" i="5"/>
  <c r="AO8" i="9"/>
  <c r="AO70" i="5"/>
  <c r="X35" i="9"/>
  <c r="X37" i="9"/>
  <c r="AQ35" i="9"/>
  <c r="AQ37" i="9"/>
  <c r="AU37" i="9"/>
  <c r="AU35" i="9"/>
  <c r="N8" i="9"/>
  <c r="N70" i="5"/>
  <c r="AF37" i="9"/>
  <c r="AF35" i="9"/>
  <c r="U5" i="8"/>
  <c r="BC5" i="8"/>
  <c r="BN5" i="8"/>
  <c r="BG37" i="9"/>
  <c r="BG35" i="9"/>
  <c r="BK5" i="8"/>
  <c r="BM8" i="9"/>
  <c r="BM70" i="5"/>
  <c r="AV37" i="9"/>
  <c r="AV35" i="9"/>
  <c r="AK5" i="8"/>
  <c r="BX8" i="9"/>
  <c r="BX70" i="5"/>
  <c r="AP37" i="9"/>
  <c r="AP35" i="9"/>
  <c r="BQ8" i="9"/>
  <c r="BQ70" i="5"/>
  <c r="K37" i="9"/>
  <c r="K35" i="9"/>
  <c r="BJ37" i="9"/>
  <c r="BJ35" i="9"/>
  <c r="T8" i="9"/>
  <c r="T70" i="5"/>
  <c r="M8" i="9"/>
  <c r="M70" i="5"/>
  <c r="BR37" i="9"/>
  <c r="BR35" i="9"/>
  <c r="CG8" i="9"/>
  <c r="CG70" i="5"/>
  <c r="Y8" i="9"/>
  <c r="Y70" i="5"/>
  <c r="Q35" i="9"/>
  <c r="Q37" i="9"/>
  <c r="BI35" i="9"/>
  <c r="BI37" i="9"/>
  <c r="AE37" i="9"/>
  <c r="AE35" i="9"/>
  <c r="C39" i="13"/>
  <c r="C19" i="13"/>
  <c r="D19" i="13" s="1"/>
  <c r="B5" i="13"/>
  <c r="B9" i="13" s="1"/>
  <c r="B11" i="13" s="1"/>
  <c r="B13" i="13" s="1"/>
  <c r="AL42" i="10" l="1"/>
  <c r="F42" i="10"/>
  <c r="P31" i="10"/>
  <c r="P33" i="10"/>
  <c r="BX9" i="11"/>
  <c r="BX40" i="10"/>
  <c r="BX41" i="10" s="1"/>
  <c r="BX42" i="6"/>
  <c r="BX39" i="6"/>
  <c r="BX41" i="6"/>
  <c r="BS31" i="10"/>
  <c r="BS33" i="10"/>
  <c r="CH28" i="6"/>
  <c r="CH29" i="6" s="1"/>
  <c r="CH32" i="11" s="1"/>
  <c r="CH44" i="11" s="1"/>
  <c r="CH36" i="6"/>
  <c r="CH37" i="6" s="1"/>
  <c r="CH16" i="6"/>
  <c r="CH17" i="6" s="1"/>
  <c r="AA33" i="10"/>
  <c r="AA31" i="10"/>
  <c r="BM31" i="10"/>
  <c r="BM33" i="10"/>
  <c r="AJ9" i="11"/>
  <c r="AJ40" i="10"/>
  <c r="AJ41" i="10" s="1"/>
  <c r="AJ39" i="6"/>
  <c r="AJ41" i="6"/>
  <c r="AJ42" i="6"/>
  <c r="BR6" i="8"/>
  <c r="BR28" i="6"/>
  <c r="BR29" i="6" s="1"/>
  <c r="BR32" i="11" s="1"/>
  <c r="BR44" i="11" s="1"/>
  <c r="BR36" i="6"/>
  <c r="BR37" i="6" s="1"/>
  <c r="BR16" i="6"/>
  <c r="BR17" i="6" s="1"/>
  <c r="BL9" i="11"/>
  <c r="BL40" i="10"/>
  <c r="BL41" i="10" s="1"/>
  <c r="BL42" i="6"/>
  <c r="BL39" i="6"/>
  <c r="BL41" i="6"/>
  <c r="AB31" i="10"/>
  <c r="AB33" i="10"/>
  <c r="T31" i="10"/>
  <c r="T33" i="10"/>
  <c r="BW33" i="10"/>
  <c r="BW31" i="10"/>
  <c r="X31" i="10"/>
  <c r="X33" i="10"/>
  <c r="BO9" i="11"/>
  <c r="BO40" i="10"/>
  <c r="BO41" i="10" s="1"/>
  <c r="BO39" i="6"/>
  <c r="BO42" i="6"/>
  <c r="BO41" i="6"/>
  <c r="BV33" i="10"/>
  <c r="BV31" i="10"/>
  <c r="BS29" i="10"/>
  <c r="H9" i="11"/>
  <c r="H40" i="10"/>
  <c r="H41" i="10" s="1"/>
  <c r="H39" i="6"/>
  <c r="H41" i="6"/>
  <c r="H42" i="6"/>
  <c r="Y9" i="11"/>
  <c r="Y40" i="10"/>
  <c r="Y41" i="10" s="1"/>
  <c r="Y41" i="6"/>
  <c r="Y42" i="6"/>
  <c r="Y39" i="6"/>
  <c r="F6" i="8"/>
  <c r="F28" i="6"/>
  <c r="F29" i="6" s="1"/>
  <c r="F32" i="11" s="1"/>
  <c r="F44" i="11" s="1"/>
  <c r="F36" i="6"/>
  <c r="F37" i="6" s="1"/>
  <c r="F16" i="6"/>
  <c r="F17" i="6" s="1"/>
  <c r="W31" i="10"/>
  <c r="W33" i="10"/>
  <c r="AI9" i="11"/>
  <c r="AI40" i="10"/>
  <c r="AI41" i="10" s="1"/>
  <c r="AI42" i="6"/>
  <c r="AI39" i="6"/>
  <c r="AI41" i="6"/>
  <c r="AV31" i="10"/>
  <c r="AV33" i="10"/>
  <c r="I9" i="11"/>
  <c r="I40" i="10"/>
  <c r="I41" i="10" s="1"/>
  <c r="I41" i="6"/>
  <c r="I42" i="6"/>
  <c r="I39" i="6"/>
  <c r="BX42" i="10"/>
  <c r="R33" i="10"/>
  <c r="R31" i="10"/>
  <c r="O40" i="10"/>
  <c r="O41" i="10" s="1"/>
  <c r="O9" i="11"/>
  <c r="O39" i="6"/>
  <c r="O41" i="6"/>
  <c r="O42" i="6"/>
  <c r="AJ31" i="10"/>
  <c r="AJ33" i="10"/>
  <c r="U9" i="11"/>
  <c r="U40" i="10"/>
  <c r="U41" i="10" s="1"/>
  <c r="U39" i="6"/>
  <c r="U41" i="6"/>
  <c r="U42" i="6"/>
  <c r="BJ17" i="12"/>
  <c r="BJ18" i="12" s="1"/>
  <c r="BJ2" i="11"/>
  <c r="BJ47" i="10"/>
  <c r="BJ43" i="6"/>
  <c r="BJ48" i="10" s="1"/>
  <c r="BJ47" i="6"/>
  <c r="Q9" i="11"/>
  <c r="Q40" i="10"/>
  <c r="Q41" i="10" s="1"/>
  <c r="Q41" i="6"/>
  <c r="Q42" i="6"/>
  <c r="Q39" i="6"/>
  <c r="BO33" i="10"/>
  <c r="BO31" i="10"/>
  <c r="BC9" i="11"/>
  <c r="BC40" i="10"/>
  <c r="BC41" i="10" s="1"/>
  <c r="BC42" i="6"/>
  <c r="BC39" i="6"/>
  <c r="BC41" i="6"/>
  <c r="M9" i="11"/>
  <c r="M40" i="10"/>
  <c r="M41" i="10" s="1"/>
  <c r="M39" i="6"/>
  <c r="M41" i="6"/>
  <c r="M42" i="6"/>
  <c r="AW31" i="10"/>
  <c r="AW33" i="10"/>
  <c r="W29" i="10"/>
  <c r="AN9" i="11"/>
  <c r="AN40" i="10"/>
  <c r="AN41" i="10" s="1"/>
  <c r="AN39" i="6"/>
  <c r="AN41" i="6"/>
  <c r="AN42" i="6"/>
  <c r="BZ28" i="6"/>
  <c r="BZ29" i="6" s="1"/>
  <c r="BZ32" i="11" s="1"/>
  <c r="BZ44" i="11" s="1"/>
  <c r="BZ36" i="6"/>
  <c r="BZ37" i="6" s="1"/>
  <c r="BZ16" i="6"/>
  <c r="BZ17" i="6" s="1"/>
  <c r="P29" i="10"/>
  <c r="AE9" i="11"/>
  <c r="AE40" i="10"/>
  <c r="AE41" i="10" s="1"/>
  <c r="AE39" i="6"/>
  <c r="AE41" i="6"/>
  <c r="AE42" i="6"/>
  <c r="BE9" i="11"/>
  <c r="BE40" i="10"/>
  <c r="BE41" i="10" s="1"/>
  <c r="BE42" i="6"/>
  <c r="BE41" i="6"/>
  <c r="BE39" i="6"/>
  <c r="AI33" i="10"/>
  <c r="AI31" i="10"/>
  <c r="BX31" i="10"/>
  <c r="BX33" i="10"/>
  <c r="BE31" i="10"/>
  <c r="BE33" i="10"/>
  <c r="CH17" i="12"/>
  <c r="CH18" i="12" s="1"/>
  <c r="CH2" i="11"/>
  <c r="CH47" i="10"/>
  <c r="CH49" i="10" s="1"/>
  <c r="CH43" i="6"/>
  <c r="CH48" i="10" s="1"/>
  <c r="CH47" i="6"/>
  <c r="O31" i="10"/>
  <c r="O33" i="10"/>
  <c r="AJ42" i="10"/>
  <c r="U33" i="10"/>
  <c r="U31" i="10"/>
  <c r="CB9" i="11"/>
  <c r="CB40" i="10"/>
  <c r="CB41" i="10" s="1"/>
  <c r="CB42" i="6"/>
  <c r="CB39" i="6"/>
  <c r="CB41" i="6"/>
  <c r="BR17" i="12"/>
  <c r="BR18" i="12" s="1"/>
  <c r="BR2" i="11"/>
  <c r="BR47" i="10"/>
  <c r="BR43" i="6"/>
  <c r="BR48" i="10" s="1"/>
  <c r="BR47" i="6"/>
  <c r="BL42" i="10"/>
  <c r="AH9" i="11"/>
  <c r="AH40" i="10"/>
  <c r="AH41" i="10" s="1"/>
  <c r="AH41" i="6"/>
  <c r="AH42" i="6"/>
  <c r="AH39" i="6"/>
  <c r="AF31" i="10"/>
  <c r="AF33" i="10"/>
  <c r="BP9" i="11"/>
  <c r="BP40" i="10"/>
  <c r="BP41" i="10" s="1"/>
  <c r="BP42" i="6"/>
  <c r="BP39" i="6"/>
  <c r="BP41" i="6"/>
  <c r="BO42" i="10"/>
  <c r="AS9" i="11"/>
  <c r="AS40" i="10"/>
  <c r="AS41" i="10" s="1"/>
  <c r="AS39" i="6"/>
  <c r="AS41" i="6"/>
  <c r="AS42" i="6"/>
  <c r="CD9" i="11"/>
  <c r="CD40" i="10"/>
  <c r="CD41" i="10" s="1"/>
  <c r="CD42" i="6"/>
  <c r="CD41" i="6"/>
  <c r="CD39" i="6"/>
  <c r="BC31" i="10"/>
  <c r="BC33" i="10"/>
  <c r="Y31" i="10"/>
  <c r="Y33" i="10"/>
  <c r="BB6" i="8"/>
  <c r="BB7" i="8" s="1"/>
  <c r="BB28" i="6"/>
  <c r="BB29" i="6" s="1"/>
  <c r="BB32" i="11" s="1"/>
  <c r="BB44" i="11" s="1"/>
  <c r="BB36" i="6"/>
  <c r="BB37" i="6" s="1"/>
  <c r="BB16" i="6"/>
  <c r="BB17" i="6" s="1"/>
  <c r="AD42" i="10"/>
  <c r="M33" i="10"/>
  <c r="M31" i="10"/>
  <c r="CC31" i="10"/>
  <c r="CC33" i="10"/>
  <c r="CJ31" i="10"/>
  <c r="CJ33" i="10"/>
  <c r="AR9" i="11"/>
  <c r="AR40" i="10"/>
  <c r="AR41" i="10" s="1"/>
  <c r="AR42" i="6"/>
  <c r="AR39" i="6"/>
  <c r="AR41" i="6"/>
  <c r="AE31" i="10"/>
  <c r="AE33" i="10"/>
  <c r="F7" i="8"/>
  <c r="AZ9" i="11"/>
  <c r="AZ40" i="10"/>
  <c r="AZ41" i="10" s="1"/>
  <c r="AZ42" i="6"/>
  <c r="AZ39" i="6"/>
  <c r="AZ41" i="6"/>
  <c r="BT31" i="10"/>
  <c r="BT33" i="10"/>
  <c r="BF9" i="11"/>
  <c r="BF40" i="10"/>
  <c r="BF41" i="10" s="1"/>
  <c r="BF42" i="6"/>
  <c r="BF41" i="6"/>
  <c r="BF39" i="6"/>
  <c r="I31" i="10"/>
  <c r="I33" i="10"/>
  <c r="E9" i="11"/>
  <c r="E40" i="10"/>
  <c r="E41" i="10" s="1"/>
  <c r="E39" i="6"/>
  <c r="E41" i="6"/>
  <c r="E42" i="6"/>
  <c r="BN9" i="11"/>
  <c r="BN40" i="10"/>
  <c r="BN41" i="10" s="1"/>
  <c r="BN42" i="6"/>
  <c r="BN41" i="6"/>
  <c r="BN39" i="6"/>
  <c r="AB29" i="10"/>
  <c r="AP9" i="11"/>
  <c r="AP40" i="10"/>
  <c r="AP41" i="10" s="1"/>
  <c r="AP41" i="6"/>
  <c r="AP42" i="6"/>
  <c r="AP39" i="6"/>
  <c r="CI40" i="10"/>
  <c r="CI41" i="10" s="1"/>
  <c r="CI9" i="11"/>
  <c r="CI42" i="6"/>
  <c r="CI39" i="6"/>
  <c r="CI41" i="6"/>
  <c r="BL31" i="10"/>
  <c r="BL33" i="10"/>
  <c r="Q31" i="10"/>
  <c r="Q33" i="10"/>
  <c r="BU9" i="11"/>
  <c r="BU40" i="10"/>
  <c r="BU41" i="10" s="1"/>
  <c r="BU41" i="6"/>
  <c r="BU42" i="6"/>
  <c r="BU39" i="6"/>
  <c r="BP31" i="10"/>
  <c r="BP33" i="10"/>
  <c r="BQ9" i="11"/>
  <c r="BQ40" i="10"/>
  <c r="BQ41" i="10" s="1"/>
  <c r="BQ42" i="6"/>
  <c r="BQ39" i="6"/>
  <c r="BQ41" i="6"/>
  <c r="AL17" i="12"/>
  <c r="AL18" i="12" s="1"/>
  <c r="AL2" i="11"/>
  <c r="AL47" i="10"/>
  <c r="AL43" i="6"/>
  <c r="AL48" i="10" s="1"/>
  <c r="AL47" i="6"/>
  <c r="AS31" i="10"/>
  <c r="AS33" i="10"/>
  <c r="L9" i="11"/>
  <c r="L40" i="10"/>
  <c r="L41" i="10" s="1"/>
  <c r="L39" i="6"/>
  <c r="L41" i="6"/>
  <c r="L42" i="6"/>
  <c r="BC42" i="10"/>
  <c r="BG9" i="11"/>
  <c r="BG40" i="10"/>
  <c r="BG41" i="10" s="1"/>
  <c r="BG42" i="6"/>
  <c r="BG39" i="6"/>
  <c r="BG41" i="6"/>
  <c r="H31" i="10"/>
  <c r="H33" i="10"/>
  <c r="AG9" i="11"/>
  <c r="AG40" i="10"/>
  <c r="AG41" i="10" s="1"/>
  <c r="AG41" i="6"/>
  <c r="AG42" i="6"/>
  <c r="AG39" i="6"/>
  <c r="M42" i="10"/>
  <c r="CF9" i="11"/>
  <c r="CF40" i="10"/>
  <c r="CF41" i="10" s="1"/>
  <c r="CF42" i="6"/>
  <c r="CF39" i="6"/>
  <c r="CF41" i="6"/>
  <c r="AN42" i="10"/>
  <c r="BZ17" i="12"/>
  <c r="BZ18" i="12" s="1"/>
  <c r="BZ2" i="11"/>
  <c r="BZ47" i="10"/>
  <c r="BZ43" i="6"/>
  <c r="BZ48" i="10" s="1"/>
  <c r="BZ47" i="6"/>
  <c r="AR31" i="10"/>
  <c r="AR33" i="10"/>
  <c r="AQ33" i="10"/>
  <c r="AQ31" i="10"/>
  <c r="AZ31" i="10"/>
  <c r="AZ33" i="10"/>
  <c r="AC9" i="11"/>
  <c r="AC40" i="10"/>
  <c r="AC41" i="10" s="1"/>
  <c r="AC39" i="6"/>
  <c r="AC41" i="6"/>
  <c r="AC42" i="6"/>
  <c r="BY9" i="11"/>
  <c r="BY40" i="10"/>
  <c r="BY41" i="10" s="1"/>
  <c r="BY42" i="6"/>
  <c r="BY39" i="6"/>
  <c r="BY41" i="6"/>
  <c r="E33" i="10"/>
  <c r="E31" i="10"/>
  <c r="BD9" i="11"/>
  <c r="BD40" i="10"/>
  <c r="BD41" i="10" s="1"/>
  <c r="BD42" i="6"/>
  <c r="BD39" i="6"/>
  <c r="BD41" i="6"/>
  <c r="CI31" i="10"/>
  <c r="CI33" i="10"/>
  <c r="CB42" i="10"/>
  <c r="AX9" i="11"/>
  <c r="AX40" i="10"/>
  <c r="AX41" i="10" s="1"/>
  <c r="AX41" i="6"/>
  <c r="AX42" i="6"/>
  <c r="AX39" i="6"/>
  <c r="AH31" i="10"/>
  <c r="AH33" i="10"/>
  <c r="AT17" i="12"/>
  <c r="AT18" i="12" s="1"/>
  <c r="AT2" i="11"/>
  <c r="AT47" i="10"/>
  <c r="AT43" i="6"/>
  <c r="AT48" i="10" s="1"/>
  <c r="AT47" i="6"/>
  <c r="BP42" i="10"/>
  <c r="BQ33" i="10"/>
  <c r="BQ31" i="10"/>
  <c r="AL6" i="8"/>
  <c r="AL7" i="8" s="1"/>
  <c r="AL28" i="6"/>
  <c r="AL29" i="6" s="1"/>
  <c r="AL32" i="11" s="1"/>
  <c r="AL44" i="11" s="1"/>
  <c r="AL36" i="6"/>
  <c r="AL37" i="6" s="1"/>
  <c r="AL16" i="6"/>
  <c r="AL17" i="6" s="1"/>
  <c r="AY9" i="11"/>
  <c r="AY40" i="10"/>
  <c r="AY41" i="10" s="1"/>
  <c r="AY42" i="6"/>
  <c r="AY39" i="6"/>
  <c r="AY41" i="6"/>
  <c r="L31" i="10"/>
  <c r="L33" i="10"/>
  <c r="Z9" i="11"/>
  <c r="Z40" i="10"/>
  <c r="Z41" i="10" s="1"/>
  <c r="Z41" i="6"/>
  <c r="Z42" i="6"/>
  <c r="Z39" i="6"/>
  <c r="CD42" i="10"/>
  <c r="BG33" i="10"/>
  <c r="BG31" i="10"/>
  <c r="BB17" i="12"/>
  <c r="BB18" i="12" s="1"/>
  <c r="BB2" i="11"/>
  <c r="BB47" i="10"/>
  <c r="BB43" i="6"/>
  <c r="BB48" i="10" s="1"/>
  <c r="BB47" i="6"/>
  <c r="G40" i="10"/>
  <c r="G41" i="10" s="1"/>
  <c r="G9" i="11"/>
  <c r="G39" i="6"/>
  <c r="G41" i="6"/>
  <c r="G42" i="6"/>
  <c r="AZ29" i="10"/>
  <c r="N17" i="12"/>
  <c r="N18" i="12" s="1"/>
  <c r="N2" i="11"/>
  <c r="N47" i="10"/>
  <c r="N43" i="6"/>
  <c r="N48" i="10" s="1"/>
  <c r="N47" i="6"/>
  <c r="CF42" i="10"/>
  <c r="AN31" i="10"/>
  <c r="AN33" i="10"/>
  <c r="AU9" i="11"/>
  <c r="AU40" i="10"/>
  <c r="AU41" i="10" s="1"/>
  <c r="AU42" i="6"/>
  <c r="AU39" i="6"/>
  <c r="AU41" i="6"/>
  <c r="AR42" i="10"/>
  <c r="AA29" i="10"/>
  <c r="S9" i="11"/>
  <c r="S40" i="10"/>
  <c r="S41" i="10" s="1"/>
  <c r="S42" i="6"/>
  <c r="S39" i="6"/>
  <c r="S41" i="6"/>
  <c r="BT9" i="11"/>
  <c r="BT40" i="10"/>
  <c r="BT41" i="10" s="1"/>
  <c r="BT42" i="6"/>
  <c r="BT39" i="6"/>
  <c r="BT41" i="6"/>
  <c r="K9" i="11"/>
  <c r="K40" i="10"/>
  <c r="K41" i="10" s="1"/>
  <c r="K42" i="6"/>
  <c r="K39" i="6"/>
  <c r="K41" i="6"/>
  <c r="P9" i="11"/>
  <c r="P40" i="10"/>
  <c r="P41" i="10" s="1"/>
  <c r="P39" i="6"/>
  <c r="P41" i="6"/>
  <c r="P42" i="6"/>
  <c r="AZ42" i="10"/>
  <c r="BF33" i="10"/>
  <c r="BF31" i="10"/>
  <c r="AC33" i="10"/>
  <c r="AC31" i="10"/>
  <c r="BM29" i="10"/>
  <c r="BY33" i="10"/>
  <c r="BY31" i="10"/>
  <c r="J9" i="11"/>
  <c r="J40" i="10"/>
  <c r="J41" i="10" s="1"/>
  <c r="J41" i="6"/>
  <c r="J42" i="6"/>
  <c r="J39" i="6"/>
  <c r="BN33" i="10"/>
  <c r="BN31" i="10"/>
  <c r="T29" i="10"/>
  <c r="AP33" i="10"/>
  <c r="AP31" i="10"/>
  <c r="BW29" i="10"/>
  <c r="CI42" i="10"/>
  <c r="CB31" i="10"/>
  <c r="CB33" i="10"/>
  <c r="BV29" i="10"/>
  <c r="V42" i="10"/>
  <c r="BU31" i="10"/>
  <c r="BU33" i="10"/>
  <c r="AH42" i="10"/>
  <c r="AT6" i="8"/>
  <c r="AT28" i="6"/>
  <c r="AT29" i="6" s="1"/>
  <c r="AT32" i="11" s="1"/>
  <c r="AT44" i="11" s="1"/>
  <c r="AT36" i="6"/>
  <c r="AT37" i="6" s="1"/>
  <c r="AT16" i="6"/>
  <c r="AT17" i="6" s="1"/>
  <c r="X9" i="11"/>
  <c r="X40" i="10"/>
  <c r="X41" i="10" s="1"/>
  <c r="X39" i="6"/>
  <c r="X41" i="6"/>
  <c r="X42" i="6"/>
  <c r="BQ42" i="10"/>
  <c r="AY33" i="10"/>
  <c r="AY31" i="10"/>
  <c r="CA40" i="10"/>
  <c r="CA41" i="10" s="1"/>
  <c r="CA9" i="11"/>
  <c r="CA42" i="6"/>
  <c r="CA39" i="6"/>
  <c r="CA41" i="6"/>
  <c r="L42" i="10"/>
  <c r="CD33" i="10"/>
  <c r="CD31" i="10"/>
  <c r="BG42" i="10"/>
  <c r="V17" i="12"/>
  <c r="V18" i="12" s="1"/>
  <c r="V2" i="11"/>
  <c r="V47" i="10"/>
  <c r="V43" i="6"/>
  <c r="V48" i="10" s="1"/>
  <c r="V47" i="6"/>
  <c r="AG31" i="10"/>
  <c r="AG33" i="10"/>
  <c r="CG9" i="11"/>
  <c r="CG40" i="10"/>
  <c r="CG41" i="10" s="1"/>
  <c r="CG42" i="6"/>
  <c r="CG39" i="6"/>
  <c r="CG41" i="6"/>
  <c r="G31" i="10"/>
  <c r="G33" i="10"/>
  <c r="AO9" i="11"/>
  <c r="AO40" i="10"/>
  <c r="AO41" i="10" s="1"/>
  <c r="AO41" i="6"/>
  <c r="AO42" i="6"/>
  <c r="AO39" i="6"/>
  <c r="N6" i="8"/>
  <c r="N7" i="8" s="1"/>
  <c r="N28" i="6"/>
  <c r="N29" i="6" s="1"/>
  <c r="N32" i="11" s="1"/>
  <c r="N44" i="11" s="1"/>
  <c r="N36" i="6"/>
  <c r="N37" i="6" s="1"/>
  <c r="N16" i="6"/>
  <c r="N17" i="6" s="1"/>
  <c r="CF31" i="10"/>
  <c r="CF33" i="10"/>
  <c r="BH9" i="11"/>
  <c r="BH40" i="10"/>
  <c r="BH41" i="10" s="1"/>
  <c r="BH42" i="6"/>
  <c r="BH39" i="6"/>
  <c r="BH41" i="6"/>
  <c r="AU31" i="10"/>
  <c r="AU33" i="10"/>
  <c r="AV29" i="10"/>
  <c r="AD17" i="12"/>
  <c r="AD18" i="12" s="1"/>
  <c r="AD2" i="11"/>
  <c r="AD47" i="10"/>
  <c r="AD43" i="6"/>
  <c r="AD48" i="10" s="1"/>
  <c r="AD47" i="6"/>
  <c r="S33" i="10"/>
  <c r="S31" i="10"/>
  <c r="AV42" i="10"/>
  <c r="K33" i="10"/>
  <c r="K31" i="10"/>
  <c r="BA9" i="11"/>
  <c r="BA40" i="10"/>
  <c r="BA41" i="10" s="1"/>
  <c r="BA42" i="6"/>
  <c r="BA39" i="6"/>
  <c r="BA41" i="6"/>
  <c r="BF42" i="10"/>
  <c r="AV9" i="11"/>
  <c r="AV40" i="10"/>
  <c r="AV41" i="10" s="1"/>
  <c r="AV39" i="6"/>
  <c r="AV41" i="6"/>
  <c r="AV42" i="6"/>
  <c r="BY42" i="10"/>
  <c r="BK9" i="11"/>
  <c r="BK40" i="10"/>
  <c r="BK41" i="10" s="1"/>
  <c r="BK42" i="6"/>
  <c r="BK39" i="6"/>
  <c r="BK41" i="6"/>
  <c r="BN42" i="10"/>
  <c r="AM9" i="11"/>
  <c r="AM40" i="10"/>
  <c r="AM41" i="10" s="1"/>
  <c r="AM39" i="6"/>
  <c r="AM41" i="6"/>
  <c r="AM42" i="6"/>
  <c r="AP42" i="10"/>
  <c r="BM9" i="11"/>
  <c r="BM40" i="10"/>
  <c r="BM41" i="10" s="1"/>
  <c r="BM41" i="6"/>
  <c r="BM39" i="6"/>
  <c r="BM42" i="6"/>
  <c r="BD42" i="10"/>
  <c r="CE9" i="11"/>
  <c r="CE40" i="10"/>
  <c r="CE41" i="10" s="1"/>
  <c r="CE42" i="6"/>
  <c r="CE39" i="6"/>
  <c r="CE41" i="6"/>
  <c r="B41" i="6"/>
  <c r="B42" i="6"/>
  <c r="B39" i="6"/>
  <c r="AX33" i="10"/>
  <c r="AX31" i="10"/>
  <c r="BU42" i="10"/>
  <c r="BV9" i="11"/>
  <c r="BV40" i="10"/>
  <c r="BV41" i="10" s="1"/>
  <c r="BV42" i="6"/>
  <c r="BV41" i="6"/>
  <c r="BV39" i="6"/>
  <c r="AY42" i="10"/>
  <c r="Y29" i="10"/>
  <c r="CA31" i="10"/>
  <c r="CA33" i="10"/>
  <c r="Z33" i="10"/>
  <c r="Z31" i="10"/>
  <c r="BI9" i="11"/>
  <c r="BI40" i="10"/>
  <c r="BI41" i="10" s="1"/>
  <c r="BI42" i="6"/>
  <c r="BI39" i="6"/>
  <c r="BI41" i="6"/>
  <c r="V6" i="8"/>
  <c r="V7" i="8" s="1"/>
  <c r="V28" i="6"/>
  <c r="V29" i="6" s="1"/>
  <c r="V32" i="11" s="1"/>
  <c r="V44" i="11" s="1"/>
  <c r="V36" i="6"/>
  <c r="V37" i="6" s="1"/>
  <c r="V16" i="6"/>
  <c r="V17" i="6" s="1"/>
  <c r="AK9" i="11"/>
  <c r="AK40" i="10"/>
  <c r="AK41" i="10" s="1"/>
  <c r="AK39" i="6"/>
  <c r="AK41" i="6"/>
  <c r="AK42" i="6"/>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S42" i="10"/>
  <c r="BA42" i="10"/>
  <c r="BR7" i="8"/>
  <c r="AT7" i="8"/>
  <c r="BA31" i="10"/>
  <c r="BA33" i="10"/>
  <c r="AQ9" i="11"/>
  <c r="AQ40" i="10"/>
  <c r="AQ41" i="10" s="1"/>
  <c r="AQ42" i="6"/>
  <c r="AQ39" i="6"/>
  <c r="AQ41" i="6"/>
  <c r="BS40" i="10"/>
  <c r="BS41" i="10" s="1"/>
  <c r="BS9" i="11"/>
  <c r="BS42" i="6"/>
  <c r="BS39" i="6"/>
  <c r="BS41" i="6"/>
  <c r="BK31" i="10"/>
  <c r="BK33" i="10"/>
  <c r="R9" i="11"/>
  <c r="R40" i="10"/>
  <c r="R41" i="10" s="1"/>
  <c r="R41" i="6"/>
  <c r="R42" i="6"/>
  <c r="R39" i="6"/>
  <c r="J33" i="10"/>
  <c r="J31" i="10"/>
  <c r="AM31" i="10"/>
  <c r="AM33" i="10"/>
  <c r="AA9" i="11"/>
  <c r="AA40" i="10"/>
  <c r="AA41" i="10" s="1"/>
  <c r="AA42" i="6"/>
  <c r="AA39" i="6"/>
  <c r="AA41" i="6"/>
  <c r="BD31" i="10"/>
  <c r="BD33" i="10"/>
  <c r="CE33" i="10"/>
  <c r="CE31" i="10"/>
  <c r="X29" i="10"/>
  <c r="BJ6" i="8"/>
  <c r="BJ7" i="8" s="1"/>
  <c r="BJ28" i="6"/>
  <c r="BJ29" i="6" s="1"/>
  <c r="BJ32" i="11" s="1"/>
  <c r="BJ44" i="11" s="1"/>
  <c r="BJ36" i="6"/>
  <c r="BJ37" i="6" s="1"/>
  <c r="BJ16" i="6"/>
  <c r="BJ17" i="6" s="1"/>
  <c r="AB9" i="11"/>
  <c r="AB40" i="10"/>
  <c r="AB41" i="10" s="1"/>
  <c r="AB39" i="6"/>
  <c r="AB41" i="6"/>
  <c r="AB42" i="6"/>
  <c r="AX42" i="10"/>
  <c r="T9" i="11"/>
  <c r="T40" i="10"/>
  <c r="T41" i="10" s="1"/>
  <c r="T39" i="6"/>
  <c r="T41" i="6"/>
  <c r="T42" i="6"/>
  <c r="AF9" i="11"/>
  <c r="AF40" i="10"/>
  <c r="AF41" i="10" s="1"/>
  <c r="AF39" i="6"/>
  <c r="AF41" i="6"/>
  <c r="AF42" i="6"/>
  <c r="BW9" i="11"/>
  <c r="BW40" i="10"/>
  <c r="BW41" i="10" s="1"/>
  <c r="BW42" i="6"/>
  <c r="BW39" i="6"/>
  <c r="BW41" i="6"/>
  <c r="X42" i="10"/>
  <c r="CA42" i="10"/>
  <c r="Z42" i="10"/>
  <c r="BI31" i="10"/>
  <c r="BI33" i="10"/>
  <c r="AK33" i="10"/>
  <c r="AK31" i="10"/>
  <c r="CG42" i="10"/>
  <c r="F17" i="12"/>
  <c r="F18" i="12" s="1"/>
  <c r="F2" i="11"/>
  <c r="F47" i="10"/>
  <c r="F43" i="6"/>
  <c r="F48" i="10" s="1"/>
  <c r="F47" i="6"/>
  <c r="AW9" i="11"/>
  <c r="AW40" i="10"/>
  <c r="AW41" i="10" s="1"/>
  <c r="AW41" i="6"/>
  <c r="AW42" i="6"/>
  <c r="AW39" i="6"/>
  <c r="AO31" i="10"/>
  <c r="AO33" i="10"/>
  <c r="CC9" i="11"/>
  <c r="CC40" i="10"/>
  <c r="CC41" i="10" s="1"/>
  <c r="CC41" i="6"/>
  <c r="CC42" i="6"/>
  <c r="CC39" i="6"/>
  <c r="CJ9" i="11"/>
  <c r="CJ40" i="10"/>
  <c r="CJ41" i="10" s="1"/>
  <c r="CJ42" i="6"/>
  <c r="CJ39" i="6"/>
  <c r="CJ41" i="6"/>
  <c r="BH42" i="10"/>
  <c r="CH42" i="10"/>
  <c r="W40" i="10"/>
  <c r="W41" i="10" s="1"/>
  <c r="W9" i="11"/>
  <c r="W39" i="6"/>
  <c r="W41" i="6"/>
  <c r="W42" i="6"/>
  <c r="BJ7" i="11"/>
  <c r="BJ10" i="11"/>
  <c r="BJ11" i="11" s="1"/>
  <c r="BJ8" i="11"/>
  <c r="BJ9" i="9"/>
  <c r="BJ10" i="8"/>
  <c r="U7" i="11"/>
  <c r="U10" i="11"/>
  <c r="U11" i="11" s="1"/>
  <c r="U8" i="11"/>
  <c r="U9" i="9"/>
  <c r="U10" i="8"/>
  <c r="CB10" i="11"/>
  <c r="CB11" i="11" s="1"/>
  <c r="CB8" i="11"/>
  <c r="CB7" i="11"/>
  <c r="CB9" i="9"/>
  <c r="AF10" i="11"/>
  <c r="AF8" i="11"/>
  <c r="AF7" i="11"/>
  <c r="AF9" i="9"/>
  <c r="AF10" i="8"/>
  <c r="AQ10" i="11"/>
  <c r="AQ11" i="11" s="1"/>
  <c r="AQ8" i="11"/>
  <c r="AQ7" i="11"/>
  <c r="AQ9" i="9"/>
  <c r="AQ10" i="8"/>
  <c r="BE10" i="11"/>
  <c r="BE11" i="11" s="1"/>
  <c r="BE8" i="11"/>
  <c r="BE7" i="11"/>
  <c r="BE9" i="9"/>
  <c r="BE10" i="8"/>
  <c r="S10" i="11"/>
  <c r="S8" i="11"/>
  <c r="S9" i="9"/>
  <c r="S7" i="11"/>
  <c r="S10" i="8"/>
  <c r="M7" i="11"/>
  <c r="M10" i="11"/>
  <c r="M11" i="11" s="1"/>
  <c r="M9" i="9"/>
  <c r="M8" i="11"/>
  <c r="M10" i="8"/>
  <c r="CG7" i="11"/>
  <c r="CG10" i="11"/>
  <c r="CG11" i="11" s="1"/>
  <c r="CG8" i="11"/>
  <c r="CG9" i="9"/>
  <c r="BX7" i="11"/>
  <c r="BX10" i="11"/>
  <c r="BX11" i="11" s="1"/>
  <c r="BX8" i="11"/>
  <c r="BX9" i="9"/>
  <c r="N10" i="11"/>
  <c r="N11" i="11" s="1"/>
  <c r="N8" i="11"/>
  <c r="N7" i="11"/>
  <c r="N9" i="9"/>
  <c r="N10" i="8"/>
  <c r="AO10" i="11"/>
  <c r="AO11" i="11" s="1"/>
  <c r="AO8" i="11"/>
  <c r="AO7" i="11"/>
  <c r="AO9" i="9"/>
  <c r="AO10" i="8"/>
  <c r="F10" i="11"/>
  <c r="F11" i="11" s="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11" i="11" s="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X10" i="11"/>
  <c r="X11" i="11" s="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11" i="11" s="1"/>
  <c r="J8" i="11"/>
  <c r="J7" i="11"/>
  <c r="J9" i="9"/>
  <c r="J10" i="8"/>
  <c r="Q10" i="11"/>
  <c r="Q11" i="11" s="1"/>
  <c r="Q8" i="11"/>
  <c r="Q7" i="11"/>
  <c r="Q9" i="9"/>
  <c r="Q10" i="8"/>
  <c r="AX10" i="11"/>
  <c r="AX11" i="11" s="1"/>
  <c r="AX8" i="11"/>
  <c r="AX7" i="11"/>
  <c r="AX9" i="9"/>
  <c r="AX10" i="8"/>
  <c r="H10" i="11"/>
  <c r="H11" i="11" s="1"/>
  <c r="H8" i="11"/>
  <c r="H7" i="11"/>
  <c r="H9" i="9"/>
  <c r="H10" i="8"/>
  <c r="E7" i="11"/>
  <c r="E10" i="11"/>
  <c r="E11" i="11" s="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11" i="11" s="1"/>
  <c r="K8" i="11"/>
  <c r="K7" i="11"/>
  <c r="K9" i="9"/>
  <c r="K10" i="8"/>
  <c r="BQ7" i="11"/>
  <c r="BQ10" i="11"/>
  <c r="BQ11" i="11" s="1"/>
  <c r="BQ9" i="9"/>
  <c r="BQ8" i="11"/>
  <c r="BQ10" i="8"/>
  <c r="Y10" i="11"/>
  <c r="Y11" i="11" s="1"/>
  <c r="Y8" i="11"/>
  <c r="Y7" i="11"/>
  <c r="Y9" i="9"/>
  <c r="Y10" i="8"/>
  <c r="T7" i="11"/>
  <c r="T10" i="11"/>
  <c r="T11" i="11" s="1"/>
  <c r="T8" i="11"/>
  <c r="T9" i="9"/>
  <c r="T10" i="8"/>
  <c r="AE7" i="11"/>
  <c r="AE9" i="9"/>
  <c r="AE10" i="11"/>
  <c r="AE11" i="11" s="1"/>
  <c r="AE8" i="11"/>
  <c r="AE10" i="8"/>
  <c r="BK10" i="11"/>
  <c r="BK11" i="11" s="1"/>
  <c r="BK7" i="11"/>
  <c r="BK9" i="9"/>
  <c r="BK8" i="11"/>
  <c r="BK10" i="8"/>
  <c r="BV10" i="11"/>
  <c r="BV11" i="11" s="1"/>
  <c r="BV8" i="11"/>
  <c r="BV7" i="11"/>
  <c r="BV9" i="9"/>
  <c r="BB7" i="11"/>
  <c r="BB10" i="11"/>
  <c r="BB11" i="11" s="1"/>
  <c r="BB8" i="11"/>
  <c r="BB9" i="9"/>
  <c r="BB10" i="8"/>
  <c r="R10" i="11"/>
  <c r="R11" i="11" s="1"/>
  <c r="R8" i="11"/>
  <c r="R7" i="11"/>
  <c r="R9" i="9"/>
  <c r="R10" i="8"/>
  <c r="G9" i="9"/>
  <c r="G10" i="11"/>
  <c r="G11" i="11" s="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11" i="11" s="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D39" i="13"/>
  <c r="D41" i="13" s="1"/>
  <c r="H39" i="13"/>
  <c r="G39" i="13"/>
  <c r="G41" i="13" s="1"/>
  <c r="F39" i="13"/>
  <c r="F41" i="13" s="1"/>
  <c r="E39" i="13"/>
  <c r="E41" i="13" s="1"/>
  <c r="AC42" i="10" l="1"/>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4" i="11"/>
  <c r="AF6" i="8"/>
  <c r="AF7" i="8" s="1"/>
  <c r="AF28" i="6"/>
  <c r="AF29" i="6" s="1"/>
  <c r="AF32" i="11" s="1"/>
  <c r="AF44" i="11" s="1"/>
  <c r="AF36" i="6"/>
  <c r="AF37" i="6" s="1"/>
  <c r="AF16" i="6"/>
  <c r="AF17" i="6" s="1"/>
  <c r="AA6" i="8"/>
  <c r="AA7" i="8" s="1"/>
  <c r="AA36" i="6"/>
  <c r="AA37" i="6" s="1"/>
  <c r="AA28" i="6"/>
  <c r="AA29" i="6" s="1"/>
  <c r="AA32" i="11" s="1"/>
  <c r="AA44" i="11" s="1"/>
  <c r="AA16" i="6"/>
  <c r="AA17" i="6" s="1"/>
  <c r="BS6" i="8"/>
  <c r="BS7" i="8" s="1"/>
  <c r="BS28" i="6"/>
  <c r="BS29" i="6" s="1"/>
  <c r="BS32" i="11" s="1"/>
  <c r="BS44" i="11" s="1"/>
  <c r="BS36" i="6"/>
  <c r="BS37" i="6" s="1"/>
  <c r="BS16" i="6"/>
  <c r="BS17" i="6" s="1"/>
  <c r="AK17" i="12"/>
  <c r="AK18" i="12" s="1"/>
  <c r="AK2" i="11"/>
  <c r="AK47" i="10"/>
  <c r="AK43" i="6"/>
  <c r="AK48" i="10" s="1"/>
  <c r="AK47" i="6"/>
  <c r="CE36" i="6"/>
  <c r="CE37" i="6" s="1"/>
  <c r="CE28" i="6"/>
  <c r="CE29" i="6" s="1"/>
  <c r="CE32" i="11" s="1"/>
  <c r="CE44" i="11" s="1"/>
  <c r="CE16" i="6"/>
  <c r="CE17" i="6" s="1"/>
  <c r="BM6" i="8"/>
  <c r="BM7" i="8" s="1"/>
  <c r="BM36" i="6"/>
  <c r="BM37" i="6" s="1"/>
  <c r="BM28" i="6"/>
  <c r="BM29" i="6" s="1"/>
  <c r="BM32" i="11" s="1"/>
  <c r="BM44" i="11" s="1"/>
  <c r="BM16" i="6"/>
  <c r="BM17" i="6" s="1"/>
  <c r="AO17" i="12"/>
  <c r="AO18" i="12" s="1"/>
  <c r="AO2" i="11"/>
  <c r="AO47" i="10"/>
  <c r="AO47" i="6"/>
  <c r="AO43" i="6"/>
  <c r="AO48" i="10" s="1"/>
  <c r="CG17" i="12"/>
  <c r="CG18" i="12" s="1"/>
  <c r="CG2" i="11"/>
  <c r="CG47" i="10"/>
  <c r="CG49" i="10" s="1"/>
  <c r="CG43" i="6"/>
  <c r="CG48" i="10" s="1"/>
  <c r="CG47" i="6"/>
  <c r="V13" i="11"/>
  <c r="V12" i="11"/>
  <c r="V4" i="11"/>
  <c r="CA17" i="12"/>
  <c r="CA18" i="12" s="1"/>
  <c r="CA2" i="11"/>
  <c r="CA47" i="10"/>
  <c r="CA43" i="6"/>
  <c r="CA48" i="10" s="1"/>
  <c r="CA47" i="6"/>
  <c r="K36" i="6"/>
  <c r="K37" i="6" s="1"/>
  <c r="K6" i="8"/>
  <c r="K7" i="8" s="1"/>
  <c r="K28" i="6"/>
  <c r="K29" i="6" s="1"/>
  <c r="K32" i="11" s="1"/>
  <c r="K44" i="11" s="1"/>
  <c r="K16" i="6"/>
  <c r="K17" i="6" s="1"/>
  <c r="S17" i="12"/>
  <c r="S18" i="12" s="1"/>
  <c r="S2" i="11"/>
  <c r="S47" i="10"/>
  <c r="S47" i="6"/>
  <c r="S43" i="6"/>
  <c r="S48" i="10" s="1"/>
  <c r="N13" i="11"/>
  <c r="N12" i="11"/>
  <c r="N14" i="11" s="1"/>
  <c r="N4" i="11"/>
  <c r="BB5" i="11"/>
  <c r="BB50" i="10"/>
  <c r="AY36" i="6"/>
  <c r="AY37" i="6" s="1"/>
  <c r="AY28" i="6"/>
  <c r="AY29" i="6" s="1"/>
  <c r="AY32" i="11" s="1"/>
  <c r="AY44" i="11" s="1"/>
  <c r="AY6" i="8"/>
  <c r="AY7" i="8" s="1"/>
  <c r="AY16" i="6"/>
  <c r="AY17" i="6" s="1"/>
  <c r="CF36" i="6"/>
  <c r="CF37" i="6" s="1"/>
  <c r="CF28" i="6"/>
  <c r="CF29" i="6" s="1"/>
  <c r="CF32" i="11" s="1"/>
  <c r="CF44" i="11" s="1"/>
  <c r="CF16" i="6"/>
  <c r="CF17" i="6" s="1"/>
  <c r="AG17" i="12"/>
  <c r="AG18" i="12" s="1"/>
  <c r="AG2" i="11"/>
  <c r="AG47" i="10"/>
  <c r="AG47" i="6"/>
  <c r="AG43" i="6"/>
  <c r="AG48" i="10" s="1"/>
  <c r="BG17" i="12"/>
  <c r="BG18" i="12" s="1"/>
  <c r="BG2" i="11"/>
  <c r="BG47" i="10"/>
  <c r="BG43" i="6"/>
  <c r="BG48" i="10" s="1"/>
  <c r="BG47" i="6"/>
  <c r="BQ6" i="8"/>
  <c r="BQ7" i="8" s="1"/>
  <c r="BQ36" i="6"/>
  <c r="BQ37" i="6" s="1"/>
  <c r="BQ28" i="6"/>
  <c r="BQ29" i="6" s="1"/>
  <c r="BQ32" i="11" s="1"/>
  <c r="BQ44" i="11" s="1"/>
  <c r="BQ16" i="6"/>
  <c r="BQ17" i="6" s="1"/>
  <c r="BU17" i="12"/>
  <c r="BU18" i="12" s="1"/>
  <c r="BU2" i="11"/>
  <c r="BU47" i="10"/>
  <c r="BU47" i="6"/>
  <c r="BU43" i="6"/>
  <c r="BU48" i="10" s="1"/>
  <c r="AP17" i="12"/>
  <c r="AP18" i="12" s="1"/>
  <c r="AP2" i="11"/>
  <c r="AP47" i="10"/>
  <c r="AP49" i="10" s="1"/>
  <c r="AP47" i="6"/>
  <c r="AP43" i="6"/>
  <c r="AP48" i="10" s="1"/>
  <c r="CD36" i="6"/>
  <c r="CD37" i="6" s="1"/>
  <c r="CD28" i="6"/>
  <c r="CD29" i="6" s="1"/>
  <c r="CD32" i="11" s="1"/>
  <c r="CD44" i="11" s="1"/>
  <c r="CD16" i="6"/>
  <c r="CD17" i="6" s="1"/>
  <c r="BE17" i="12"/>
  <c r="BE18" i="12" s="1"/>
  <c r="BE2" i="11"/>
  <c r="BE47" i="10"/>
  <c r="BE47" i="6"/>
  <c r="BE43" i="6"/>
  <c r="BE48" i="10" s="1"/>
  <c r="AN17" i="12"/>
  <c r="AN18" i="12" s="1"/>
  <c r="AN2" i="11"/>
  <c r="AN47" i="10"/>
  <c r="AN43" i="6"/>
  <c r="AN48" i="10" s="1"/>
  <c r="AN47" i="6"/>
  <c r="BC17" i="12"/>
  <c r="BC18" i="12" s="1"/>
  <c r="BC2" i="11"/>
  <c r="BC47" i="10"/>
  <c r="BC49" i="10" s="1"/>
  <c r="BC43" i="6"/>
  <c r="BC48" i="10" s="1"/>
  <c r="BC47" i="6"/>
  <c r="T42" i="10"/>
  <c r="J42" i="10"/>
  <c r="H17" i="12"/>
  <c r="H18" i="12" s="1"/>
  <c r="H2" i="11"/>
  <c r="H47" i="10"/>
  <c r="H43" i="6"/>
  <c r="H48" i="10" s="1"/>
  <c r="H47" i="6"/>
  <c r="BL17" i="12"/>
  <c r="BL18" i="12" s="1"/>
  <c r="BL47" i="10"/>
  <c r="BL2" i="11"/>
  <c r="BL43" i="6"/>
  <c r="BL48" i="10" s="1"/>
  <c r="BL47" i="6"/>
  <c r="AJ17" i="12"/>
  <c r="AJ18" i="12" s="1"/>
  <c r="AJ2" i="11"/>
  <c r="AJ47" i="10"/>
  <c r="AJ43" i="6"/>
  <c r="AJ48" i="10" s="1"/>
  <c r="AJ47" i="6"/>
  <c r="AW17" i="12"/>
  <c r="AW18" i="12" s="1"/>
  <c r="AW2" i="11"/>
  <c r="AW47" i="10"/>
  <c r="AW47" i="6"/>
  <c r="AW43" i="6"/>
  <c r="AW48" i="10" s="1"/>
  <c r="AU42" i="10"/>
  <c r="C43" i="6"/>
  <c r="C47" i="6"/>
  <c r="AK6" i="8"/>
  <c r="AK7" i="8" s="1"/>
  <c r="AK36" i="6"/>
  <c r="AK37" i="6" s="1"/>
  <c r="AK28" i="6"/>
  <c r="AK29" i="6" s="1"/>
  <c r="AK32" i="11" s="1"/>
  <c r="AK44" i="11" s="1"/>
  <c r="AK16" i="6"/>
  <c r="AK17" i="6" s="1"/>
  <c r="AV17" i="12"/>
  <c r="AV18" i="12" s="1"/>
  <c r="AV2" i="11"/>
  <c r="AV47" i="10"/>
  <c r="AV43" i="6"/>
  <c r="AV48" i="10" s="1"/>
  <c r="AV47" i="6"/>
  <c r="BA17" i="12"/>
  <c r="BA18" i="12" s="1"/>
  <c r="BA2" i="11"/>
  <c r="BA47" i="10"/>
  <c r="BA49" i="10" s="1"/>
  <c r="BA43" i="6"/>
  <c r="BA48" i="10" s="1"/>
  <c r="BA47" i="6"/>
  <c r="AO6" i="8"/>
  <c r="AO7" i="8" s="1"/>
  <c r="AO36" i="6"/>
  <c r="AO37" i="6" s="1"/>
  <c r="AO28" i="6"/>
  <c r="AO29" i="6" s="1"/>
  <c r="AO32" i="11" s="1"/>
  <c r="AO44" i="11" s="1"/>
  <c r="AO16" i="6"/>
  <c r="AO17" i="6" s="1"/>
  <c r="BT6" i="8"/>
  <c r="BT7" i="8" s="1"/>
  <c r="BT28" i="6"/>
  <c r="BT29" i="6" s="1"/>
  <c r="BT32" i="11" s="1"/>
  <c r="BT44" i="11" s="1"/>
  <c r="BT36" i="6"/>
  <c r="BT37" i="6" s="1"/>
  <c r="BT16" i="6"/>
  <c r="BT17" i="6" s="1"/>
  <c r="Z17" i="12"/>
  <c r="Z18" i="12" s="1"/>
  <c r="Z2" i="11"/>
  <c r="Z47" i="10"/>
  <c r="Z49" i="10" s="1"/>
  <c r="Z47" i="6"/>
  <c r="Z43" i="6"/>
  <c r="Z48" i="10" s="1"/>
  <c r="AC17" i="12"/>
  <c r="AC18" i="12" s="1"/>
  <c r="AC2" i="11"/>
  <c r="AC47" i="10"/>
  <c r="AC43" i="6"/>
  <c r="AC48" i="10" s="1"/>
  <c r="AC47" i="6"/>
  <c r="AG6" i="8"/>
  <c r="AG7" i="8" s="1"/>
  <c r="AG36" i="6"/>
  <c r="AG37" i="6" s="1"/>
  <c r="AG28" i="6"/>
  <c r="AG29" i="6" s="1"/>
  <c r="AG32" i="11" s="1"/>
  <c r="AG44" i="11" s="1"/>
  <c r="AG16" i="6"/>
  <c r="AG17" i="6" s="1"/>
  <c r="BU6" i="8"/>
  <c r="BU7" i="8" s="1"/>
  <c r="BU36" i="6"/>
  <c r="BU37" i="6" s="1"/>
  <c r="BU28" i="6"/>
  <c r="BU29" i="6" s="1"/>
  <c r="BU32" i="11" s="1"/>
  <c r="BU44" i="11" s="1"/>
  <c r="BU16" i="6"/>
  <c r="BU17" i="6" s="1"/>
  <c r="CI28" i="6"/>
  <c r="CI29" i="6" s="1"/>
  <c r="CI32" i="11" s="1"/>
  <c r="CI44" i="11" s="1"/>
  <c r="CI36" i="6"/>
  <c r="CI37" i="6" s="1"/>
  <c r="CI16" i="6"/>
  <c r="CI17" i="6" s="1"/>
  <c r="AP6" i="8"/>
  <c r="AP7" i="8" s="1"/>
  <c r="AP36" i="6"/>
  <c r="AP37" i="6" s="1"/>
  <c r="AP28" i="6"/>
  <c r="AP29" i="6" s="1"/>
  <c r="AP32" i="11" s="1"/>
  <c r="AP44" i="11" s="1"/>
  <c r="AP16" i="6"/>
  <c r="AP17" i="6" s="1"/>
  <c r="AZ6" i="8"/>
  <c r="AZ7" i="8" s="1"/>
  <c r="AZ36" i="6"/>
  <c r="AZ37" i="6" s="1"/>
  <c r="AZ28" i="6"/>
  <c r="AZ29" i="6" s="1"/>
  <c r="AZ32" i="11" s="1"/>
  <c r="AZ44" i="11" s="1"/>
  <c r="AZ16" i="6"/>
  <c r="AZ17" i="6" s="1"/>
  <c r="AR6" i="8"/>
  <c r="AR7" i="8" s="1"/>
  <c r="AR36" i="6"/>
  <c r="AR37" i="6" s="1"/>
  <c r="AR28" i="6"/>
  <c r="AR29" i="6" s="1"/>
  <c r="AR32" i="11" s="1"/>
  <c r="AR44" i="11" s="1"/>
  <c r="AR16" i="6"/>
  <c r="AR17" i="6" s="1"/>
  <c r="CD17" i="12"/>
  <c r="CD18" i="12" s="1"/>
  <c r="CD2" i="11"/>
  <c r="CD47" i="10"/>
  <c r="CD49" i="10" s="1"/>
  <c r="CD47" i="6"/>
  <c r="CD43" i="6"/>
  <c r="CD48" i="10" s="1"/>
  <c r="AN6" i="8"/>
  <c r="AN7" i="8" s="1"/>
  <c r="AN28" i="6"/>
  <c r="AN29" i="6" s="1"/>
  <c r="AN32" i="11" s="1"/>
  <c r="AN44" i="11" s="1"/>
  <c r="AN36" i="6"/>
  <c r="AN37" i="6" s="1"/>
  <c r="AN16" i="6"/>
  <c r="AN17" i="6" s="1"/>
  <c r="M17" i="12"/>
  <c r="M18" i="12" s="1"/>
  <c r="M2" i="11"/>
  <c r="M47" i="10"/>
  <c r="M43" i="6"/>
  <c r="M48" i="10" s="1"/>
  <c r="M47" i="6"/>
  <c r="H6" i="8"/>
  <c r="H7" i="8" s="1"/>
  <c r="H28" i="6"/>
  <c r="H29" i="6" s="1"/>
  <c r="H32" i="11" s="1"/>
  <c r="H44" i="11" s="1"/>
  <c r="H36" i="6"/>
  <c r="H37" i="6" s="1"/>
  <c r="H16" i="6"/>
  <c r="H17" i="6" s="1"/>
  <c r="BO36" i="6"/>
  <c r="BO37" i="6" s="1"/>
  <c r="BO6" i="8"/>
  <c r="BO7" i="8" s="1"/>
  <c r="BO28" i="6"/>
  <c r="BO29" i="6" s="1"/>
  <c r="BO32" i="11" s="1"/>
  <c r="BO44" i="11" s="1"/>
  <c r="BO16" i="6"/>
  <c r="BO17" i="6" s="1"/>
  <c r="AJ6" i="8"/>
  <c r="AJ7" i="8" s="1"/>
  <c r="AJ36" i="6"/>
  <c r="AJ37" i="6" s="1"/>
  <c r="AJ28" i="6"/>
  <c r="AJ29" i="6" s="1"/>
  <c r="AJ32" i="11" s="1"/>
  <c r="AJ44" i="11" s="1"/>
  <c r="AJ16" i="6"/>
  <c r="AJ17" i="6" s="1"/>
  <c r="AM42" i="10"/>
  <c r="BX17" i="12"/>
  <c r="BX18" i="12" s="1"/>
  <c r="BX2" i="11"/>
  <c r="BX47" i="10"/>
  <c r="BX43" i="6"/>
  <c r="BX48" i="10" s="1"/>
  <c r="BX47" i="6"/>
  <c r="W11" i="11"/>
  <c r="CC17" i="12"/>
  <c r="CC18" i="12" s="1"/>
  <c r="CC2" i="11"/>
  <c r="CC47" i="10"/>
  <c r="CC49" i="10" s="1"/>
  <c r="CC47" i="6"/>
  <c r="CC43" i="6"/>
  <c r="CC48" i="10" s="1"/>
  <c r="AW6" i="8"/>
  <c r="AW7" i="8" s="1"/>
  <c r="AW36" i="6"/>
  <c r="AW37" i="6" s="1"/>
  <c r="AW28" i="6"/>
  <c r="AW29" i="6" s="1"/>
  <c r="AW32" i="11" s="1"/>
  <c r="AW44" i="11" s="1"/>
  <c r="AW16" i="6"/>
  <c r="AW17" i="6" s="1"/>
  <c r="BW36" i="6"/>
  <c r="BW37" i="6" s="1"/>
  <c r="BW28" i="6"/>
  <c r="BW29" i="6" s="1"/>
  <c r="BW32" i="11" s="1"/>
  <c r="BW44" i="11" s="1"/>
  <c r="BW16" i="6"/>
  <c r="BW17" i="6" s="1"/>
  <c r="AB17" i="12"/>
  <c r="AB18" i="12" s="1"/>
  <c r="AB2" i="11"/>
  <c r="AB47" i="10"/>
  <c r="AB43" i="6"/>
  <c r="AB48" i="10" s="1"/>
  <c r="AB47" i="6"/>
  <c r="AA17" i="12"/>
  <c r="AA18" i="12" s="1"/>
  <c r="AA2" i="11"/>
  <c r="AA47" i="10"/>
  <c r="AA43" i="6"/>
  <c r="AA48" i="10" s="1"/>
  <c r="AA47" i="6"/>
  <c r="R17" i="12"/>
  <c r="R18" i="12" s="1"/>
  <c r="R2" i="11"/>
  <c r="R47" i="10"/>
  <c r="R49" i="10" s="1"/>
  <c r="R47" i="6"/>
  <c r="R43" i="6"/>
  <c r="R48" i="10" s="1"/>
  <c r="BS17" i="12"/>
  <c r="BS18" i="12" s="1"/>
  <c r="BS2" i="11"/>
  <c r="BS47" i="10"/>
  <c r="BS43" i="6"/>
  <c r="BS48" i="10" s="1"/>
  <c r="BS47" i="6"/>
  <c r="D43" i="6"/>
  <c r="D47" i="6"/>
  <c r="BI6" i="8"/>
  <c r="BI7" i="8" s="1"/>
  <c r="BI36" i="6"/>
  <c r="BI37" i="6" s="1"/>
  <c r="BI28" i="6"/>
  <c r="BI29" i="6" s="1"/>
  <c r="BI32" i="11" s="1"/>
  <c r="BI44" i="11" s="1"/>
  <c r="BI16" i="6"/>
  <c r="BI17" i="6" s="1"/>
  <c r="CE17" i="12"/>
  <c r="CE18" i="12" s="1"/>
  <c r="CE2" i="11"/>
  <c r="CE47" i="10"/>
  <c r="CE47" i="6"/>
  <c r="CE43" i="6"/>
  <c r="CE48" i="10" s="1"/>
  <c r="BK6" i="8"/>
  <c r="BK7" i="8" s="1"/>
  <c r="BK28" i="6"/>
  <c r="BK29" i="6" s="1"/>
  <c r="BK32" i="11" s="1"/>
  <c r="BK44" i="11" s="1"/>
  <c r="BK36" i="6"/>
  <c r="BK37" i="6" s="1"/>
  <c r="BK16" i="6"/>
  <c r="BK17" i="6" s="1"/>
  <c r="AV6" i="8"/>
  <c r="AV7" i="8" s="1"/>
  <c r="AV28" i="6"/>
  <c r="AV29" i="6" s="1"/>
  <c r="AV32" i="11" s="1"/>
  <c r="AV44" i="11" s="1"/>
  <c r="AV36" i="6"/>
  <c r="AV37" i="6" s="1"/>
  <c r="AV16" i="6"/>
  <c r="AV17" i="6" s="1"/>
  <c r="K17" i="12"/>
  <c r="K18" i="12" s="1"/>
  <c r="K2" i="11"/>
  <c r="K47" i="10"/>
  <c r="K47" i="6"/>
  <c r="K43" i="6"/>
  <c r="K48" i="10" s="1"/>
  <c r="Z6" i="8"/>
  <c r="Z7" i="8" s="1"/>
  <c r="Z36" i="6"/>
  <c r="Z37" i="6" s="1"/>
  <c r="Z28" i="6"/>
  <c r="Z29" i="6" s="1"/>
  <c r="Z32" i="11" s="1"/>
  <c r="Z44" i="11" s="1"/>
  <c r="Z16" i="6"/>
  <c r="Z17" i="6" s="1"/>
  <c r="AY17" i="12"/>
  <c r="AY18" i="12" s="1"/>
  <c r="AY2" i="11"/>
  <c r="AY47" i="10"/>
  <c r="AY49" i="10" s="1"/>
  <c r="AY47" i="6"/>
  <c r="AY43" i="6"/>
  <c r="AY48" i="10" s="1"/>
  <c r="AC6" i="8"/>
  <c r="AC7" i="8" s="1"/>
  <c r="AC36" i="6"/>
  <c r="AC37" i="6" s="1"/>
  <c r="AC28" i="6"/>
  <c r="AC29" i="6" s="1"/>
  <c r="AC32" i="11" s="1"/>
  <c r="AC44" i="11" s="1"/>
  <c r="AC16" i="6"/>
  <c r="AC17" i="6" s="1"/>
  <c r="BZ5" i="11"/>
  <c r="BZ50" i="10"/>
  <c r="CF17" i="12"/>
  <c r="CF18" i="12" s="1"/>
  <c r="CF2" i="11"/>
  <c r="CF47" i="10"/>
  <c r="CF43" i="6"/>
  <c r="CF48" i="10" s="1"/>
  <c r="CF47" i="6"/>
  <c r="BQ17" i="12"/>
  <c r="BQ18" i="12" s="1"/>
  <c r="BQ2" i="11"/>
  <c r="BQ47" i="10"/>
  <c r="BQ49" i="10" s="1"/>
  <c r="BQ43" i="6"/>
  <c r="BQ48" i="10" s="1"/>
  <c r="BQ47" i="6"/>
  <c r="E17" i="12"/>
  <c r="E18" i="12" s="1"/>
  <c r="E2" i="11"/>
  <c r="E47" i="10"/>
  <c r="E43" i="6"/>
  <c r="E48" i="10" s="1"/>
  <c r="E47" i="6"/>
  <c r="AW42" i="10"/>
  <c r="BP6" i="8"/>
  <c r="BP7" i="8" s="1"/>
  <c r="BP36" i="6"/>
  <c r="BP37" i="6" s="1"/>
  <c r="BP28" i="6"/>
  <c r="BP29" i="6" s="1"/>
  <c r="BP32" i="11" s="1"/>
  <c r="BP44" i="11" s="1"/>
  <c r="BP16" i="6"/>
  <c r="BP17" i="6" s="1"/>
  <c r="AH17" i="12"/>
  <c r="AH18" i="12" s="1"/>
  <c r="AH2" i="11"/>
  <c r="AH47" i="10"/>
  <c r="AH49" i="10" s="1"/>
  <c r="AH47" i="6"/>
  <c r="AH43" i="6"/>
  <c r="AH48" i="10" s="1"/>
  <c r="BR13" i="11"/>
  <c r="BR12" i="11"/>
  <c r="BR4" i="11"/>
  <c r="CH13" i="11"/>
  <c r="CH12" i="11"/>
  <c r="CH4" i="11"/>
  <c r="M6" i="8"/>
  <c r="M7" i="8" s="1"/>
  <c r="M36" i="6"/>
  <c r="M37" i="6" s="1"/>
  <c r="M28" i="6"/>
  <c r="M29" i="6" s="1"/>
  <c r="M32" i="11" s="1"/>
  <c r="M44" i="11" s="1"/>
  <c r="M16" i="6"/>
  <c r="M17" i="6" s="1"/>
  <c r="Q17" i="12"/>
  <c r="Q18" i="12" s="1"/>
  <c r="Q2" i="11"/>
  <c r="Q47" i="10"/>
  <c r="Q47" i="6"/>
  <c r="Q43" i="6"/>
  <c r="Q48" i="10" s="1"/>
  <c r="BJ13" i="11"/>
  <c r="BJ12" i="11"/>
  <c r="BJ4" i="11"/>
  <c r="AK42" i="10"/>
  <c r="BO17" i="12"/>
  <c r="BO18" i="12" s="1"/>
  <c r="BO2" i="11"/>
  <c r="BO47" i="10"/>
  <c r="BO49" i="10" s="1"/>
  <c r="BO43" i="6"/>
  <c r="BO48" i="10" s="1"/>
  <c r="BO47" i="6"/>
  <c r="CH15" i="12"/>
  <c r="CH16" i="12" s="1"/>
  <c r="CH23" i="10"/>
  <c r="CH24" i="10" s="1"/>
  <c r="CH33" i="6"/>
  <c r="CH34" i="6" s="1"/>
  <c r="CH18" i="6"/>
  <c r="F14" i="11"/>
  <c r="CC36" i="6"/>
  <c r="CC37" i="6" s="1"/>
  <c r="CC28" i="6"/>
  <c r="CC29" i="6" s="1"/>
  <c r="CC32" i="11" s="1"/>
  <c r="CC44" i="11" s="1"/>
  <c r="CC16" i="6"/>
  <c r="CC17" i="6" s="1"/>
  <c r="AB6" i="8"/>
  <c r="AB7" i="8" s="1"/>
  <c r="AB36" i="6"/>
  <c r="AB37" i="6" s="1"/>
  <c r="AB28" i="6"/>
  <c r="AB29" i="6" s="1"/>
  <c r="AB32" i="11" s="1"/>
  <c r="AB44" i="11" s="1"/>
  <c r="AB16" i="6"/>
  <c r="AB17" i="6" s="1"/>
  <c r="R6" i="8"/>
  <c r="R7" i="8" s="1"/>
  <c r="R36" i="6"/>
  <c r="R37" i="6" s="1"/>
  <c r="R28" i="6"/>
  <c r="R29" i="6" s="1"/>
  <c r="R32" i="11" s="1"/>
  <c r="R44" i="11" s="1"/>
  <c r="R16" i="6"/>
  <c r="R17" i="6" s="1"/>
  <c r="D36" i="6"/>
  <c r="D37" i="6" s="1"/>
  <c r="D28" i="6"/>
  <c r="D29" i="6" s="1"/>
  <c r="D16" i="6"/>
  <c r="D17" i="6" s="1"/>
  <c r="N15" i="12"/>
  <c r="N16" i="12" s="1"/>
  <c r="N23" i="10"/>
  <c r="N24" i="10" s="1"/>
  <c r="N33" i="6"/>
  <c r="N34" i="6" s="1"/>
  <c r="N18" i="6"/>
  <c r="AT15" i="12"/>
  <c r="AT16" i="12" s="1"/>
  <c r="AT23" i="10"/>
  <c r="AT24" i="10" s="1"/>
  <c r="AT33" i="6"/>
  <c r="AT34" i="6" s="1"/>
  <c r="AT18" i="6"/>
  <c r="P17" i="12"/>
  <c r="P18" i="12" s="1"/>
  <c r="P2" i="11"/>
  <c r="P47" i="10"/>
  <c r="P43" i="6"/>
  <c r="P48" i="10" s="1"/>
  <c r="P47" i="6"/>
  <c r="BT17" i="12"/>
  <c r="BT18" i="12" s="1"/>
  <c r="BT2" i="11"/>
  <c r="BT47" i="10"/>
  <c r="BT49" i="10" s="1"/>
  <c r="BT43" i="6"/>
  <c r="BT48" i="10" s="1"/>
  <c r="BT47" i="6"/>
  <c r="G17" i="12"/>
  <c r="G18" i="12" s="1"/>
  <c r="G2" i="11"/>
  <c r="G47" i="10"/>
  <c r="G43" i="6"/>
  <c r="G48" i="10" s="1"/>
  <c r="G47" i="6"/>
  <c r="BB13" i="11"/>
  <c r="BB12" i="11"/>
  <c r="BB4" i="11"/>
  <c r="BY36" i="6"/>
  <c r="BY37" i="6" s="1"/>
  <c r="BY28" i="6"/>
  <c r="BY29" i="6" s="1"/>
  <c r="BY32" i="11" s="1"/>
  <c r="BY44" i="11" s="1"/>
  <c r="BY16" i="6"/>
  <c r="BY17" i="6" s="1"/>
  <c r="AL5" i="11"/>
  <c r="AL50" i="10"/>
  <c r="CI17" i="12"/>
  <c r="CI18" i="12" s="1"/>
  <c r="CI2" i="11"/>
  <c r="CI47" i="10"/>
  <c r="CI49" i="10" s="1"/>
  <c r="CI43" i="6"/>
  <c r="CI48" i="10" s="1"/>
  <c r="CI47" i="6"/>
  <c r="E6" i="8"/>
  <c r="E7" i="8" s="1"/>
  <c r="E36" i="6"/>
  <c r="E37" i="6" s="1"/>
  <c r="E28" i="6"/>
  <c r="E29" i="6" s="1"/>
  <c r="E32" i="11" s="1"/>
  <c r="E44" i="11" s="1"/>
  <c r="E16" i="6"/>
  <c r="E17" i="6" s="1"/>
  <c r="BF6" i="8"/>
  <c r="BF7" i="8" s="1"/>
  <c r="BF36" i="6"/>
  <c r="BF37" i="6" s="1"/>
  <c r="BF28" i="6"/>
  <c r="BF29" i="6" s="1"/>
  <c r="BF32" i="11" s="1"/>
  <c r="BF44" i="11" s="1"/>
  <c r="BF16" i="6"/>
  <c r="BF17" i="6" s="1"/>
  <c r="AZ17" i="12"/>
  <c r="AZ18" i="12" s="1"/>
  <c r="AZ2" i="11"/>
  <c r="AZ47" i="10"/>
  <c r="AZ43" i="6"/>
  <c r="AZ48" i="10" s="1"/>
  <c r="AZ47" i="6"/>
  <c r="AR17" i="12"/>
  <c r="AR18" i="12" s="1"/>
  <c r="AR2" i="11"/>
  <c r="AR47" i="10"/>
  <c r="AR49" i="10" s="1"/>
  <c r="AR43" i="6"/>
  <c r="AR48" i="10" s="1"/>
  <c r="AR47" i="6"/>
  <c r="AH6" i="8"/>
  <c r="AH7" i="8" s="1"/>
  <c r="AH36" i="6"/>
  <c r="AH37" i="6" s="1"/>
  <c r="AH28" i="6"/>
  <c r="AH29" i="6" s="1"/>
  <c r="AH32" i="11" s="1"/>
  <c r="AH44" i="11" s="1"/>
  <c r="AH16" i="6"/>
  <c r="AH17" i="6" s="1"/>
  <c r="AQ42" i="10"/>
  <c r="BV42" i="10"/>
  <c r="Q6" i="8"/>
  <c r="Q7" i="8" s="1"/>
  <c r="Q36" i="6"/>
  <c r="Q37" i="6" s="1"/>
  <c r="Q28" i="6"/>
  <c r="Q29" i="6" s="1"/>
  <c r="Q32" i="11" s="1"/>
  <c r="Q44" i="11" s="1"/>
  <c r="Q16" i="6"/>
  <c r="Q17" i="6" s="1"/>
  <c r="BM42" i="10"/>
  <c r="BS42" i="10"/>
  <c r="BR15" i="12"/>
  <c r="BR16" i="12" s="1"/>
  <c r="BR23" i="10"/>
  <c r="BR24" i="10" s="1"/>
  <c r="BR33" i="6"/>
  <c r="BR34" i="6" s="1"/>
  <c r="BR18" i="6"/>
  <c r="CJ28" i="6"/>
  <c r="CJ29" i="6" s="1"/>
  <c r="CJ32" i="11" s="1"/>
  <c r="CJ44" i="11" s="1"/>
  <c r="CJ36" i="6"/>
  <c r="CJ37" i="6" s="1"/>
  <c r="CJ16" i="6"/>
  <c r="CJ17" i="6" s="1"/>
  <c r="BW17" i="12"/>
  <c r="BW18" i="12" s="1"/>
  <c r="BW2" i="11"/>
  <c r="BW47" i="10"/>
  <c r="BW49" i="10" s="1"/>
  <c r="BW47" i="6"/>
  <c r="BW43" i="6"/>
  <c r="BW48" i="10" s="1"/>
  <c r="T17" i="12"/>
  <c r="T18" i="12" s="1"/>
  <c r="T2" i="11"/>
  <c r="T47" i="10"/>
  <c r="T43" i="6"/>
  <c r="T48" i="10" s="1"/>
  <c r="T47" i="6"/>
  <c r="AD15" i="12"/>
  <c r="AD16" i="12" s="1"/>
  <c r="AD23" i="10"/>
  <c r="AD24" i="10" s="1"/>
  <c r="AD33" i="6"/>
  <c r="AD34" i="6" s="1"/>
  <c r="AD18" i="6"/>
  <c r="BI17" i="12"/>
  <c r="BI18" i="12" s="1"/>
  <c r="BI2" i="11"/>
  <c r="BI47" i="10"/>
  <c r="BI43" i="6"/>
  <c r="BI48" i="10" s="1"/>
  <c r="BI47" i="6"/>
  <c r="AM17" i="12"/>
  <c r="AM18" i="12" s="1"/>
  <c r="AM2" i="11"/>
  <c r="AM47" i="10"/>
  <c r="AM43" i="6"/>
  <c r="AM48" i="10" s="1"/>
  <c r="AM47" i="6"/>
  <c r="BK17" i="12"/>
  <c r="BK18" i="12" s="1"/>
  <c r="BK2" i="11"/>
  <c r="BK47" i="10"/>
  <c r="BK49" i="10" s="1"/>
  <c r="BK43" i="6"/>
  <c r="BK48" i="10" s="1"/>
  <c r="BK47" i="6"/>
  <c r="AD5" i="11"/>
  <c r="AD50" i="10"/>
  <c r="BH6" i="8"/>
  <c r="BH7" i="8" s="1"/>
  <c r="BH36" i="6"/>
  <c r="BH37" i="6" s="1"/>
  <c r="BH28" i="6"/>
  <c r="BH29" i="6" s="1"/>
  <c r="BH32" i="11" s="1"/>
  <c r="BH44" i="11" s="1"/>
  <c r="BH16" i="6"/>
  <c r="BH17" i="6" s="1"/>
  <c r="P6" i="8"/>
  <c r="P7" i="8" s="1"/>
  <c r="P28" i="6"/>
  <c r="P29" i="6" s="1"/>
  <c r="P32" i="11" s="1"/>
  <c r="P44" i="11" s="1"/>
  <c r="P36" i="6"/>
  <c r="P37" i="6" s="1"/>
  <c r="P16" i="6"/>
  <c r="P17" i="6" s="1"/>
  <c r="G6" i="8"/>
  <c r="G7" i="8" s="1"/>
  <c r="G28" i="6"/>
  <c r="G29" i="6" s="1"/>
  <c r="G32" i="11" s="1"/>
  <c r="G44" i="11" s="1"/>
  <c r="G36" i="6"/>
  <c r="G37" i="6" s="1"/>
  <c r="G16" i="6"/>
  <c r="G17" i="6" s="1"/>
  <c r="AT5" i="11"/>
  <c r="AT50" i="10"/>
  <c r="BD6" i="8"/>
  <c r="BD7" i="8" s="1"/>
  <c r="BD28" i="6"/>
  <c r="BD29" i="6" s="1"/>
  <c r="BD32" i="11" s="1"/>
  <c r="BD44" i="11" s="1"/>
  <c r="BD36" i="6"/>
  <c r="BD37" i="6" s="1"/>
  <c r="BD16" i="6"/>
  <c r="BD17" i="6" s="1"/>
  <c r="BZ49" i="10"/>
  <c r="L17" i="12"/>
  <c r="L18" i="12" s="1"/>
  <c r="L2" i="11"/>
  <c r="L47" i="10"/>
  <c r="L43" i="6"/>
  <c r="L48" i="10" s="1"/>
  <c r="L47" i="6"/>
  <c r="BF17" i="12"/>
  <c r="BF18" i="12" s="1"/>
  <c r="BF2" i="11"/>
  <c r="BF47" i="10"/>
  <c r="BF49" i="10" s="1"/>
  <c r="BF47" i="6"/>
  <c r="BF43" i="6"/>
  <c r="BF48" i="10" s="1"/>
  <c r="AS17" i="12"/>
  <c r="AS18" i="12" s="1"/>
  <c r="AS2" i="11"/>
  <c r="AS47" i="10"/>
  <c r="AS49" i="10" s="1"/>
  <c r="AS43" i="6"/>
  <c r="AS48" i="10" s="1"/>
  <c r="AS47" i="6"/>
  <c r="BP17" i="12"/>
  <c r="BP18" i="12" s="1"/>
  <c r="BP2" i="11"/>
  <c r="BP47" i="10"/>
  <c r="BP49" i="10" s="1"/>
  <c r="BP43" i="6"/>
  <c r="BP48" i="10" s="1"/>
  <c r="BP47" i="6"/>
  <c r="CB28" i="6"/>
  <c r="CB29" i="6" s="1"/>
  <c r="CB32" i="11" s="1"/>
  <c r="CB44" i="11" s="1"/>
  <c r="CB36" i="6"/>
  <c r="CB37" i="6" s="1"/>
  <c r="CB16" i="6"/>
  <c r="CB17" i="6" s="1"/>
  <c r="R42" i="10"/>
  <c r="BT42" i="10"/>
  <c r="CJ42" i="10"/>
  <c r="U17" i="12"/>
  <c r="U18" i="12" s="1"/>
  <c r="U2" i="11"/>
  <c r="U47" i="10"/>
  <c r="U43" i="6"/>
  <c r="U48" i="10" s="1"/>
  <c r="U47" i="6"/>
  <c r="O17" i="12"/>
  <c r="O18" i="12" s="1"/>
  <c r="O2" i="11"/>
  <c r="O47" i="10"/>
  <c r="O43" i="6"/>
  <c r="O48" i="10" s="1"/>
  <c r="O47" i="6"/>
  <c r="AI6" i="8"/>
  <c r="AI7" i="8" s="1"/>
  <c r="AI36" i="6"/>
  <c r="AI37" i="6" s="1"/>
  <c r="AI28" i="6"/>
  <c r="AI29" i="6" s="1"/>
  <c r="AI32" i="11" s="1"/>
  <c r="AI44" i="11" s="1"/>
  <c r="AI16" i="6"/>
  <c r="AI17" i="6" s="1"/>
  <c r="Y17" i="12"/>
  <c r="Y18" i="12" s="1"/>
  <c r="Y2" i="11"/>
  <c r="Y47" i="10"/>
  <c r="Y49" i="10" s="1"/>
  <c r="Y47" i="6"/>
  <c r="Y43" i="6"/>
  <c r="Y48" i="10" s="1"/>
  <c r="W17" i="12"/>
  <c r="W18" i="12" s="1"/>
  <c r="W2" i="11"/>
  <c r="W47" i="10"/>
  <c r="W49" i="10" s="1"/>
  <c r="W43" i="6"/>
  <c r="W48" i="10" s="1"/>
  <c r="W47" i="6"/>
  <c r="F5" i="11"/>
  <c r="F50" i="10"/>
  <c r="T6" i="8"/>
  <c r="T7" i="8" s="1"/>
  <c r="T36" i="6"/>
  <c r="T37" i="6" s="1"/>
  <c r="T28" i="6"/>
  <c r="T29" i="6" s="1"/>
  <c r="T32" i="11" s="1"/>
  <c r="T44" i="11" s="1"/>
  <c r="T16" i="6"/>
  <c r="T17" i="6" s="1"/>
  <c r="AQ36" i="6"/>
  <c r="AQ37" i="6" s="1"/>
  <c r="AQ28" i="6"/>
  <c r="AQ29" i="6" s="1"/>
  <c r="AQ32" i="11" s="1"/>
  <c r="AQ44" i="11" s="1"/>
  <c r="AQ6" i="8"/>
  <c r="AQ7" i="8" s="1"/>
  <c r="AQ16" i="6"/>
  <c r="AQ17" i="6" s="1"/>
  <c r="AM6" i="8"/>
  <c r="AM7" i="8" s="1"/>
  <c r="AM28" i="6"/>
  <c r="AM29" i="6" s="1"/>
  <c r="AM32" i="11" s="1"/>
  <c r="AM44" i="11" s="1"/>
  <c r="AM36" i="6"/>
  <c r="AM37" i="6" s="1"/>
  <c r="AM16" i="6"/>
  <c r="AM17" i="6" s="1"/>
  <c r="V5" i="11"/>
  <c r="V50" i="10"/>
  <c r="AU6" i="8"/>
  <c r="AU7" i="8" s="1"/>
  <c r="AU28" i="6"/>
  <c r="AU29" i="6" s="1"/>
  <c r="AU32" i="11" s="1"/>
  <c r="AU44" i="11" s="1"/>
  <c r="AU36" i="6"/>
  <c r="AU37" i="6" s="1"/>
  <c r="AU16" i="6"/>
  <c r="AU17" i="6" s="1"/>
  <c r="N5" i="11"/>
  <c r="N50" i="10"/>
  <c r="AL15" i="12"/>
  <c r="AL16" i="12" s="1"/>
  <c r="AL23" i="10"/>
  <c r="AL24" i="10" s="1"/>
  <c r="AL33" i="6"/>
  <c r="AL34" i="6" s="1"/>
  <c r="AL18" i="6"/>
  <c r="AX17" i="12"/>
  <c r="AX18" i="12" s="1"/>
  <c r="AX2" i="11"/>
  <c r="AX47" i="10"/>
  <c r="AX49" i="10" s="1"/>
  <c r="AX47" i="6"/>
  <c r="AX43" i="6"/>
  <c r="AX48" i="10" s="1"/>
  <c r="BY17" i="12"/>
  <c r="BY18" i="12" s="1"/>
  <c r="BY2" i="11"/>
  <c r="BY47" i="10"/>
  <c r="BY49" i="10" s="1"/>
  <c r="BY43" i="6"/>
  <c r="BY48" i="10" s="1"/>
  <c r="BY47" i="6"/>
  <c r="BZ13" i="11"/>
  <c r="BZ12" i="11"/>
  <c r="BZ4" i="11"/>
  <c r="L6" i="8"/>
  <c r="L7" i="8" s="1"/>
  <c r="L36" i="6"/>
  <c r="L37" i="6" s="1"/>
  <c r="L28" i="6"/>
  <c r="L29" i="6" s="1"/>
  <c r="L32" i="11" s="1"/>
  <c r="L44" i="11" s="1"/>
  <c r="L16" i="6"/>
  <c r="L17" i="6" s="1"/>
  <c r="BK42" i="10"/>
  <c r="AS6" i="8"/>
  <c r="AS7" i="8" s="1"/>
  <c r="AS36" i="6"/>
  <c r="AS37" i="6" s="1"/>
  <c r="AS28" i="6"/>
  <c r="AS29" i="6" s="1"/>
  <c r="AS32" i="11" s="1"/>
  <c r="AS44" i="11" s="1"/>
  <c r="AS16" i="6"/>
  <c r="AS17" i="6" s="1"/>
  <c r="W42" i="10"/>
  <c r="BZ15" i="12"/>
  <c r="BZ16" i="12" s="1"/>
  <c r="BZ23" i="10"/>
  <c r="BZ24" i="10" s="1"/>
  <c r="BZ33" i="6"/>
  <c r="BZ34" i="6" s="1"/>
  <c r="BZ18" i="6"/>
  <c r="U6" i="8"/>
  <c r="U7" i="8" s="1"/>
  <c r="U36" i="6"/>
  <c r="U37" i="6" s="1"/>
  <c r="U28" i="6"/>
  <c r="U29" i="6" s="1"/>
  <c r="U32" i="11" s="1"/>
  <c r="U44" i="11" s="1"/>
  <c r="U16" i="6"/>
  <c r="U17" i="6" s="1"/>
  <c r="O6" i="8"/>
  <c r="O7" i="8" s="1"/>
  <c r="O28" i="6"/>
  <c r="O29" i="6" s="1"/>
  <c r="O32" i="11" s="1"/>
  <c r="O44" i="11" s="1"/>
  <c r="O36" i="6"/>
  <c r="O37" i="6" s="1"/>
  <c r="O16" i="6"/>
  <c r="O17" i="6" s="1"/>
  <c r="AO42" i="10"/>
  <c r="Y6" i="8"/>
  <c r="Y7" i="8" s="1"/>
  <c r="Y36" i="6"/>
  <c r="Y37" i="6" s="1"/>
  <c r="Y28" i="6"/>
  <c r="Y29" i="6" s="1"/>
  <c r="Y32" i="11" s="1"/>
  <c r="Y44" i="11" s="1"/>
  <c r="Y16" i="6"/>
  <c r="Y17" i="6" s="1"/>
  <c r="BI42" i="10"/>
  <c r="W6" i="8"/>
  <c r="W7" i="8" s="1"/>
  <c r="W28" i="6"/>
  <c r="W29" i="6" s="1"/>
  <c r="W32" i="11" s="1"/>
  <c r="W44" i="11" s="1"/>
  <c r="W36" i="6"/>
  <c r="W37" i="6" s="1"/>
  <c r="W16" i="6"/>
  <c r="W17" i="6" s="1"/>
  <c r="CJ17" i="12"/>
  <c r="CJ18" i="12" s="1"/>
  <c r="CJ2" i="11"/>
  <c r="CJ47" i="10"/>
  <c r="CJ49" i="10" s="1"/>
  <c r="CJ43" i="6"/>
  <c r="CJ48" i="10" s="1"/>
  <c r="CJ47" i="6"/>
  <c r="V15" i="12"/>
  <c r="V16" i="12" s="1"/>
  <c r="V23" i="10"/>
  <c r="V24" i="10" s="1"/>
  <c r="V33" i="6"/>
  <c r="V34" i="6" s="1"/>
  <c r="V18" i="6"/>
  <c r="BV36" i="6"/>
  <c r="BV37" i="6" s="1"/>
  <c r="BV28" i="6"/>
  <c r="BV29" i="6" s="1"/>
  <c r="BV32" i="11" s="1"/>
  <c r="BV44" i="11" s="1"/>
  <c r="BV16" i="6"/>
  <c r="BV17" i="6" s="1"/>
  <c r="B47" i="6"/>
  <c r="B43" i="6"/>
  <c r="BM17" i="12"/>
  <c r="BM18" i="12" s="1"/>
  <c r="BM2" i="11"/>
  <c r="BM47" i="10"/>
  <c r="BM49" i="10" s="1"/>
  <c r="BM47" i="6"/>
  <c r="BM43" i="6"/>
  <c r="BM48" i="10" s="1"/>
  <c r="BH17" i="12"/>
  <c r="BH18" i="12" s="1"/>
  <c r="BH2" i="11"/>
  <c r="BH47" i="10"/>
  <c r="BH49" i="10" s="1"/>
  <c r="BH43" i="6"/>
  <c r="BH48" i="10" s="1"/>
  <c r="BH47" i="6"/>
  <c r="CG36" i="6"/>
  <c r="CG37" i="6" s="1"/>
  <c r="CG28" i="6"/>
  <c r="CG29" i="6" s="1"/>
  <c r="CG32" i="11" s="1"/>
  <c r="CG44" i="11" s="1"/>
  <c r="CG16" i="6"/>
  <c r="CG17" i="6" s="1"/>
  <c r="CA28" i="6"/>
  <c r="CA29" i="6" s="1"/>
  <c r="CA32" i="11" s="1"/>
  <c r="CA44" i="11" s="1"/>
  <c r="CA36" i="6"/>
  <c r="CA37" i="6" s="1"/>
  <c r="CA16" i="6"/>
  <c r="CA17" i="6" s="1"/>
  <c r="X17" i="12"/>
  <c r="X18" i="12" s="1"/>
  <c r="X2" i="11"/>
  <c r="X47" i="10"/>
  <c r="X43" i="6"/>
  <c r="X48" i="10" s="1"/>
  <c r="X47" i="6"/>
  <c r="J17" i="12"/>
  <c r="J18" i="12" s="1"/>
  <c r="J2" i="11"/>
  <c r="J47" i="10"/>
  <c r="J49" i="10" s="1"/>
  <c r="J47" i="6"/>
  <c r="J43" i="6"/>
  <c r="J48" i="10" s="1"/>
  <c r="S6" i="8"/>
  <c r="S7" i="8" s="1"/>
  <c r="S36" i="6"/>
  <c r="S37" i="6" s="1"/>
  <c r="S28" i="6"/>
  <c r="S29" i="6" s="1"/>
  <c r="S32" i="11" s="1"/>
  <c r="S44" i="11" s="1"/>
  <c r="S16" i="6"/>
  <c r="S17" i="6" s="1"/>
  <c r="AT49" i="10"/>
  <c r="AX6" i="8"/>
  <c r="AX7" i="8" s="1"/>
  <c r="AX36" i="6"/>
  <c r="AX37" i="6" s="1"/>
  <c r="AX28" i="6"/>
  <c r="AX29" i="6" s="1"/>
  <c r="AX32" i="11" s="1"/>
  <c r="AX44" i="11" s="1"/>
  <c r="AX16" i="6"/>
  <c r="AX17" i="6" s="1"/>
  <c r="BD17" i="12"/>
  <c r="BD18" i="12" s="1"/>
  <c r="BD47" i="10"/>
  <c r="BD2" i="11"/>
  <c r="BD43" i="6"/>
  <c r="BD48" i="10" s="1"/>
  <c r="BD47" i="6"/>
  <c r="BG36" i="6"/>
  <c r="BG37" i="6" s="1"/>
  <c r="BG6" i="8"/>
  <c r="BG7" i="8" s="1"/>
  <c r="BG28" i="6"/>
  <c r="BG29" i="6" s="1"/>
  <c r="BG32" i="11" s="1"/>
  <c r="BG44" i="11" s="1"/>
  <c r="BG16" i="6"/>
  <c r="BG17" i="6" s="1"/>
  <c r="AL13" i="11"/>
  <c r="AL12" i="11"/>
  <c r="AL14" i="11" s="1"/>
  <c r="AL4" i="11"/>
  <c r="O42" i="10"/>
  <c r="BN6" i="8"/>
  <c r="BN7" i="8" s="1"/>
  <c r="BN36" i="6"/>
  <c r="BN37" i="6" s="1"/>
  <c r="BN28" i="6"/>
  <c r="BN29" i="6" s="1"/>
  <c r="BN32" i="11" s="1"/>
  <c r="BN44" i="11" s="1"/>
  <c r="BN16" i="6"/>
  <c r="BN17" i="6" s="1"/>
  <c r="BB15" i="12"/>
  <c r="BB16" i="12" s="1"/>
  <c r="BB23" i="10"/>
  <c r="BB24" i="10" s="1"/>
  <c r="BB33" i="6"/>
  <c r="BB34" i="6" s="1"/>
  <c r="BB18" i="6"/>
  <c r="CB17" i="12"/>
  <c r="CB18" i="12" s="1"/>
  <c r="CB2" i="11"/>
  <c r="CB47" i="10"/>
  <c r="CB49" i="10" s="1"/>
  <c r="CB43" i="6"/>
  <c r="CB48" i="10" s="1"/>
  <c r="CB47" i="6"/>
  <c r="AA42" i="10"/>
  <c r="AE17" i="12"/>
  <c r="AE18" i="12" s="1"/>
  <c r="AE2" i="11"/>
  <c r="AE47" i="10"/>
  <c r="AE43" i="6"/>
  <c r="AE48" i="10" s="1"/>
  <c r="AE47" i="6"/>
  <c r="CC42" i="10"/>
  <c r="BC6" i="8"/>
  <c r="BC7" i="8" s="1"/>
  <c r="BC28" i="6"/>
  <c r="BC29" i="6" s="1"/>
  <c r="BC32" i="11" s="1"/>
  <c r="BC44" i="11" s="1"/>
  <c r="BC36" i="6"/>
  <c r="BC37" i="6" s="1"/>
  <c r="BC16" i="6"/>
  <c r="BC17" i="6" s="1"/>
  <c r="BW42" i="10"/>
  <c r="AB42" i="10"/>
  <c r="I17" i="12"/>
  <c r="I18" i="12" s="1"/>
  <c r="I2" i="11"/>
  <c r="I47" i="10"/>
  <c r="I47" i="6"/>
  <c r="I43" i="6"/>
  <c r="I48" i="10" s="1"/>
  <c r="AI17" i="12"/>
  <c r="AI18" i="12" s="1"/>
  <c r="AI2" i="11"/>
  <c r="AI47" i="10"/>
  <c r="AI43" i="6"/>
  <c r="AI48" i="10" s="1"/>
  <c r="AI47" i="6"/>
  <c r="F15" i="12"/>
  <c r="F16" i="12" s="1"/>
  <c r="F23" i="10"/>
  <c r="F24" i="10" s="1"/>
  <c r="F33" i="6"/>
  <c r="F34" i="6" s="1"/>
  <c r="F18" i="6"/>
  <c r="BL6" i="8"/>
  <c r="BL7" i="8" s="1"/>
  <c r="BL28" i="6"/>
  <c r="BL29" i="6" s="1"/>
  <c r="BL32" i="11" s="1"/>
  <c r="BL44" i="11" s="1"/>
  <c r="BL36" i="6"/>
  <c r="BL37" i="6" s="1"/>
  <c r="BL16" i="6"/>
  <c r="BL17" i="6" s="1"/>
  <c r="CH14" i="11"/>
  <c r="AF17" i="12"/>
  <c r="AF18" i="12" s="1"/>
  <c r="AF2" i="11"/>
  <c r="AF47" i="10"/>
  <c r="AF49" i="10" s="1"/>
  <c r="AF43" i="6"/>
  <c r="AF48" i="10" s="1"/>
  <c r="AF47" i="6"/>
  <c r="BJ15" i="12"/>
  <c r="BJ16" i="12" s="1"/>
  <c r="BJ23" i="10"/>
  <c r="BJ24" i="10" s="1"/>
  <c r="BJ33" i="6"/>
  <c r="BJ34" i="6" s="1"/>
  <c r="BJ18" i="6"/>
  <c r="AQ17" i="12"/>
  <c r="AQ18" i="12" s="1"/>
  <c r="AQ2" i="11"/>
  <c r="AQ47" i="10"/>
  <c r="AQ47" i="6"/>
  <c r="AQ43" i="6"/>
  <c r="AQ48" i="10" s="1"/>
  <c r="C36" i="6"/>
  <c r="C37" i="6" s="1"/>
  <c r="C28" i="6"/>
  <c r="C29" i="6" s="1"/>
  <c r="C16" i="6"/>
  <c r="C17" i="6" s="1"/>
  <c r="BV17" i="12"/>
  <c r="BV18" i="12" s="1"/>
  <c r="BV2" i="11"/>
  <c r="BV47" i="10"/>
  <c r="BV49" i="10" s="1"/>
  <c r="BV47" i="6"/>
  <c r="BV43" i="6"/>
  <c r="BV48" i="10" s="1"/>
  <c r="B36" i="6"/>
  <c r="B37" i="6" s="1"/>
  <c r="B28" i="6"/>
  <c r="B29" i="6" s="1"/>
  <c r="B16" i="6"/>
  <c r="B17" i="6" s="1"/>
  <c r="BA6" i="8"/>
  <c r="BA7" i="8" s="1"/>
  <c r="BA36" i="6"/>
  <c r="BA37" i="6" s="1"/>
  <c r="BA28" i="6"/>
  <c r="BA29" i="6" s="1"/>
  <c r="BA32" i="11" s="1"/>
  <c r="BA44" i="11" s="1"/>
  <c r="BA16" i="6"/>
  <c r="BA17" i="6" s="1"/>
  <c r="AD13" i="11"/>
  <c r="AD12" i="11"/>
  <c r="AD4" i="11"/>
  <c r="V49" i="10"/>
  <c r="X6" i="8"/>
  <c r="X7" i="8" s="1"/>
  <c r="X28" i="6"/>
  <c r="X29" i="6" s="1"/>
  <c r="X32" i="11" s="1"/>
  <c r="X44" i="11" s="1"/>
  <c r="X36" i="6"/>
  <c r="X37" i="6" s="1"/>
  <c r="X16" i="6"/>
  <c r="X17" i="6" s="1"/>
  <c r="J6" i="8"/>
  <c r="J7" i="8" s="1"/>
  <c r="J36" i="6"/>
  <c r="J37" i="6" s="1"/>
  <c r="J28" i="6"/>
  <c r="J29" i="6" s="1"/>
  <c r="J32" i="11" s="1"/>
  <c r="J44" i="11" s="1"/>
  <c r="J16" i="6"/>
  <c r="J17" i="6" s="1"/>
  <c r="AU17" i="12"/>
  <c r="AU18" i="12" s="1"/>
  <c r="AU2" i="11"/>
  <c r="AU47" i="10"/>
  <c r="AU49" i="10" s="1"/>
  <c r="AU43" i="6"/>
  <c r="AU48" i="10" s="1"/>
  <c r="AU47" i="6"/>
  <c r="N49" i="10"/>
  <c r="AT13" i="11"/>
  <c r="AT12" i="11"/>
  <c r="AT14" i="11" s="1"/>
  <c r="AT4" i="11"/>
  <c r="BN17" i="12"/>
  <c r="BN18" i="12" s="1"/>
  <c r="BN2" i="11"/>
  <c r="BN47" i="10"/>
  <c r="BN49" i="10" s="1"/>
  <c r="BN47" i="6"/>
  <c r="BN43" i="6"/>
  <c r="BN48" i="10" s="1"/>
  <c r="BE42" i="10"/>
  <c r="BR5" i="11"/>
  <c r="BR50" i="10"/>
  <c r="CH5" i="11"/>
  <c r="CH50" i="10"/>
  <c r="BE6" i="8"/>
  <c r="BE7" i="8" s="1"/>
  <c r="BE36" i="6"/>
  <c r="BE37" i="6" s="1"/>
  <c r="BE28" i="6"/>
  <c r="BE29" i="6" s="1"/>
  <c r="BE32" i="11" s="1"/>
  <c r="BE44" i="11" s="1"/>
  <c r="BE16" i="6"/>
  <c r="BE17" i="6" s="1"/>
  <c r="AE6" i="8"/>
  <c r="AE7" i="8" s="1"/>
  <c r="AE28" i="6"/>
  <c r="AE29" i="6" s="1"/>
  <c r="AE32" i="11" s="1"/>
  <c r="AE44" i="11" s="1"/>
  <c r="AE36" i="6"/>
  <c r="AE37" i="6" s="1"/>
  <c r="AE16" i="6"/>
  <c r="AE17" i="6" s="1"/>
  <c r="AF42" i="10"/>
  <c r="BJ5" i="11"/>
  <c r="BJ50" i="10"/>
  <c r="I6" i="8"/>
  <c r="I7" i="8" s="1"/>
  <c r="I36" i="6"/>
  <c r="I37" i="6" s="1"/>
  <c r="I28" i="6"/>
  <c r="I29" i="6" s="1"/>
  <c r="I32" i="11" s="1"/>
  <c r="I44" i="11" s="1"/>
  <c r="I16" i="6"/>
  <c r="I17" i="6" s="1"/>
  <c r="CE42" i="10"/>
  <c r="BX36" i="6"/>
  <c r="BX37" i="6" s="1"/>
  <c r="BX28" i="6"/>
  <c r="BX29" i="6" s="1"/>
  <c r="BX32" i="11" s="1"/>
  <c r="BX44" i="11" s="1"/>
  <c r="BX16" i="6"/>
  <c r="BX17" i="6" s="1"/>
  <c r="V14" i="1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I20"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D14" i="11"/>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I39" i="13"/>
  <c r="H41" i="13"/>
  <c r="D42" i="13"/>
  <c r="F19" i="13"/>
  <c r="E21" i="13"/>
  <c r="X49" i="10" l="1"/>
  <c r="O49" i="10"/>
  <c r="I49" i="10"/>
  <c r="AL49" i="10"/>
  <c r="AD49" i="10"/>
  <c r="L49" i="10"/>
  <c r="G49" i="10"/>
  <c r="AC49" i="10"/>
  <c r="AI49" i="10"/>
  <c r="F49" i="10"/>
  <c r="U49" i="10"/>
  <c r="AG49" i="10"/>
  <c r="I15" i="12"/>
  <c r="I16" i="12" s="1"/>
  <c r="I23" i="10"/>
  <c r="I24" i="10" s="1"/>
  <c r="I33" i="6"/>
  <c r="I34" i="6" s="1"/>
  <c r="I18" i="6"/>
  <c r="BV12" i="11"/>
  <c r="BV14" i="11" s="1"/>
  <c r="BV4" i="11"/>
  <c r="BV13" i="11"/>
  <c r="AE15" i="12"/>
  <c r="AE16" i="12" s="1"/>
  <c r="AE23" i="10"/>
  <c r="AE24" i="10" s="1"/>
  <c r="AE33" i="6"/>
  <c r="AE34" i="6" s="1"/>
  <c r="AE18" i="6"/>
  <c r="BN12" i="11"/>
  <c r="BN14" i="11" s="1"/>
  <c r="BN4" i="11"/>
  <c r="BN13" i="11"/>
  <c r="AQ49" i="10"/>
  <c r="BC15" i="12"/>
  <c r="BC16" i="12" s="1"/>
  <c r="BC23" i="10"/>
  <c r="BC24" i="10" s="1"/>
  <c r="BC33" i="6"/>
  <c r="BC34" i="6" s="1"/>
  <c r="BC18" i="6"/>
  <c r="AE12" i="11"/>
  <c r="AE14" i="11" s="1"/>
  <c r="AE13" i="11"/>
  <c r="AE4" i="11"/>
  <c r="BD50" i="10"/>
  <c r="BD5" i="11"/>
  <c r="CA15" i="12"/>
  <c r="CA16" i="12" s="1"/>
  <c r="CA23" i="10"/>
  <c r="CA24" i="10" s="1"/>
  <c r="CA33" i="6"/>
  <c r="CA34" i="6" s="1"/>
  <c r="CA18" i="6"/>
  <c r="W12" i="11"/>
  <c r="W14" i="11" s="1"/>
  <c r="W13" i="11"/>
  <c r="W4" i="11"/>
  <c r="AM5" i="11"/>
  <c r="AM50" i="10"/>
  <c r="BI13" i="11"/>
  <c r="BI12" i="11"/>
  <c r="BI14" i="11" s="1"/>
  <c r="BI4" i="11"/>
  <c r="T49" i="10"/>
  <c r="CJ15" i="12"/>
  <c r="CJ16" i="12" s="1"/>
  <c r="CJ23" i="10"/>
  <c r="CJ24" i="10" s="1"/>
  <c r="CJ33" i="6"/>
  <c r="CJ34" i="6" s="1"/>
  <c r="CJ18" i="6"/>
  <c r="AR13" i="11"/>
  <c r="AR12" i="11"/>
  <c r="AR14" i="11" s="1"/>
  <c r="AR4" i="11"/>
  <c r="P49" i="10"/>
  <c r="BO50" i="10"/>
  <c r="BO5" i="11"/>
  <c r="AY50" i="10"/>
  <c r="AY5" i="11"/>
  <c r="BB49" i="10"/>
  <c r="CE49" i="10"/>
  <c r="AB5" i="11"/>
  <c r="AB50" i="10"/>
  <c r="AW15" i="12"/>
  <c r="AW16" i="12" s="1"/>
  <c r="AW23" i="10"/>
  <c r="AW24" i="10" s="1"/>
  <c r="AW33" i="6"/>
  <c r="AW34" i="6" s="1"/>
  <c r="AW18" i="6"/>
  <c r="BX5" i="11"/>
  <c r="BX50" i="10"/>
  <c r="AN15" i="12"/>
  <c r="AN16" i="12" s="1"/>
  <c r="AN23" i="10"/>
  <c r="AN24" i="10" s="1"/>
  <c r="AN33" i="6"/>
  <c r="AN34" i="6" s="1"/>
  <c r="AN18" i="6"/>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Y18" i="6"/>
  <c r="AO50" i="10"/>
  <c r="AO5" i="11"/>
  <c r="CE15" i="12"/>
  <c r="CE16" i="12" s="1"/>
  <c r="CE23" i="10"/>
  <c r="CE24" i="10" s="1"/>
  <c r="CE33" i="6"/>
  <c r="CE34" i="6" s="1"/>
  <c r="CE18" i="6"/>
  <c r="BS15" i="12"/>
  <c r="BS16" i="12" s="1"/>
  <c r="BS23" i="10"/>
  <c r="BS24" i="10" s="1"/>
  <c r="BS33" i="6"/>
  <c r="BS34" i="6" s="1"/>
  <c r="BS18" i="6"/>
  <c r="AF15" i="12"/>
  <c r="AF16" i="12" s="1"/>
  <c r="AF23" i="10"/>
  <c r="AF24" i="10" s="1"/>
  <c r="AF33" i="6"/>
  <c r="AF34" i="6" s="1"/>
  <c r="AF18" i="6"/>
  <c r="J12" i="11"/>
  <c r="J14" i="11" s="1"/>
  <c r="J13" i="11"/>
  <c r="J4" i="11"/>
  <c r="BH13" i="11"/>
  <c r="BH12" i="11"/>
  <c r="BH14" i="11" s="1"/>
  <c r="BH4" i="11"/>
  <c r="BY5" i="11"/>
  <c r="BY50" i="10"/>
  <c r="AX12" i="11"/>
  <c r="AX14" i="11" s="1"/>
  <c r="AX4" i="11"/>
  <c r="AX13" i="11"/>
  <c r="AU15" i="12"/>
  <c r="AU16" i="12" s="1"/>
  <c r="AU23" i="10"/>
  <c r="AU24" i="10" s="1"/>
  <c r="AU33" i="6"/>
  <c r="AU34" i="6" s="1"/>
  <c r="AU18" i="6"/>
  <c r="L5" i="11"/>
  <c r="L50" i="10"/>
  <c r="P15" i="12"/>
  <c r="P16" i="12" s="1"/>
  <c r="P23" i="10"/>
  <c r="P24" i="10" s="1"/>
  <c r="P33" i="6"/>
  <c r="P34" i="6" s="1"/>
  <c r="P18" i="6"/>
  <c r="T13" i="11"/>
  <c r="T12" i="11"/>
  <c r="T14" i="11" s="1"/>
  <c r="T4" i="11"/>
  <c r="AH15" i="12"/>
  <c r="AH16" i="12" s="1"/>
  <c r="AH23" i="10"/>
  <c r="AH24" i="10" s="1"/>
  <c r="AH33" i="6"/>
  <c r="AH34" i="6" s="1"/>
  <c r="AH18" i="6"/>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BU18"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S18" i="6"/>
  <c r="CJ50" i="10"/>
  <c r="CJ5" i="11"/>
  <c r="Y15" i="12"/>
  <c r="Y16" i="12" s="1"/>
  <c r="Y23" i="10"/>
  <c r="Y24" i="10" s="1"/>
  <c r="Y33" i="6"/>
  <c r="Y34" i="6" s="1"/>
  <c r="Y18" i="6"/>
  <c r="L15" i="12"/>
  <c r="L16" i="12" s="1"/>
  <c r="L23" i="10"/>
  <c r="L24" i="10" s="1"/>
  <c r="L18" i="6"/>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18" i="6"/>
  <c r="AB33" i="6"/>
  <c r="AB34" i="6" s="1"/>
  <c r="Q50" i="10"/>
  <c r="Q5" i="11"/>
  <c r="E5" i="11"/>
  <c r="E50" i="10"/>
  <c r="BQ13" i="11"/>
  <c r="BQ12" i="11"/>
  <c r="BQ14" i="11" s="1"/>
  <c r="BQ4" i="11"/>
  <c r="AY4" i="11"/>
  <c r="AY13" i="11"/>
  <c r="AY12" i="11"/>
  <c r="AY14" i="11" s="1"/>
  <c r="K50" i="10"/>
  <c r="K5" i="11"/>
  <c r="BK15" i="12"/>
  <c r="BK16" i="12" s="1"/>
  <c r="BK23" i="10"/>
  <c r="BK24" i="10" s="1"/>
  <c r="BK33" i="6"/>
  <c r="BK34" i="6" s="1"/>
  <c r="BK18" i="6"/>
  <c r="AB49" i="10"/>
  <c r="BX49" i="10"/>
  <c r="BO15" i="12"/>
  <c r="BO16" i="12" s="1"/>
  <c r="BO23" i="10"/>
  <c r="BO24" i="10" s="1"/>
  <c r="BO33" i="6"/>
  <c r="BO34" i="6" s="1"/>
  <c r="BO18" i="6"/>
  <c r="BJ49" i="10"/>
  <c r="AR15" i="12"/>
  <c r="AR16" i="12" s="1"/>
  <c r="AR23" i="10"/>
  <c r="AR24" i="10" s="1"/>
  <c r="AR18" i="6"/>
  <c r="AR33" i="6"/>
  <c r="AR34" i="6" s="1"/>
  <c r="AP15" i="12"/>
  <c r="AP16" i="12" s="1"/>
  <c r="AP23" i="10"/>
  <c r="AP24" i="10" s="1"/>
  <c r="AP33" i="6"/>
  <c r="AP34" i="6" s="1"/>
  <c r="AP18" i="6"/>
  <c r="AV49" i="10"/>
  <c r="AJ5" i="11"/>
  <c r="AJ50" i="10"/>
  <c r="BL49" i="10"/>
  <c r="AN49" i="10"/>
  <c r="CD15" i="12"/>
  <c r="CD16" i="12" s="1"/>
  <c r="CD23" i="10"/>
  <c r="CD24" i="10" s="1"/>
  <c r="CD33" i="6"/>
  <c r="CD34" i="6" s="1"/>
  <c r="CD18" i="6"/>
  <c r="S50" i="10"/>
  <c r="S5" i="11"/>
  <c r="CA5" i="11"/>
  <c r="CA50" i="10"/>
  <c r="CG5" i="11"/>
  <c r="CG50" i="10"/>
  <c r="AO12" i="11"/>
  <c r="AO14" i="11" s="1"/>
  <c r="AO13" i="11"/>
  <c r="AO4" i="11"/>
  <c r="J15" i="12"/>
  <c r="J16" i="12" s="1"/>
  <c r="J23" i="10"/>
  <c r="J24" i="10" s="1"/>
  <c r="J33" i="6"/>
  <c r="J34" i="6" s="1"/>
  <c r="J18" i="6"/>
  <c r="B33" i="6"/>
  <c r="B34" i="6" s="1"/>
  <c r="B18" i="6"/>
  <c r="C33" i="6"/>
  <c r="C34" i="6" s="1"/>
  <c r="C18" i="6"/>
  <c r="CB50" i="10"/>
  <c r="CB5" i="11"/>
  <c r="BD49" i="10"/>
  <c r="X50" i="10"/>
  <c r="X5" i="11"/>
  <c r="CG15" i="12"/>
  <c r="CG16" i="12" s="1"/>
  <c r="CG23" i="10"/>
  <c r="CG24" i="10" s="1"/>
  <c r="CG18" i="6"/>
  <c r="CG33" i="6"/>
  <c r="CG34" i="6" s="1"/>
  <c r="BV15" i="12"/>
  <c r="BV16" i="12" s="1"/>
  <c r="BV23" i="10"/>
  <c r="BV24" i="10" s="1"/>
  <c r="BV33" i="6"/>
  <c r="BV34" i="6" s="1"/>
  <c r="BV18" i="6"/>
  <c r="U15" i="12"/>
  <c r="U16" i="12" s="1"/>
  <c r="U23" i="10"/>
  <c r="U24" i="10" s="1"/>
  <c r="U18" i="6"/>
  <c r="U33" i="6"/>
  <c r="U34" i="6" s="1"/>
  <c r="AQ15" i="12"/>
  <c r="AQ16" i="12" s="1"/>
  <c r="AQ23" i="10"/>
  <c r="AQ24" i="10" s="1"/>
  <c r="AQ33" i="6"/>
  <c r="AQ34" i="6" s="1"/>
  <c r="AQ18" i="6"/>
  <c r="BK5" i="11"/>
  <c r="BK50" i="10"/>
  <c r="AM12" i="11"/>
  <c r="AM14" i="11" s="1"/>
  <c r="AM13" i="11"/>
  <c r="AM4" i="11"/>
  <c r="Q15" i="12"/>
  <c r="Q16" i="12" s="1"/>
  <c r="Q23" i="10"/>
  <c r="Q24" i="10" s="1"/>
  <c r="Q33" i="6"/>
  <c r="Q34" i="6" s="1"/>
  <c r="Q18" i="6"/>
  <c r="E15" i="12"/>
  <c r="E16" i="12" s="1"/>
  <c r="E23" i="10"/>
  <c r="E24" i="10" s="1"/>
  <c r="E18" i="6"/>
  <c r="E33" i="6"/>
  <c r="E34" i="6" s="1"/>
  <c r="D18" i="6"/>
  <c r="D33" i="6"/>
  <c r="D34" i="6" s="1"/>
  <c r="BO4" i="11"/>
  <c r="BO13" i="11"/>
  <c r="BO12" i="11"/>
  <c r="BO14" i="11" s="1"/>
  <c r="Q49" i="10"/>
  <c r="AH12" i="11"/>
  <c r="AH14" i="11" s="1"/>
  <c r="AH13" i="11"/>
  <c r="AH4" i="11"/>
  <c r="AC15" i="12"/>
  <c r="AC16" i="12" s="1"/>
  <c r="AC23" i="10"/>
  <c r="AC24" i="10" s="1"/>
  <c r="AC18" i="6"/>
  <c r="AC33" i="6"/>
  <c r="AC34" i="6" s="1"/>
  <c r="K49" i="10"/>
  <c r="BI15" i="12"/>
  <c r="BI16" i="12" s="1"/>
  <c r="BI23" i="10"/>
  <c r="BI24" i="10" s="1"/>
  <c r="BI18" i="6"/>
  <c r="BI33" i="6"/>
  <c r="BI34" i="6" s="1"/>
  <c r="BS49" i="10"/>
  <c r="AA50" i="10"/>
  <c r="AA5" i="11"/>
  <c r="AB13" i="11"/>
  <c r="AB12" i="11"/>
  <c r="AB14" i="11" s="1"/>
  <c r="AB4" i="11"/>
  <c r="BX13" i="11"/>
  <c r="BX12" i="11"/>
  <c r="BX14" i="11" s="1"/>
  <c r="BX4" i="11"/>
  <c r="M5" i="11"/>
  <c r="M50" i="10"/>
  <c r="BT15" i="12"/>
  <c r="BT16" i="12" s="1"/>
  <c r="BT23" i="10"/>
  <c r="BT24" i="10" s="1"/>
  <c r="BT33" i="6"/>
  <c r="BT34" i="6" s="1"/>
  <c r="BT18"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E18" i="6"/>
  <c r="BL15" i="12"/>
  <c r="BL16" i="12" s="1"/>
  <c r="BL23" i="10"/>
  <c r="BL24" i="10" s="1"/>
  <c r="BL33" i="6"/>
  <c r="BL34" i="6" s="1"/>
  <c r="BL18" i="6"/>
  <c r="AI50" i="10"/>
  <c r="AI5" i="11"/>
  <c r="I12" i="11"/>
  <c r="I14" i="11" s="1"/>
  <c r="I13" i="11"/>
  <c r="I4" i="11"/>
  <c r="BN15" i="12"/>
  <c r="BN16" i="12" s="1"/>
  <c r="BN23" i="10"/>
  <c r="BN24" i="10" s="1"/>
  <c r="BN33" i="6"/>
  <c r="BN34" i="6" s="1"/>
  <c r="BN18" i="6"/>
  <c r="BG15" i="12"/>
  <c r="BG16" i="12" s="1"/>
  <c r="BG23" i="10"/>
  <c r="BG24" i="10" s="1"/>
  <c r="BG33" i="6"/>
  <c r="BG34" i="6" s="1"/>
  <c r="BG18" i="6"/>
  <c r="AS15" i="12"/>
  <c r="AS16" i="12" s="1"/>
  <c r="AS23" i="10"/>
  <c r="AS24" i="10" s="1"/>
  <c r="AS18" i="6"/>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Z18" i="6"/>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BM18" i="6"/>
  <c r="AA15" i="12"/>
  <c r="AA16" i="12" s="1"/>
  <c r="AA23" i="10"/>
  <c r="AA24" i="10" s="1"/>
  <c r="AA33" i="6"/>
  <c r="AA34" i="6" s="1"/>
  <c r="AA18" i="6"/>
  <c r="BX15" i="12"/>
  <c r="BX16" i="12" s="1"/>
  <c r="BX23" i="10"/>
  <c r="BX24" i="10" s="1"/>
  <c r="BX18" i="6"/>
  <c r="BX33" i="6"/>
  <c r="BX34" i="6" s="1"/>
  <c r="AE5" i="11"/>
  <c r="AE50" i="10"/>
  <c r="AX15" i="12"/>
  <c r="AX16" i="12" s="1"/>
  <c r="AX23" i="10"/>
  <c r="AX24" i="10" s="1"/>
  <c r="AX33" i="6"/>
  <c r="AX34" i="6" s="1"/>
  <c r="AX18"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G18" i="6"/>
  <c r="BH15" i="12"/>
  <c r="BH16" i="12" s="1"/>
  <c r="BH23" i="10"/>
  <c r="BH24" i="10" s="1"/>
  <c r="BH18" i="6"/>
  <c r="BH33" i="6"/>
  <c r="BH34" i="6" s="1"/>
  <c r="BI5" i="11"/>
  <c r="BI50" i="10"/>
  <c r="AR5" i="11"/>
  <c r="AR50" i="10"/>
  <c r="AZ13" i="11"/>
  <c r="AZ12" i="11"/>
  <c r="AZ14" i="11" s="1"/>
  <c r="AZ4" i="11"/>
  <c r="BP15" i="12"/>
  <c r="BP16" i="12" s="1"/>
  <c r="BP23" i="10"/>
  <c r="BP24" i="10" s="1"/>
  <c r="BP18" i="6"/>
  <c r="BP33" i="6"/>
  <c r="BP34" i="6" s="1"/>
  <c r="E13" i="11"/>
  <c r="E12" i="11"/>
  <c r="E14" i="11" s="1"/>
  <c r="E4" i="11"/>
  <c r="AA49" i="10"/>
  <c r="BW15" i="12"/>
  <c r="BW16" i="12" s="1"/>
  <c r="BW23" i="10"/>
  <c r="BW24" i="10" s="1"/>
  <c r="BW33" i="6"/>
  <c r="BW34" i="6" s="1"/>
  <c r="BW18" i="6"/>
  <c r="CC50" i="10"/>
  <c r="CC5" i="11"/>
  <c r="M49" i="10"/>
  <c r="AG15" i="12"/>
  <c r="AG16" i="12" s="1"/>
  <c r="AG23" i="10"/>
  <c r="AG24" i="10" s="1"/>
  <c r="AG33" i="6"/>
  <c r="AG34" i="6" s="1"/>
  <c r="AG18" i="6"/>
  <c r="AK15" i="12"/>
  <c r="AK16" i="12" s="1"/>
  <c r="AK23" i="10"/>
  <c r="AK24" i="10" s="1"/>
  <c r="AK18" i="6"/>
  <c r="AK33" i="6"/>
  <c r="AK34" i="6" s="1"/>
  <c r="AW50" i="10"/>
  <c r="AW5" i="11"/>
  <c r="AJ13" i="11"/>
  <c r="AJ12" i="11"/>
  <c r="AJ14" i="11" s="1"/>
  <c r="AJ4" i="11"/>
  <c r="BU12" i="11"/>
  <c r="BU14" i="11" s="1"/>
  <c r="BU4" i="11"/>
  <c r="BU13" i="11"/>
  <c r="BG49" i="10"/>
  <c r="CF15" i="12"/>
  <c r="CF16" i="12" s="1"/>
  <c r="CF23" i="10"/>
  <c r="CF24" i="10" s="1"/>
  <c r="CF18" i="6"/>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AI18" i="6"/>
  <c r="BK12" i="11"/>
  <c r="BK14" i="11" s="1"/>
  <c r="BK4" i="11"/>
  <c r="BK13" i="11"/>
  <c r="T5" i="11"/>
  <c r="T50" i="10"/>
  <c r="BW4" i="11"/>
  <c r="BW13" i="11"/>
  <c r="BW12" i="11"/>
  <c r="BW14" i="11" s="1"/>
  <c r="BY15" i="12"/>
  <c r="BY16" i="12" s="1"/>
  <c r="BY23" i="10"/>
  <c r="BY24" i="10" s="1"/>
  <c r="BY18" i="6"/>
  <c r="BY33" i="6"/>
  <c r="BY34" i="6" s="1"/>
  <c r="P50" i="10"/>
  <c r="P5" i="11"/>
  <c r="R15" i="12"/>
  <c r="R16" i="12" s="1"/>
  <c r="R23" i="10"/>
  <c r="R24" i="10" s="1"/>
  <c r="R33" i="6"/>
  <c r="R34" i="6" s="1"/>
  <c r="R18" i="6"/>
  <c r="CC15" i="12"/>
  <c r="CC16" i="12" s="1"/>
  <c r="CC23" i="10"/>
  <c r="CC24" i="10" s="1"/>
  <c r="CC33" i="6"/>
  <c r="CC34" i="6" s="1"/>
  <c r="CC18" i="6"/>
  <c r="M15" i="12"/>
  <c r="M16" i="12" s="1"/>
  <c r="M23" i="10"/>
  <c r="M24" i="10" s="1"/>
  <c r="M18" i="6"/>
  <c r="M33" i="6"/>
  <c r="M34" i="6" s="1"/>
  <c r="CF49" i="10"/>
  <c r="AV15" i="12"/>
  <c r="AV16" i="12" s="1"/>
  <c r="AV23" i="10"/>
  <c r="AV24" i="10" s="1"/>
  <c r="AV33" i="6"/>
  <c r="AV34" i="6" s="1"/>
  <c r="AV18" i="6"/>
  <c r="AA13" i="11"/>
  <c r="AA12" i="11"/>
  <c r="AA14" i="11" s="1"/>
  <c r="AA4" i="11"/>
  <c r="AJ15" i="12"/>
  <c r="AJ16" i="12" s="1"/>
  <c r="AJ23" i="10"/>
  <c r="AJ24" i="10" s="1"/>
  <c r="AJ18" i="6"/>
  <c r="AJ33" i="6"/>
  <c r="AJ34" i="6" s="1"/>
  <c r="H15" i="12"/>
  <c r="H16" i="12" s="1"/>
  <c r="H23" i="10"/>
  <c r="H24" i="10" s="1"/>
  <c r="H33" i="6"/>
  <c r="H34" i="6" s="1"/>
  <c r="H18" i="6"/>
  <c r="M13" i="11"/>
  <c r="M12" i="11"/>
  <c r="M14" i="11" s="1"/>
  <c r="M4" i="11"/>
  <c r="CD50" i="10"/>
  <c r="CD5" i="11"/>
  <c r="AZ15" i="12"/>
  <c r="AZ16" i="12" s="1"/>
  <c r="AZ23" i="10"/>
  <c r="AZ24" i="10" s="1"/>
  <c r="AZ18" i="6"/>
  <c r="AZ33" i="6"/>
  <c r="AZ34" i="6" s="1"/>
  <c r="CI15" i="12"/>
  <c r="CI16" i="12" s="1"/>
  <c r="CI23" i="10"/>
  <c r="CI24" i="10" s="1"/>
  <c r="CI33" i="6"/>
  <c r="CI34" i="6" s="1"/>
  <c r="CI18"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K18" i="6"/>
  <c r="AK13" i="11"/>
  <c r="AK12" i="11"/>
  <c r="AK14" i="11" s="1"/>
  <c r="AK4" i="11"/>
  <c r="X15" i="12"/>
  <c r="X16" i="12" s="1"/>
  <c r="X23" i="10"/>
  <c r="X24" i="10" s="1"/>
  <c r="X33" i="6"/>
  <c r="X34" i="6" s="1"/>
  <c r="X18" i="6"/>
  <c r="BA15" i="12"/>
  <c r="BA16" i="12" s="1"/>
  <c r="BA23" i="10"/>
  <c r="BA24" i="10" s="1"/>
  <c r="BA18" i="6"/>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W18" i="6"/>
  <c r="O15" i="12"/>
  <c r="O16" i="12" s="1"/>
  <c r="O23" i="10"/>
  <c r="O24" i="10" s="1"/>
  <c r="O33" i="6"/>
  <c r="O34" i="6" s="1"/>
  <c r="O18" i="6"/>
  <c r="AX50" i="10"/>
  <c r="AX5" i="11"/>
  <c r="AM15" i="12"/>
  <c r="AM16" i="12" s="1"/>
  <c r="AM23" i="10"/>
  <c r="AM24" i="10" s="1"/>
  <c r="AM33" i="6"/>
  <c r="AM34" i="6" s="1"/>
  <c r="AM18" i="6"/>
  <c r="T15" i="12"/>
  <c r="T16" i="12" s="1"/>
  <c r="T23" i="10"/>
  <c r="T24" i="10" s="1"/>
  <c r="T18" i="6"/>
  <c r="T33" i="6"/>
  <c r="T34" i="6" s="1"/>
  <c r="U5" i="11"/>
  <c r="U50" i="10"/>
  <c r="CB15" i="12"/>
  <c r="CB16" i="12" s="1"/>
  <c r="CB23" i="10"/>
  <c r="CB24" i="10" s="1"/>
  <c r="CB33" i="6"/>
  <c r="CB34" i="6" s="1"/>
  <c r="CB18" i="6"/>
  <c r="AS5" i="11"/>
  <c r="AS50" i="10"/>
  <c r="BF12" i="11"/>
  <c r="BF14" i="11" s="1"/>
  <c r="BF4" i="11"/>
  <c r="BF13" i="11"/>
  <c r="BD15" i="12"/>
  <c r="BD16" i="12" s="1"/>
  <c r="BD23" i="10"/>
  <c r="BD24" i="10" s="1"/>
  <c r="BD33" i="6"/>
  <c r="BD34" i="6" s="1"/>
  <c r="BD18" i="6"/>
  <c r="BI49" i="10"/>
  <c r="BF15" i="12"/>
  <c r="BF16" i="12" s="1"/>
  <c r="BF23" i="10"/>
  <c r="BF24" i="10" s="1"/>
  <c r="BF33" i="6"/>
  <c r="BF34" i="6" s="1"/>
  <c r="BF18"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O18" i="6"/>
  <c r="AW12" i="11"/>
  <c r="AW14" i="11" s="1"/>
  <c r="AW4" i="11"/>
  <c r="AW13" i="11"/>
  <c r="BL50" i="10"/>
  <c r="BL5" i="11"/>
  <c r="H12" i="11"/>
  <c r="H14" i="11" s="1"/>
  <c r="H13" i="11"/>
  <c r="H4" i="11"/>
  <c r="BE49" i="10"/>
  <c r="BQ15" i="12"/>
  <c r="BQ16" i="12" s="1"/>
  <c r="BQ23" i="10"/>
  <c r="BQ24" i="10" s="1"/>
  <c r="BQ18" i="6"/>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J39" i="13"/>
  <c r="I41" i="13"/>
  <c r="K39" i="13" l="1"/>
  <c r="J41" i="13"/>
  <c r="G21" i="13"/>
  <c r="H19" i="13"/>
  <c r="H21" i="13" l="1"/>
  <c r="I19" i="13"/>
  <c r="I21" i="13" s="1"/>
  <c r="I22" i="13" s="1"/>
  <c r="D22" i="13"/>
  <c r="L39" i="13"/>
  <c r="K41" i="13"/>
  <c r="L41" i="13" l="1"/>
  <c r="M39" i="13"/>
  <c r="B23" i="13"/>
  <c r="B24" i="13" s="1"/>
  <c r="B28" i="13" s="1"/>
  <c r="B30" i="13" s="1"/>
  <c r="B32" i="13" s="1"/>
  <c r="E52" i="13" l="1"/>
  <c r="D52" i="13"/>
  <c r="C52" i="13"/>
  <c r="E31" i="13"/>
  <c r="D31" i="13"/>
  <c r="C31" i="13"/>
  <c r="N39" i="13"/>
  <c r="M41" i="13"/>
  <c r="O39" i="13" l="1"/>
  <c r="N41" i="13"/>
  <c r="P39" i="13" l="1"/>
  <c r="O41" i="13"/>
  <c r="Q39" i="13" l="1"/>
  <c r="P41" i="13"/>
  <c r="R39" i="13" l="1"/>
  <c r="Q41" i="13"/>
  <c r="S39" i="13" l="1"/>
  <c r="S41" i="13" s="1"/>
  <c r="S42" i="13" s="1"/>
  <c r="R41" i="13"/>
  <c r="I42" i="13" s="1"/>
  <c r="B43" i="13" s="1"/>
  <c r="B44" i="13" s="1"/>
  <c r="B48" i="13" s="1"/>
  <c r="B50" i="13" s="1"/>
  <c r="B52" i="13" s="1"/>
</calcChain>
</file>

<file path=xl/sharedStrings.xml><?xml version="1.0" encoding="utf-8"?>
<sst xmlns="http://schemas.openxmlformats.org/spreadsheetml/2006/main" count="778" uniqueCount="624">
  <si>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</si>
  <si>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</si>
  <si>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</si>
  <si>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</si>
  <si>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</si>
  <si>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</si>
  <si>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</si>
  <si>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</si>
  <si>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</si>
  <si>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</si>
  <si>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</si>
  <si>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</si>
  <si>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</si>
  <si>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</si>
  <si>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</si>
  <si>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</si>
  <si>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</si>
  <si>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</si>
  <si>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</si>
  <si>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</si>
  <si>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</si>
  <si>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</si>
  <si>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</si>
  <si>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</si>
  <si>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</si>
  <si>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</si>
  <si>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</si>
  <si>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</si>
  <si>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</si>
  <si>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</si>
  <si>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</si>
  <si>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</si>
  <si>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</si>
  <si>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</si>
  <si>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</si>
  <si>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</si>
  <si>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</si>
  <si>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</si>
  <si>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</si>
  <si>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</si>
  <si>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</si>
  <si>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</si>
  <si>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</si>
  <si>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</si>
  <si>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</si>
  <si>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</si>
  <si>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</si>
  <si>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</si>
  <si>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</si>
  <si>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</si>
  <si>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</si>
  <si>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</si>
  <si>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</si>
  <si>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</si>
  <si>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</si>
  <si>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</si>
  <si>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</si>
  <si>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</si>
  <si>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</si>
  <si>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</si>
  <si>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</si>
  <si>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</si>
  <si>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</si>
  <si>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</si>
  <si>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</si>
  <si>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</si>
  <si>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</si>
  <si>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</si>
  <si>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</si>
  <si>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</si>
  <si>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</si>
  <si>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</si>
  <si>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</si>
  <si>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</si>
  <si>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</si>
  <si>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</si>
  <si>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</si>
  <si>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</si>
  <si>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</si>
  <si>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</si>
  <si>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</si>
  <si>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</si>
  <si>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</si>
  <si>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</si>
  <si>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</si>
  <si>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</si>
  <si>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</si>
  <si>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</si>
  <si>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</si>
  <si>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</si>
  <si>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</si>
  <si>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</si>
  <si>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</si>
  <si>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</si>
  <si>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</si>
  <si>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</si>
  <si>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</si>
  <si>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</si>
  <si>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</si>
  <si>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</si>
  <si>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</si>
  <si>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</si>
  <si>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</si>
  <si>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</si>
  <si>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</si>
  <si>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</si>
  <si>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</si>
  <si>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</si>
  <si>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</si>
  <si>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</si>
  <si>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</si>
  <si>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</si>
  <si>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</si>
  <si>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</si>
  <si>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</si>
  <si>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</si>
  <si>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</si>
  <si>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</si>
  <si>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</si>
  <si>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</si>
  <si>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</si>
  <si>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</si>
  <si>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</si>
  <si>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</si>
  <si>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</si>
  <si>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</si>
  <si>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</si>
  <si>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</si>
  <si>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</si>
  <si>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</si>
  <si>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</si>
  <si>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</si>
  <si>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</si>
  <si>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</si>
  <si>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</si>
  <si>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</si>
  <si>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</si>
  <si>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</si>
  <si>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</si>
  <si>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</si>
  <si>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</si>
  <si>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</si>
  <si>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</si>
  <si>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</si>
  <si>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</si>
  <si>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</si>
  <si>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</si>
  <si>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</si>
  <si>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</si>
  <si>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</si>
  <si>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</si>
  <si>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</si>
  <si>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</si>
  <si>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</si>
  <si>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</si>
  <si>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</si>
  <si>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</si>
  <si>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</si>
  <si>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</si>
  <si>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</si>
  <si>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</si>
  <si>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</si>
  <si>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</si>
  <si>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</si>
  <si>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</si>
  <si>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</si>
  <si>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</si>
  <si>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</si>
  <si>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</si>
  <si>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</si>
  <si>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</si>
  <si>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</si>
  <si>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</si>
  <si>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</si>
  <si>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</si>
  <si>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</si>
  <si>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</si>
  <si>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</si>
  <si>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</si>
  <si>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</si>
  <si>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</si>
  <si>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</si>
  <si>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</si>
  <si>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</si>
  <si>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</si>
  <si>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</si>
  <si>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</si>
  <si>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</si>
  <si>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</si>
  <si>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</si>
  <si>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</si>
  <si>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</si>
  <si>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</si>
  <si>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</si>
  <si>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</si>
  <si>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</si>
  <si>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</si>
  <si>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</si>
  <si>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</si>
  <si>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</si>
  <si>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</si>
  <si>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</si>
  <si>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</si>
  <si>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</si>
  <si>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</si>
  <si>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</si>
  <si>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</si>
  <si>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</si>
  <si>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</si>
  <si>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</si>
  <si>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</si>
  <si>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</si>
  <si>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</si>
  <si>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</si>
  <si>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</si>
  <si>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</si>
  <si>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</si>
  <si>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</si>
  <si>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</si>
  <si>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</si>
  <si>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</si>
  <si>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</si>
  <si>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</si>
  <si>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</si>
  <si>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</si>
  <si>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</si>
  <si>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</si>
  <si>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</si>
  <si>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</si>
  <si>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</si>
  <si>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</si>
  <si>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</si>
  <si>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</si>
  <si>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</si>
  <si>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</si>
  <si>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</si>
  <si>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</si>
  <si>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</si>
  <si>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</si>
  <si>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</si>
  <si>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</si>
  <si>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</si>
  <si>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</si>
  <si>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</si>
  <si>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</si>
  <si>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</si>
  <si>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</si>
  <si>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</si>
  <si>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</si>
  <si>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</si>
  <si>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</si>
  <si>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</si>
  <si>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</si>
  <si>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</si>
  <si>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</si>
  <si>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</si>
  <si>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</si>
  <si>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</si>
  <si>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</si>
  <si>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</si>
  <si>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</si>
  <si>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</si>
  <si>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</si>
  <si>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</si>
  <si>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</si>
  <si>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</si>
  <si>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</si>
  <si>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</si>
  <si>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</si>
  <si>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</si>
  <si>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</si>
  <si>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</si>
  <si>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</si>
  <si>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</si>
  <si>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</si>
  <si>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</si>
  <si>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</si>
  <si>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</si>
  <si>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</si>
  <si>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</si>
  <si>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</si>
  <si>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</si>
  <si>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</si>
  <si>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</si>
  <si>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</si>
  <si>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</si>
  <si>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</si>
  <si>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</si>
  <si>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</si>
  <si>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</si>
  <si>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</si>
  <si>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</si>
  <si>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</si>
  <si>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</si>
  <si>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</si>
  <si>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</si>
  <si>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</si>
  <si>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</si>
  <si>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</si>
  <si>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</si>
  <si>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</si>
  <si>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</si>
  <si>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</si>
  <si>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</si>
  <si>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</si>
  <si>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</si>
  <si>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</si>
  <si>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</si>
  <si>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</si>
  <si>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</si>
  <si>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</si>
  <si>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</si>
  <si>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</si>
  <si>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</si>
  <si>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</si>
  <si>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</si>
  <si>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</si>
  <si>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</si>
  <si>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</si>
  <si>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</si>
  <si>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</si>
  <si>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</si>
  <si>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</si>
  <si>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</si>
  <si>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(8)债务筹资净额=4-5-6-7</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</si>
  <si>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</si>
  <si>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</si>
  <si>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</si>
  <si>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</si>
  <si>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</si>
  <si>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</si>
  <si>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</si>
  <si>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</si>
  <si>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</si>
  <si>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</si>
  <si>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</si>
  <si>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</si>
  <si>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</si>
  <si>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</si>
  <si>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</si>
  <si>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</si>
  <si>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</si>
  <si>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</si>
  <si>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</si>
  <si>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</si>
  <si>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</si>
  <si>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</si>
  <si>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</si>
  <si>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</si>
  <si>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</si>
  <si>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</si>
  <si>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</si>
  <si>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</si>
  <si>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</si>
  <si>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</si>
  <si>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</si>
  <si>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</si>
  <si>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</si>
  <si>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</si>
  <si>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</si>
  <si>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</si>
  <si>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</si>
  <si>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</si>
  <si>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</si>
  <si>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</si>
  <si>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</si>
  <si>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</si>
  <si>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</si>
  <si>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</si>
  <si>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</si>
  <si>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</si>
  <si>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</si>
  <si>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</si>
  <si>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</si>
  <si>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</si>
  <si>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</si>
  <si>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</si>
  <si>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</si>
  <si>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</si>
  <si>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</si>
  <si>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</si>
  <si>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</si>
  <si>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</si>
  <si>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</si>
  <si>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</si>
  <si>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</si>
  <si>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</si>
  <si>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</si>
  <si>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</si>
  <si>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</si>
  <si>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</si>
  <si>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</si>
  <si>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</si>
  <si>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</si>
  <si>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</si>
  <si>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</si>
  <si>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</si>
  <si>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</si>
  <si>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</si>
  <si>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</si>
  <si>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</si>
  <si>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</si>
  <si>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</si>
  <si>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</si>
  <si>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</si>
  <si>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</si>
  <si>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</si>
  <si>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</si>
  <si>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</si>
  <si>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</si>
  <si>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</si>
  <si>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</si>
  <si>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</si>
  <si>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</si>
  <si>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</si>
  <si>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</si>
  <si>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</si>
  <si>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</si>
  <si>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</si>
  <si>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</si>
  <si>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</si>
  <si>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</si>
  <si>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</si>
  <si>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</si>
  <si>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</si>
  <si>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</si>
  <si>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</si>
  <si>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</si>
  <si>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</si>
  <si>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</si>
  <si>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</si>
  <si>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</si>
  <si>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</si>
  <si>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</si>
  <si>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</si>
  <si>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</si>
  <si>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</si>
  <si>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</si>
  <si>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</si>
  <si>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</si>
  <si>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</si>
  <si>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</si>
  <si>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</si>
  <si>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</si>
  <si>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</si>
  <si>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</si>
  <si>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</si>
  <si>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</si>
  <si>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</si>
  <si>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</si>
  <si>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</si>
  <si>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</si>
  <si>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</si>
  <si>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</si>
  <si>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</si>
  <si>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</si>
  <si>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</si>
  <si>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</si>
  <si>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</si>
  <si>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</si>
  <si>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</si>
  <si>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</si>
  <si>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</si>
  <si>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</si>
  <si>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</si>
  <si>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</si>
  <si>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</si>
  <si>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</si>
  <si>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</si>
  <si>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</si>
  <si>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</si>
  <si>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</si>
  <si>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</si>
  <si>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</si>
  <si>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</si>
  <si>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</si>
  <si>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</si>
  <si>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</si>
  <si>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</si>
  <si>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</si>
  <si>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</si>
  <si>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</si>
  <si>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</si>
  <si>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</si>
  <si>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</si>
  <si>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</si>
  <si>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</si>
  <si>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</si>
  <si>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</si>
  <si>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</si>
  <si>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</si>
  <si>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</si>
  <si>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</si>
  <si>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</si>
  <si>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</si>
  <si>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</si>
  <si>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</si>
  <si>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</si>
  <si>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</si>
  <si>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</si>
  <si>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</si>
  <si>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</si>
  <si>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</si>
  <si>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</si>
  <si>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</si>
  <si>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</si>
  <si>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</si>
  <si>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</si>
  <si>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</si>
  <si>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</si>
  <si>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</si>
  <si>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</si>
  <si>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</si>
  <si>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</si>
  <si>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</si>
  <si>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</si>
  <si>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</si>
  <si>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</si>
  <si>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</si>
  <si>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</si>
  <si>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</si>
  <si>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</si>
  <si>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</si>
  <si>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</si>
  <si>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</si>
  <si>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</si>
  <si>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</si>
  <si>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</si>
  <si>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</si>
  <si>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</si>
  <si>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</si>
  <si>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</si>
  <si>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</si>
  <si>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</si>
  <si>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</si>
  <si>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</si>
  <si>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</si>
  <si>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</si>
  <si>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</si>
  <si>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</si>
  <si>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</si>
  <si>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</si>
  <si>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</si>
  <si>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</si>
  <si>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</si>
  <si>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</si>
  <si>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</si>
  <si>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</si>
  <si>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</si>
  <si>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</si>
  <si>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</si>
  <si>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</si>
  <si>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</si>
  <si>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</si>
  <si>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</si>
  <si>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</si>
  <si>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</si>
  <si>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</si>
  <si>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</si>
  <si>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</si>
  <si>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</si>
  <si>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</si>
  <si>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</si>
  <si>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</si>
  <si>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</si>
  <si>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</si>
  <si>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</si>
  <si>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</si>
  <si>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</si>
  <si>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</si>
  <si>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</si>
  <si>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</si>
  <si>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</si>
  <si>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</si>
  <si>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</si>
  <si>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</si>
  <si>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</si>
  <si>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</si>
  <si>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</si>
  <si>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</si>
  <si>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</si>
  <si>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</si>
  <si>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(2)分配股利、利润所支付的现金（公告中,或财报中查找)</t>
    <phoneticPr fontId="1" type="noConversion"/>
  </si>
  <si>
    <t>长期资产净投资额和新投资和在近五年来较之前有大幅增加。
无形资产摊销和长期待摊费用成倍增长。看财报附注，无形资产的增加主要是因为扩张直营店所增加的土地使用权金额。长期待摊费用主要是装修费猛增导致。
从长期资产扩张性资本支出比例来看，2010-2011年采取了扩张战略，扩张性资本支出高达80%，2012年以后维持在30%以下，无净合并额，并没有进行并购活动，说明该公司在2012年后没有继续采取扩张性成长。
从现金自给率分析可以看出，近年来，该公司经营活动产生的现金流量净额远远超过自购长期资产和并购活动的资金需求，基本达到1倍以上，再加上期初金融资产，该公司金融资产稳定在8亿左右，筹资需求额为正数，不存在资金缺口，为满足那公司营运，基本不需要外援筹资解决，但该公司近五年来筹资活动中采用吸收投资的方式（发行激励性股票和经销商持股）取得现金超过3亿元</t>
    <phoneticPr fontId="1" type="noConversion"/>
  </si>
  <si>
    <t>该公司主要通过吸收投资的方式来募集现金，没有借债，没有利息支出。除2011年外，每年都进行股利分配，金额也越来越大，说明净利润总额增长，债务成本为0，扩充股本集资，所赚得得钱全部用来回报股东</t>
    <phoneticPr fontId="1" type="noConversion"/>
  </si>
  <si>
    <t xml:space="preserve">没有有息债务，企业所得税税率由于在2017年获得高新技术企业认证，减少至18%，股权资金占比100%，那么其平均资本成本便是股东期待的投资回报率，按保守估计至少不低于8%。即，股东要求每年最低创造8%的预期回报率
</t>
    <phoneticPr fontId="1" type="noConversion"/>
  </si>
  <si>
    <t>可以看出富安娜的资产总额从2009年10亿元逐年增加至2017年31亿元，近9年复合增长率13%，近5年复合增长率11%。其中，金融资产稳定在8亿左右，占比23%，长期股权投资为0，所有的子公司基本都是100%自有子公司。近五年来，营运资产以14%的复合增长速度，营运负债以10%的速度增加，营运资本以15%的速度在增长，占比32%。长期经营资产近五年同样以15%的复合增长速度在增长，占比45%，说明富安娜的资产总额以日常营运资产和长期经营资产增长为主，是内生性增长型。该公司是经营资本比较高（77%）的公司，长期固定经营资产较多。长期融资净值为正数，说明长期资本除了用于长期资金需求外，还可满足短期资金需求，为稳健性资产资本结构。
运营资本长期化率是计算公司流动能力，营运资本中长期资本比重越大，公司流动性越强。该公司营运资本长期化率越来越小，说明长期经营资产每年投入越来越多，营运资本也越来越多，影响了长期资本的流动性，公司的流动能力逐年减弱。但其百分比大于150%，虽然流动性减弱，但所持有的长期资本再用于长期经营资产后，仍是营运资产的1.7倍之多，风险不大</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</si>
  <si>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</si>
  <si>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</si>
  <si>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</si>
  <si>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</si>
  <si>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</si>
  <si>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</si>
  <si>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</si>
  <si>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近5年来，营业收入稳定增长，近9年来以14%的速度，近5年来以7%的复合增长速度增长，同比增长率成V型，在2013年达到增速低点之后开始回升，并由增速越来越快的趋势。营业成本稳定在50%，毛利率稳定在50%左右，毛利率优秀，是具有核心竞争力（经营稳定、行业地位稳固）的表现。
近5年来，销售费用率、管理费用率常年稳定在23%和4.5%左右，总费用率稳定在29%左右，息前税后经营利润稳定在17%~18%，是个盈利相当稳定的企业</t>
    <phoneticPr fontId="1" type="noConversion"/>
  </si>
  <si>
    <t>从上表可以看出，富安娜息税前利润主要由经营利润为主，占比90%以上，金融资产收益逐年递增，但是占比太少，影响不大。
富安娜没有有息债务，没有利息，财务成本负担为0%.</t>
    <phoneticPr fontId="1" type="noConversion"/>
  </si>
  <si>
    <t>上海机电财务成本负担率仅为0.5%左右，利息保障倍数200多倍，说明财务成本负担非常轻，用息税前利润来支付利息费用非常轻松</t>
    <phoneticPr fontId="1" type="noConversion"/>
  </si>
  <si>
    <t xml:space="preserve">息税前利润扣掉利息和税后，得到净利润，净利润率从11%逐年增长到19%，并稳定在18%~19%左右，股权价值增加值一直为正数，表示富安娜一直为股东创造出超预期回报，而且近年来，股权价值增加值稳步增长
</t>
    <phoneticPr fontId="1" type="noConversion"/>
  </si>
  <si>
    <t>富安娜的股东权益逐年上升，最高17%，之后近3年回报率有所下降，但仍高于15%，高于股东预期回报（8%）。主要是股本增大导致资产增大，资产周转率的下降导致了股东权益回报率的下降，息税前利润率、财务成本效应比率、财务杠杆倍数基本持平不变，企业所得税效应比率由于高新技术企业认证减税而有所提高</t>
    <phoneticPr fontId="1" type="noConversion"/>
  </si>
  <si>
    <t>营运资产周转率、长期经营资产周转率逐年下降，金融资产周转率有所上升</t>
    <phoneticPr fontId="1" type="noConversion"/>
  </si>
  <si>
    <t>细化营运资产周转率来看，应收账款周转率（吃下游）近年来大幅下降，应收账款周转天数增加至40天，存货平均周转率变化不大，应付周转率（吃上游）略微下降，应付周转天数延长至114天，营业周期拉长至229天，现金周期天数（即占用上下游资金）为114天，说明，近五年来，越来越需要拿出自己的钱来补充日常营运，每年1亿的速度增加，2017年达到6亿，而且占用时间也越来越久，但收回别人欠的钱却越来越慢</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</si>
  <si>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</si>
  <si>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</si>
  <si>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</si>
  <si>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</si>
  <si>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</si>
  <si>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</si>
  <si>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</si>
  <si>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</si>
  <si>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</si>
  <si>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</si>
  <si>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</si>
  <si>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</si>
  <si>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</si>
  <si>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</si>
  <si>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</si>
  <si>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</si>
  <si>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</si>
  <si>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</si>
  <si>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</si>
  <si>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</si>
  <si>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 xml:space="preserve">可以看出，长期经营资产周转率的下降主要是固定资产、在建工程、无形资产的周转率的快速下降。由于富安娜在开创家居新项目，增加了许多直营店和工厂，属于扩张期，只要这些在建工程将来顺利完成并转化为可以带来收入的经营资产，则可以暂时忽略其所带来的周转率下降。主要关心固定资产周转率，固定资产在2017年大量增加，主要是购买了主要为购买惠州工业园房产、温州、西安房产等和在建工程转入，降低了周转率；无形资产在2017年也大量增加，主要是购买惠州工业园土地使用权，降低了周转率。
综上可知，主要是富安娜是一家盈利稳定的，无负债、毛利高的企业。想要提高股东回报率，主要是加强应收账款的管理，提升营运资产周转率；尽快完成在建工程并转化为固定资产投入使用，并让固定资产尽早带来营业收入，提升长期经营资产周转率
</t>
    <phoneticPr fontId="1" type="noConversion"/>
  </si>
  <si>
    <t xml:space="preserve">营业收入现金含量有上升趋势，且近四年均高于1.00，说明截至报告期，1块钱营业收入对应1.12元现金，营业收入真实可靠。成本费用付现率基本维持在0.97左右，低于1，说明公司日常营运平稳。税后经营利润现金含量0.82，低于1，说明1元税后经营利润仅对应0.82元现金，不够真金白银的利润，净利润现金含量0.74也低于1，说明净利润中也不够真金白银。
除了2010年，经营活动产生的现金流量净额均为正，增长的过程中存在大小年，近5年复合增长率达到11%，同样，自由现金流也常年为正数，且数额远高于非付现成本。自由现金流近9年复合增长率10.5%，近5年复合增长率12.6%。
</t>
    <phoneticPr fontId="1" type="noConversion"/>
  </si>
  <si>
    <t>富安娜是家稳定中又带有一定成长性的公司，如果其二次创业项目发展得好将具有较高的成长性。没有负债，资金成本主要是股权成本，假设股东回报率期望为8%，即贴现率为8%。按照两段式DCF预测模型，之后的五年以9%的增长率，再之后的年份
以5%的增长率测算，该公司每股价值为14.99元，现价（2018507）收盘价10.73元，相当于28%的折扣，意味着以现价买入，最保守的估计有28%的安全垫</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</si>
</sst>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9">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28">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184">
    <xf numFmtId="0" fontId="0" fillId="0" borderId="0" xfId="0">
      <alignment vertical="center"/>
    </xf>
    <xf numFmtId="14" fontId="0" fillId="0" borderId="0" xfId="0" applyNumberFormat="1">
      <alignment vertical="center"/>
    </xf>
    <xf numFmtId="0" fontId="5" fillId="0" borderId="0" xfId="0" applyFont="1">
      <alignment vertical="center"/>
    </xf>
    <xf numFmtId="0" fontId="0" fillId="0" borderId="0" xfId="0" applyAlignment="1">
      <alignment horizontal="lef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6" fillId="5" borderId="0" xfId="0" applyFont="1" applyFill="1">
      <alignment vertical="center"/>
    </xf>
    <xf numFmtId="0" fontId="7" fillId="0" borderId="0" xfId="0" applyFont="1">
      <alignment vertical="center"/>
    </xf>
    <xf numFmtId="0" fontId="8" fillId="7" borderId="0" xfId="0" applyFont="1" applyFill="1">
      <alignment vertical="center"/>
    </xf>
    <xf numFmtId="0" fontId="9" fillId="7" borderId="0" xfId="0" applyFont="1" applyFill="1">
      <alignment vertical="center"/>
    </xf>
    <xf numFmtId="0" fontId="5"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0" fontId="5" fillId="5" borderId="0" xfId="0" applyFont="1" applyFill="1">
      <alignment vertical="center"/>
    </xf>
    <xf numFmtId="176" fontId="0" fillId="0" borderId="0" xfId="0" applyNumberFormat="1">
      <alignment vertical="center"/>
    </xf>
    <xf numFmtId="176" fontId="0" fillId="0" borderId="0" xfId="0" applyNumberFormat="1" applyFill="1">
      <alignment vertical="center"/>
    </xf>
    <xf numFmtId="0" fontId="5" fillId="0" borderId="0" xfId="0" applyFon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0" fontId="5" fillId="0" borderId="0" xfId="0" applyFont="1" applyAlignment="1">
      <alignment vertical="center" wrapText="1"/>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2" xfId="1" applyNumberFormat="1" applyBorder="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179" fontId="2" fillId="2" borderId="16" xfId="1" applyNumberFormat="1" applyBorder="1">
      <alignment vertical="center"/>
    </xf>
    <xf numFmtId="179" fontId="2" fillId="41" borderId="16" xfId="1" applyNumberFormat="1" applyFill="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5" fillId="6" borderId="16" xfId="1" applyNumberFormat="1" applyFont="1" applyFill="1" applyBorder="1">
      <alignment vertical="center"/>
    </xf>
    <xf numFmtId="179" fontId="2" fillId="5" borderId="12" xfId="1" applyNumberFormat="1" applyFill="1" applyBorder="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24" xfId="1" applyNumberFormat="1" applyBorder="1">
      <alignment vertical="center"/>
    </xf>
    <xf numFmtId="10" fontId="2" fillId="2" borderId="0" xfId="1" applyNumberFormat="1" applyBorder="1">
      <alignment vertical="center"/>
    </xf>
    <xf numFmtId="10" fontId="15" fillId="10" borderId="24" xfId="8" applyNumberFormat="1" applyBorder="1">
      <alignment vertical="center"/>
    </xf>
    <xf numFmtId="10" fontId="15" fillId="10" borderId="0" xfId="8" applyNumberFormat="1" applyBorder="1">
      <alignment vertical="center"/>
    </xf>
    <xf numFmtId="10" fontId="2" fillId="2" borderId="25" xfId="1"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179" fontId="27" fillId="3" borderId="0" xfId="2" applyNumberFormat="1" applyFon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5" fillId="0" borderId="27" xfId="0" applyNumberFormat="1" applyFont="1" applyBorder="1">
      <alignment vertical="center"/>
    </xf>
    <xf numFmtId="179" fontId="0" fillId="0" borderId="23" xfId="0" applyNumberFormat="1" applyBorder="1">
      <alignment vertical="center"/>
    </xf>
    <xf numFmtId="179" fontId="0" fillId="0" borderId="24" xfId="0" applyNumberFormat="1" applyBorder="1">
      <alignment vertical="center"/>
    </xf>
    <xf numFmtId="179" fontId="5" fillId="0" borderId="24" xfId="0" applyNumberFormat="1" applyFont="1" applyBorder="1">
      <alignment vertical="center"/>
    </xf>
    <xf numFmtId="179" fontId="2" fillId="2" borderId="24" xfId="1" applyNumberFormat="1" applyBorder="1">
      <alignment vertical="center"/>
    </xf>
    <xf numFmtId="179" fontId="2" fillId="2" borderId="25" xfId="1"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5" xfId="0" applyNumberFormat="1" applyFill="1"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14" fontId="0" fillId="0" borderId="1" xfId="0" applyNumberFormat="1" applyBorder="1">
      <alignment vertical="center"/>
    </xf>
    <xf numFmtId="179" fontId="0" fillId="0" borderId="11" xfId="0" applyNumberFormat="1" applyBorder="1">
      <alignment vertical="center"/>
    </xf>
    <xf numFmtId="179" fontId="0" fillId="0" borderId="12" xfId="0" applyNumberFormat="1" applyBorder="1">
      <alignment vertical="center"/>
    </xf>
    <xf numFmtId="179" fontId="2" fillId="2" borderId="11" xfId="1" applyNumberFormat="1" applyBorder="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92" headerRowCellStyle="好" dataCellStyle="好"/>
    <tableColumn id="2" name="列2" headerRowDxfId="91" headerRowCellStyle="好" dataCellStyle="好"/>
    <tableColumn id="3" name="列3" headerRowDxfId="90" headerRowCellStyle="好" dataCellStyle="好"/>
    <tableColumn id="4" name="列4" headerRowDxfId="89" headerRowCellStyle="好" dataCellStyle="好"/>
    <tableColumn id="5" name="列5" headerRowDxfId="88" headerRowCellStyle="好" dataCellStyle="好"/>
    <tableColumn id="6" name="列6" headerRowDxfId="87" headerRowCellStyle="好" dataCellStyle="好"/>
    <tableColumn id="7" name="列7" headerRowDxfId="86" headerRowCellStyle="好" dataCellStyle="好"/>
    <tableColumn id="8" name="列8" headerRowDxfId="85" headerRowCellStyle="好" dataCellStyle="好"/>
    <tableColumn id="9" name="列9" headerRowDxfId="84" headerRowCellStyle="好" dataCellStyle="好"/>
    <tableColumn id="10" name="列10" headerRowDxfId="83" headerRowCellStyle="好" dataCellStyle="好"/>
    <tableColumn id="11" name="列11" headerRowDxfId="82" headerRowCellStyle="好" dataCellStyle="好"/>
    <tableColumn id="12" name="列12" headerRowDxfId="81" headerRowCellStyle="好" dataCellStyle="好"/>
    <tableColumn id="13" name="列13" headerRowDxfId="80" headerRowCellStyle="好" dataCellStyle="好"/>
    <tableColumn id="14" name="列14" headerRowDxfId="79" headerRowCellStyle="好" dataCellStyle="好"/>
    <tableColumn id="15" name="列15" headerRowDxfId="78" headerRowCellStyle="好" dataCellStyle="好"/>
    <tableColumn id="16" name="列16" headerRowDxfId="77" headerRowCellStyle="好" dataCellStyle="好"/>
    <tableColumn id="17" name="列17" headerRowDxfId="76" headerRowCellStyle="好" dataCellStyle="好"/>
    <tableColumn id="18" name="列18" headerRowDxfId="75" headerRowCellStyle="好" dataCellStyle="好"/>
    <tableColumn id="19" name="列19" headerRowDxfId="74" headerRowCellStyle="好" dataCellStyle="好"/>
    <tableColumn id="20" name="列20" headerRowDxfId="73" headerRowCellStyle="好" dataCellStyle="好"/>
    <tableColumn id="21" name="列21" headerRowDxfId="72" headerRowCellStyle="好" dataCellStyle="好"/>
    <tableColumn id="22" name="列22" headerRowDxfId="71" headerRowCellStyle="好" dataCellStyle="好"/>
    <tableColumn id="23" name="列23" headerRowDxfId="70" headerRowCellStyle="好" dataCellStyle="好"/>
    <tableColumn id="24" name="列24" headerRowDxfId="69" headerRowCellStyle="好" dataCellStyle="好"/>
    <tableColumn id="25" name="列25" headerRowDxfId="68" headerRowCellStyle="好" dataCellStyle="好"/>
    <tableColumn id="26" name="列26" headerRowDxfId="67" headerRowCellStyle="好" dataCellStyle="好"/>
    <tableColumn id="27" name="列27" headerRowDxfId="66" headerRowCellStyle="好" dataCellStyle="好"/>
    <tableColumn id="28" name="列28" headerRowDxfId="65" headerRowCellStyle="好" dataCellStyle="好"/>
    <tableColumn id="29" name="列29" headerRowDxfId="64" headerRowCellStyle="好" dataCellStyle="好"/>
    <tableColumn id="30" name="列30" headerRowDxfId="63" headerRowCellStyle="好" dataCellStyle="好"/>
    <tableColumn id="31" name="列31" headerRowDxfId="62" headerRowCellStyle="好" dataCellStyle="好"/>
    <tableColumn id="32" name="列32" headerRowDxfId="61" headerRowCellStyle="好" dataCellStyle="好"/>
    <tableColumn id="33" name="列33" headerRowDxfId="60" headerRowCellStyle="好" dataCellStyle="好"/>
    <tableColumn id="34" name="列34" headerRowDxfId="59" headerRowCellStyle="好" dataCellStyle="好"/>
    <tableColumn id="35" name="列35" headerRowDxfId="58" headerRowCellStyle="好" dataCellStyle="好"/>
    <tableColumn id="36" name="列36" headerRowDxfId="57" headerRowCellStyle="好" dataCellStyle="好"/>
    <tableColumn id="37" name="列37" headerRowDxfId="56" headerRowCellStyle="好" dataCellStyle="好"/>
    <tableColumn id="38" name="列38" headerRowDxfId="55" headerRowCellStyle="好" dataCellStyle="好"/>
    <tableColumn id="39" name="列39" headerRowDxfId="54" headerRowCellStyle="好" dataCellStyle="好"/>
    <tableColumn id="40" name="列40" headerRowDxfId="53" headerRowCellStyle="好" dataCellStyle="好"/>
    <tableColumn id="41" name="列41" headerRowDxfId="52" headerRowCellStyle="好" dataCellStyle="好"/>
    <tableColumn id="42" name="列42" headerRowDxfId="51" headerRowCellStyle="好" dataCellStyle="好"/>
    <tableColumn id="43" name="列43" headerRowDxfId="50" headerRowCellStyle="好" dataCellStyle="好"/>
    <tableColumn id="44" name="列44" headerRowDxfId="49" headerRowCellStyle="好" dataCellStyle="好"/>
    <tableColumn id="45" name="列45" headerRowDxfId="48" headerRowCellStyle="好" dataCellStyle="好"/>
    <tableColumn id="46" name="列46" headerRowDxfId="47" headerRowCellStyle="好" dataCellStyle="好"/>
    <tableColumn id="47" name="列47" headerRowDxfId="46" headerRowCellStyle="好" dataCellStyle="好"/>
    <tableColumn id="48" name="列48" headerRowDxfId="45" headerRowCellStyle="好" dataCellStyle="好"/>
    <tableColumn id="49" name="列49" headerRowDxfId="44" headerRowCellStyle="好" dataCellStyle="好"/>
    <tableColumn id="50" name="列50" headerRowDxfId="43" headerRowCellStyle="好" dataCellStyle="好"/>
    <tableColumn id="51" name="列51" headerRowDxfId="42" headerRowCellStyle="好" dataCellStyle="好"/>
    <tableColumn id="52" name="列52" headerRowDxfId="41" headerRowCellStyle="好" dataCellStyle="好"/>
    <tableColumn id="53" name="列53" headerRowDxfId="40" headerRowCellStyle="好" dataCellStyle="好"/>
    <tableColumn id="54" name="列54" headerRowDxfId="39" headerRowCellStyle="好" dataCellStyle="好"/>
    <tableColumn id="55" name="列55" headerRowDxfId="38" headerRowCellStyle="好" dataCellStyle="好"/>
    <tableColumn id="56" name="列56" headerRowDxfId="37" headerRowCellStyle="好" dataCellStyle="好"/>
    <tableColumn id="57" name="列57" headerRowDxfId="36" headerRowCellStyle="好" dataCellStyle="好"/>
    <tableColumn id="58" name="列58" headerRowDxfId="35" headerRowCellStyle="好" dataCellStyle="好"/>
    <tableColumn id="59" name="列59" headerRowDxfId="34" headerRowCellStyle="好" dataCellStyle="好"/>
    <tableColumn id="60" name="列60" headerRowDxfId="33" headerRowCellStyle="好" dataCellStyle="好"/>
    <tableColumn id="61" name="列61" headerRowDxfId="32" headerRowCellStyle="好" dataCellStyle="好"/>
    <tableColumn id="62" name="列62" headerRowDxfId="31" headerRowCellStyle="好" dataCellStyle="好"/>
    <tableColumn id="63" name="列63" headerRowDxfId="30" headerRowCellStyle="好" dataCellStyle="好"/>
    <tableColumn id="64" name="列64" headerRowDxfId="29" headerRowCellStyle="好" dataCellStyle="好"/>
    <tableColumn id="65" name="列65" headerRowDxfId="28" headerRowCellStyle="好" dataCellStyle="好"/>
    <tableColumn id="66" name="列66" headerRowDxfId="27" headerRowCellStyle="好" dataCellStyle="好"/>
    <tableColumn id="67" name="列67" headerRowDxfId="26" headerRowCellStyle="好" dataCellStyle="好"/>
    <tableColumn id="68" name="列68" headerRowDxfId="25" headerRowCellStyle="好" dataCellStyle="好"/>
    <tableColumn id="69" name="列69" headerRowDxfId="24" headerRowCellStyle="好" dataCellStyle="好"/>
    <tableColumn id="70" name="列70" headerRowDxfId="23" headerRowCellStyle="好" dataCellStyle="好"/>
    <tableColumn id="71" name="列71" headerRowDxfId="22" headerRowCellStyle="好" dataCellStyle="好"/>
    <tableColumn id="72" name="列72" headerRowDxfId="21" headerRowCellStyle="好" dataCellStyle="好"/>
    <tableColumn id="73" name="列73" headerRowDxfId="20" headerRowCellStyle="好" dataCellStyle="好"/>
    <tableColumn id="74" name="列74" headerRowDxfId="19" headerRowCellStyle="好" dataCellStyle="好"/>
    <tableColumn id="75" name="列75" headerRowDxfId="18" headerRowCellStyle="好" dataCellStyle="好"/>
    <tableColumn id="76" name="列76" headerRowDxfId="17" headerRowCellStyle="好" dataCellStyle="好"/>
    <tableColumn id="77" name="列77" headerRowDxfId="16" headerRowCellStyle="好" dataCellStyle="好"/>
    <tableColumn id="78" name="列78" headerRowDxfId="15" headerRowCellStyle="好" dataCellStyle="好"/>
    <tableColumn id="79" name="列79" headerRowDxfId="14" headerRowCellStyle="好" dataCellStyle="好"/>
    <tableColumn id="80" name="列80" headerRowDxfId="13" headerRowCellStyle="好" dataCellStyle="好"/>
    <tableColumn id="81" name="列81" headerRowDxfId="12" headerRowCellStyle="好" dataCellStyle="好"/>
    <tableColumn id="82" name="列82" headerRowDxfId="11" headerRowCellStyle="好" dataCellStyle="好"/>
    <tableColumn id="83" name="列83" headerRowDxfId="10" headerRowCellStyle="好" dataCellStyle="好"/>
    <tableColumn id="84" name="列84" headerRowDxfId="9" headerRowCellStyle="好" dataCellStyle="好"/>
    <tableColumn id="85" name="列85" headerRowDxfId="8" headerRowCellStyle="好" dataCellStyle="好"/>
    <tableColumn id="86" name="列86" headerRowDxfId="7" headerRowCellStyle="好" dataCellStyle="好"/>
    <tableColumn id="87" name="列87" headerRowDxfId="6" headerRowCellStyle="好" dataCellStyle="好"/>
    <tableColumn id="88" name="列88" headerRowDxfId="5" headerRowCellStyle="好" dataCellStyle="好"/>
    <tableColumn id="89" name="列89" headerRowDxfId="4"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3" dataDxfId="2"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Q85"/>
  <sheetViews>
    <sheetView topLeftCell="A28" workbookViewId="0">
      <selection activeCell="E46" sqref="E46"/>
    </sheetView>
  </sheetViews>
  <sheetFormatPr defaultRowHeight="13.5"/>
  <cols>
    <col min="1" max="1" width="34"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2.75" style="48" bestFit="1" customWidth="1"/>
    <col min="14"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39" width="12.75" style="48" hidden="1" customWidth="1"/>
    <col min="40" max="42" width="12.75" style="48" bestFit="1" customWidth="1"/>
    <col min="43" max="43" width="9.5" style="48" hidden="1" customWidth="1"/>
    <col min="44" max="16384" width="9" style="48"/>
  </cols>
  <sheetData>
    <row r="1" spans="1:43">
      <c r="A1" s="48">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20081231</v>
      </c>
      <c r="AO1" s="48">
        <v>20071231</v>
      </c>
      <c r="AP1" s="48">
        <v>20061231</v>
      </c>
      <c r="AQ1" s="48">
        <v>19700101</v>
      </c>
    </row>
    <row r="2" spans="1:43">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row>
    <row r="3" spans="1:43">
      <c r="A3" s="48" t="s">
        <v>107</v>
      </c>
    </row>
    <row r="4" spans="1:43">
      <c r="A4" s="48" t="s">
        <v>108</v>
      </c>
      <c r="B4" s="48">
        <v>327379876.77999997</v>
      </c>
      <c r="C4" s="48">
        <v>483027574.06999999</v>
      </c>
      <c r="D4" s="48">
        <v>650350112.45000005</v>
      </c>
      <c r="E4" s="48">
        <v>487793476.30000001</v>
      </c>
      <c r="F4" s="48">
        <v>453443896.37</v>
      </c>
      <c r="G4" s="48">
        <v>270725427.14999998</v>
      </c>
      <c r="H4" s="48">
        <v>437399309.26999998</v>
      </c>
      <c r="I4" s="48">
        <v>553442517.54999995</v>
      </c>
      <c r="J4" s="48">
        <v>392984863.17000002</v>
      </c>
      <c r="K4" s="48">
        <v>427624009.98000002</v>
      </c>
      <c r="L4" s="48">
        <v>562010036.55999994</v>
      </c>
      <c r="M4" s="48">
        <v>747939234.26999998</v>
      </c>
      <c r="N4" s="48">
        <v>798736604.16999996</v>
      </c>
      <c r="O4" s="48">
        <v>562510971.26999998</v>
      </c>
      <c r="P4" s="48">
        <v>909436222.82000005</v>
      </c>
      <c r="Q4" s="48">
        <v>964507014.34000003</v>
      </c>
      <c r="R4" s="48">
        <v>755741642.29999995</v>
      </c>
      <c r="S4" s="48">
        <v>665116750.71000004</v>
      </c>
      <c r="T4" s="48">
        <v>763230395.60000002</v>
      </c>
      <c r="U4" s="48">
        <v>703488319.61000001</v>
      </c>
      <c r="V4" s="48">
        <v>501180113.66000003</v>
      </c>
      <c r="W4" s="48">
        <v>502241523.37</v>
      </c>
      <c r="X4" s="48">
        <v>602246499.29999995</v>
      </c>
      <c r="Y4" s="48">
        <v>673380231.46000004</v>
      </c>
      <c r="Z4" s="48">
        <v>643489726.26999998</v>
      </c>
      <c r="AA4" s="48">
        <v>488036620.79000002</v>
      </c>
      <c r="AB4" s="48">
        <v>510333384.02999997</v>
      </c>
      <c r="AC4" s="48">
        <v>534179707.85000002</v>
      </c>
      <c r="AD4" s="48">
        <v>523746129.82999998</v>
      </c>
      <c r="AE4" s="48">
        <v>641391460.04999995</v>
      </c>
      <c r="AF4" s="48">
        <v>665322811.37</v>
      </c>
      <c r="AG4" s="48">
        <v>666518672.60000002</v>
      </c>
      <c r="AH4" s="48">
        <v>628738523.15999997</v>
      </c>
      <c r="AI4" s="48">
        <v>719788534.54999995</v>
      </c>
      <c r="AJ4" s="48">
        <v>836933325.63999999</v>
      </c>
      <c r="AK4" s="48">
        <v>853443052.58000004</v>
      </c>
      <c r="AL4" s="48">
        <v>79196016.939999998</v>
      </c>
      <c r="AM4" s="48">
        <v>63469949.020000003</v>
      </c>
      <c r="AN4" s="48">
        <v>78477223.810000002</v>
      </c>
      <c r="AO4" s="48">
        <v>78997061.840000004</v>
      </c>
      <c r="AP4" s="48">
        <v>44249685.200000003</v>
      </c>
      <c r="AQ4" s="48">
        <v>0</v>
      </c>
    </row>
    <row r="5" spans="1:43">
      <c r="A5" s="48" t="s">
        <v>109</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row>
    <row r="6" spans="1:43">
      <c r="A6" s="48" t="s">
        <v>110</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row>
    <row r="7" spans="1:43">
      <c r="A7" s="48" t="s">
        <v>111</v>
      </c>
      <c r="B7" s="48">
        <v>0</v>
      </c>
      <c r="C7" s="48">
        <v>0</v>
      </c>
      <c r="D7" s="48">
        <v>0</v>
      </c>
      <c r="E7" s="48">
        <v>0</v>
      </c>
      <c r="F7" s="48">
        <v>0</v>
      </c>
      <c r="G7" s="48">
        <v>0</v>
      </c>
      <c r="H7" s="48">
        <v>0</v>
      </c>
      <c r="I7" s="48">
        <v>0</v>
      </c>
      <c r="J7" s="48">
        <v>200000</v>
      </c>
      <c r="K7" s="48">
        <v>0</v>
      </c>
      <c r="L7" s="48">
        <v>0</v>
      </c>
      <c r="M7" s="48">
        <v>0</v>
      </c>
      <c r="N7" s="48">
        <v>1443963.64</v>
      </c>
      <c r="O7" s="48">
        <v>3164358.53</v>
      </c>
      <c r="P7" s="48">
        <v>0</v>
      </c>
      <c r="Q7" s="48">
        <v>6848000</v>
      </c>
      <c r="R7" s="48">
        <v>5031000</v>
      </c>
      <c r="S7" s="48">
        <v>1000000</v>
      </c>
      <c r="T7" s="48">
        <v>200000</v>
      </c>
      <c r="U7" s="48">
        <v>941260.78</v>
      </c>
      <c r="V7" s="48">
        <v>0</v>
      </c>
      <c r="W7" s="48">
        <v>0</v>
      </c>
      <c r="X7" s="48">
        <v>0</v>
      </c>
      <c r="Y7" s="48">
        <v>0</v>
      </c>
      <c r="Z7" s="48">
        <v>0</v>
      </c>
      <c r="AA7" s="48">
        <v>0</v>
      </c>
      <c r="AB7" s="48">
        <v>0</v>
      </c>
      <c r="AC7" s="48">
        <v>0</v>
      </c>
      <c r="AD7" s="48">
        <v>0</v>
      </c>
      <c r="AE7" s="48">
        <v>1327766.5</v>
      </c>
      <c r="AF7" s="48">
        <v>0</v>
      </c>
      <c r="AG7" s="48">
        <v>0</v>
      </c>
      <c r="AH7" s="48">
        <v>0</v>
      </c>
      <c r="AI7" s="48">
        <v>0</v>
      </c>
      <c r="AJ7" s="48">
        <v>0</v>
      </c>
      <c r="AK7" s="48">
        <v>0</v>
      </c>
      <c r="AL7" s="48">
        <v>0</v>
      </c>
      <c r="AM7" s="48">
        <v>14866.97</v>
      </c>
      <c r="AN7" s="48">
        <v>0</v>
      </c>
      <c r="AO7" s="48">
        <v>0</v>
      </c>
      <c r="AP7" s="48">
        <v>158517.29999999999</v>
      </c>
      <c r="AQ7" s="48">
        <v>0</v>
      </c>
    </row>
    <row r="8" spans="1:43">
      <c r="A8" s="48" t="s">
        <v>112</v>
      </c>
      <c r="B8" s="48">
        <v>187130657.96000001</v>
      </c>
      <c r="C8" s="48">
        <v>156182342.13</v>
      </c>
      <c r="D8" s="48">
        <v>176939323.97</v>
      </c>
      <c r="E8" s="48">
        <v>325539669.19999999</v>
      </c>
      <c r="F8" s="48">
        <v>213485657.53</v>
      </c>
      <c r="G8" s="48">
        <v>167855781.74000001</v>
      </c>
      <c r="H8" s="48">
        <v>151295115.91</v>
      </c>
      <c r="I8" s="48">
        <v>312945573.50999999</v>
      </c>
      <c r="J8" s="48">
        <v>138982205.03999999</v>
      </c>
      <c r="K8" s="48">
        <v>121617278.62</v>
      </c>
      <c r="L8" s="48">
        <v>118158745.17</v>
      </c>
      <c r="M8" s="48">
        <v>194109947.72</v>
      </c>
      <c r="N8" s="48">
        <v>80339544.609999999</v>
      </c>
      <c r="O8" s="48">
        <v>86354609.780000001</v>
      </c>
      <c r="P8" s="48">
        <v>84037651.109999999</v>
      </c>
      <c r="Q8" s="48">
        <v>76079994.939999998</v>
      </c>
      <c r="R8" s="48">
        <v>47323817.689999998</v>
      </c>
      <c r="S8" s="48">
        <v>60274528.25</v>
      </c>
      <c r="T8" s="48">
        <v>65493197.130000003</v>
      </c>
      <c r="U8" s="48">
        <v>68901519.340000004</v>
      </c>
      <c r="V8" s="48">
        <v>90022861.450000003</v>
      </c>
      <c r="W8" s="48">
        <v>59328861.990000002</v>
      </c>
      <c r="X8" s="48">
        <v>66177537.810000002</v>
      </c>
      <c r="Y8" s="48">
        <v>64600236.479999997</v>
      </c>
      <c r="Z8" s="48">
        <v>62268922.969999999</v>
      </c>
      <c r="AA8" s="48">
        <v>56753805.850000001</v>
      </c>
      <c r="AB8" s="48">
        <v>55921911.149999999</v>
      </c>
      <c r="AC8" s="48">
        <v>58396755.240000002</v>
      </c>
      <c r="AD8" s="48">
        <v>46648321.509999998</v>
      </c>
      <c r="AE8" s="48">
        <v>36810470.159999996</v>
      </c>
      <c r="AF8" s="48">
        <v>39139579.200000003</v>
      </c>
      <c r="AG8" s="48">
        <v>22144319.640000001</v>
      </c>
      <c r="AH8" s="48">
        <v>21775585.510000002</v>
      </c>
      <c r="AI8" s="48">
        <v>14473123.82</v>
      </c>
      <c r="AJ8" s="48">
        <v>23793081.93</v>
      </c>
      <c r="AK8" s="48">
        <v>21888267.120000001</v>
      </c>
      <c r="AL8" s="48">
        <v>21990922.379999999</v>
      </c>
      <c r="AM8" s="48">
        <v>25118227.859999999</v>
      </c>
      <c r="AN8" s="48">
        <v>24633832.100000001</v>
      </c>
      <c r="AO8" s="48">
        <v>28212824.710000001</v>
      </c>
      <c r="AP8" s="48">
        <v>18790013.109999999</v>
      </c>
      <c r="AQ8" s="48">
        <v>0</v>
      </c>
    </row>
    <row r="9" spans="1:43">
      <c r="A9" s="48" t="s">
        <v>113</v>
      </c>
      <c r="B9" s="48">
        <v>155507995.49000001</v>
      </c>
      <c r="C9" s="48">
        <v>79056075.799999997</v>
      </c>
      <c r="D9" s="48">
        <v>61555605.960000001</v>
      </c>
      <c r="E9" s="48">
        <v>34006654.310000002</v>
      </c>
      <c r="F9" s="48">
        <v>28243141.859999999</v>
      </c>
      <c r="G9" s="48">
        <v>95537821.420000002</v>
      </c>
      <c r="H9" s="48">
        <v>29134486.609999999</v>
      </c>
      <c r="I9" s="48">
        <v>21312489.149999999</v>
      </c>
      <c r="J9" s="48">
        <v>12692836.16</v>
      </c>
      <c r="K9" s="48">
        <v>22039334.879999999</v>
      </c>
      <c r="L9" s="48">
        <v>27629533.190000001</v>
      </c>
      <c r="M9" s="48">
        <v>27627110.52</v>
      </c>
      <c r="N9" s="48">
        <v>28767435.199999999</v>
      </c>
      <c r="O9" s="48">
        <v>25860656.449999999</v>
      </c>
      <c r="P9" s="48">
        <v>17907210.82</v>
      </c>
      <c r="Q9" s="48">
        <v>21493846.489999998</v>
      </c>
      <c r="R9" s="48">
        <v>41293195.689999998</v>
      </c>
      <c r="S9" s="48">
        <v>43763972.950000003</v>
      </c>
      <c r="T9" s="48">
        <v>26630938.77</v>
      </c>
      <c r="U9" s="48">
        <v>24530182.32</v>
      </c>
      <c r="V9" s="48">
        <v>45502539.75</v>
      </c>
      <c r="W9" s="48">
        <v>84424161.890000001</v>
      </c>
      <c r="X9" s="48">
        <v>41729465.039999999</v>
      </c>
      <c r="Y9" s="48">
        <v>53526573.170000002</v>
      </c>
      <c r="Z9" s="48">
        <v>40580336.170000002</v>
      </c>
      <c r="AA9" s="48">
        <v>53587347.310000002</v>
      </c>
      <c r="AB9" s="48">
        <v>75529040.209999993</v>
      </c>
      <c r="AC9" s="48">
        <v>83343793.810000002</v>
      </c>
      <c r="AD9" s="48">
        <v>98937288.959999993</v>
      </c>
      <c r="AE9" s="48">
        <v>81830798.599999994</v>
      </c>
      <c r="AF9" s="48">
        <v>39761033.850000001</v>
      </c>
      <c r="AG9" s="48">
        <v>49822516.520000003</v>
      </c>
      <c r="AH9" s="48">
        <v>43450455.43</v>
      </c>
      <c r="AI9" s="48">
        <v>18702423.82</v>
      </c>
      <c r="AJ9" s="48">
        <v>11744920.869999999</v>
      </c>
      <c r="AK9" s="48">
        <v>12420721.68</v>
      </c>
      <c r="AL9" s="48">
        <v>11873534.859999999</v>
      </c>
      <c r="AM9" s="48">
        <v>6206662</v>
      </c>
      <c r="AN9" s="48">
        <v>4833539.95</v>
      </c>
      <c r="AO9" s="48">
        <v>8211300.21</v>
      </c>
      <c r="AP9" s="48">
        <v>17425293.890000001</v>
      </c>
      <c r="AQ9" s="48">
        <v>0</v>
      </c>
    </row>
    <row r="10" spans="1:43">
      <c r="A10" s="48" t="s">
        <v>114</v>
      </c>
      <c r="B10" s="48">
        <v>0</v>
      </c>
      <c r="C10" s="48">
        <v>0</v>
      </c>
      <c r="D10" s="48">
        <v>0</v>
      </c>
      <c r="E10" s="48">
        <v>0</v>
      </c>
      <c r="F10" s="48">
        <v>1125438.3700000001</v>
      </c>
      <c r="G10" s="48">
        <v>9949821.9299999997</v>
      </c>
      <c r="H10" s="48">
        <v>16196054.789999999</v>
      </c>
      <c r="I10" s="48">
        <v>0</v>
      </c>
      <c r="J10" s="48">
        <v>6196369.8600000003</v>
      </c>
      <c r="K10" s="48">
        <v>4663767.12</v>
      </c>
      <c r="L10" s="48">
        <v>8863150.6799999997</v>
      </c>
      <c r="M10" s="48">
        <v>847671.23</v>
      </c>
      <c r="N10" s="48">
        <v>10974553.42</v>
      </c>
      <c r="O10" s="48">
        <v>8071013.7000000002</v>
      </c>
      <c r="P10" s="48">
        <v>0</v>
      </c>
      <c r="Q10" s="48">
        <v>471664.49</v>
      </c>
      <c r="R10" s="48">
        <v>0</v>
      </c>
      <c r="S10" s="48">
        <v>0</v>
      </c>
      <c r="T10" s="48">
        <v>0</v>
      </c>
      <c r="U10" s="48">
        <v>3002589.11</v>
      </c>
      <c r="V10" s="48">
        <v>0</v>
      </c>
      <c r="W10" s="48">
        <v>0</v>
      </c>
      <c r="X10" s="48">
        <v>0</v>
      </c>
      <c r="Y10" s="48">
        <v>0</v>
      </c>
      <c r="Z10" s="48">
        <v>0</v>
      </c>
      <c r="AA10" s="48">
        <v>0</v>
      </c>
      <c r="AB10" s="48">
        <v>0</v>
      </c>
      <c r="AC10" s="48">
        <v>0</v>
      </c>
      <c r="AD10" s="48">
        <v>0</v>
      </c>
      <c r="AE10" s="48">
        <v>0</v>
      </c>
      <c r="AF10" s="48">
        <v>0</v>
      </c>
      <c r="AG10" s="48">
        <v>0</v>
      </c>
      <c r="AH10" s="48">
        <v>0</v>
      </c>
      <c r="AI10" s="48">
        <v>0</v>
      </c>
      <c r="AJ10" s="48">
        <v>0</v>
      </c>
      <c r="AK10" s="48">
        <v>0</v>
      </c>
      <c r="AL10" s="48">
        <v>0</v>
      </c>
      <c r="AM10" s="48">
        <v>0</v>
      </c>
      <c r="AN10" s="48">
        <v>0</v>
      </c>
      <c r="AO10" s="48">
        <v>0</v>
      </c>
      <c r="AP10" s="48">
        <v>0</v>
      </c>
      <c r="AQ10" s="48">
        <v>0</v>
      </c>
    </row>
    <row r="11" spans="1:43">
      <c r="A11" s="48" t="s">
        <v>115</v>
      </c>
      <c r="B11" s="48">
        <v>0</v>
      </c>
      <c r="C11" s="48">
        <v>0</v>
      </c>
      <c r="D11" s="48">
        <v>0</v>
      </c>
      <c r="E11" s="48">
        <v>0</v>
      </c>
      <c r="F11" s="48">
        <v>0</v>
      </c>
      <c r="G11" s="48">
        <v>0</v>
      </c>
      <c r="H11" s="48">
        <v>0</v>
      </c>
      <c r="I11" s="48">
        <v>0</v>
      </c>
      <c r="J11" s="48">
        <v>0</v>
      </c>
      <c r="K11" s="48">
        <v>0</v>
      </c>
      <c r="L11" s="48">
        <v>0</v>
      </c>
      <c r="M11" s="48">
        <v>0</v>
      </c>
      <c r="N11" s="48">
        <v>0</v>
      </c>
      <c r="O11" s="48">
        <v>0</v>
      </c>
      <c r="P11" s="48">
        <v>0</v>
      </c>
      <c r="Q11" s="48">
        <v>0</v>
      </c>
      <c r="R11" s="48">
        <v>0</v>
      </c>
      <c r="S11" s="48">
        <v>0</v>
      </c>
      <c r="T11" s="48">
        <v>0</v>
      </c>
      <c r="U11" s="48">
        <v>0</v>
      </c>
      <c r="V11" s="48">
        <v>0</v>
      </c>
      <c r="W11" s="48">
        <v>0</v>
      </c>
      <c r="X11" s="48">
        <v>0</v>
      </c>
      <c r="Y11" s="48">
        <v>0</v>
      </c>
      <c r="Z11" s="48">
        <v>0</v>
      </c>
      <c r="AA11" s="48">
        <v>0</v>
      </c>
      <c r="AB11" s="48">
        <v>0</v>
      </c>
      <c r="AC11" s="48">
        <v>0</v>
      </c>
      <c r="AD11" s="48">
        <v>0</v>
      </c>
      <c r="AE11" s="48">
        <v>0</v>
      </c>
      <c r="AF11" s="48">
        <v>0</v>
      </c>
      <c r="AG11" s="48">
        <v>0</v>
      </c>
      <c r="AH11" s="48">
        <v>0</v>
      </c>
      <c r="AI11" s="48">
        <v>0</v>
      </c>
      <c r="AJ11" s="48">
        <v>0</v>
      </c>
      <c r="AK11" s="48">
        <v>0</v>
      </c>
      <c r="AL11" s="48">
        <v>0</v>
      </c>
      <c r="AM11" s="48">
        <v>0</v>
      </c>
      <c r="AN11" s="48">
        <v>0</v>
      </c>
      <c r="AO11" s="48">
        <v>0</v>
      </c>
      <c r="AP11" s="48">
        <v>0</v>
      </c>
      <c r="AQ11" s="48">
        <v>0</v>
      </c>
    </row>
    <row r="12" spans="1:43">
      <c r="A12" s="48" t="s">
        <v>116</v>
      </c>
      <c r="B12" s="48">
        <v>71852632.430000007</v>
      </c>
      <c r="C12" s="48">
        <v>66850840.490000002</v>
      </c>
      <c r="D12" s="48">
        <v>78342943.75</v>
      </c>
      <c r="E12" s="48">
        <v>43590210.780000001</v>
      </c>
      <c r="F12" s="48">
        <v>64388712.520000003</v>
      </c>
      <c r="G12" s="48">
        <v>107660000.62</v>
      </c>
      <c r="H12" s="48">
        <v>53864974.630000003</v>
      </c>
      <c r="I12" s="48">
        <v>36548607.229999997</v>
      </c>
      <c r="J12" s="48">
        <v>48921310.439999998</v>
      </c>
      <c r="K12" s="48">
        <v>40182413.079999998</v>
      </c>
      <c r="L12" s="48">
        <v>32163917.690000001</v>
      </c>
      <c r="M12" s="48">
        <v>31044940.190000001</v>
      </c>
      <c r="N12" s="48">
        <v>32437334.010000002</v>
      </c>
      <c r="O12" s="48">
        <v>25154377.350000001</v>
      </c>
      <c r="P12" s="48">
        <v>38220862.579999998</v>
      </c>
      <c r="Q12" s="48">
        <v>24889163.07</v>
      </c>
      <c r="R12" s="48">
        <v>26157555.719999999</v>
      </c>
      <c r="S12" s="48">
        <v>21979047.670000002</v>
      </c>
      <c r="T12" s="48">
        <v>24740540.690000001</v>
      </c>
      <c r="U12" s="48">
        <v>23396104.289999999</v>
      </c>
      <c r="V12" s="48">
        <v>29678673.210000001</v>
      </c>
      <c r="W12" s="48">
        <v>27817437.41</v>
      </c>
      <c r="X12" s="48">
        <v>26395234.949999999</v>
      </c>
      <c r="Y12" s="48">
        <v>23943093.52</v>
      </c>
      <c r="Z12" s="48">
        <v>20117425.920000002</v>
      </c>
      <c r="AA12" s="48">
        <v>21438672.030000001</v>
      </c>
      <c r="AB12" s="48">
        <v>21314650.41</v>
      </c>
      <c r="AC12" s="48">
        <v>17091570.530000001</v>
      </c>
      <c r="AD12" s="48">
        <v>26269531.539999999</v>
      </c>
      <c r="AE12" s="48">
        <v>20445049.82</v>
      </c>
      <c r="AF12" s="48">
        <v>13714003.210000001</v>
      </c>
      <c r="AG12" s="48">
        <v>13373270.58</v>
      </c>
      <c r="AH12" s="48">
        <v>15082069.75</v>
      </c>
      <c r="AI12" s="48">
        <v>12563679.08</v>
      </c>
      <c r="AJ12" s="48">
        <v>9006173.9700000007</v>
      </c>
      <c r="AK12" s="48">
        <v>7657919.6299999999</v>
      </c>
      <c r="AL12" s="48">
        <v>10513971.869999999</v>
      </c>
      <c r="AM12" s="48">
        <v>9592169.0600000005</v>
      </c>
      <c r="AN12" s="48">
        <v>7455434.6299999999</v>
      </c>
      <c r="AO12" s="48">
        <v>8282182</v>
      </c>
      <c r="AP12" s="48">
        <v>11626236.539999999</v>
      </c>
      <c r="AQ12" s="48">
        <v>0</v>
      </c>
    </row>
    <row r="13" spans="1:43">
      <c r="A13" s="48" t="s">
        <v>117</v>
      </c>
      <c r="B13" s="48">
        <v>0</v>
      </c>
      <c r="C13" s="48">
        <v>0</v>
      </c>
      <c r="D13" s="48">
        <v>0</v>
      </c>
      <c r="E13" s="48">
        <v>0</v>
      </c>
      <c r="F13" s="48">
        <v>0</v>
      </c>
      <c r="G13" s="48">
        <v>0</v>
      </c>
      <c r="H13" s="48">
        <v>0</v>
      </c>
      <c r="I13" s="48">
        <v>0</v>
      </c>
      <c r="J13" s="48">
        <v>0</v>
      </c>
      <c r="K13" s="48">
        <v>0</v>
      </c>
      <c r="L13" s="48">
        <v>0</v>
      </c>
      <c r="M13" s="48">
        <v>0</v>
      </c>
      <c r="N13" s="48">
        <v>0</v>
      </c>
      <c r="O13" s="48">
        <v>0</v>
      </c>
      <c r="P13" s="48">
        <v>0</v>
      </c>
      <c r="Q13" s="48">
        <v>0</v>
      </c>
      <c r="R13" s="48">
        <v>0</v>
      </c>
      <c r="S13" s="48">
        <v>0</v>
      </c>
      <c r="T13" s="48">
        <v>0</v>
      </c>
      <c r="U13" s="48">
        <v>0</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row>
    <row r="14" spans="1:43">
      <c r="A14" s="48" t="s">
        <v>118</v>
      </c>
      <c r="B14" s="48">
        <v>999393529.48000002</v>
      </c>
      <c r="C14" s="48">
        <v>818032780.53999996</v>
      </c>
      <c r="D14" s="48">
        <v>746795404.14999998</v>
      </c>
      <c r="E14" s="48">
        <v>718840382.04999995</v>
      </c>
      <c r="F14" s="48">
        <v>820851385.72000003</v>
      </c>
      <c r="G14" s="48">
        <v>774650406.79999995</v>
      </c>
      <c r="H14" s="48">
        <v>726226041.11000001</v>
      </c>
      <c r="I14" s="48">
        <v>638530342.94000006</v>
      </c>
      <c r="J14" s="48">
        <v>698966925.53999996</v>
      </c>
      <c r="K14" s="48">
        <v>587925170.94000006</v>
      </c>
      <c r="L14" s="48">
        <v>565796092.24000001</v>
      </c>
      <c r="M14" s="48">
        <v>533652847.85000002</v>
      </c>
      <c r="N14" s="48">
        <v>650525217.88999999</v>
      </c>
      <c r="O14" s="48">
        <v>619197712.64999998</v>
      </c>
      <c r="P14" s="48">
        <v>557370135.13</v>
      </c>
      <c r="Q14" s="48">
        <v>531261388.54000002</v>
      </c>
      <c r="R14" s="48">
        <v>568192555.25999999</v>
      </c>
      <c r="S14" s="48">
        <v>525358158.92000002</v>
      </c>
      <c r="T14" s="48">
        <v>529607992.70999998</v>
      </c>
      <c r="U14" s="48">
        <v>573407287.41999996</v>
      </c>
      <c r="V14" s="48">
        <v>579567313.74000001</v>
      </c>
      <c r="W14" s="48">
        <v>550012582.82000005</v>
      </c>
      <c r="X14" s="48">
        <v>486279130.36000001</v>
      </c>
      <c r="Y14" s="48">
        <v>437231060.58999997</v>
      </c>
      <c r="Z14" s="48">
        <v>459814024.52999997</v>
      </c>
      <c r="AA14" s="48">
        <v>491454809.50999999</v>
      </c>
      <c r="AB14" s="48">
        <v>520517931.63999999</v>
      </c>
      <c r="AC14" s="48">
        <v>517055400.97000003</v>
      </c>
      <c r="AD14" s="48">
        <v>480801176.99000001</v>
      </c>
      <c r="AE14" s="48">
        <v>363216710.76999998</v>
      </c>
      <c r="AF14" s="48">
        <v>367129263.45999998</v>
      </c>
      <c r="AG14" s="48">
        <v>415122019.25999999</v>
      </c>
      <c r="AH14" s="48">
        <v>419263192.25999999</v>
      </c>
      <c r="AI14" s="48">
        <v>356433632.55000001</v>
      </c>
      <c r="AJ14" s="48">
        <v>242099788.90000001</v>
      </c>
      <c r="AK14" s="48">
        <v>197238388.81</v>
      </c>
      <c r="AL14" s="48">
        <v>206845537.66999999</v>
      </c>
      <c r="AM14" s="48">
        <v>187254037.84</v>
      </c>
      <c r="AN14" s="48">
        <v>219121693.63</v>
      </c>
      <c r="AO14" s="48">
        <v>145816330.52000001</v>
      </c>
      <c r="AP14" s="48">
        <v>122230341.95</v>
      </c>
      <c r="AQ14" s="48">
        <v>0</v>
      </c>
    </row>
    <row r="15" spans="1:43">
      <c r="A15" s="48" t="s">
        <v>119</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row>
    <row r="16" spans="1:43">
      <c r="A16" s="48" t="s">
        <v>120</v>
      </c>
      <c r="B16" s="48">
        <v>0</v>
      </c>
      <c r="C16" s="48">
        <v>0</v>
      </c>
      <c r="D16" s="48">
        <v>0</v>
      </c>
      <c r="E16" s="48">
        <v>0</v>
      </c>
      <c r="F16" s="48">
        <v>0</v>
      </c>
      <c r="G16" s="48">
        <v>0</v>
      </c>
      <c r="H16" s="48">
        <v>0</v>
      </c>
      <c r="I16" s="48">
        <v>0</v>
      </c>
      <c r="J16" s="48">
        <v>0</v>
      </c>
      <c r="K16" s="48">
        <v>0</v>
      </c>
      <c r="L16" s="48">
        <v>0</v>
      </c>
      <c r="M16" s="48">
        <v>0</v>
      </c>
      <c r="N16" s="48">
        <v>0</v>
      </c>
      <c r="O16" s="48">
        <v>0</v>
      </c>
      <c r="P16" s="48">
        <v>0</v>
      </c>
      <c r="Q16" s="48">
        <v>0</v>
      </c>
      <c r="R16" s="48">
        <v>0</v>
      </c>
      <c r="S16" s="48">
        <v>0</v>
      </c>
      <c r="T16" s="48">
        <v>0</v>
      </c>
      <c r="U16" s="48">
        <v>0</v>
      </c>
      <c r="V16" s="48">
        <v>0</v>
      </c>
      <c r="W16" s="48">
        <v>0</v>
      </c>
      <c r="X16" s="48">
        <v>0</v>
      </c>
      <c r="Y16" s="48">
        <v>0</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row>
    <row r="17" spans="1:43">
      <c r="A17" s="48" t="s">
        <v>121</v>
      </c>
      <c r="B17" s="48">
        <v>0</v>
      </c>
      <c r="C17" s="48">
        <v>0</v>
      </c>
      <c r="D17" s="48">
        <v>0</v>
      </c>
      <c r="E17" s="48">
        <v>0</v>
      </c>
      <c r="F17" s="48">
        <v>0</v>
      </c>
      <c r="G17" s="48">
        <v>0</v>
      </c>
      <c r="H17" s="48">
        <v>0</v>
      </c>
      <c r="I17" s="48">
        <v>0</v>
      </c>
      <c r="J17" s="48">
        <v>0</v>
      </c>
      <c r="K17" s="48">
        <v>0</v>
      </c>
      <c r="L17" s="48">
        <v>0</v>
      </c>
      <c r="M17" s="48">
        <v>0</v>
      </c>
      <c r="N17" s="48">
        <v>0</v>
      </c>
      <c r="O17" s="48">
        <v>0</v>
      </c>
      <c r="P17" s="48">
        <v>0</v>
      </c>
      <c r="Q17" s="48">
        <v>0</v>
      </c>
      <c r="R17" s="48">
        <v>0</v>
      </c>
      <c r="S17" s="48">
        <v>0</v>
      </c>
      <c r="T17" s="48">
        <v>0</v>
      </c>
      <c r="U17" s="48">
        <v>0</v>
      </c>
      <c r="V17" s="48">
        <v>0</v>
      </c>
      <c r="W17" s="48">
        <v>0</v>
      </c>
      <c r="X17" s="48">
        <v>0</v>
      </c>
      <c r="Y17" s="48">
        <v>0</v>
      </c>
      <c r="Z17" s="48">
        <v>0</v>
      </c>
      <c r="AA17" s="48">
        <v>0</v>
      </c>
      <c r="AB17" s="48">
        <v>0</v>
      </c>
      <c r="AC17" s="48">
        <v>0</v>
      </c>
      <c r="AD17" s="48">
        <v>0</v>
      </c>
      <c r="AE17" s="48">
        <v>0</v>
      </c>
      <c r="AF17" s="48">
        <v>0</v>
      </c>
      <c r="AG17" s="48">
        <v>0</v>
      </c>
      <c r="AH17" s="48">
        <v>0</v>
      </c>
      <c r="AI17" s="48">
        <v>0</v>
      </c>
      <c r="AJ17" s="48">
        <v>0</v>
      </c>
      <c r="AK17" s="48">
        <v>0</v>
      </c>
      <c r="AL17" s="48">
        <v>0</v>
      </c>
      <c r="AM17" s="48">
        <v>0</v>
      </c>
      <c r="AN17" s="48">
        <v>0</v>
      </c>
      <c r="AO17" s="48">
        <v>0</v>
      </c>
      <c r="AP17" s="48">
        <v>0</v>
      </c>
      <c r="AQ17" s="48">
        <v>0</v>
      </c>
    </row>
    <row r="18" spans="1:43">
      <c r="A18" s="48" t="s">
        <v>122</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row>
    <row r="19" spans="1:43">
      <c r="A19" s="48" t="s">
        <v>123</v>
      </c>
      <c r="B19" s="48">
        <v>877323571.88</v>
      </c>
      <c r="C19" s="48">
        <v>970956309.22000003</v>
      </c>
      <c r="D19" s="48">
        <v>1007155161.76</v>
      </c>
      <c r="E19" s="48">
        <v>767373947.20000005</v>
      </c>
      <c r="F19" s="48">
        <v>485390010.81</v>
      </c>
      <c r="G19" s="48">
        <v>625397485.74000001</v>
      </c>
      <c r="H19" s="48">
        <v>627614111.41999996</v>
      </c>
      <c r="I19" s="48">
        <v>503946854.17000002</v>
      </c>
      <c r="J19" s="48">
        <v>545515984.00999999</v>
      </c>
      <c r="K19" s="48">
        <v>578708858.32000005</v>
      </c>
      <c r="L19" s="48">
        <v>435415211.82999998</v>
      </c>
      <c r="M19" s="48">
        <v>210177771.93000001</v>
      </c>
      <c r="N19" s="48">
        <v>240696427.49000001</v>
      </c>
      <c r="O19" s="48">
        <v>414026893.63</v>
      </c>
      <c r="P19" s="48">
        <v>358377518.20999998</v>
      </c>
      <c r="Q19" s="48">
        <v>356274299.75</v>
      </c>
      <c r="R19" s="48">
        <v>354890848.63</v>
      </c>
      <c r="S19" s="48">
        <v>354942974.41000003</v>
      </c>
      <c r="T19" s="48">
        <v>264440494.38</v>
      </c>
      <c r="U19" s="48">
        <v>285484096.58999997</v>
      </c>
      <c r="V19" s="48">
        <v>247966464.37</v>
      </c>
      <c r="W19" s="48">
        <v>284302674.70999998</v>
      </c>
      <c r="X19" s="48">
        <v>252729854.28</v>
      </c>
      <c r="Y19" s="48">
        <v>202702581.62</v>
      </c>
      <c r="Z19" s="48">
        <v>1633429.46</v>
      </c>
      <c r="AA19" s="48">
        <v>2394363.7000000002</v>
      </c>
      <c r="AB19" s="48">
        <v>2636305.23</v>
      </c>
      <c r="AC19" s="48">
        <v>4791402.1900000004</v>
      </c>
      <c r="AD19" s="48">
        <v>2244822.94</v>
      </c>
      <c r="AE19" s="48">
        <v>1030691.35</v>
      </c>
      <c r="AF19" s="48">
        <v>1939209.27</v>
      </c>
      <c r="AG19" s="48">
        <v>7491565.4500000002</v>
      </c>
      <c r="AH19" s="48">
        <v>13926381</v>
      </c>
      <c r="AI19" s="48">
        <v>12619555.65</v>
      </c>
      <c r="AJ19" s="48">
        <v>1059581.46</v>
      </c>
      <c r="AK19" s="48">
        <v>566858.41</v>
      </c>
      <c r="AL19" s="48">
        <v>1104624.3899999999</v>
      </c>
      <c r="AM19" s="48">
        <v>234665.26</v>
      </c>
      <c r="AN19" s="48">
        <v>1852423.38</v>
      </c>
      <c r="AO19" s="48">
        <v>2957137.06</v>
      </c>
      <c r="AP19" s="48">
        <v>0</v>
      </c>
      <c r="AQ19" s="48">
        <v>0</v>
      </c>
    </row>
    <row r="20" spans="1:43">
      <c r="A20" s="48" t="s">
        <v>124</v>
      </c>
      <c r="B20" s="48">
        <v>2618588264.02</v>
      </c>
      <c r="C20" s="48">
        <v>2574105922.25</v>
      </c>
      <c r="D20" s="48">
        <v>2721138552.04</v>
      </c>
      <c r="E20" s="48">
        <v>2377144339.8400002</v>
      </c>
      <c r="F20" s="48">
        <v>2066928243.1800001</v>
      </c>
      <c r="G20" s="48">
        <v>2051776745.4000001</v>
      </c>
      <c r="H20" s="48">
        <v>2041730093.74</v>
      </c>
      <c r="I20" s="48">
        <v>2066726384.55</v>
      </c>
      <c r="J20" s="48">
        <v>1844460494.22</v>
      </c>
      <c r="K20" s="48">
        <v>1782760832.9400001</v>
      </c>
      <c r="L20" s="48">
        <v>1750036687.3599999</v>
      </c>
      <c r="M20" s="48">
        <v>1745399523.71</v>
      </c>
      <c r="N20" s="48">
        <v>1843921080.4300001</v>
      </c>
      <c r="O20" s="48">
        <v>1744340593.3599999</v>
      </c>
      <c r="P20" s="48">
        <v>1965349600.6700001</v>
      </c>
      <c r="Q20" s="48">
        <v>1981825371.6199999</v>
      </c>
      <c r="R20" s="48">
        <v>1798630615.29</v>
      </c>
      <c r="S20" s="48">
        <v>1672435432.9100001</v>
      </c>
      <c r="T20" s="48">
        <v>1674343559.28</v>
      </c>
      <c r="U20" s="48">
        <v>1683151359.46</v>
      </c>
      <c r="V20" s="48">
        <v>1493917966.1800001</v>
      </c>
      <c r="W20" s="48">
        <v>1508127242.1900001</v>
      </c>
      <c r="X20" s="48">
        <v>1475557721.74</v>
      </c>
      <c r="Y20" s="48">
        <v>1455383776.8399999</v>
      </c>
      <c r="Z20" s="48">
        <v>1227903865.3199999</v>
      </c>
      <c r="AA20" s="48">
        <v>1113665619.1900001</v>
      </c>
      <c r="AB20" s="48">
        <v>1186253222.6700001</v>
      </c>
      <c r="AC20" s="48">
        <v>1214858630.5899999</v>
      </c>
      <c r="AD20" s="48">
        <v>1178647271.77</v>
      </c>
      <c r="AE20" s="48">
        <v>1146052947.25</v>
      </c>
      <c r="AF20" s="48">
        <v>1127005900.3599999</v>
      </c>
      <c r="AG20" s="48">
        <v>1174472364.05</v>
      </c>
      <c r="AH20" s="48">
        <v>1142236207.1099999</v>
      </c>
      <c r="AI20" s="48">
        <v>1134580949.47</v>
      </c>
      <c r="AJ20" s="48">
        <v>1124636872.77</v>
      </c>
      <c r="AK20" s="48">
        <v>1093215208.23</v>
      </c>
      <c r="AL20" s="48">
        <v>331524608.11000001</v>
      </c>
      <c r="AM20" s="48">
        <v>291890578.00999999</v>
      </c>
      <c r="AN20" s="48">
        <v>336374147.5</v>
      </c>
      <c r="AO20" s="48">
        <v>272476836.33999997</v>
      </c>
      <c r="AP20" s="48">
        <v>214480087.99000001</v>
      </c>
      <c r="AQ20" s="48">
        <v>0</v>
      </c>
    </row>
    <row r="21" spans="1:43">
      <c r="A21" s="48" t="s">
        <v>125</v>
      </c>
    </row>
    <row r="22" spans="1:43">
      <c r="A22" s="48" t="s">
        <v>126</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row>
    <row r="23" spans="1:43">
      <c r="A23" s="48" t="s">
        <v>127</v>
      </c>
      <c r="B23" s="48">
        <v>224500000</v>
      </c>
      <c r="C23" s="48">
        <v>224500000</v>
      </c>
      <c r="D23" s="48">
        <v>224500000</v>
      </c>
      <c r="E23" s="48">
        <v>224500000</v>
      </c>
      <c r="F23" s="48">
        <v>224500000</v>
      </c>
      <c r="G23" s="48">
        <v>224500000</v>
      </c>
      <c r="H23" s="48">
        <v>224500000</v>
      </c>
      <c r="I23" s="48">
        <v>224500000</v>
      </c>
      <c r="J23" s="48">
        <v>224500000</v>
      </c>
      <c r="K23" s="48">
        <v>224500000</v>
      </c>
      <c r="L23" s="48">
        <v>224500000</v>
      </c>
      <c r="M23" s="48">
        <v>224500000</v>
      </c>
      <c r="N23" s="48">
        <v>0</v>
      </c>
      <c r="O23" s="48">
        <v>0</v>
      </c>
      <c r="P23" s="48">
        <v>0</v>
      </c>
      <c r="Q23" s="48">
        <v>0</v>
      </c>
      <c r="R23" s="48">
        <v>0</v>
      </c>
      <c r="S23" s="48">
        <v>0</v>
      </c>
      <c r="T23" s="48">
        <v>0</v>
      </c>
      <c r="U23" s="48">
        <v>0</v>
      </c>
      <c r="V23" s="48">
        <v>0</v>
      </c>
      <c r="W23" s="48">
        <v>0</v>
      </c>
      <c r="X23" s="48">
        <v>0</v>
      </c>
      <c r="Y23" s="48">
        <v>0</v>
      </c>
      <c r="Z23" s="48">
        <v>0</v>
      </c>
      <c r="AA23" s="48">
        <v>0</v>
      </c>
      <c r="AB23" s="48">
        <v>0</v>
      </c>
      <c r="AC23" s="48">
        <v>0</v>
      </c>
      <c r="AD23" s="48">
        <v>0</v>
      </c>
      <c r="AE23" s="48">
        <v>0</v>
      </c>
      <c r="AF23" s="48">
        <v>0</v>
      </c>
      <c r="AG23" s="48">
        <v>0</v>
      </c>
      <c r="AH23" s="48">
        <v>0</v>
      </c>
      <c r="AI23" s="48">
        <v>0</v>
      </c>
      <c r="AJ23" s="48">
        <v>0</v>
      </c>
      <c r="AK23" s="48">
        <v>0</v>
      </c>
      <c r="AL23" s="48">
        <v>0</v>
      </c>
      <c r="AM23" s="48">
        <v>0</v>
      </c>
      <c r="AN23" s="48">
        <v>0</v>
      </c>
      <c r="AO23" s="48">
        <v>0</v>
      </c>
      <c r="AP23" s="48">
        <v>0</v>
      </c>
      <c r="AQ23" s="48">
        <v>0</v>
      </c>
    </row>
    <row r="24" spans="1:43">
      <c r="A24" s="48" t="s">
        <v>128</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0</v>
      </c>
    </row>
    <row r="25" spans="1:43">
      <c r="A25" s="48" t="s">
        <v>129</v>
      </c>
      <c r="B25" s="48">
        <v>0</v>
      </c>
      <c r="C25" s="48">
        <v>0</v>
      </c>
      <c r="D25" s="48">
        <v>0</v>
      </c>
      <c r="E25" s="48">
        <v>0</v>
      </c>
      <c r="F25" s="48">
        <v>0</v>
      </c>
      <c r="G25" s="48">
        <v>0</v>
      </c>
      <c r="H25" s="48">
        <v>0</v>
      </c>
      <c r="I25" s="48">
        <v>0</v>
      </c>
      <c r="J25" s="48">
        <v>0</v>
      </c>
      <c r="K25" s="48">
        <v>0</v>
      </c>
      <c r="L25" s="48">
        <v>0</v>
      </c>
      <c r="M25" s="48">
        <v>0</v>
      </c>
      <c r="N25" s="48">
        <v>0</v>
      </c>
      <c r="O25" s="48">
        <v>0</v>
      </c>
      <c r="P25" s="48">
        <v>0</v>
      </c>
      <c r="Q25" s="48">
        <v>0</v>
      </c>
      <c r="R25" s="48">
        <v>0</v>
      </c>
      <c r="S25" s="48">
        <v>0</v>
      </c>
      <c r="T25" s="48">
        <v>0</v>
      </c>
      <c r="U25" s="48">
        <v>0</v>
      </c>
      <c r="V25" s="48">
        <v>0</v>
      </c>
      <c r="W25" s="48">
        <v>0</v>
      </c>
      <c r="X25" s="48">
        <v>0</v>
      </c>
      <c r="Y25" s="48">
        <v>0</v>
      </c>
      <c r="Z25" s="48">
        <v>0</v>
      </c>
      <c r="AA25" s="48">
        <v>0</v>
      </c>
      <c r="AB25" s="48">
        <v>0</v>
      </c>
      <c r="AC25" s="48">
        <v>0</v>
      </c>
      <c r="AD25" s="48">
        <v>0</v>
      </c>
      <c r="AE25" s="48">
        <v>0</v>
      </c>
      <c r="AF25" s="48">
        <v>0</v>
      </c>
      <c r="AG25" s="48">
        <v>0</v>
      </c>
      <c r="AH25" s="48">
        <v>0</v>
      </c>
      <c r="AI25" s="48">
        <v>0</v>
      </c>
      <c r="AJ25" s="48">
        <v>0</v>
      </c>
      <c r="AK25" s="48">
        <v>0</v>
      </c>
      <c r="AL25" s="48">
        <v>0</v>
      </c>
      <c r="AM25" s="48">
        <v>0</v>
      </c>
      <c r="AN25" s="48">
        <v>0</v>
      </c>
      <c r="AO25" s="48">
        <v>0</v>
      </c>
      <c r="AP25" s="48">
        <v>0</v>
      </c>
      <c r="AQ25" s="48">
        <v>0</v>
      </c>
    </row>
    <row r="26" spans="1:43">
      <c r="A26" s="48" t="s">
        <v>130</v>
      </c>
      <c r="B26" s="48">
        <v>0</v>
      </c>
      <c r="C26" s="48">
        <v>0</v>
      </c>
      <c r="D26" s="48">
        <v>0</v>
      </c>
      <c r="E26" s="48">
        <v>0</v>
      </c>
      <c r="F26" s="48">
        <v>0</v>
      </c>
      <c r="G26" s="48">
        <v>0</v>
      </c>
      <c r="H26" s="48">
        <v>0</v>
      </c>
      <c r="I26" s="48">
        <v>0</v>
      </c>
      <c r="J26" s="48">
        <v>0</v>
      </c>
      <c r="K26" s="48">
        <v>0</v>
      </c>
      <c r="L26" s="48">
        <v>0</v>
      </c>
      <c r="M26" s="48">
        <v>0</v>
      </c>
      <c r="N26" s="48">
        <v>224500000</v>
      </c>
      <c r="O26" s="48">
        <v>224500000</v>
      </c>
      <c r="P26" s="48">
        <v>0</v>
      </c>
      <c r="Q26" s="48">
        <v>0</v>
      </c>
      <c r="R26" s="48">
        <v>0</v>
      </c>
      <c r="S26" s="48">
        <v>0</v>
      </c>
      <c r="T26" s="48">
        <v>0</v>
      </c>
      <c r="U26" s="48">
        <v>0</v>
      </c>
      <c r="V26" s="48">
        <v>0</v>
      </c>
      <c r="W26" s="48">
        <v>0</v>
      </c>
      <c r="X26" s="48">
        <v>0</v>
      </c>
      <c r="Y26" s="48">
        <v>0</v>
      </c>
      <c r="Z26" s="48">
        <v>0</v>
      </c>
      <c r="AA26" s="48">
        <v>0</v>
      </c>
      <c r="AB26" s="48">
        <v>0</v>
      </c>
      <c r="AC26" s="48">
        <v>0</v>
      </c>
      <c r="AD26" s="48">
        <v>0</v>
      </c>
      <c r="AE26" s="48">
        <v>0</v>
      </c>
      <c r="AF26" s="48">
        <v>0</v>
      </c>
      <c r="AG26" s="48">
        <v>0</v>
      </c>
      <c r="AH26" s="48">
        <v>0</v>
      </c>
      <c r="AI26" s="48">
        <v>0</v>
      </c>
      <c r="AJ26" s="48">
        <v>0</v>
      </c>
      <c r="AK26" s="48">
        <v>0</v>
      </c>
      <c r="AL26" s="48">
        <v>0</v>
      </c>
      <c r="AM26" s="48">
        <v>0</v>
      </c>
      <c r="AN26" s="48">
        <v>0</v>
      </c>
      <c r="AO26" s="48">
        <v>0</v>
      </c>
      <c r="AP26" s="48">
        <v>0</v>
      </c>
      <c r="AQ26" s="48">
        <v>0</v>
      </c>
    </row>
    <row r="27" spans="1:43">
      <c r="A27" s="48" t="s">
        <v>131</v>
      </c>
      <c r="B27" s="48">
        <v>0</v>
      </c>
      <c r="C27" s="48">
        <v>0</v>
      </c>
      <c r="D27" s="48">
        <v>0</v>
      </c>
      <c r="E27" s="48">
        <v>0</v>
      </c>
      <c r="F27" s="48">
        <v>0</v>
      </c>
      <c r="G27" s="48">
        <v>0</v>
      </c>
      <c r="H27" s="48">
        <v>0</v>
      </c>
      <c r="I27" s="48">
        <v>0</v>
      </c>
      <c r="J27" s="48">
        <v>0</v>
      </c>
      <c r="K27" s="48">
        <v>0</v>
      </c>
      <c r="L27" s="48">
        <v>0</v>
      </c>
      <c r="M27" s="48">
        <v>0</v>
      </c>
      <c r="N27" s="48">
        <v>0</v>
      </c>
      <c r="O27" s="48">
        <v>0</v>
      </c>
      <c r="P27" s="48">
        <v>0</v>
      </c>
      <c r="Q27" s="48">
        <v>0</v>
      </c>
      <c r="R27" s="48">
        <v>0</v>
      </c>
      <c r="S27" s="48">
        <v>0</v>
      </c>
      <c r="T27" s="48">
        <v>0</v>
      </c>
      <c r="U27" s="48">
        <v>0</v>
      </c>
      <c r="V27" s="48">
        <v>0</v>
      </c>
      <c r="W27" s="48">
        <v>0</v>
      </c>
      <c r="X27" s="48">
        <v>0</v>
      </c>
      <c r="Y27" s="48">
        <v>0</v>
      </c>
      <c r="Z27" s="48">
        <v>0</v>
      </c>
      <c r="AA27" s="48">
        <v>0</v>
      </c>
      <c r="AB27" s="48">
        <v>0</v>
      </c>
      <c r="AC27" s="48">
        <v>0</v>
      </c>
      <c r="AD27" s="48">
        <v>0</v>
      </c>
      <c r="AE27" s="48">
        <v>0</v>
      </c>
      <c r="AF27" s="48">
        <v>0</v>
      </c>
      <c r="AG27" s="48">
        <v>0</v>
      </c>
      <c r="AH27" s="48">
        <v>0</v>
      </c>
      <c r="AI27" s="48">
        <v>0</v>
      </c>
      <c r="AJ27" s="48">
        <v>0</v>
      </c>
      <c r="AK27" s="48">
        <v>0</v>
      </c>
      <c r="AL27" s="48">
        <v>0</v>
      </c>
      <c r="AM27" s="48">
        <v>0</v>
      </c>
      <c r="AN27" s="48">
        <v>0</v>
      </c>
      <c r="AO27" s="48">
        <v>0</v>
      </c>
      <c r="AP27" s="48">
        <v>0</v>
      </c>
      <c r="AQ27" s="48">
        <v>0</v>
      </c>
    </row>
    <row r="28" spans="1:43">
      <c r="A28" s="48" t="s">
        <v>132</v>
      </c>
      <c r="B28" s="48">
        <v>948398242.05999994</v>
      </c>
      <c r="C28" s="48">
        <v>954187061.10000002</v>
      </c>
      <c r="D28" s="48">
        <v>961714772.54999995</v>
      </c>
      <c r="E28" s="48">
        <v>815342082.17999995</v>
      </c>
      <c r="F28" s="48">
        <v>752305153.73000002</v>
      </c>
      <c r="G28" s="48">
        <v>524905043.54000002</v>
      </c>
      <c r="H28" s="48">
        <v>520223481.81999999</v>
      </c>
      <c r="I28" s="48">
        <v>530026346.56</v>
      </c>
      <c r="J28" s="48">
        <v>524914809.54000002</v>
      </c>
      <c r="K28" s="48">
        <v>530954187.06</v>
      </c>
      <c r="L28" s="48">
        <v>488197977.81999999</v>
      </c>
      <c r="M28" s="48">
        <v>495341526.29000002</v>
      </c>
      <c r="N28" s="48">
        <v>502895584.88999999</v>
      </c>
      <c r="O28" s="48">
        <v>507014767.98000002</v>
      </c>
      <c r="P28" s="48">
        <v>429746459.43000001</v>
      </c>
      <c r="Q28" s="48">
        <v>432445879.74000001</v>
      </c>
      <c r="R28" s="48">
        <v>427121260.16000003</v>
      </c>
      <c r="S28" s="48">
        <v>434578462.27999997</v>
      </c>
      <c r="T28" s="48">
        <v>439934618.01999998</v>
      </c>
      <c r="U28" s="48">
        <v>447360604.94999999</v>
      </c>
      <c r="V28" s="48">
        <v>368987688.86000001</v>
      </c>
      <c r="W28" s="48">
        <v>373320283.14999998</v>
      </c>
      <c r="X28" s="48">
        <v>380173787.20999998</v>
      </c>
      <c r="Y28" s="48">
        <v>385006852.82999998</v>
      </c>
      <c r="Z28" s="48">
        <v>361422262.94999999</v>
      </c>
      <c r="AA28" s="48">
        <v>354053486.66000003</v>
      </c>
      <c r="AB28" s="48">
        <v>330957271.04000002</v>
      </c>
      <c r="AC28" s="48">
        <v>323011952.06</v>
      </c>
      <c r="AD28" s="48">
        <v>221264991.80000001</v>
      </c>
      <c r="AE28" s="48">
        <v>181481015.44999999</v>
      </c>
      <c r="AF28" s="48">
        <v>183714584.72999999</v>
      </c>
      <c r="AG28" s="48">
        <v>185109440.22</v>
      </c>
      <c r="AH28" s="48">
        <v>145142431.74000001</v>
      </c>
      <c r="AI28" s="48">
        <v>123089184.36</v>
      </c>
      <c r="AJ28" s="48">
        <v>97590101.459999993</v>
      </c>
      <c r="AK28" s="48">
        <v>94362953.319999993</v>
      </c>
      <c r="AL28" s="48">
        <v>88722090.650000006</v>
      </c>
      <c r="AM28" s="48">
        <v>89361471.689999998</v>
      </c>
      <c r="AN28" s="48">
        <v>93861048.629999995</v>
      </c>
      <c r="AO28" s="48">
        <v>92933592.739999995</v>
      </c>
      <c r="AP28" s="48">
        <v>38100674.619999997</v>
      </c>
      <c r="AQ28" s="48">
        <v>0</v>
      </c>
    </row>
    <row r="29" spans="1:43">
      <c r="A29" s="48" t="s">
        <v>133</v>
      </c>
      <c r="B29" s="48">
        <v>277770971.56</v>
      </c>
      <c r="C29" s="48">
        <v>262862082.59</v>
      </c>
      <c r="D29" s="48">
        <v>255994137.94</v>
      </c>
      <c r="E29" s="48">
        <v>389201610.39999998</v>
      </c>
      <c r="F29" s="48">
        <v>405292752.61000001</v>
      </c>
      <c r="G29" s="48">
        <v>396515296.94</v>
      </c>
      <c r="H29" s="48">
        <v>388917745.18000001</v>
      </c>
      <c r="I29" s="48">
        <v>373980658.19999999</v>
      </c>
      <c r="J29" s="48">
        <v>256395757.41999999</v>
      </c>
      <c r="K29" s="48">
        <v>247397047.40000001</v>
      </c>
      <c r="L29" s="48">
        <v>238743564.03999999</v>
      </c>
      <c r="M29" s="48">
        <v>224244704.59</v>
      </c>
      <c r="N29" s="48">
        <v>220879459.59</v>
      </c>
      <c r="O29" s="48">
        <v>218306906.38999999</v>
      </c>
      <c r="P29" s="48">
        <v>278273642.06</v>
      </c>
      <c r="Q29" s="48">
        <v>242053707.75999999</v>
      </c>
      <c r="R29" s="48">
        <v>207596260.99000001</v>
      </c>
      <c r="S29" s="48">
        <v>189056196.19</v>
      </c>
      <c r="T29" s="48">
        <v>156985284.19</v>
      </c>
      <c r="U29" s="48">
        <v>136921886.69</v>
      </c>
      <c r="V29" s="48">
        <v>189331616.44999999</v>
      </c>
      <c r="W29" s="48">
        <v>178064542.44999999</v>
      </c>
      <c r="X29" s="48">
        <v>159637830.02000001</v>
      </c>
      <c r="Y29" s="48">
        <v>141588427.96000001</v>
      </c>
      <c r="Z29" s="48">
        <v>112997842.91</v>
      </c>
      <c r="AA29" s="48">
        <v>110211473.90000001</v>
      </c>
      <c r="AB29" s="48">
        <v>102946258.45</v>
      </c>
      <c r="AC29" s="48">
        <v>81276149.810000002</v>
      </c>
      <c r="AD29" s="48">
        <v>91787975.109999999</v>
      </c>
      <c r="AE29" s="48">
        <v>66537928.200000003</v>
      </c>
      <c r="AF29" s="48">
        <v>50158098.979999997</v>
      </c>
      <c r="AG29" s="48">
        <v>29529180.379999999</v>
      </c>
      <c r="AH29" s="48">
        <v>26168678.559999999</v>
      </c>
      <c r="AI29" s="48">
        <v>18554416.75</v>
      </c>
      <c r="AJ29" s="48">
        <v>28497359.23</v>
      </c>
      <c r="AK29" s="48">
        <v>16508136.619999999</v>
      </c>
      <c r="AL29" s="48">
        <v>6282040.3499999996</v>
      </c>
      <c r="AM29" s="48">
        <v>1881891.24</v>
      </c>
      <c r="AN29" s="48">
        <v>1739457.9</v>
      </c>
      <c r="AO29" s="48">
        <v>5611323.8200000003</v>
      </c>
      <c r="AP29" s="48">
        <v>23148816.52</v>
      </c>
      <c r="AQ29" s="48">
        <v>0</v>
      </c>
    </row>
    <row r="30" spans="1:43">
      <c r="A30" s="48" t="s">
        <v>134</v>
      </c>
      <c r="B30" s="48">
        <v>0</v>
      </c>
      <c r="C30" s="48">
        <v>0</v>
      </c>
      <c r="D30" s="48">
        <v>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0</v>
      </c>
      <c r="AH30" s="48">
        <v>0</v>
      </c>
      <c r="AI30" s="48">
        <v>0</v>
      </c>
      <c r="AJ30" s="48">
        <v>0</v>
      </c>
      <c r="AK30" s="48">
        <v>0</v>
      </c>
      <c r="AL30" s="48">
        <v>0</v>
      </c>
      <c r="AM30" s="48">
        <v>0</v>
      </c>
      <c r="AN30" s="48">
        <v>0</v>
      </c>
      <c r="AO30" s="48">
        <v>0</v>
      </c>
      <c r="AP30" s="48">
        <v>0</v>
      </c>
      <c r="AQ30" s="48">
        <v>0</v>
      </c>
    </row>
    <row r="31" spans="1:43">
      <c r="A31" s="48" t="s">
        <v>135</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row>
    <row r="32" spans="1:43">
      <c r="A32" s="48" t="s">
        <v>136</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row>
    <row r="33" spans="1:43">
      <c r="A33" s="48" t="s">
        <v>137</v>
      </c>
      <c r="B33" s="48">
        <v>0</v>
      </c>
      <c r="C33" s="48">
        <v>0</v>
      </c>
      <c r="D33" s="48">
        <v>0</v>
      </c>
      <c r="E33" s="48">
        <v>0</v>
      </c>
      <c r="F33" s="48">
        <v>0</v>
      </c>
      <c r="G33" s="48">
        <v>0</v>
      </c>
      <c r="H33" s="48">
        <v>0</v>
      </c>
      <c r="I33" s="48">
        <v>0</v>
      </c>
      <c r="J33" s="48">
        <v>0</v>
      </c>
      <c r="K33" s="48">
        <v>0</v>
      </c>
      <c r="L33" s="48">
        <v>0</v>
      </c>
      <c r="M33" s="48">
        <v>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row>
    <row r="34" spans="1:43">
      <c r="A34" s="48" t="s">
        <v>138</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0</v>
      </c>
      <c r="AD34" s="48">
        <v>0</v>
      </c>
      <c r="AE34" s="48">
        <v>0</v>
      </c>
      <c r="AF34" s="48">
        <v>0</v>
      </c>
      <c r="AG34" s="48">
        <v>0</v>
      </c>
      <c r="AH34" s="48">
        <v>0</v>
      </c>
      <c r="AI34" s="48">
        <v>0</v>
      </c>
      <c r="AJ34" s="48">
        <v>0</v>
      </c>
      <c r="AK34" s="48">
        <v>0</v>
      </c>
      <c r="AL34" s="48">
        <v>0</v>
      </c>
      <c r="AM34" s="48">
        <v>0</v>
      </c>
      <c r="AN34" s="48">
        <v>0</v>
      </c>
      <c r="AO34" s="48">
        <v>0</v>
      </c>
      <c r="AP34" s="48">
        <v>0</v>
      </c>
      <c r="AQ34" s="48">
        <v>0</v>
      </c>
    </row>
    <row r="35" spans="1:43">
      <c r="A35" s="48" t="s">
        <v>139</v>
      </c>
      <c r="B35" s="48">
        <v>100500779.45</v>
      </c>
      <c r="C35" s="48">
        <v>101265940.59</v>
      </c>
      <c r="D35" s="48">
        <v>102364508.72</v>
      </c>
      <c r="E35" s="48">
        <v>103596982.42</v>
      </c>
      <c r="F35" s="48">
        <v>104264691.48999999</v>
      </c>
      <c r="G35" s="48">
        <v>69420406.549999997</v>
      </c>
      <c r="H35" s="48">
        <v>71094904.989999995</v>
      </c>
      <c r="I35" s="48">
        <v>70346217.299999997</v>
      </c>
      <c r="J35" s="48">
        <v>68471038.280000001</v>
      </c>
      <c r="K35" s="48">
        <v>68894593.049999997</v>
      </c>
      <c r="L35" s="48">
        <v>69318116.480000004</v>
      </c>
      <c r="M35" s="48">
        <v>69741702.560000002</v>
      </c>
      <c r="N35" s="48">
        <v>70170694.620000005</v>
      </c>
      <c r="O35" s="48">
        <v>70594280.700000003</v>
      </c>
      <c r="P35" s="48">
        <v>71487143.75</v>
      </c>
      <c r="Q35" s="48">
        <v>72385391.950000003</v>
      </c>
      <c r="R35" s="48">
        <v>73283640.120000005</v>
      </c>
      <c r="S35" s="48">
        <v>74181888.319999993</v>
      </c>
      <c r="T35" s="48">
        <v>75080136.489999995</v>
      </c>
      <c r="U35" s="48">
        <v>75978384.689999998</v>
      </c>
      <c r="V35" s="48">
        <v>76669662.090000004</v>
      </c>
      <c r="W35" s="48">
        <v>65863574.020000003</v>
      </c>
      <c r="X35" s="48">
        <v>62430396.539999999</v>
      </c>
      <c r="Y35" s="48">
        <v>63029162.780000001</v>
      </c>
      <c r="Z35" s="48">
        <v>63224387.859999999</v>
      </c>
      <c r="AA35" s="48">
        <v>54996608.920000002</v>
      </c>
      <c r="AB35" s="48">
        <v>53347688.490000002</v>
      </c>
      <c r="AC35" s="48">
        <v>53657849.079999998</v>
      </c>
      <c r="AD35" s="48">
        <v>47807376.609999999</v>
      </c>
      <c r="AE35" s="48">
        <v>48081850.600000001</v>
      </c>
      <c r="AF35" s="48">
        <v>48356324.579999998</v>
      </c>
      <c r="AG35" s="48">
        <v>48630798.57</v>
      </c>
      <c r="AH35" s="48">
        <v>48905272.549999997</v>
      </c>
      <c r="AI35" s="48">
        <v>49179746.539999999</v>
      </c>
      <c r="AJ35" s="48">
        <v>49454220.520000003</v>
      </c>
      <c r="AK35" s="48">
        <v>49728694.509999998</v>
      </c>
      <c r="AL35" s="48">
        <v>50049472.159999996</v>
      </c>
      <c r="AM35" s="48">
        <v>50462857.149999999</v>
      </c>
      <c r="AN35" s="48">
        <v>51289627.119999997</v>
      </c>
      <c r="AO35" s="48">
        <v>53215241.009999998</v>
      </c>
      <c r="AP35" s="48">
        <v>45987784.289999999</v>
      </c>
      <c r="AQ35" s="48">
        <v>0</v>
      </c>
    </row>
    <row r="36" spans="1:43">
      <c r="A36" s="48" t="s">
        <v>140</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row>
    <row r="37" spans="1:43">
      <c r="A37" s="48" t="s">
        <v>141</v>
      </c>
      <c r="B37" s="48">
        <v>0</v>
      </c>
      <c r="C37" s="48">
        <v>0</v>
      </c>
      <c r="D37" s="48">
        <v>0</v>
      </c>
      <c r="E37" s="48">
        <v>0</v>
      </c>
      <c r="F37" s="48">
        <v>0</v>
      </c>
      <c r="G37" s="48">
        <v>0</v>
      </c>
      <c r="H37" s="48">
        <v>0</v>
      </c>
      <c r="I37" s="48">
        <v>0</v>
      </c>
      <c r="J37" s="48">
        <v>0</v>
      </c>
      <c r="K37" s="48">
        <v>0</v>
      </c>
      <c r="L37" s="48">
        <v>0</v>
      </c>
      <c r="M37" s="48">
        <v>0</v>
      </c>
      <c r="N37" s="48">
        <v>0</v>
      </c>
      <c r="O37" s="48">
        <v>0</v>
      </c>
      <c r="P37" s="48">
        <v>0</v>
      </c>
      <c r="Q37" s="48">
        <v>0</v>
      </c>
      <c r="R37" s="48">
        <v>0</v>
      </c>
      <c r="S37" s="48">
        <v>0</v>
      </c>
      <c r="T37" s="48">
        <v>0</v>
      </c>
      <c r="U37" s="48">
        <v>0</v>
      </c>
      <c r="V37" s="48">
        <v>0</v>
      </c>
      <c r="W37" s="48">
        <v>0</v>
      </c>
      <c r="X37" s="48">
        <v>0</v>
      </c>
      <c r="Y37" s="48">
        <v>0</v>
      </c>
      <c r="Z37" s="48">
        <v>0</v>
      </c>
      <c r="AA37" s="48">
        <v>0</v>
      </c>
      <c r="AB37" s="48">
        <v>0</v>
      </c>
      <c r="AC37" s="48">
        <v>0</v>
      </c>
      <c r="AD37" s="48">
        <v>0</v>
      </c>
      <c r="AE37" s="48">
        <v>0</v>
      </c>
      <c r="AF37" s="48">
        <v>0</v>
      </c>
      <c r="AG37" s="48">
        <v>0</v>
      </c>
      <c r="AH37" s="48">
        <v>0</v>
      </c>
      <c r="AI37" s="48">
        <v>0</v>
      </c>
      <c r="AJ37" s="48">
        <v>0</v>
      </c>
      <c r="AK37" s="48">
        <v>0</v>
      </c>
      <c r="AL37" s="48">
        <v>0</v>
      </c>
      <c r="AM37" s="48">
        <v>0</v>
      </c>
      <c r="AN37" s="48">
        <v>0</v>
      </c>
      <c r="AO37" s="48">
        <v>0</v>
      </c>
      <c r="AP37" s="48">
        <v>0</v>
      </c>
      <c r="AQ37" s="48">
        <v>0</v>
      </c>
    </row>
    <row r="38" spans="1:43">
      <c r="A38" s="48" t="s">
        <v>142</v>
      </c>
      <c r="B38" s="48">
        <v>62061647.689999998</v>
      </c>
      <c r="C38" s="48">
        <v>51392178.82</v>
      </c>
      <c r="D38" s="48">
        <v>35348010.710000001</v>
      </c>
      <c r="E38" s="48">
        <v>21377520.760000002</v>
      </c>
      <c r="F38" s="48">
        <v>14713395.25</v>
      </c>
      <c r="G38" s="48">
        <v>15443378.59</v>
      </c>
      <c r="H38" s="48">
        <v>13778737.1</v>
      </c>
      <c r="I38" s="48">
        <v>9965520.4700000007</v>
      </c>
      <c r="J38" s="48">
        <v>10722683.26</v>
      </c>
      <c r="K38" s="48">
        <v>10850558.91</v>
      </c>
      <c r="L38" s="48">
        <v>11738291.16</v>
      </c>
      <c r="M38" s="48">
        <v>12627069.359999999</v>
      </c>
      <c r="N38" s="48">
        <v>9689460.1999999993</v>
      </c>
      <c r="O38" s="48">
        <v>10470201.289999999</v>
      </c>
      <c r="P38" s="48">
        <v>11250942.380000001</v>
      </c>
      <c r="Q38" s="48">
        <v>12104426.630000001</v>
      </c>
      <c r="R38" s="48">
        <v>1653244.19</v>
      </c>
      <c r="S38" s="48">
        <v>1959728.42</v>
      </c>
      <c r="T38" s="48">
        <v>2266212.65</v>
      </c>
      <c r="U38" s="48">
        <v>2515231.2000000002</v>
      </c>
      <c r="V38" s="48">
        <v>0</v>
      </c>
      <c r="W38" s="48">
        <v>0</v>
      </c>
      <c r="X38" s="48">
        <v>0</v>
      </c>
      <c r="Y38" s="48">
        <v>0</v>
      </c>
      <c r="Z38" s="48">
        <v>0</v>
      </c>
      <c r="AA38" s="48">
        <v>181400</v>
      </c>
      <c r="AB38" s="48">
        <v>181400</v>
      </c>
      <c r="AC38" s="48">
        <v>0</v>
      </c>
      <c r="AD38" s="48">
        <v>0</v>
      </c>
      <c r="AE38" s="48">
        <v>366196.22</v>
      </c>
      <c r="AF38" s="48">
        <v>695710.67</v>
      </c>
      <c r="AG38" s="48">
        <v>1022345.12</v>
      </c>
      <c r="AH38" s="48">
        <v>1348979.57</v>
      </c>
      <c r="AI38" s="48">
        <v>1675614.02</v>
      </c>
      <c r="AJ38" s="48">
        <v>2003328.47</v>
      </c>
      <c r="AK38" s="48">
        <v>2279042.92</v>
      </c>
      <c r="AL38" s="48">
        <v>2599974.7599999998</v>
      </c>
      <c r="AM38" s="48">
        <v>2808564.49</v>
      </c>
      <c r="AN38" s="48">
        <v>3534397.72</v>
      </c>
      <c r="AO38" s="48">
        <v>65099.14</v>
      </c>
      <c r="AP38" s="48">
        <v>130198.06</v>
      </c>
      <c r="AQ38" s="48">
        <v>0</v>
      </c>
    </row>
    <row r="39" spans="1:43">
      <c r="A39" s="48" t="s">
        <v>143</v>
      </c>
      <c r="B39" s="48">
        <v>74944812.359999999</v>
      </c>
      <c r="C39" s="48">
        <v>68015394.980000004</v>
      </c>
      <c r="D39" s="48">
        <v>64415199.590000004</v>
      </c>
      <c r="E39" s="48">
        <v>60929956.850000001</v>
      </c>
      <c r="F39" s="48">
        <v>79791594.640000001</v>
      </c>
      <c r="G39" s="48">
        <v>74926297.939999998</v>
      </c>
      <c r="H39" s="48">
        <v>72069932.819999993</v>
      </c>
      <c r="I39" s="48">
        <v>65008725.140000001</v>
      </c>
      <c r="J39" s="48">
        <v>63173604.369999997</v>
      </c>
      <c r="K39" s="48">
        <v>54333750.590000004</v>
      </c>
      <c r="L39" s="48">
        <v>56443614.509999998</v>
      </c>
      <c r="M39" s="48">
        <v>55171490.509999998</v>
      </c>
      <c r="N39" s="48">
        <v>47435807.119999997</v>
      </c>
      <c r="O39" s="48">
        <v>44258408.490000002</v>
      </c>
      <c r="P39" s="48">
        <v>42529761.68</v>
      </c>
      <c r="Q39" s="48">
        <v>41491222.090000004</v>
      </c>
      <c r="R39" s="48">
        <v>39609575.710000001</v>
      </c>
      <c r="S39" s="48">
        <v>35723307.079999998</v>
      </c>
      <c r="T39" s="48">
        <v>36428662.810000002</v>
      </c>
      <c r="U39" s="48">
        <v>36485899.289999999</v>
      </c>
      <c r="V39" s="48">
        <v>33511015.77</v>
      </c>
      <c r="W39" s="48">
        <v>28992341.02</v>
      </c>
      <c r="X39" s="48">
        <v>30102528.27</v>
      </c>
      <c r="Y39" s="48">
        <v>29405107.949999999</v>
      </c>
      <c r="Z39" s="48">
        <v>27959243.760000002</v>
      </c>
      <c r="AA39" s="48">
        <v>24228410.539999999</v>
      </c>
      <c r="AB39" s="48">
        <v>21873118.079999998</v>
      </c>
      <c r="AC39" s="48">
        <v>20328532.859999999</v>
      </c>
      <c r="AD39" s="48">
        <v>15537915.17</v>
      </c>
      <c r="AE39" s="48">
        <v>13224054.550000001</v>
      </c>
      <c r="AF39" s="48">
        <v>12565783.220000001</v>
      </c>
      <c r="AG39" s="48">
        <v>11990100.5</v>
      </c>
      <c r="AH39" s="48">
        <v>11425478.33</v>
      </c>
      <c r="AI39" s="48">
        <v>9307119.0999999996</v>
      </c>
      <c r="AJ39" s="48">
        <v>10140689.9</v>
      </c>
      <c r="AK39" s="48">
        <v>10878593.960000001</v>
      </c>
      <c r="AL39" s="48">
        <v>11225877.890000001</v>
      </c>
      <c r="AM39" s="48">
        <v>9299648.7200000007</v>
      </c>
      <c r="AN39" s="48">
        <v>11121816.619999999</v>
      </c>
      <c r="AO39" s="48">
        <v>6890381.3300000001</v>
      </c>
      <c r="AP39" s="48">
        <v>852535.13</v>
      </c>
      <c r="AQ39" s="48">
        <v>0</v>
      </c>
    </row>
    <row r="40" spans="1:43">
      <c r="A40" s="48" t="s">
        <v>144</v>
      </c>
      <c r="B40" s="48">
        <v>3393713.63</v>
      </c>
      <c r="C40" s="48">
        <v>5132383.6100000003</v>
      </c>
      <c r="D40" s="48">
        <v>5552816.1100000003</v>
      </c>
      <c r="E40" s="48">
        <v>20499650.030000001</v>
      </c>
      <c r="F40" s="48">
        <v>10785657.949999999</v>
      </c>
      <c r="G40" s="48">
        <v>188355568.63</v>
      </c>
      <c r="H40" s="48">
        <v>187217745.62</v>
      </c>
      <c r="I40" s="48">
        <v>187672410.5</v>
      </c>
      <c r="J40" s="48">
        <v>110942262.51000001</v>
      </c>
      <c r="K40" s="48">
        <v>78063901.480000004</v>
      </c>
      <c r="L40" s="48">
        <v>96036414.069999993</v>
      </c>
      <c r="M40" s="48">
        <v>100799280.45</v>
      </c>
      <c r="N40" s="48">
        <v>22924309.620000001</v>
      </c>
      <c r="O40" s="48">
        <v>2413500</v>
      </c>
      <c r="P40" s="48">
        <v>5806823.8099999996</v>
      </c>
      <c r="Q40" s="48">
        <v>7250666.4900000002</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0</v>
      </c>
      <c r="AN40" s="48">
        <v>0</v>
      </c>
      <c r="AO40" s="48">
        <v>0</v>
      </c>
      <c r="AP40" s="48">
        <v>0</v>
      </c>
      <c r="AQ40" s="48">
        <v>0</v>
      </c>
    </row>
    <row r="41" spans="1:43">
      <c r="A41" s="48" t="s">
        <v>145</v>
      </c>
      <c r="B41" s="48">
        <v>1691570166.75</v>
      </c>
      <c r="C41" s="48">
        <v>1667355041.6900001</v>
      </c>
      <c r="D41" s="48">
        <v>1649889445.6199999</v>
      </c>
      <c r="E41" s="48">
        <v>1635447802.6400001</v>
      </c>
      <c r="F41" s="48">
        <v>1591653245.6700001</v>
      </c>
      <c r="G41" s="48">
        <v>1494065992.1900001</v>
      </c>
      <c r="H41" s="48">
        <v>1477802547.53</v>
      </c>
      <c r="I41" s="48">
        <v>1461499878.1700001</v>
      </c>
      <c r="J41" s="48">
        <v>1259120155.3800001</v>
      </c>
      <c r="K41" s="48">
        <v>1214994038.49</v>
      </c>
      <c r="L41" s="48">
        <v>1184977978.0799999</v>
      </c>
      <c r="M41" s="48">
        <v>1182425773.76</v>
      </c>
      <c r="N41" s="48">
        <v>1098495316.04</v>
      </c>
      <c r="O41" s="48">
        <v>1077558064.8499999</v>
      </c>
      <c r="P41" s="48">
        <v>839094773.11000001</v>
      </c>
      <c r="Q41" s="48">
        <v>807731294.65999997</v>
      </c>
      <c r="R41" s="48">
        <v>749263981.16999996</v>
      </c>
      <c r="S41" s="48">
        <v>735499582.28999996</v>
      </c>
      <c r="T41" s="48">
        <v>710694914.15999997</v>
      </c>
      <c r="U41" s="48">
        <v>699262006.82000005</v>
      </c>
      <c r="V41" s="48">
        <v>668499983.16999996</v>
      </c>
      <c r="W41" s="48">
        <v>646240740.63999999</v>
      </c>
      <c r="X41" s="48">
        <v>632344542.03999996</v>
      </c>
      <c r="Y41" s="48">
        <v>619029551.51999998</v>
      </c>
      <c r="Z41" s="48">
        <v>565603737.48000002</v>
      </c>
      <c r="AA41" s="48">
        <v>543671380.01999998</v>
      </c>
      <c r="AB41" s="48">
        <v>509305736.06</v>
      </c>
      <c r="AC41" s="48">
        <v>478274483.81</v>
      </c>
      <c r="AD41" s="48">
        <v>376398258.69</v>
      </c>
      <c r="AE41" s="48">
        <v>309691045.01999998</v>
      </c>
      <c r="AF41" s="48">
        <v>295490502.18000001</v>
      </c>
      <c r="AG41" s="48">
        <v>276281864.79000002</v>
      </c>
      <c r="AH41" s="48">
        <v>232990840.75</v>
      </c>
      <c r="AI41" s="48">
        <v>201806080.77000001</v>
      </c>
      <c r="AJ41" s="48">
        <v>187685699.58000001</v>
      </c>
      <c r="AK41" s="48">
        <v>173757421.33000001</v>
      </c>
      <c r="AL41" s="48">
        <v>158879455.81</v>
      </c>
      <c r="AM41" s="48">
        <v>153814433.28999999</v>
      </c>
      <c r="AN41" s="48">
        <v>161546347.99000001</v>
      </c>
      <c r="AO41" s="48">
        <v>158715638.03999999</v>
      </c>
      <c r="AP41" s="48">
        <v>108220008.62</v>
      </c>
      <c r="AQ41" s="48">
        <v>0</v>
      </c>
    </row>
    <row r="42" spans="1:43">
      <c r="A42" s="48" t="s">
        <v>146</v>
      </c>
      <c r="B42" s="48">
        <v>4310158430.7700005</v>
      </c>
      <c r="C42" s="48">
        <v>4241460963.9400001</v>
      </c>
      <c r="D42" s="48">
        <v>4371027997.6599998</v>
      </c>
      <c r="E42" s="48">
        <v>4012592142.48</v>
      </c>
      <c r="F42" s="48">
        <v>3658581488.8499999</v>
      </c>
      <c r="G42" s="48">
        <v>3545842737.5900002</v>
      </c>
      <c r="H42" s="48">
        <v>3519532641.27</v>
      </c>
      <c r="I42" s="48">
        <v>3528226262.7199998</v>
      </c>
      <c r="J42" s="48">
        <v>3103580649.5999999</v>
      </c>
      <c r="K42" s="48">
        <v>2997754871.4299998</v>
      </c>
      <c r="L42" s="48">
        <v>2935014665.4400001</v>
      </c>
      <c r="M42" s="48">
        <v>2927825297.4699998</v>
      </c>
      <c r="N42" s="48">
        <v>2942416396.4699998</v>
      </c>
      <c r="O42" s="48">
        <v>2821898658.21</v>
      </c>
      <c r="P42" s="48">
        <v>2804444373.7800002</v>
      </c>
      <c r="Q42" s="48">
        <v>2789556666.2800002</v>
      </c>
      <c r="R42" s="48">
        <v>2547894596.46</v>
      </c>
      <c r="S42" s="48">
        <v>2407935015.1999998</v>
      </c>
      <c r="T42" s="48">
        <v>2385038473.4400001</v>
      </c>
      <c r="U42" s="48">
        <v>2382413366.2800002</v>
      </c>
      <c r="V42" s="48">
        <v>2162417949.3499999</v>
      </c>
      <c r="W42" s="48">
        <v>2154367982.8299999</v>
      </c>
      <c r="X42" s="48">
        <v>2107902263.78</v>
      </c>
      <c r="Y42" s="48">
        <v>2074413328.3599999</v>
      </c>
      <c r="Z42" s="48">
        <v>1793507602.8</v>
      </c>
      <c r="AA42" s="48">
        <v>1657336999.21</v>
      </c>
      <c r="AB42" s="48">
        <v>1695558958.73</v>
      </c>
      <c r="AC42" s="48">
        <v>1693133114.4000001</v>
      </c>
      <c r="AD42" s="48">
        <v>1555045530.46</v>
      </c>
      <c r="AE42" s="48">
        <v>1455743992.27</v>
      </c>
      <c r="AF42" s="48">
        <v>1422496402.54</v>
      </c>
      <c r="AG42" s="48">
        <v>1450754228.8399999</v>
      </c>
      <c r="AH42" s="48">
        <v>1375227047.8599999</v>
      </c>
      <c r="AI42" s="48">
        <v>1336387030.24</v>
      </c>
      <c r="AJ42" s="48">
        <v>1312322572.3499999</v>
      </c>
      <c r="AK42" s="48">
        <v>1266972629.5599999</v>
      </c>
      <c r="AL42" s="48">
        <v>490404063.92000002</v>
      </c>
      <c r="AM42" s="48">
        <v>445705011.30000001</v>
      </c>
      <c r="AN42" s="48">
        <v>497920495.49000001</v>
      </c>
      <c r="AO42" s="48">
        <v>431192474.38</v>
      </c>
      <c r="AP42" s="48">
        <v>322700096.61000001</v>
      </c>
      <c r="AQ42" s="48">
        <v>0</v>
      </c>
    </row>
    <row r="43" spans="1:43">
      <c r="A43" s="48" t="s">
        <v>147</v>
      </c>
    </row>
    <row r="44" spans="1:43">
      <c r="A44" s="48" t="s">
        <v>148</v>
      </c>
      <c r="B44" s="48">
        <v>180000000</v>
      </c>
      <c r="C44" s="48">
        <v>326770000</v>
      </c>
      <c r="D44" s="48">
        <v>326770000</v>
      </c>
      <c r="E44" s="48">
        <v>0</v>
      </c>
      <c r="F44" s="48">
        <v>0</v>
      </c>
      <c r="G44" s="48">
        <v>0</v>
      </c>
      <c r="H44" s="48">
        <v>0</v>
      </c>
      <c r="I44" s="48">
        <v>0</v>
      </c>
      <c r="J44" s="48">
        <v>0</v>
      </c>
      <c r="K44" s="48">
        <v>0</v>
      </c>
      <c r="L44" s="48">
        <v>0</v>
      </c>
      <c r="M44" s="48">
        <v>0</v>
      </c>
      <c r="N44" s="48">
        <v>0</v>
      </c>
      <c r="O44" s="48">
        <v>0</v>
      </c>
      <c r="P44" s="48">
        <v>0</v>
      </c>
      <c r="Q44" s="48">
        <v>0</v>
      </c>
      <c r="R44" s="48">
        <v>0</v>
      </c>
      <c r="S44" s="48">
        <v>0</v>
      </c>
      <c r="T44" s="48">
        <v>0</v>
      </c>
      <c r="U44" s="48">
        <v>0</v>
      </c>
      <c r="V44" s="48">
        <v>0</v>
      </c>
      <c r="W44" s="48">
        <v>0</v>
      </c>
      <c r="X44" s="48">
        <v>0</v>
      </c>
      <c r="Y44" s="48">
        <v>0</v>
      </c>
      <c r="Z44" s="48">
        <v>0</v>
      </c>
      <c r="AA44" s="48">
        <v>0</v>
      </c>
      <c r="AB44" s="48">
        <v>0</v>
      </c>
      <c r="AC44" s="48">
        <v>0</v>
      </c>
      <c r="AD44" s="48">
        <v>0</v>
      </c>
      <c r="AE44" s="48">
        <v>0</v>
      </c>
      <c r="AF44" s="48">
        <v>0</v>
      </c>
      <c r="AG44" s="48">
        <v>30000000</v>
      </c>
      <c r="AH44" s="48">
        <v>30000000</v>
      </c>
      <c r="AI44" s="48">
        <v>0</v>
      </c>
      <c r="AJ44" s="48">
        <v>0</v>
      </c>
      <c r="AK44" s="48">
        <v>0</v>
      </c>
      <c r="AL44" s="48">
        <v>0</v>
      </c>
      <c r="AM44" s="48">
        <v>0</v>
      </c>
      <c r="AN44" s="48">
        <v>25000000</v>
      </c>
      <c r="AO44" s="48">
        <v>41500000</v>
      </c>
      <c r="AP44" s="48">
        <v>50000000</v>
      </c>
      <c r="AQ44" s="48">
        <v>0</v>
      </c>
    </row>
    <row r="45" spans="1:43">
      <c r="A45" s="48" t="s">
        <v>149</v>
      </c>
      <c r="B45" s="48">
        <v>0</v>
      </c>
      <c r="C45" s="48">
        <v>0</v>
      </c>
      <c r="D45" s="48">
        <v>0</v>
      </c>
      <c r="E45" s="48">
        <v>0</v>
      </c>
      <c r="F45" s="48">
        <v>0</v>
      </c>
      <c r="G45" s="48">
        <v>0</v>
      </c>
      <c r="H45" s="48">
        <v>0</v>
      </c>
      <c r="I45" s="48">
        <v>0</v>
      </c>
      <c r="J45" s="48">
        <v>0</v>
      </c>
      <c r="K45" s="48">
        <v>0</v>
      </c>
      <c r="L45" s="48">
        <v>0</v>
      </c>
      <c r="M45" s="48">
        <v>0</v>
      </c>
      <c r="N45" s="48">
        <v>0</v>
      </c>
      <c r="O45" s="48">
        <v>0</v>
      </c>
      <c r="P45" s="48">
        <v>0</v>
      </c>
      <c r="Q45" s="48">
        <v>0</v>
      </c>
      <c r="R45" s="48">
        <v>0</v>
      </c>
      <c r="S45" s="48">
        <v>0</v>
      </c>
      <c r="T45" s="48">
        <v>0</v>
      </c>
      <c r="U45" s="48">
        <v>0</v>
      </c>
      <c r="V45" s="48">
        <v>0</v>
      </c>
      <c r="W45" s="48">
        <v>0</v>
      </c>
      <c r="X45" s="48">
        <v>0</v>
      </c>
      <c r="Y45" s="48">
        <v>0</v>
      </c>
      <c r="Z45" s="48">
        <v>0</v>
      </c>
      <c r="AA45" s="48">
        <v>0</v>
      </c>
      <c r="AB45" s="48">
        <v>0</v>
      </c>
      <c r="AC45" s="48">
        <v>0</v>
      </c>
      <c r="AD45" s="48">
        <v>0</v>
      </c>
      <c r="AE45" s="48">
        <v>0</v>
      </c>
      <c r="AF45" s="48">
        <v>0</v>
      </c>
      <c r="AG45" s="48">
        <v>0</v>
      </c>
      <c r="AH45" s="48">
        <v>0</v>
      </c>
      <c r="AI45" s="48">
        <v>0</v>
      </c>
      <c r="AJ45" s="48">
        <v>0</v>
      </c>
      <c r="AK45" s="48">
        <v>0</v>
      </c>
      <c r="AL45" s="48">
        <v>0</v>
      </c>
      <c r="AM45" s="48">
        <v>0</v>
      </c>
      <c r="AN45" s="48">
        <v>0</v>
      </c>
      <c r="AO45" s="48">
        <v>0</v>
      </c>
      <c r="AP45" s="48">
        <v>0</v>
      </c>
      <c r="AQ45" s="48">
        <v>0</v>
      </c>
    </row>
    <row r="46" spans="1:43">
      <c r="A46" s="48" t="s">
        <v>150</v>
      </c>
      <c r="B46" s="48">
        <v>0</v>
      </c>
      <c r="C46" s="48">
        <v>144207720.66999999</v>
      </c>
      <c r="D46" s="48">
        <v>86160503.260000005</v>
      </c>
      <c r="E46" s="48">
        <v>139607475.65000001</v>
      </c>
      <c r="F46" s="48">
        <v>117737093.53</v>
      </c>
      <c r="G46" s="48">
        <v>126046051.81999999</v>
      </c>
      <c r="H46" s="48">
        <v>131198852.88</v>
      </c>
      <c r="I46" s="48">
        <v>168988748.69</v>
      </c>
      <c r="J46" s="48">
        <v>118918000.34999999</v>
      </c>
      <c r="K46" s="48">
        <v>133510152.45999999</v>
      </c>
      <c r="L46" s="48">
        <v>103410657.12</v>
      </c>
      <c r="M46" s="48">
        <v>97681698.900000006</v>
      </c>
      <c r="N46" s="48">
        <v>104637492.75</v>
      </c>
      <c r="O46" s="48">
        <v>82444078.019999996</v>
      </c>
      <c r="P46" s="48">
        <v>112896176.29000001</v>
      </c>
      <c r="Q46" s="48">
        <v>91926244.420000002</v>
      </c>
      <c r="R46" s="48">
        <v>73093992.590000004</v>
      </c>
      <c r="S46" s="48">
        <v>86440053.989999995</v>
      </c>
      <c r="T46" s="48">
        <v>96083194.010000005</v>
      </c>
      <c r="U46" s="48">
        <v>121053355.06999999</v>
      </c>
      <c r="V46" s="48">
        <v>123508058.38</v>
      </c>
      <c r="W46" s="48">
        <v>172355535.68000001</v>
      </c>
      <c r="X46" s="48">
        <v>144426629.13</v>
      </c>
      <c r="Y46" s="48">
        <v>116047852.98</v>
      </c>
      <c r="Z46" s="48">
        <v>72445951.730000004</v>
      </c>
      <c r="AA46" s="48">
        <v>49358710.490000002</v>
      </c>
      <c r="AB46" s="48">
        <v>57737426.840000004</v>
      </c>
      <c r="AC46" s="48">
        <v>97362149.739999995</v>
      </c>
      <c r="AD46" s="48">
        <v>69886833.709999993</v>
      </c>
      <c r="AE46" s="48">
        <v>31695395.699999999</v>
      </c>
      <c r="AF46" s="48">
        <v>22586763.600000001</v>
      </c>
      <c r="AG46" s="48">
        <v>56339056.899999999</v>
      </c>
      <c r="AH46" s="48">
        <v>100088283.98999999</v>
      </c>
      <c r="AI46" s="48">
        <v>84553554.469999999</v>
      </c>
      <c r="AJ46" s="48">
        <v>80308195.379999995</v>
      </c>
      <c r="AK46" s="48">
        <v>77691820.530000001</v>
      </c>
      <c r="AL46" s="48">
        <v>73595266.819999993</v>
      </c>
      <c r="AM46" s="48">
        <v>57805133.68</v>
      </c>
      <c r="AN46" s="48">
        <v>72787276.469999999</v>
      </c>
      <c r="AO46" s="48">
        <v>59989592.829999998</v>
      </c>
      <c r="AP46" s="48">
        <v>31530903.57</v>
      </c>
      <c r="AQ46" s="48">
        <v>0</v>
      </c>
    </row>
    <row r="47" spans="1:43">
      <c r="A47" s="48" t="s">
        <v>151</v>
      </c>
      <c r="B47" s="48">
        <v>0</v>
      </c>
      <c r="C47" s="48">
        <v>242039958.81</v>
      </c>
      <c r="D47" s="48">
        <v>278414680</v>
      </c>
      <c r="E47" s="48">
        <v>292538152.42000002</v>
      </c>
      <c r="F47" s="48">
        <v>209147333.61000001</v>
      </c>
      <c r="G47" s="48">
        <v>181790069.53999999</v>
      </c>
      <c r="H47" s="48">
        <v>205942220.93000001</v>
      </c>
      <c r="I47" s="48">
        <v>279666747.16000003</v>
      </c>
      <c r="J47" s="48">
        <v>210257561.25</v>
      </c>
      <c r="K47" s="48">
        <v>150727203.41</v>
      </c>
      <c r="L47" s="48">
        <v>179715811.97</v>
      </c>
      <c r="M47" s="48">
        <v>217127911.93000001</v>
      </c>
      <c r="N47" s="48">
        <v>187680321.91999999</v>
      </c>
      <c r="O47" s="48">
        <v>182580668.16</v>
      </c>
      <c r="P47" s="48">
        <v>161502246.16999999</v>
      </c>
      <c r="Q47" s="48">
        <v>241613139.94999999</v>
      </c>
      <c r="R47" s="48">
        <v>185965616.81</v>
      </c>
      <c r="S47" s="48">
        <v>151050737.25999999</v>
      </c>
      <c r="T47" s="48">
        <v>151938127.19</v>
      </c>
      <c r="U47" s="48">
        <v>227680188.74000001</v>
      </c>
      <c r="V47" s="48">
        <v>177383988</v>
      </c>
      <c r="W47" s="48">
        <v>189469285.66</v>
      </c>
      <c r="X47" s="48">
        <v>189886575.55000001</v>
      </c>
      <c r="Y47" s="48">
        <v>243040637.16999999</v>
      </c>
      <c r="Z47" s="48">
        <v>141480509.31</v>
      </c>
      <c r="AA47" s="48">
        <v>115328384.67</v>
      </c>
      <c r="AB47" s="48">
        <v>121542923.54000001</v>
      </c>
      <c r="AC47" s="48">
        <v>157495524.13999999</v>
      </c>
      <c r="AD47" s="48">
        <v>145490838.06999999</v>
      </c>
      <c r="AE47" s="48">
        <v>89134017.799999997</v>
      </c>
      <c r="AF47" s="48">
        <v>69851034.310000002</v>
      </c>
      <c r="AG47" s="48">
        <v>99699237.340000004</v>
      </c>
      <c r="AH47" s="48">
        <v>89027125.629999995</v>
      </c>
      <c r="AI47" s="48">
        <v>96133923.510000005</v>
      </c>
      <c r="AJ47" s="48">
        <v>67836021.019999996</v>
      </c>
      <c r="AK47" s="48">
        <v>73253954.890000001</v>
      </c>
      <c r="AL47" s="48">
        <v>78958621.010000005</v>
      </c>
      <c r="AM47" s="48">
        <v>61853798.100000001</v>
      </c>
      <c r="AN47" s="48">
        <v>91594203.269999996</v>
      </c>
      <c r="AO47" s="48">
        <v>55670815.899999999</v>
      </c>
      <c r="AP47" s="48">
        <v>62050887.399999999</v>
      </c>
      <c r="AQ47" s="48">
        <v>0</v>
      </c>
    </row>
    <row r="48" spans="1:43">
      <c r="A48" s="48" t="s">
        <v>152</v>
      </c>
      <c r="B48" s="48">
        <v>51090230.18</v>
      </c>
      <c r="C48" s="48">
        <v>37755071.880000003</v>
      </c>
      <c r="D48" s="48">
        <v>37902545.549999997</v>
      </c>
      <c r="E48" s="48">
        <v>29272808.27</v>
      </c>
      <c r="F48" s="48">
        <v>32111125.77</v>
      </c>
      <c r="G48" s="48">
        <v>33148614.379999999</v>
      </c>
      <c r="H48" s="48">
        <v>26476289.059999999</v>
      </c>
      <c r="I48" s="48">
        <v>34683740.270000003</v>
      </c>
      <c r="J48" s="48">
        <v>17876083.59</v>
      </c>
      <c r="K48" s="48">
        <v>18695077.949999999</v>
      </c>
      <c r="L48" s="48">
        <v>25289700.280000001</v>
      </c>
      <c r="M48" s="48">
        <v>14506204.859999999</v>
      </c>
      <c r="N48" s="48">
        <v>16002328.609999999</v>
      </c>
      <c r="O48" s="48">
        <v>16798812.010000002</v>
      </c>
      <c r="P48" s="48">
        <v>15026379.15</v>
      </c>
      <c r="Q48" s="48">
        <v>25960291.260000002</v>
      </c>
      <c r="R48" s="48">
        <v>24598508.559999999</v>
      </c>
      <c r="S48" s="48">
        <v>20797150.210000001</v>
      </c>
      <c r="T48" s="48">
        <v>23758485.789999999</v>
      </c>
      <c r="U48" s="48">
        <v>28555680.109999999</v>
      </c>
      <c r="V48" s="48">
        <v>23667830.280000001</v>
      </c>
      <c r="W48" s="48">
        <v>24553871.16</v>
      </c>
      <c r="X48" s="48">
        <v>17900827.530000001</v>
      </c>
      <c r="Y48" s="48">
        <v>25745209.620000001</v>
      </c>
      <c r="Z48" s="48">
        <v>15070674.35</v>
      </c>
      <c r="AA48" s="48">
        <v>13586618.560000001</v>
      </c>
      <c r="AB48" s="48">
        <v>18670507.879999999</v>
      </c>
      <c r="AC48" s="48">
        <v>11991947.74</v>
      </c>
      <c r="AD48" s="48">
        <v>13367825.91</v>
      </c>
      <c r="AE48" s="48">
        <v>14508854.6</v>
      </c>
      <c r="AF48" s="48">
        <v>16323090.99</v>
      </c>
      <c r="AG48" s="48">
        <v>21114797.870000001</v>
      </c>
      <c r="AH48" s="48">
        <v>18044422.850000001</v>
      </c>
      <c r="AI48" s="48">
        <v>22953203.93</v>
      </c>
      <c r="AJ48" s="48">
        <v>25666999.170000002</v>
      </c>
      <c r="AK48" s="48">
        <v>18310188.550000001</v>
      </c>
      <c r="AL48" s="48">
        <v>14702907.449999999</v>
      </c>
      <c r="AM48" s="48">
        <v>23730569.43</v>
      </c>
      <c r="AN48" s="48">
        <v>15777667.49</v>
      </c>
      <c r="AO48" s="48">
        <v>12315466.17</v>
      </c>
      <c r="AP48" s="48">
        <v>17214909.559999999</v>
      </c>
      <c r="AQ48" s="48">
        <v>0</v>
      </c>
    </row>
    <row r="49" spans="1:43">
      <c r="A49" s="48" t="s">
        <v>153</v>
      </c>
      <c r="B49" s="48">
        <v>0</v>
      </c>
      <c r="C49" s="48">
        <v>0</v>
      </c>
      <c r="D49" s="48">
        <v>0</v>
      </c>
      <c r="E49" s="48">
        <v>0</v>
      </c>
      <c r="F49" s="48">
        <v>0</v>
      </c>
      <c r="G49" s="48">
        <v>0</v>
      </c>
      <c r="H49" s="48">
        <v>0</v>
      </c>
      <c r="I49" s="48">
        <v>0</v>
      </c>
      <c r="J49" s="48">
        <v>0</v>
      </c>
      <c r="K49" s="48">
        <v>0</v>
      </c>
      <c r="L49" s="48">
        <v>0</v>
      </c>
      <c r="M49" s="48">
        <v>0</v>
      </c>
      <c r="N49" s="48">
        <v>0</v>
      </c>
      <c r="O49" s="48">
        <v>0</v>
      </c>
      <c r="P49" s="48">
        <v>0</v>
      </c>
      <c r="Q49" s="48">
        <v>0</v>
      </c>
      <c r="R49" s="48">
        <v>0</v>
      </c>
      <c r="S49" s="48">
        <v>0</v>
      </c>
      <c r="T49" s="48">
        <v>0</v>
      </c>
      <c r="U49" s="48">
        <v>0</v>
      </c>
      <c r="V49" s="48">
        <v>0</v>
      </c>
      <c r="W49" s="48">
        <v>0</v>
      </c>
      <c r="X49" s="48">
        <v>0</v>
      </c>
      <c r="Y49" s="48">
        <v>0</v>
      </c>
      <c r="Z49" s="48">
        <v>0</v>
      </c>
      <c r="AA49" s="48">
        <v>0</v>
      </c>
      <c r="AB49" s="48">
        <v>0</v>
      </c>
      <c r="AC49" s="48">
        <v>0</v>
      </c>
      <c r="AD49" s="48">
        <v>0</v>
      </c>
      <c r="AE49" s="48">
        <v>0</v>
      </c>
      <c r="AF49" s="48">
        <v>0</v>
      </c>
      <c r="AG49" s="48">
        <v>0</v>
      </c>
      <c r="AH49" s="48">
        <v>0</v>
      </c>
      <c r="AI49" s="48">
        <v>0</v>
      </c>
      <c r="AJ49" s="48">
        <v>0</v>
      </c>
      <c r="AK49" s="48">
        <v>0</v>
      </c>
      <c r="AL49" s="48">
        <v>0</v>
      </c>
      <c r="AM49" s="48">
        <v>0</v>
      </c>
      <c r="AN49" s="48">
        <v>0</v>
      </c>
      <c r="AO49" s="48">
        <v>0</v>
      </c>
      <c r="AP49" s="48">
        <v>0</v>
      </c>
      <c r="AQ49" s="48">
        <v>0</v>
      </c>
    </row>
    <row r="50" spans="1:43">
      <c r="A50" s="48" t="s">
        <v>154</v>
      </c>
      <c r="B50" s="48">
        <v>40765715.840000004</v>
      </c>
      <c r="C50" s="48">
        <v>36880918.57</v>
      </c>
      <c r="D50" s="48">
        <v>40473455.409999996</v>
      </c>
      <c r="E50" s="48">
        <v>46155607.780000001</v>
      </c>
      <c r="F50" s="48">
        <v>48059809.539999999</v>
      </c>
      <c r="G50" s="48">
        <v>48668413.590000004</v>
      </c>
      <c r="H50" s="48">
        <v>44186099.490000002</v>
      </c>
      <c r="I50" s="48">
        <v>58556178.700000003</v>
      </c>
      <c r="J50" s="48">
        <v>38672468.060000002</v>
      </c>
      <c r="K50" s="48">
        <v>38862484.119999997</v>
      </c>
      <c r="L50" s="48">
        <v>50860884.090000004</v>
      </c>
      <c r="M50" s="48">
        <v>56642381.539999999</v>
      </c>
      <c r="N50" s="48">
        <v>28929000.809999999</v>
      </c>
      <c r="O50" s="48">
        <v>31286405.52</v>
      </c>
      <c r="P50" s="48">
        <v>33704680.469999999</v>
      </c>
      <c r="Q50" s="48">
        <v>39812731.780000001</v>
      </c>
      <c r="R50" s="48">
        <v>34320020.840000004</v>
      </c>
      <c r="S50" s="48">
        <v>39028732.030000001</v>
      </c>
      <c r="T50" s="48">
        <v>35143678.5</v>
      </c>
      <c r="U50" s="48">
        <v>41523477.950000003</v>
      </c>
      <c r="V50" s="48">
        <v>30945225.66</v>
      </c>
      <c r="W50" s="48">
        <v>30357155.719999999</v>
      </c>
      <c r="X50" s="48">
        <v>20158015.02</v>
      </c>
      <c r="Y50" s="48">
        <v>25981597.629999999</v>
      </c>
      <c r="Z50" s="48">
        <v>19460742.079999998</v>
      </c>
      <c r="AA50" s="48">
        <v>19125585.120000001</v>
      </c>
      <c r="AB50" s="48">
        <v>19049983.41</v>
      </c>
      <c r="AC50" s="48">
        <v>25131330.870000001</v>
      </c>
      <c r="AD50" s="48">
        <v>19936762.469999999</v>
      </c>
      <c r="AE50" s="48">
        <v>16060633.140000001</v>
      </c>
      <c r="AF50" s="48">
        <v>17003400.34</v>
      </c>
      <c r="AG50" s="48">
        <v>23707557.989999998</v>
      </c>
      <c r="AH50" s="48">
        <v>9353917.5899999999</v>
      </c>
      <c r="AI50" s="48">
        <v>8268630.54</v>
      </c>
      <c r="AJ50" s="48">
        <v>8749809.9600000009</v>
      </c>
      <c r="AK50" s="48">
        <v>12067371.98</v>
      </c>
      <c r="AL50" s="48">
        <v>6830474.3300000001</v>
      </c>
      <c r="AM50" s="48">
        <v>6936747.7199999997</v>
      </c>
      <c r="AN50" s="48">
        <v>11055956.99</v>
      </c>
      <c r="AO50" s="48">
        <v>6780801.5599999996</v>
      </c>
      <c r="AP50" s="48">
        <v>7456143.6600000001</v>
      </c>
      <c r="AQ50" s="48">
        <v>0</v>
      </c>
    </row>
    <row r="51" spans="1:43">
      <c r="A51" s="48" t="s">
        <v>155</v>
      </c>
      <c r="B51" s="48">
        <v>54081137.609999999</v>
      </c>
      <c r="C51" s="48">
        <v>48365371.850000001</v>
      </c>
      <c r="D51" s="48">
        <v>91263131.549999997</v>
      </c>
      <c r="E51" s="48">
        <v>115758666.70999999</v>
      </c>
      <c r="F51" s="48">
        <v>87246727.109999999</v>
      </c>
      <c r="G51" s="48">
        <v>58438537.460000001</v>
      </c>
      <c r="H51" s="48">
        <v>108166502.65000001</v>
      </c>
      <c r="I51" s="48">
        <v>127230236.39</v>
      </c>
      <c r="J51" s="48">
        <v>54768952.140000001</v>
      </c>
      <c r="K51" s="48">
        <v>46526730.640000001</v>
      </c>
      <c r="L51" s="48">
        <v>60660858.280000001</v>
      </c>
      <c r="M51" s="48">
        <v>108028128.77</v>
      </c>
      <c r="N51" s="48">
        <v>57478208.469999999</v>
      </c>
      <c r="O51" s="48">
        <v>42137511.450000003</v>
      </c>
      <c r="P51" s="48">
        <v>82677924.609999999</v>
      </c>
      <c r="Q51" s="48">
        <v>96511348.079999998</v>
      </c>
      <c r="R51" s="48">
        <v>68849741.719999999</v>
      </c>
      <c r="S51" s="48">
        <v>43987596.119999997</v>
      </c>
      <c r="T51" s="48">
        <v>93860840.569999993</v>
      </c>
      <c r="U51" s="48">
        <v>79152183.980000004</v>
      </c>
      <c r="V51" s="48">
        <v>62159158.439999998</v>
      </c>
      <c r="W51" s="48">
        <v>40086514.32</v>
      </c>
      <c r="X51" s="48">
        <v>65624454.869999997</v>
      </c>
      <c r="Y51" s="48">
        <v>79045634.450000003</v>
      </c>
      <c r="Z51" s="48">
        <v>54904258.119999997</v>
      </c>
      <c r="AA51" s="48">
        <v>25072493.890000001</v>
      </c>
      <c r="AB51" s="48">
        <v>70479186.670000002</v>
      </c>
      <c r="AC51" s="48">
        <v>66128485.329999998</v>
      </c>
      <c r="AD51" s="48">
        <v>29333367.699999999</v>
      </c>
      <c r="AE51" s="48">
        <v>25640915.52</v>
      </c>
      <c r="AF51" s="48">
        <v>42315008.479999997</v>
      </c>
      <c r="AG51" s="48">
        <v>25716693.530000001</v>
      </c>
      <c r="AH51" s="48">
        <v>8170384.5999999996</v>
      </c>
      <c r="AI51" s="48">
        <v>4725063.24</v>
      </c>
      <c r="AJ51" s="48">
        <v>16434913.369999999</v>
      </c>
      <c r="AK51" s="48">
        <v>14429306.390000001</v>
      </c>
      <c r="AL51" s="48">
        <v>10927463.119999999</v>
      </c>
      <c r="AM51" s="48">
        <v>4753734.62</v>
      </c>
      <c r="AN51" s="48">
        <v>6568099.1600000001</v>
      </c>
      <c r="AO51" s="48">
        <v>17515967.57</v>
      </c>
      <c r="AP51" s="48">
        <v>9861668.9600000009</v>
      </c>
      <c r="AQ51" s="48">
        <v>0</v>
      </c>
    </row>
    <row r="52" spans="1:43">
      <c r="A52" s="48" t="s">
        <v>156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row>
    <row r="53" spans="1:43">
      <c r="A53" s="48" t="s">
        <v>157</v>
      </c>
      <c r="B53" s="48">
        <v>0</v>
      </c>
      <c r="C53" s="48">
        <v>2159257.7799999998</v>
      </c>
      <c r="D53" s="48">
        <v>1117987.94</v>
      </c>
      <c r="E53" s="48">
        <v>1247927.6499999999</v>
      </c>
      <c r="F53" s="48">
        <v>26672939.199999999</v>
      </c>
      <c r="G53" s="48">
        <v>1234550.42</v>
      </c>
      <c r="H53" s="48">
        <v>3630074.02</v>
      </c>
      <c r="I53" s="48">
        <v>15312853.02</v>
      </c>
      <c r="J53" s="48">
        <v>23176066.98</v>
      </c>
      <c r="K53" s="48">
        <v>40878417.549999997</v>
      </c>
      <c r="L53" s="48">
        <v>22594027.170000002</v>
      </c>
      <c r="M53" s="48">
        <v>29557224.530000001</v>
      </c>
      <c r="N53" s="48">
        <v>32192118.559999999</v>
      </c>
      <c r="O53" s="48">
        <v>33116631.219999999</v>
      </c>
      <c r="P53" s="48">
        <v>8199889.1299999999</v>
      </c>
      <c r="Q53" s="48">
        <v>13588929.1</v>
      </c>
      <c r="R53" s="48">
        <v>15636329.1</v>
      </c>
      <c r="S53" s="48">
        <v>16843578.789999999</v>
      </c>
      <c r="T53" s="48">
        <v>13305149.25</v>
      </c>
      <c r="U53" s="48">
        <v>15229384.83</v>
      </c>
      <c r="V53" s="48">
        <v>21295931.710000001</v>
      </c>
      <c r="W53" s="48">
        <v>44605692.799999997</v>
      </c>
      <c r="X53" s="48">
        <v>16421206.57</v>
      </c>
      <c r="Y53" s="48">
        <v>19489733.969999999</v>
      </c>
      <c r="Z53" s="48">
        <v>36223604.759999998</v>
      </c>
      <c r="AA53" s="48">
        <v>39479159.189999998</v>
      </c>
      <c r="AB53" s="48">
        <v>48126376.479999997</v>
      </c>
      <c r="AC53" s="48">
        <v>52894393.259999998</v>
      </c>
      <c r="AD53" s="48">
        <v>64947184.68</v>
      </c>
      <c r="AE53" s="48">
        <v>12753408.4</v>
      </c>
      <c r="AF53" s="48">
        <v>30213255.16</v>
      </c>
      <c r="AG53" s="48">
        <v>31699921.27</v>
      </c>
      <c r="AH53" s="48">
        <v>32805913.5</v>
      </c>
      <c r="AI53" s="48">
        <v>0</v>
      </c>
      <c r="AJ53" s="48">
        <v>0</v>
      </c>
      <c r="AK53" s="48">
        <v>0</v>
      </c>
      <c r="AL53" s="48">
        <v>0</v>
      </c>
      <c r="AM53" s="48">
        <v>0</v>
      </c>
      <c r="AN53" s="48">
        <v>0</v>
      </c>
      <c r="AO53" s="48">
        <v>0</v>
      </c>
      <c r="AP53" s="48">
        <v>0</v>
      </c>
      <c r="AQ53" s="48">
        <v>0</v>
      </c>
    </row>
    <row r="54" spans="1:43">
      <c r="A54" s="48" t="s">
        <v>158</v>
      </c>
      <c r="B54" s="48">
        <v>205635427.44999999</v>
      </c>
      <c r="C54" s="48">
        <v>214244606.72</v>
      </c>
      <c r="D54" s="48">
        <v>240922731.66999999</v>
      </c>
      <c r="E54" s="48">
        <v>223195585.74000001</v>
      </c>
      <c r="F54" s="48">
        <v>265040240.13999999</v>
      </c>
      <c r="G54" s="48">
        <v>250509172.58000001</v>
      </c>
      <c r="H54" s="48">
        <v>156594047.19999999</v>
      </c>
      <c r="I54" s="48">
        <v>155524849.72999999</v>
      </c>
      <c r="J54" s="48">
        <v>153226507.96000001</v>
      </c>
      <c r="K54" s="48">
        <v>167524862.50999999</v>
      </c>
      <c r="L54" s="48">
        <v>89307545.379999995</v>
      </c>
      <c r="M54" s="48">
        <v>85979468.019999996</v>
      </c>
      <c r="N54" s="48">
        <v>100029153.77</v>
      </c>
      <c r="O54" s="48">
        <v>99630130.280000001</v>
      </c>
      <c r="P54" s="48">
        <v>101273289.34</v>
      </c>
      <c r="Q54" s="48">
        <v>94786180.230000004</v>
      </c>
      <c r="R54" s="48">
        <v>44484760.130000003</v>
      </c>
      <c r="S54" s="48">
        <v>43238512.939999998</v>
      </c>
      <c r="T54" s="48">
        <v>45170192.93</v>
      </c>
      <c r="U54" s="48">
        <v>49307778.979999997</v>
      </c>
      <c r="V54" s="48">
        <v>32448648.75</v>
      </c>
      <c r="W54" s="48">
        <v>26897567.16</v>
      </c>
      <c r="X54" s="48">
        <v>31338081.399999999</v>
      </c>
      <c r="Y54" s="48">
        <v>34674318.359999999</v>
      </c>
      <c r="Z54" s="48">
        <v>28920490.059999999</v>
      </c>
      <c r="AA54" s="48">
        <v>25826213.140000001</v>
      </c>
      <c r="AB54" s="48">
        <v>24858091</v>
      </c>
      <c r="AC54" s="48">
        <v>26013950.739999998</v>
      </c>
      <c r="AD54" s="48">
        <v>37271035.82</v>
      </c>
      <c r="AE54" s="48">
        <v>43168458.93</v>
      </c>
      <c r="AF54" s="48">
        <v>32034634.75</v>
      </c>
      <c r="AG54" s="48">
        <v>28050924.559999999</v>
      </c>
      <c r="AH54" s="48">
        <v>27960474.34</v>
      </c>
      <c r="AI54" s="48">
        <v>29698410.899999999</v>
      </c>
      <c r="AJ54" s="48">
        <v>34753120.020000003</v>
      </c>
      <c r="AK54" s="48">
        <v>28951753.949999999</v>
      </c>
      <c r="AL54" s="48">
        <v>24060579.98</v>
      </c>
      <c r="AM54" s="48">
        <v>13925439.210000001</v>
      </c>
      <c r="AN54" s="48">
        <v>12922651.960000001</v>
      </c>
      <c r="AO54" s="48">
        <v>17171592.350000001</v>
      </c>
      <c r="AP54" s="48">
        <v>18095351.82</v>
      </c>
      <c r="AQ54" s="48">
        <v>0</v>
      </c>
    </row>
    <row r="55" spans="1:43">
      <c r="A55" s="48" t="s">
        <v>159</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row>
    <row r="56" spans="1:43">
      <c r="A56" s="48" t="s">
        <v>160</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row>
    <row r="57" spans="1:43">
      <c r="A57" s="48" t="s">
        <v>161</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row>
    <row r="58" spans="1:43">
      <c r="A58" s="48" t="s">
        <v>162</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8000000</v>
      </c>
      <c r="AM58" s="48">
        <v>12000000</v>
      </c>
      <c r="AN58" s="48">
        <v>12000000</v>
      </c>
      <c r="AO58" s="48">
        <v>9000000</v>
      </c>
      <c r="AP58" s="48">
        <v>3000000</v>
      </c>
      <c r="AQ58" s="48">
        <v>0</v>
      </c>
    </row>
    <row r="59" spans="1:43">
      <c r="A59" s="48" t="s">
        <v>163</v>
      </c>
      <c r="B59" s="48">
        <v>2076133.95</v>
      </c>
      <c r="C59" s="48">
        <v>2090452.76</v>
      </c>
      <c r="D59" s="48">
        <v>2121541.2000000002</v>
      </c>
      <c r="E59" s="48">
        <v>3601791.92</v>
      </c>
      <c r="F59" s="48">
        <v>1151967.18</v>
      </c>
      <c r="G59" s="48">
        <v>1151967.18</v>
      </c>
      <c r="H59" s="48">
        <v>1151967.18</v>
      </c>
      <c r="I59" s="48">
        <v>3010551.25</v>
      </c>
      <c r="J59" s="48">
        <v>1317902</v>
      </c>
      <c r="K59" s="48">
        <v>1483836.84</v>
      </c>
      <c r="L59" s="48">
        <v>1342146.1599999999</v>
      </c>
      <c r="M59" s="48">
        <v>1508081</v>
      </c>
      <c r="N59" s="48">
        <v>2408424.98</v>
      </c>
      <c r="O59" s="48">
        <v>1808424.98</v>
      </c>
      <c r="P59" s="48">
        <v>1808424.98</v>
      </c>
      <c r="Q59" s="48">
        <v>1808424.98</v>
      </c>
      <c r="R59" s="48">
        <v>1698266.47</v>
      </c>
      <c r="S59" s="48">
        <v>1698266.47</v>
      </c>
      <c r="T59" s="48">
        <v>1687863.25</v>
      </c>
      <c r="U59" s="48">
        <v>1698266.47</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row>
    <row r="60" spans="1:43">
      <c r="A60" s="48" t="s">
        <v>164</v>
      </c>
      <c r="B60" s="48">
        <v>995127018.32000005</v>
      </c>
      <c r="C60" s="48">
        <v>1054513359.04</v>
      </c>
      <c r="D60" s="48">
        <v>1105146576.5799999</v>
      </c>
      <c r="E60" s="48">
        <v>851378016.13999999</v>
      </c>
      <c r="F60" s="48">
        <v>787167236.08000004</v>
      </c>
      <c r="G60" s="48">
        <v>700987376.97000003</v>
      </c>
      <c r="H60" s="48">
        <v>677346053.40999997</v>
      </c>
      <c r="I60" s="48">
        <v>842973905.21000004</v>
      </c>
      <c r="J60" s="48">
        <v>618213542.33000004</v>
      </c>
      <c r="K60" s="48">
        <v>598208765.48000002</v>
      </c>
      <c r="L60" s="48">
        <v>533181630.44999999</v>
      </c>
      <c r="M60" s="48">
        <v>611031099.54999995</v>
      </c>
      <c r="N60" s="48">
        <v>529357049.87</v>
      </c>
      <c r="O60" s="48">
        <v>489802661.63999999</v>
      </c>
      <c r="P60" s="48">
        <v>517089010.13999999</v>
      </c>
      <c r="Q60" s="48">
        <v>606007289.79999995</v>
      </c>
      <c r="R60" s="48">
        <v>448647236.22000003</v>
      </c>
      <c r="S60" s="48">
        <v>403084627.81</v>
      </c>
      <c r="T60" s="48">
        <v>460947531.49000001</v>
      </c>
      <c r="U60" s="48">
        <v>564200316.13</v>
      </c>
      <c r="V60" s="48">
        <v>471408841.22000003</v>
      </c>
      <c r="W60" s="48">
        <v>528325622.5</v>
      </c>
      <c r="X60" s="48">
        <v>485755790.06999999</v>
      </c>
      <c r="Y60" s="48">
        <v>544024984.17999995</v>
      </c>
      <c r="Z60" s="48">
        <v>368506230.41000003</v>
      </c>
      <c r="AA60" s="48">
        <v>287777165.06</v>
      </c>
      <c r="AB60" s="48">
        <v>360464495.81999999</v>
      </c>
      <c r="AC60" s="48">
        <v>437017781.81999999</v>
      </c>
      <c r="AD60" s="48">
        <v>380233848.36000001</v>
      </c>
      <c r="AE60" s="48">
        <v>232961684.09</v>
      </c>
      <c r="AF60" s="48">
        <v>230327187.63</v>
      </c>
      <c r="AG60" s="48">
        <v>316328189.45999998</v>
      </c>
      <c r="AH60" s="48">
        <v>315450522.5</v>
      </c>
      <c r="AI60" s="48">
        <v>246332786.59</v>
      </c>
      <c r="AJ60" s="48">
        <v>233749058.91999999</v>
      </c>
      <c r="AK60" s="48">
        <v>224704396.28999999</v>
      </c>
      <c r="AL60" s="48">
        <v>217075312.71000001</v>
      </c>
      <c r="AM60" s="48">
        <v>181005422.75999999</v>
      </c>
      <c r="AN60" s="48">
        <v>247705855.34</v>
      </c>
      <c r="AO60" s="48">
        <v>219944236.38</v>
      </c>
      <c r="AP60" s="48">
        <v>199209864.97</v>
      </c>
      <c r="AQ60" s="48">
        <v>0</v>
      </c>
    </row>
    <row r="61" spans="1:43">
      <c r="A61" s="48" t="s">
        <v>165</v>
      </c>
    </row>
    <row r="62" spans="1:43">
      <c r="A62" s="48" t="s">
        <v>166</v>
      </c>
      <c r="B62" s="48">
        <v>0</v>
      </c>
      <c r="C62" s="48">
        <v>0</v>
      </c>
      <c r="D62" s="48">
        <v>0</v>
      </c>
      <c r="E62" s="48">
        <v>0</v>
      </c>
      <c r="F62" s="48">
        <v>0</v>
      </c>
      <c r="G62" s="48">
        <v>0</v>
      </c>
      <c r="H62" s="48">
        <v>0</v>
      </c>
      <c r="I62" s="48">
        <v>0</v>
      </c>
      <c r="J62" s="48">
        <v>0</v>
      </c>
      <c r="K62" s="48">
        <v>0</v>
      </c>
      <c r="L62" s="48">
        <v>0</v>
      </c>
      <c r="M62" s="48">
        <v>0</v>
      </c>
      <c r="N62" s="48">
        <v>0</v>
      </c>
      <c r="O62" s="48">
        <v>0</v>
      </c>
      <c r="P62" s="48">
        <v>0</v>
      </c>
      <c r="Q62" s="48">
        <v>0</v>
      </c>
      <c r="R62" s="48">
        <v>0</v>
      </c>
      <c r="S62" s="48">
        <v>0</v>
      </c>
      <c r="T62" s="48">
        <v>0</v>
      </c>
      <c r="U62" s="48">
        <v>0</v>
      </c>
      <c r="V62" s="48">
        <v>0</v>
      </c>
      <c r="W62" s="48">
        <v>0</v>
      </c>
      <c r="X62" s="48">
        <v>0</v>
      </c>
      <c r="Y62" s="48">
        <v>0</v>
      </c>
      <c r="Z62" s="48">
        <v>0</v>
      </c>
      <c r="AA62" s="48">
        <v>0</v>
      </c>
      <c r="AB62" s="48">
        <v>0</v>
      </c>
      <c r="AC62" s="48">
        <v>0</v>
      </c>
      <c r="AD62" s="48">
        <v>0</v>
      </c>
      <c r="AE62" s="48">
        <v>0</v>
      </c>
      <c r="AF62" s="48">
        <v>0</v>
      </c>
      <c r="AG62" s="48">
        <v>0</v>
      </c>
      <c r="AH62" s="48">
        <v>0</v>
      </c>
      <c r="AI62" s="48">
        <v>0</v>
      </c>
      <c r="AJ62" s="48">
        <v>0</v>
      </c>
      <c r="AK62" s="48">
        <v>0</v>
      </c>
      <c r="AL62" s="48">
        <v>0</v>
      </c>
      <c r="AM62" s="48">
        <v>9000000</v>
      </c>
      <c r="AN62" s="48">
        <v>28222222.23</v>
      </c>
      <c r="AO62" s="48">
        <v>40222222.229999997</v>
      </c>
      <c r="AP62" s="48">
        <v>8000000</v>
      </c>
      <c r="AQ62" s="48">
        <v>0</v>
      </c>
    </row>
    <row r="63" spans="1:43">
      <c r="A63" s="48" t="s">
        <v>167</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0</v>
      </c>
      <c r="AM63" s="48">
        <v>0</v>
      </c>
      <c r="AN63" s="48">
        <v>0</v>
      </c>
      <c r="AO63" s="48">
        <v>0</v>
      </c>
      <c r="AP63" s="48">
        <v>0</v>
      </c>
      <c r="AQ63" s="48">
        <v>0</v>
      </c>
    </row>
    <row r="64" spans="1:43">
      <c r="A64" s="48" t="s">
        <v>168</v>
      </c>
      <c r="B64" s="48">
        <v>0</v>
      </c>
      <c r="C64" s="48">
        <v>0</v>
      </c>
      <c r="D64" s="48">
        <v>0</v>
      </c>
      <c r="E64" s="48">
        <v>0</v>
      </c>
      <c r="F64" s="48">
        <v>0</v>
      </c>
      <c r="G64" s="48">
        <v>0</v>
      </c>
      <c r="H64" s="48">
        <v>0</v>
      </c>
      <c r="I64" s="48">
        <v>0</v>
      </c>
      <c r="J64" s="48">
        <v>0</v>
      </c>
      <c r="K64" s="48">
        <v>0</v>
      </c>
      <c r="L64" s="48">
        <v>0</v>
      </c>
      <c r="M64" s="48">
        <v>0</v>
      </c>
      <c r="N64" s="48">
        <v>0</v>
      </c>
      <c r="O64" s="48">
        <v>0</v>
      </c>
      <c r="P64" s="48">
        <v>0</v>
      </c>
      <c r="Q64" s="48">
        <v>0</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0</v>
      </c>
      <c r="AN64" s="48">
        <v>0</v>
      </c>
      <c r="AO64" s="48">
        <v>0</v>
      </c>
      <c r="AP64" s="48">
        <v>0</v>
      </c>
      <c r="AQ64" s="48">
        <v>0</v>
      </c>
    </row>
    <row r="65" spans="1:43">
      <c r="A65" s="48" t="s">
        <v>169</v>
      </c>
      <c r="B65" s="48">
        <v>0</v>
      </c>
      <c r="C65" s="48">
        <v>0</v>
      </c>
      <c r="D65" s="48">
        <v>0</v>
      </c>
      <c r="E65" s="48">
        <v>0</v>
      </c>
      <c r="F65" s="48">
        <v>0</v>
      </c>
      <c r="G65" s="48">
        <v>0</v>
      </c>
      <c r="H65" s="48">
        <v>0</v>
      </c>
      <c r="I65" s="48">
        <v>0</v>
      </c>
      <c r="J65" s="48">
        <v>0</v>
      </c>
      <c r="K65" s="48">
        <v>0</v>
      </c>
      <c r="L65" s="48">
        <v>0</v>
      </c>
      <c r="M65" s="48">
        <v>0</v>
      </c>
      <c r="N65" s="48">
        <v>0</v>
      </c>
      <c r="O65" s="48">
        <v>0</v>
      </c>
      <c r="P65" s="48">
        <v>0</v>
      </c>
      <c r="Q65" s="48">
        <v>0</v>
      </c>
      <c r="R65" s="48">
        <v>0</v>
      </c>
      <c r="S65" s="48">
        <v>0</v>
      </c>
      <c r="T65" s="48">
        <v>0</v>
      </c>
      <c r="U65" s="48">
        <v>0</v>
      </c>
      <c r="V65" s="48">
        <v>0</v>
      </c>
      <c r="W65" s="48">
        <v>0</v>
      </c>
      <c r="X65" s="48">
        <v>0</v>
      </c>
      <c r="Y65" s="48">
        <v>0</v>
      </c>
      <c r="Z65" s="48">
        <v>0</v>
      </c>
      <c r="AA65" s="48">
        <v>0</v>
      </c>
      <c r="AB65" s="48">
        <v>0</v>
      </c>
      <c r="AC65" s="48">
        <v>0</v>
      </c>
      <c r="AD65" s="48">
        <v>0</v>
      </c>
      <c r="AE65" s="48">
        <v>0</v>
      </c>
      <c r="AF65" s="48">
        <v>0</v>
      </c>
      <c r="AG65" s="48">
        <v>0</v>
      </c>
      <c r="AH65" s="48">
        <v>0</v>
      </c>
      <c r="AI65" s="48">
        <v>0</v>
      </c>
      <c r="AJ65" s="48">
        <v>0</v>
      </c>
      <c r="AK65" s="48">
        <v>0</v>
      </c>
      <c r="AL65" s="48">
        <v>0</v>
      </c>
      <c r="AM65" s="48">
        <v>0</v>
      </c>
      <c r="AN65" s="48">
        <v>0</v>
      </c>
      <c r="AO65" s="48">
        <v>0</v>
      </c>
      <c r="AP65" s="48">
        <v>0</v>
      </c>
      <c r="AQ65" s="48">
        <v>0</v>
      </c>
    </row>
    <row r="66" spans="1:43">
      <c r="A66" s="48" t="s">
        <v>170</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1335190</v>
      </c>
      <c r="AM66" s="48">
        <v>752690</v>
      </c>
      <c r="AN66" s="48">
        <v>752690</v>
      </c>
      <c r="AO66" s="48">
        <v>160000</v>
      </c>
      <c r="AP66" s="48">
        <v>0</v>
      </c>
      <c r="AQ66" s="48">
        <v>0</v>
      </c>
    </row>
    <row r="67" spans="1:43">
      <c r="A67" s="48" t="s">
        <v>171</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row>
    <row r="68" spans="1:43">
      <c r="A68" s="48" t="s">
        <v>172</v>
      </c>
      <c r="B68" s="48">
        <v>0</v>
      </c>
      <c r="C68" s="48">
        <v>0</v>
      </c>
      <c r="D68" s="48">
        <v>0</v>
      </c>
      <c r="E68" s="48">
        <v>0</v>
      </c>
      <c r="F68" s="48">
        <v>0</v>
      </c>
      <c r="G68" s="48">
        <v>0</v>
      </c>
      <c r="H68" s="48">
        <v>0</v>
      </c>
      <c r="I68" s="48">
        <v>0</v>
      </c>
      <c r="J68" s="48">
        <v>0</v>
      </c>
      <c r="K68" s="48">
        <v>0</v>
      </c>
      <c r="L68" s="48">
        <v>0</v>
      </c>
      <c r="M68" s="48">
        <v>0</v>
      </c>
      <c r="N68" s="48">
        <v>0</v>
      </c>
      <c r="O68" s="48">
        <v>0</v>
      </c>
      <c r="P68" s="48">
        <v>0</v>
      </c>
      <c r="Q68" s="48">
        <v>0</v>
      </c>
      <c r="R68" s="48">
        <v>0</v>
      </c>
      <c r="S68" s="48">
        <v>0</v>
      </c>
      <c r="T68" s="48">
        <v>0</v>
      </c>
      <c r="U68" s="48">
        <v>0</v>
      </c>
      <c r="V68" s="48">
        <v>0</v>
      </c>
      <c r="W68" s="48">
        <v>0</v>
      </c>
      <c r="X68" s="48">
        <v>0</v>
      </c>
      <c r="Y68" s="48">
        <v>0</v>
      </c>
      <c r="Z68" s="48">
        <v>0</v>
      </c>
      <c r="AA68" s="48">
        <v>0</v>
      </c>
      <c r="AB68" s="48">
        <v>0</v>
      </c>
      <c r="AC68" s="48">
        <v>0</v>
      </c>
      <c r="AD68" s="48">
        <v>0</v>
      </c>
      <c r="AE68" s="48">
        <v>0</v>
      </c>
      <c r="AF68" s="48">
        <v>0</v>
      </c>
      <c r="AG68" s="48">
        <v>0</v>
      </c>
      <c r="AH68" s="48">
        <v>0</v>
      </c>
      <c r="AI68" s="48">
        <v>0</v>
      </c>
      <c r="AJ68" s="48">
        <v>0</v>
      </c>
      <c r="AK68" s="48">
        <v>0</v>
      </c>
      <c r="AL68" s="48">
        <v>49105.59</v>
      </c>
      <c r="AM68" s="48">
        <v>49105.59</v>
      </c>
      <c r="AN68" s="48">
        <v>49105.59</v>
      </c>
      <c r="AO68" s="48">
        <v>49105.59</v>
      </c>
      <c r="AP68" s="48">
        <v>49105.59</v>
      </c>
      <c r="AQ68" s="48">
        <v>0</v>
      </c>
    </row>
    <row r="69" spans="1:43">
      <c r="A69" s="48" t="s">
        <v>173</v>
      </c>
      <c r="B69" s="48">
        <v>18397902.27</v>
      </c>
      <c r="C69" s="48">
        <v>19366792.91</v>
      </c>
      <c r="D69" s="48">
        <v>20281680.329999998</v>
      </c>
      <c r="E69" s="48">
        <v>19861432.280000001</v>
      </c>
      <c r="F69" s="48">
        <v>19484524.600000001</v>
      </c>
      <c r="G69" s="48">
        <v>19770180.98</v>
      </c>
      <c r="H69" s="48">
        <v>26979414.469999999</v>
      </c>
      <c r="I69" s="48">
        <v>24626654.670000002</v>
      </c>
      <c r="J69" s="48">
        <v>27473820.870000001</v>
      </c>
      <c r="K69" s="48">
        <v>27759477.25</v>
      </c>
      <c r="L69" s="48">
        <v>28352759.149999999</v>
      </c>
      <c r="M69" s="48">
        <v>28612780.07</v>
      </c>
      <c r="N69" s="48">
        <v>24225679.449999999</v>
      </c>
      <c r="O69" s="48">
        <v>24034429.449999999</v>
      </c>
      <c r="P69" s="48">
        <v>21692111.07</v>
      </c>
      <c r="Q69" s="48">
        <v>18900861.07</v>
      </c>
      <c r="R69" s="48">
        <v>0</v>
      </c>
      <c r="S69" s="48">
        <v>0</v>
      </c>
      <c r="T69" s="48">
        <v>0</v>
      </c>
      <c r="U69" s="48">
        <v>0</v>
      </c>
      <c r="V69" s="48">
        <v>0</v>
      </c>
      <c r="W69" s="48">
        <v>0</v>
      </c>
      <c r="X69" s="48">
        <v>0</v>
      </c>
      <c r="Y69" s="48">
        <v>0</v>
      </c>
      <c r="Z69" s="48">
        <v>0</v>
      </c>
      <c r="AA69" s="48">
        <v>0</v>
      </c>
      <c r="AB69" s="48">
        <v>0</v>
      </c>
      <c r="AC69" s="48">
        <v>0</v>
      </c>
      <c r="AD69" s="48">
        <v>0</v>
      </c>
      <c r="AE69" s="48">
        <v>0</v>
      </c>
      <c r="AF69" s="48">
        <v>0</v>
      </c>
      <c r="AG69" s="48">
        <v>0</v>
      </c>
      <c r="AH69" s="48">
        <v>0</v>
      </c>
      <c r="AI69" s="48">
        <v>0</v>
      </c>
      <c r="AJ69" s="48">
        <v>0</v>
      </c>
      <c r="AK69" s="48">
        <v>0</v>
      </c>
      <c r="AL69" s="48">
        <v>0</v>
      </c>
      <c r="AM69" s="48">
        <v>0</v>
      </c>
      <c r="AN69" s="48">
        <v>0</v>
      </c>
      <c r="AO69" s="48">
        <v>0</v>
      </c>
      <c r="AP69" s="48">
        <v>0</v>
      </c>
      <c r="AQ69" s="48">
        <v>0</v>
      </c>
    </row>
    <row r="70" spans="1:43">
      <c r="A70" s="48" t="s">
        <v>174</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15762074.5</v>
      </c>
      <c r="S70" s="48">
        <v>15959574.5</v>
      </c>
      <c r="T70" s="48">
        <v>16613909.34</v>
      </c>
      <c r="U70" s="48">
        <v>16353506.119999999</v>
      </c>
      <c r="V70" s="48">
        <v>2990750</v>
      </c>
      <c r="W70" s="48">
        <v>18190750</v>
      </c>
      <c r="X70" s="48">
        <v>18190750</v>
      </c>
      <c r="Y70" s="48">
        <v>18190750</v>
      </c>
      <c r="Z70" s="48">
        <v>18006473.920000002</v>
      </c>
      <c r="AA70" s="48">
        <v>18200000</v>
      </c>
      <c r="AB70" s="48">
        <v>18200000</v>
      </c>
      <c r="AC70" s="48">
        <v>18200000</v>
      </c>
      <c r="AD70" s="48">
        <v>15200000</v>
      </c>
      <c r="AE70" s="48">
        <v>15200000</v>
      </c>
      <c r="AF70" s="48">
        <v>14373100</v>
      </c>
      <c r="AG70" s="48">
        <v>15900000</v>
      </c>
      <c r="AH70" s="48">
        <v>0</v>
      </c>
      <c r="AI70" s="48">
        <v>0</v>
      </c>
      <c r="AJ70" s="48">
        <v>0</v>
      </c>
      <c r="AK70" s="48">
        <v>0</v>
      </c>
      <c r="AL70" s="48">
        <v>0</v>
      </c>
      <c r="AM70" s="48">
        <v>0</v>
      </c>
      <c r="AN70" s="48">
        <v>0</v>
      </c>
      <c r="AO70" s="48">
        <v>0</v>
      </c>
      <c r="AP70" s="48">
        <v>0</v>
      </c>
      <c r="AQ70" s="48">
        <v>0</v>
      </c>
    </row>
    <row r="71" spans="1:43">
      <c r="A71" s="48" t="s">
        <v>175</v>
      </c>
      <c r="B71" s="48">
        <v>18397902.27</v>
      </c>
      <c r="C71" s="48">
        <v>19366792.91</v>
      </c>
      <c r="D71" s="48">
        <v>20281680.329999998</v>
      </c>
      <c r="E71" s="48">
        <v>19861432.280000001</v>
      </c>
      <c r="F71" s="48">
        <v>19484524.600000001</v>
      </c>
      <c r="G71" s="48">
        <v>19770180.98</v>
      </c>
      <c r="H71" s="48">
        <v>26979414.469999999</v>
      </c>
      <c r="I71" s="48">
        <v>24626654.670000002</v>
      </c>
      <c r="J71" s="48">
        <v>27473820.870000001</v>
      </c>
      <c r="K71" s="48">
        <v>27759477.25</v>
      </c>
      <c r="L71" s="48">
        <v>28352759.149999999</v>
      </c>
      <c r="M71" s="48">
        <v>28612780.07</v>
      </c>
      <c r="N71" s="48">
        <v>24225679.449999999</v>
      </c>
      <c r="O71" s="48">
        <v>24034429.449999999</v>
      </c>
      <c r="P71" s="48">
        <v>21692111.07</v>
      </c>
      <c r="Q71" s="48">
        <v>18900861.07</v>
      </c>
      <c r="R71" s="48">
        <v>15762074.5</v>
      </c>
      <c r="S71" s="48">
        <v>15959574.5</v>
      </c>
      <c r="T71" s="48">
        <v>16613909.34</v>
      </c>
      <c r="U71" s="48">
        <v>16353506.119999999</v>
      </c>
      <c r="V71" s="48">
        <v>2990750</v>
      </c>
      <c r="W71" s="48">
        <v>18190750</v>
      </c>
      <c r="X71" s="48">
        <v>18190750</v>
      </c>
      <c r="Y71" s="48">
        <v>18190750</v>
      </c>
      <c r="Z71" s="48">
        <v>18006473.920000002</v>
      </c>
      <c r="AA71" s="48">
        <v>18200000</v>
      </c>
      <c r="AB71" s="48">
        <v>18200000</v>
      </c>
      <c r="AC71" s="48">
        <v>18200000</v>
      </c>
      <c r="AD71" s="48">
        <v>15200000</v>
      </c>
      <c r="AE71" s="48">
        <v>15200000</v>
      </c>
      <c r="AF71" s="48">
        <v>14373100</v>
      </c>
      <c r="AG71" s="48">
        <v>15900000</v>
      </c>
      <c r="AH71" s="48">
        <v>0</v>
      </c>
      <c r="AI71" s="48">
        <v>0</v>
      </c>
      <c r="AJ71" s="48">
        <v>0</v>
      </c>
      <c r="AK71" s="48">
        <v>0</v>
      </c>
      <c r="AL71" s="48">
        <v>1384295.59</v>
      </c>
      <c r="AM71" s="48">
        <v>9801795.5899999999</v>
      </c>
      <c r="AN71" s="48">
        <v>29024017.82</v>
      </c>
      <c r="AO71" s="48">
        <v>40431327.82</v>
      </c>
      <c r="AP71" s="48">
        <v>8049105.5899999999</v>
      </c>
      <c r="AQ71" s="48">
        <v>0</v>
      </c>
    </row>
    <row r="72" spans="1:43">
      <c r="A72" s="48" t="s">
        <v>176</v>
      </c>
      <c r="B72" s="48">
        <v>1013524920.59</v>
      </c>
      <c r="C72" s="48">
        <v>1073880151.95</v>
      </c>
      <c r="D72" s="48">
        <v>1125428256.9100001</v>
      </c>
      <c r="E72" s="48">
        <v>871239448.41999996</v>
      </c>
      <c r="F72" s="48">
        <v>806651760.67999995</v>
      </c>
      <c r="G72" s="48">
        <v>720757557.95000005</v>
      </c>
      <c r="H72" s="48">
        <v>704325467.88</v>
      </c>
      <c r="I72" s="48">
        <v>867600559.88</v>
      </c>
      <c r="J72" s="48">
        <v>645687363.20000005</v>
      </c>
      <c r="K72" s="48">
        <v>625968242.73000002</v>
      </c>
      <c r="L72" s="48">
        <v>561534389.60000002</v>
      </c>
      <c r="M72" s="48">
        <v>639643879.62</v>
      </c>
      <c r="N72" s="48">
        <v>553582729.32000005</v>
      </c>
      <c r="O72" s="48">
        <v>513837091.08999997</v>
      </c>
      <c r="P72" s="48">
        <v>538781121.21000004</v>
      </c>
      <c r="Q72" s="48">
        <v>624908150.87</v>
      </c>
      <c r="R72" s="48">
        <v>464409310.72000003</v>
      </c>
      <c r="S72" s="48">
        <v>419044202.31</v>
      </c>
      <c r="T72" s="48">
        <v>477561440.82999998</v>
      </c>
      <c r="U72" s="48">
        <v>580553822.25</v>
      </c>
      <c r="V72" s="48">
        <v>474399591.22000003</v>
      </c>
      <c r="W72" s="48">
        <v>546516372.5</v>
      </c>
      <c r="X72" s="48">
        <v>503946540.06999999</v>
      </c>
      <c r="Y72" s="48">
        <v>562215734.17999995</v>
      </c>
      <c r="Z72" s="48">
        <v>386512704.32999998</v>
      </c>
      <c r="AA72" s="48">
        <v>305977165.06</v>
      </c>
      <c r="AB72" s="48">
        <v>378664495.81999999</v>
      </c>
      <c r="AC72" s="48">
        <v>455217781.81999999</v>
      </c>
      <c r="AD72" s="48">
        <v>395433848.36000001</v>
      </c>
      <c r="AE72" s="48">
        <v>248161684.09</v>
      </c>
      <c r="AF72" s="48">
        <v>244700287.63</v>
      </c>
      <c r="AG72" s="48">
        <v>332228189.45999998</v>
      </c>
      <c r="AH72" s="48">
        <v>315450522.5</v>
      </c>
      <c r="AI72" s="48">
        <v>246332786.59</v>
      </c>
      <c r="AJ72" s="48">
        <v>233749058.91999999</v>
      </c>
      <c r="AK72" s="48">
        <v>224704396.28999999</v>
      </c>
      <c r="AL72" s="48">
        <v>218459608.30000001</v>
      </c>
      <c r="AM72" s="48">
        <v>190807218.34999999</v>
      </c>
      <c r="AN72" s="48">
        <v>276729873.16000003</v>
      </c>
      <c r="AO72" s="48">
        <v>260375564.19999999</v>
      </c>
      <c r="AP72" s="48">
        <v>207258970.56</v>
      </c>
      <c r="AQ72" s="48">
        <v>0</v>
      </c>
    </row>
    <row r="73" spans="1:43">
      <c r="A73" s="48" t="s">
        <v>177</v>
      </c>
    </row>
    <row r="74" spans="1:43">
      <c r="A74" s="48" t="s">
        <v>178</v>
      </c>
      <c r="B74" s="48">
        <v>868600082</v>
      </c>
      <c r="C74" s="48">
        <v>869505192</v>
      </c>
      <c r="D74" s="48">
        <v>869760152</v>
      </c>
      <c r="E74" s="48">
        <v>870035403</v>
      </c>
      <c r="F74" s="48">
        <v>867758241</v>
      </c>
      <c r="G74" s="48">
        <v>868787855</v>
      </c>
      <c r="H74" s="48">
        <v>866891349</v>
      </c>
      <c r="I74" s="48">
        <v>850297323</v>
      </c>
      <c r="J74" s="48">
        <v>851195867</v>
      </c>
      <c r="K74" s="48">
        <v>851213117</v>
      </c>
      <c r="L74" s="48">
        <v>834024789</v>
      </c>
      <c r="M74" s="48">
        <v>860406505</v>
      </c>
      <c r="N74" s="48">
        <v>860923801</v>
      </c>
      <c r="O74" s="48">
        <v>858369728</v>
      </c>
      <c r="P74" s="48">
        <v>429241857</v>
      </c>
      <c r="Q74" s="48">
        <v>428007030</v>
      </c>
      <c r="R74" s="48">
        <v>427343950</v>
      </c>
      <c r="S74" s="48">
        <v>426783428</v>
      </c>
      <c r="T74" s="48">
        <v>322492921</v>
      </c>
      <c r="U74" s="48">
        <v>322297621</v>
      </c>
      <c r="V74" s="48">
        <v>321537080</v>
      </c>
      <c r="W74" s="48">
        <v>321359995</v>
      </c>
      <c r="X74" s="48">
        <v>160680000</v>
      </c>
      <c r="Y74" s="48">
        <v>160680000</v>
      </c>
      <c r="Z74" s="48">
        <v>160680000</v>
      </c>
      <c r="AA74" s="48">
        <v>160680000</v>
      </c>
      <c r="AB74" s="48">
        <v>133900000</v>
      </c>
      <c r="AC74" s="48">
        <v>133900000</v>
      </c>
      <c r="AD74" s="48">
        <v>133900000</v>
      </c>
      <c r="AE74" s="48">
        <v>133900000</v>
      </c>
      <c r="AF74" s="48">
        <v>133900000</v>
      </c>
      <c r="AG74" s="48">
        <v>133900000</v>
      </c>
      <c r="AH74" s="48">
        <v>133900000</v>
      </c>
      <c r="AI74" s="48">
        <v>103000000</v>
      </c>
      <c r="AJ74" s="48">
        <v>103000000</v>
      </c>
      <c r="AK74" s="48">
        <v>103000000</v>
      </c>
      <c r="AL74" s="48">
        <v>77000000</v>
      </c>
      <c r="AM74" s="48">
        <v>77000000</v>
      </c>
      <c r="AN74" s="48">
        <v>77000000</v>
      </c>
      <c r="AO74" s="48">
        <v>77000000</v>
      </c>
      <c r="AP74" s="48">
        <v>70000000</v>
      </c>
      <c r="AQ74" s="48">
        <v>0</v>
      </c>
    </row>
    <row r="75" spans="1:43">
      <c r="A75" s="48" t="s">
        <v>179</v>
      </c>
      <c r="B75" s="48">
        <v>240746120.05000001</v>
      </c>
      <c r="C75" s="48">
        <v>239049707.43000001</v>
      </c>
      <c r="D75" s="48">
        <v>218317840.05000001</v>
      </c>
      <c r="E75" s="48">
        <v>206248678.34</v>
      </c>
      <c r="F75" s="48">
        <v>159440658.19999999</v>
      </c>
      <c r="G75" s="48">
        <v>148851506.78999999</v>
      </c>
      <c r="H75" s="48">
        <v>141928473.34999999</v>
      </c>
      <c r="I75" s="48">
        <v>81671632.790000007</v>
      </c>
      <c r="J75" s="48">
        <v>80661281.829999998</v>
      </c>
      <c r="K75" s="48">
        <v>79463879.159999996</v>
      </c>
      <c r="L75" s="48">
        <v>13628889.43</v>
      </c>
      <c r="M75" s="48">
        <v>141476589.36000001</v>
      </c>
      <c r="N75" s="48">
        <v>111154850.45</v>
      </c>
      <c r="O75" s="48">
        <v>100463859.37</v>
      </c>
      <c r="P75" s="48">
        <v>526168295.02999997</v>
      </c>
      <c r="Q75" s="48">
        <v>518868686.75</v>
      </c>
      <c r="R75" s="48">
        <v>520893820.35000002</v>
      </c>
      <c r="S75" s="48">
        <v>513221898.41000003</v>
      </c>
      <c r="T75" s="48">
        <v>560860428.21000004</v>
      </c>
      <c r="U75" s="48">
        <v>556009354.21000004</v>
      </c>
      <c r="V75" s="48">
        <v>547211121.89999998</v>
      </c>
      <c r="W75" s="48">
        <v>541822222.07000005</v>
      </c>
      <c r="X75" s="48">
        <v>698604358.35000002</v>
      </c>
      <c r="Y75" s="48">
        <v>694706499.63</v>
      </c>
      <c r="Z75" s="48">
        <v>686887899.63</v>
      </c>
      <c r="AA75" s="48">
        <v>684827899.63</v>
      </c>
      <c r="AB75" s="48">
        <v>709547899.63</v>
      </c>
      <c r="AC75" s="48">
        <v>707487899.63</v>
      </c>
      <c r="AD75" s="48">
        <v>707234299.63</v>
      </c>
      <c r="AE75" s="48">
        <v>704694199.63</v>
      </c>
      <c r="AF75" s="48">
        <v>701307399.63</v>
      </c>
      <c r="AG75" s="48">
        <v>701307399.63</v>
      </c>
      <c r="AH75" s="48">
        <v>701307399.63</v>
      </c>
      <c r="AI75" s="48">
        <v>732207399.63</v>
      </c>
      <c r="AJ75" s="48">
        <v>732207399.63</v>
      </c>
      <c r="AK75" s="48">
        <v>732207399.63</v>
      </c>
      <c r="AL75" s="48">
        <v>23235070.239999998</v>
      </c>
      <c r="AM75" s="48">
        <v>23235070.239999998</v>
      </c>
      <c r="AN75" s="48">
        <v>23235070.239999998</v>
      </c>
      <c r="AO75" s="48">
        <v>23235070.239999998</v>
      </c>
      <c r="AP75" s="48">
        <v>20154558.850000001</v>
      </c>
      <c r="AQ75" s="48">
        <v>0</v>
      </c>
    </row>
    <row r="76" spans="1:43">
      <c r="A76" s="48" t="s">
        <v>180</v>
      </c>
      <c r="B76" s="48">
        <v>139129600.41999999</v>
      </c>
      <c r="C76" s="48">
        <v>164170829.91999999</v>
      </c>
      <c r="D76" s="48">
        <v>185683838.62</v>
      </c>
      <c r="E76" s="48">
        <v>181275038.62</v>
      </c>
      <c r="F76" s="48">
        <v>168706003.86000001</v>
      </c>
      <c r="G76" s="48">
        <v>187703324.69</v>
      </c>
      <c r="H76" s="48">
        <v>110021940.37</v>
      </c>
      <c r="I76" s="48">
        <v>107905977.69</v>
      </c>
      <c r="J76" s="48">
        <v>115009629.89</v>
      </c>
      <c r="K76" s="48">
        <v>126480635.76000001</v>
      </c>
      <c r="L76" s="48">
        <v>43088535.759999998</v>
      </c>
      <c r="M76" s="48">
        <v>339878236.67000002</v>
      </c>
      <c r="N76" s="48">
        <v>58636998.460000001</v>
      </c>
      <c r="O76" s="48">
        <v>58636998.460000001</v>
      </c>
      <c r="P76" s="48">
        <v>58636998.460000001</v>
      </c>
      <c r="Q76" s="48">
        <v>50102563.18</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row>
    <row r="77" spans="1:43">
      <c r="A77" s="48" t="s">
        <v>181</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row>
    <row r="78" spans="1:43">
      <c r="A78" s="48" t="s">
        <v>182</v>
      </c>
      <c r="B78" s="48">
        <v>0</v>
      </c>
      <c r="C78" s="48">
        <v>0</v>
      </c>
      <c r="D78" s="48">
        <v>0</v>
      </c>
      <c r="E78" s="48">
        <v>0</v>
      </c>
      <c r="F78" s="48">
        <v>0</v>
      </c>
      <c r="G78" s="48">
        <v>0</v>
      </c>
      <c r="H78" s="48">
        <v>0</v>
      </c>
      <c r="I78" s="48">
        <v>0</v>
      </c>
      <c r="J78" s="48">
        <v>0</v>
      </c>
      <c r="K78" s="48">
        <v>0</v>
      </c>
      <c r="L78" s="48">
        <v>0</v>
      </c>
      <c r="M78" s="48">
        <v>0</v>
      </c>
      <c r="N78" s="48">
        <v>0</v>
      </c>
      <c r="O78" s="48">
        <v>0</v>
      </c>
      <c r="P78" s="48">
        <v>0</v>
      </c>
      <c r="Q78" s="48">
        <v>0</v>
      </c>
      <c r="R78" s="48">
        <v>0</v>
      </c>
      <c r="S78" s="48">
        <v>0</v>
      </c>
      <c r="T78" s="48">
        <v>0</v>
      </c>
      <c r="U78" s="48">
        <v>0</v>
      </c>
      <c r="V78" s="48">
        <v>0</v>
      </c>
      <c r="W78" s="48">
        <v>0</v>
      </c>
      <c r="X78" s="48">
        <v>0</v>
      </c>
      <c r="Y78" s="48">
        <v>0</v>
      </c>
      <c r="Z78" s="48">
        <v>0</v>
      </c>
      <c r="AA78" s="48">
        <v>0</v>
      </c>
      <c r="AB78" s="48">
        <v>0</v>
      </c>
      <c r="AC78" s="48">
        <v>0</v>
      </c>
      <c r="AD78" s="48">
        <v>0</v>
      </c>
      <c r="AE78" s="48">
        <v>0</v>
      </c>
      <c r="AF78" s="48">
        <v>0</v>
      </c>
      <c r="AG78" s="48">
        <v>0</v>
      </c>
      <c r="AH78" s="48">
        <v>0</v>
      </c>
      <c r="AI78" s="48">
        <v>0</v>
      </c>
      <c r="AJ78" s="48">
        <v>0</v>
      </c>
      <c r="AK78" s="48">
        <v>0</v>
      </c>
      <c r="AL78" s="48">
        <v>0</v>
      </c>
      <c r="AM78" s="48">
        <v>0</v>
      </c>
      <c r="AN78" s="48">
        <v>0</v>
      </c>
      <c r="AO78" s="48">
        <v>0</v>
      </c>
      <c r="AP78" s="48">
        <v>0</v>
      </c>
      <c r="AQ78" s="48">
        <v>0</v>
      </c>
    </row>
    <row r="79" spans="1:43">
      <c r="A79" s="48" t="s">
        <v>183</v>
      </c>
      <c r="B79" s="48">
        <v>59580558.670000002</v>
      </c>
      <c r="C79" s="48">
        <v>59580558.670000002</v>
      </c>
      <c r="D79" s="48">
        <v>59580558.670000002</v>
      </c>
      <c r="E79" s="48">
        <v>59580558.670000002</v>
      </c>
      <c r="F79" s="48">
        <v>27861049.010000002</v>
      </c>
      <c r="G79" s="48">
        <v>27861049.010000002</v>
      </c>
      <c r="H79" s="48">
        <v>27861049.010000002</v>
      </c>
      <c r="I79" s="48">
        <v>27861049.010000002</v>
      </c>
      <c r="J79" s="48">
        <v>0</v>
      </c>
      <c r="K79" s="48">
        <v>0</v>
      </c>
      <c r="L79" s="48">
        <v>0</v>
      </c>
      <c r="M79" s="48">
        <v>132198985.88</v>
      </c>
      <c r="N79" s="48">
        <v>111020655.7</v>
      </c>
      <c r="O79" s="48">
        <v>111020655.7</v>
      </c>
      <c r="P79" s="48">
        <v>111020655.7</v>
      </c>
      <c r="Q79" s="48">
        <v>111020655.7</v>
      </c>
      <c r="R79" s="48">
        <v>90367143.269999996</v>
      </c>
      <c r="S79" s="48">
        <v>90367143.269999996</v>
      </c>
      <c r="T79" s="48">
        <v>90367143.269999996</v>
      </c>
      <c r="U79" s="48">
        <v>90367143.269999996</v>
      </c>
      <c r="V79" s="48">
        <v>67804012.400000006</v>
      </c>
      <c r="W79" s="48">
        <v>67804012.400000006</v>
      </c>
      <c r="X79" s="48">
        <v>67804012.400000006</v>
      </c>
      <c r="Y79" s="48">
        <v>67804012.400000006</v>
      </c>
      <c r="Z79" s="48">
        <v>47943388.189999998</v>
      </c>
      <c r="AA79" s="48">
        <v>47943388.189999998</v>
      </c>
      <c r="AB79" s="48">
        <v>47943388.189999998</v>
      </c>
      <c r="AC79" s="48">
        <v>47943388.189999998</v>
      </c>
      <c r="AD79" s="48">
        <v>32013903.239999998</v>
      </c>
      <c r="AE79" s="48">
        <v>32013903.239999998</v>
      </c>
      <c r="AF79" s="48">
        <v>32013903.239999998</v>
      </c>
      <c r="AG79" s="48">
        <v>32013903.239999998</v>
      </c>
      <c r="AH79" s="48">
        <v>23593870.16</v>
      </c>
      <c r="AI79" s="48">
        <v>23593870.16</v>
      </c>
      <c r="AJ79" s="48">
        <v>23593870.16</v>
      </c>
      <c r="AK79" s="48">
        <v>23593870.16</v>
      </c>
      <c r="AL79" s="48">
        <v>15920743.880000001</v>
      </c>
      <c r="AM79" s="48">
        <v>15920743.880000001</v>
      </c>
      <c r="AN79" s="48">
        <v>15920743.880000001</v>
      </c>
      <c r="AO79" s="48">
        <v>7766524.1500000004</v>
      </c>
      <c r="AP79" s="48">
        <v>2226072.6</v>
      </c>
      <c r="AQ79" s="48">
        <v>0</v>
      </c>
    </row>
    <row r="80" spans="1:43">
      <c r="A80" s="48" t="s">
        <v>184</v>
      </c>
      <c r="B80" s="48">
        <v>0</v>
      </c>
      <c r="C80" s="48">
        <v>0</v>
      </c>
      <c r="D80" s="48">
        <v>0</v>
      </c>
      <c r="E80" s="48">
        <v>0</v>
      </c>
      <c r="F80" s="48">
        <v>0</v>
      </c>
      <c r="G80" s="48">
        <v>0</v>
      </c>
      <c r="H80" s="48">
        <v>0</v>
      </c>
      <c r="I80" s="48">
        <v>0</v>
      </c>
      <c r="J80" s="48">
        <v>0</v>
      </c>
      <c r="K80" s="48">
        <v>0</v>
      </c>
      <c r="L80" s="48">
        <v>0</v>
      </c>
      <c r="M80" s="48">
        <v>0</v>
      </c>
      <c r="N80" s="48">
        <v>0</v>
      </c>
      <c r="O80" s="48">
        <v>0</v>
      </c>
      <c r="P80" s="48">
        <v>0</v>
      </c>
      <c r="Q80" s="48">
        <v>0</v>
      </c>
      <c r="R80" s="48">
        <v>0</v>
      </c>
      <c r="S80" s="48">
        <v>0</v>
      </c>
      <c r="T80" s="48">
        <v>0</v>
      </c>
      <c r="U80" s="48">
        <v>0</v>
      </c>
      <c r="V80" s="48">
        <v>0</v>
      </c>
      <c r="W80" s="48">
        <v>0</v>
      </c>
      <c r="X80" s="48">
        <v>0</v>
      </c>
      <c r="Y80" s="48">
        <v>0</v>
      </c>
      <c r="Z80" s="48">
        <v>0</v>
      </c>
      <c r="AA80" s="48">
        <v>0</v>
      </c>
      <c r="AB80" s="48">
        <v>0</v>
      </c>
      <c r="AC80" s="48">
        <v>0</v>
      </c>
      <c r="AD80" s="48">
        <v>0</v>
      </c>
      <c r="AE80" s="48">
        <v>0</v>
      </c>
      <c r="AF80" s="48">
        <v>0</v>
      </c>
      <c r="AG80" s="48">
        <v>0</v>
      </c>
      <c r="AH80" s="48">
        <v>0</v>
      </c>
      <c r="AI80" s="48">
        <v>0</v>
      </c>
      <c r="AJ80" s="48">
        <v>0</v>
      </c>
      <c r="AK80" s="48">
        <v>0</v>
      </c>
      <c r="AL80" s="48">
        <v>0</v>
      </c>
      <c r="AM80" s="48">
        <v>0</v>
      </c>
      <c r="AN80" s="48">
        <v>0</v>
      </c>
      <c r="AO80" s="48">
        <v>0</v>
      </c>
      <c r="AP80" s="48">
        <v>0</v>
      </c>
      <c r="AQ80" s="48">
        <v>0</v>
      </c>
    </row>
    <row r="81" spans="1:43">
      <c r="A81" s="48" t="s">
        <v>185</v>
      </c>
      <c r="B81" s="48">
        <v>2266836349.8800001</v>
      </c>
      <c r="C81" s="48">
        <v>2163616183.8099999</v>
      </c>
      <c r="D81" s="48">
        <v>2283625028.6500001</v>
      </c>
      <c r="E81" s="48">
        <v>2186763092.6700001</v>
      </c>
      <c r="F81" s="48">
        <v>1965575783.8199999</v>
      </c>
      <c r="G81" s="48">
        <v>1967288093.53</v>
      </c>
      <c r="H81" s="48">
        <v>1888548242.4000001</v>
      </c>
      <c r="I81" s="48">
        <v>1808701675.73</v>
      </c>
      <c r="J81" s="48">
        <v>1641045767.46</v>
      </c>
      <c r="K81" s="48">
        <v>1567590268.3</v>
      </c>
      <c r="L81" s="48">
        <v>1568915133.1700001</v>
      </c>
      <c r="M81" s="48">
        <v>1493977574.28</v>
      </c>
      <c r="N81" s="48">
        <v>1364371358.46</v>
      </c>
      <c r="O81" s="48">
        <v>1296844322.51</v>
      </c>
      <c r="P81" s="48">
        <v>1257869443.3</v>
      </c>
      <c r="Q81" s="48">
        <v>1156854706.1400001</v>
      </c>
      <c r="R81" s="48">
        <v>1044880372.12</v>
      </c>
      <c r="S81" s="48">
        <v>958518343.21000004</v>
      </c>
      <c r="T81" s="48">
        <v>933756540.13</v>
      </c>
      <c r="U81" s="48">
        <v>833185425.54999995</v>
      </c>
      <c r="V81" s="48">
        <v>751466143.83000004</v>
      </c>
      <c r="W81" s="48">
        <v>676865380.86000001</v>
      </c>
      <c r="X81" s="48">
        <v>676867352.96000004</v>
      </c>
      <c r="Y81" s="48">
        <v>589007082.14999998</v>
      </c>
      <c r="Z81" s="48">
        <v>511483610.64999998</v>
      </c>
      <c r="AA81" s="48">
        <v>457908546.32999998</v>
      </c>
      <c r="AB81" s="48">
        <v>425503175.08999997</v>
      </c>
      <c r="AC81" s="48">
        <v>348584044.75999999</v>
      </c>
      <c r="AD81" s="48">
        <v>286463479.23000002</v>
      </c>
      <c r="AE81" s="48">
        <v>336974205.31</v>
      </c>
      <c r="AF81" s="48">
        <v>310574812.04000002</v>
      </c>
      <c r="AG81" s="48">
        <v>251304736.50999999</v>
      </c>
      <c r="AH81" s="48">
        <v>200975255.56999999</v>
      </c>
      <c r="AI81" s="48">
        <v>231252973.86000001</v>
      </c>
      <c r="AJ81" s="48">
        <v>219772243.63999999</v>
      </c>
      <c r="AK81" s="48">
        <v>183466963.47999999</v>
      </c>
      <c r="AL81" s="48">
        <v>155788641.5</v>
      </c>
      <c r="AM81" s="48">
        <v>138741978.83000001</v>
      </c>
      <c r="AN81" s="48">
        <v>105034808.20999999</v>
      </c>
      <c r="AO81" s="48">
        <v>62815315.789999999</v>
      </c>
      <c r="AP81" s="48">
        <v>19792179.25</v>
      </c>
      <c r="AQ81" s="48">
        <v>0</v>
      </c>
    </row>
    <row r="82" spans="1:43">
      <c r="A82" s="48" t="s">
        <v>186</v>
      </c>
      <c r="B82" s="48">
        <v>3296633510.1799998</v>
      </c>
      <c r="C82" s="48">
        <v>3167580811.9899998</v>
      </c>
      <c r="D82" s="48">
        <v>3245599740.75</v>
      </c>
      <c r="E82" s="48">
        <v>3141352694.0599999</v>
      </c>
      <c r="F82" s="48">
        <v>2851929728.1700001</v>
      </c>
      <c r="G82" s="48">
        <v>2825085179.6399999</v>
      </c>
      <c r="H82" s="48">
        <v>2815207173.3899999</v>
      </c>
      <c r="I82" s="48">
        <v>2660625702.8400002</v>
      </c>
      <c r="J82" s="48">
        <v>2457893286.4000001</v>
      </c>
      <c r="K82" s="48">
        <v>2371786628.6999998</v>
      </c>
      <c r="L82" s="48">
        <v>2373480275.8400002</v>
      </c>
      <c r="M82" s="48">
        <v>2288181417.8499999</v>
      </c>
      <c r="N82" s="48">
        <v>2388833667.1500001</v>
      </c>
      <c r="O82" s="48">
        <v>2308061567.1199999</v>
      </c>
      <c r="P82" s="48">
        <v>2265663252.5700002</v>
      </c>
      <c r="Q82" s="48">
        <v>2164648515.4099998</v>
      </c>
      <c r="R82" s="48">
        <v>2083485285.74</v>
      </c>
      <c r="S82" s="48">
        <v>1988890812.8900001</v>
      </c>
      <c r="T82" s="48">
        <v>1907477032.6099999</v>
      </c>
      <c r="U82" s="48">
        <v>1801859544.03</v>
      </c>
      <c r="V82" s="48">
        <v>1688018358.1300001</v>
      </c>
      <c r="W82" s="48">
        <v>1607851610.3299999</v>
      </c>
      <c r="X82" s="48">
        <v>1603955723.71</v>
      </c>
      <c r="Y82" s="48">
        <v>1512197594.1800001</v>
      </c>
      <c r="Z82" s="48">
        <v>1406994898.47</v>
      </c>
      <c r="AA82" s="48">
        <v>1351359834.1500001</v>
      </c>
      <c r="AB82" s="48">
        <v>1316894462.9100001</v>
      </c>
      <c r="AC82" s="48">
        <v>1237915332.5799999</v>
      </c>
      <c r="AD82" s="48">
        <v>1159611682.0999999</v>
      </c>
      <c r="AE82" s="48">
        <v>1207582308.1800001</v>
      </c>
      <c r="AF82" s="48">
        <v>1177796114.9100001</v>
      </c>
      <c r="AG82" s="48">
        <v>1118526039.3800001</v>
      </c>
      <c r="AH82" s="48">
        <v>1059776525.36</v>
      </c>
      <c r="AI82" s="48">
        <v>1090054243.6500001</v>
      </c>
      <c r="AJ82" s="48">
        <v>1078573513.4300001</v>
      </c>
      <c r="AK82" s="48">
        <v>1042268233.27</v>
      </c>
      <c r="AL82" s="48">
        <v>271944455.62</v>
      </c>
      <c r="AM82" s="48">
        <v>254897792.94999999</v>
      </c>
      <c r="AN82" s="48">
        <v>221190622.33000001</v>
      </c>
      <c r="AO82" s="48">
        <v>170816910.18000001</v>
      </c>
      <c r="AP82" s="48">
        <v>112172810.7</v>
      </c>
      <c r="AQ82" s="48">
        <v>0</v>
      </c>
    </row>
    <row r="83" spans="1:43">
      <c r="A83" s="48" t="s">
        <v>187</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3268315.35</v>
      </c>
      <c r="AQ83" s="48">
        <v>0</v>
      </c>
    </row>
    <row r="84" spans="1:43">
      <c r="A84" s="48" t="s">
        <v>188</v>
      </c>
      <c r="B84" s="48">
        <v>3296633510.1799998</v>
      </c>
      <c r="C84" s="48">
        <v>3167580811.9899998</v>
      </c>
      <c r="D84" s="48">
        <v>3245599740.75</v>
      </c>
      <c r="E84" s="48">
        <v>3141352694.0599999</v>
      </c>
      <c r="F84" s="48">
        <v>2851929728.1700001</v>
      </c>
      <c r="G84" s="48">
        <v>2825085179.6399999</v>
      </c>
      <c r="H84" s="48">
        <v>2815207173.3899999</v>
      </c>
      <c r="I84" s="48">
        <v>2660625702.8400002</v>
      </c>
      <c r="J84" s="48">
        <v>2457893286.4000001</v>
      </c>
      <c r="K84" s="48">
        <v>2371786628.6999998</v>
      </c>
      <c r="L84" s="48">
        <v>2373480275.8400002</v>
      </c>
      <c r="M84" s="48">
        <v>2288181417.8499999</v>
      </c>
      <c r="N84" s="48">
        <v>2388833667.1500001</v>
      </c>
      <c r="O84" s="48">
        <v>2308061567.1199999</v>
      </c>
      <c r="P84" s="48">
        <v>2265663252.5700002</v>
      </c>
      <c r="Q84" s="48">
        <v>2164648515.4099998</v>
      </c>
      <c r="R84" s="48">
        <v>2083485285.74</v>
      </c>
      <c r="S84" s="48">
        <v>1988890812.8900001</v>
      </c>
      <c r="T84" s="48">
        <v>1907477032.6099999</v>
      </c>
      <c r="U84" s="48">
        <v>1801859544.03</v>
      </c>
      <c r="V84" s="48">
        <v>1688018358.1300001</v>
      </c>
      <c r="W84" s="48">
        <v>1607851610.3299999</v>
      </c>
      <c r="X84" s="48">
        <v>1603955723.71</v>
      </c>
      <c r="Y84" s="48">
        <v>1512197594.1800001</v>
      </c>
      <c r="Z84" s="48">
        <v>1406994898.47</v>
      </c>
      <c r="AA84" s="48">
        <v>1351359834.1500001</v>
      </c>
      <c r="AB84" s="48">
        <v>1316894462.9100001</v>
      </c>
      <c r="AC84" s="48">
        <v>1237915332.5799999</v>
      </c>
      <c r="AD84" s="48">
        <v>1159611682.0999999</v>
      </c>
      <c r="AE84" s="48">
        <v>1207582308.1800001</v>
      </c>
      <c r="AF84" s="48">
        <v>1177796114.9100001</v>
      </c>
      <c r="AG84" s="48">
        <v>1118526039.3800001</v>
      </c>
      <c r="AH84" s="48">
        <v>1059776525.36</v>
      </c>
      <c r="AI84" s="48">
        <v>1090054243.6500001</v>
      </c>
      <c r="AJ84" s="48">
        <v>1078573513.4300001</v>
      </c>
      <c r="AK84" s="48">
        <v>1042268233.27</v>
      </c>
      <c r="AL84" s="48">
        <v>271944455.62</v>
      </c>
      <c r="AM84" s="48">
        <v>254897792.94999999</v>
      </c>
      <c r="AN84" s="48">
        <v>221190622.33000001</v>
      </c>
      <c r="AO84" s="48">
        <v>170816910.18000001</v>
      </c>
      <c r="AP84" s="48">
        <v>115441126.05</v>
      </c>
      <c r="AQ84" s="48">
        <v>0</v>
      </c>
    </row>
    <row r="85" spans="1:43">
      <c r="A85" s="48" t="s">
        <v>189</v>
      </c>
      <c r="B85" s="48">
        <v>4310158430.7700005</v>
      </c>
      <c r="C85" s="48">
        <v>4241460963.9400001</v>
      </c>
      <c r="D85" s="48">
        <v>4371027997.6599998</v>
      </c>
      <c r="E85" s="48">
        <v>4012592142.48</v>
      </c>
      <c r="F85" s="48">
        <v>3658581488.8499999</v>
      </c>
      <c r="G85" s="48">
        <v>3545842737.5900002</v>
      </c>
      <c r="H85" s="48">
        <v>3519532641.27</v>
      </c>
      <c r="I85" s="48">
        <v>3528226262.7199998</v>
      </c>
      <c r="J85" s="48">
        <v>3103580649.5999999</v>
      </c>
      <c r="K85" s="48">
        <v>2997754871.4299998</v>
      </c>
      <c r="L85" s="48">
        <v>2935014665.4400001</v>
      </c>
      <c r="M85" s="48">
        <v>2927825297.4699998</v>
      </c>
      <c r="N85" s="48">
        <v>2942416396.4699998</v>
      </c>
      <c r="O85" s="48">
        <v>2821898658.21</v>
      </c>
      <c r="P85" s="48">
        <v>2804444373.7800002</v>
      </c>
      <c r="Q85" s="48">
        <v>2789556666.2800002</v>
      </c>
      <c r="R85" s="48">
        <v>2547894596.46</v>
      </c>
      <c r="S85" s="48">
        <v>2407935015.1999998</v>
      </c>
      <c r="T85" s="48">
        <v>2385038473.4400001</v>
      </c>
      <c r="U85" s="48">
        <v>2382413366.2800002</v>
      </c>
      <c r="V85" s="48">
        <v>2162417949.3499999</v>
      </c>
      <c r="W85" s="48">
        <v>2154367982.8299999</v>
      </c>
      <c r="X85" s="48">
        <v>2107902263.78</v>
      </c>
      <c r="Y85" s="48">
        <v>2074413328.3599999</v>
      </c>
      <c r="Z85" s="48">
        <v>1793507602.8</v>
      </c>
      <c r="AA85" s="48">
        <v>1657336999.21</v>
      </c>
      <c r="AB85" s="48">
        <v>1695558958.73</v>
      </c>
      <c r="AC85" s="48">
        <v>1693133114.4000001</v>
      </c>
      <c r="AD85" s="48">
        <v>1555045530.46</v>
      </c>
      <c r="AE85" s="48">
        <v>1455743992.27</v>
      </c>
      <c r="AF85" s="48">
        <v>1422496402.54</v>
      </c>
      <c r="AG85" s="48">
        <v>1450754228.8399999</v>
      </c>
      <c r="AH85" s="48">
        <v>1375227047.8599999</v>
      </c>
      <c r="AI85" s="48">
        <v>1336387030.24</v>
      </c>
      <c r="AJ85" s="48">
        <v>1312322572.3499999</v>
      </c>
      <c r="AK85" s="48">
        <v>1266972629.5599999</v>
      </c>
      <c r="AL85" s="48">
        <v>490404063.92000002</v>
      </c>
      <c r="AM85" s="48">
        <v>445705011.30000001</v>
      </c>
      <c r="AN85" s="48">
        <v>497920495.49000001</v>
      </c>
      <c r="AO85" s="48">
        <v>431192474.38</v>
      </c>
      <c r="AP85" s="48">
        <v>322700096.61000001</v>
      </c>
      <c r="AQ85" s="48">
        <v>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S31"/>
  <sheetViews>
    <sheetView workbookViewId="0">
      <selection activeCell="A26" sqref="A26"/>
    </sheetView>
  </sheetViews>
  <sheetFormatPr defaultRowHeight="13.5"/>
  <cols>
    <col min="1" max="1" width="37"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3.875" style="48" bestFit="1" customWidth="1"/>
    <col min="14" max="14" width="13.875" style="48" hidden="1" customWidth="1"/>
    <col min="15"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40" width="12.75" style="48" hidden="1" customWidth="1"/>
    <col min="41" max="41" width="12.75" style="48" bestFit="1" customWidth="1"/>
    <col min="42" max="42" width="12.75" style="48" hidden="1" customWidth="1"/>
    <col min="43" max="44" width="12.75" style="48" bestFit="1" customWidth="1"/>
    <col min="45" max="45" width="9.5" style="48" hidden="1" customWidth="1"/>
    <col min="46" max="16384" width="9" style="48"/>
  </cols>
  <sheetData>
    <row r="1" spans="1:45">
      <c r="A1" s="48">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20071231</v>
      </c>
      <c r="AR1" s="48">
        <v>20061231</v>
      </c>
      <c r="AS1" s="48">
        <v>19700101</v>
      </c>
    </row>
    <row r="2" spans="1:45">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row>
    <row r="3" spans="1:45">
      <c r="A3" s="48" t="s">
        <v>190</v>
      </c>
      <c r="B3" s="48">
        <v>1763201102.54</v>
      </c>
      <c r="C3" s="48">
        <v>1145931744.99</v>
      </c>
      <c r="D3" s="48">
        <v>552332735.11000001</v>
      </c>
      <c r="E3" s="48">
        <v>2616208430.02</v>
      </c>
      <c r="F3" s="48">
        <v>1538538792.47</v>
      </c>
      <c r="G3" s="48">
        <v>961289995.45000005</v>
      </c>
      <c r="H3" s="48">
        <v>431372254.86000001</v>
      </c>
      <c r="I3" s="48">
        <v>2311575474.5900002</v>
      </c>
      <c r="J3" s="48">
        <v>1347750467</v>
      </c>
      <c r="K3" s="48">
        <v>881149327.19000006</v>
      </c>
      <c r="L3" s="48">
        <v>431129453.88</v>
      </c>
      <c r="M3" s="48">
        <v>2092608347.29</v>
      </c>
      <c r="N3" s="48">
        <v>1298349056.04</v>
      </c>
      <c r="O3" s="48">
        <v>862619894.12</v>
      </c>
      <c r="P3" s="48">
        <v>462472843.76999998</v>
      </c>
      <c r="Q3" s="48">
        <v>1969766903.8199999</v>
      </c>
      <c r="R3" s="48">
        <v>1299438859.97</v>
      </c>
      <c r="S3" s="48">
        <v>853989106.69000006</v>
      </c>
      <c r="T3" s="48">
        <v>452252432.13999999</v>
      </c>
      <c r="U3" s="48">
        <v>1863895419.51</v>
      </c>
      <c r="V3" s="48">
        <v>1255433504.79</v>
      </c>
      <c r="W3" s="48">
        <v>820683087.59000003</v>
      </c>
      <c r="X3" s="48">
        <v>439128345.19999999</v>
      </c>
      <c r="Y3" s="48">
        <v>1776970381.24</v>
      </c>
      <c r="Z3" s="48">
        <v>1192443012.9400001</v>
      </c>
      <c r="AA3" s="48">
        <v>758478132.33000004</v>
      </c>
      <c r="AB3" s="48">
        <v>404312414</v>
      </c>
      <c r="AC3" s="48">
        <v>1453420015.48</v>
      </c>
      <c r="AD3" s="48">
        <v>944792894.37</v>
      </c>
      <c r="AE3" s="48">
        <v>607588062.33000004</v>
      </c>
      <c r="AF3" s="48">
        <v>332888930.76999998</v>
      </c>
      <c r="AG3" s="48">
        <v>1067301429.12</v>
      </c>
      <c r="AH3" s="48">
        <v>698071299.27999997</v>
      </c>
      <c r="AI3" s="48">
        <v>453223021.43000001</v>
      </c>
      <c r="AJ3" s="48">
        <v>253170727.09</v>
      </c>
      <c r="AK3" s="48">
        <v>791785397.63</v>
      </c>
      <c r="AL3" s="48">
        <v>522453685.52999997</v>
      </c>
      <c r="AM3" s="48">
        <v>323155042.13999999</v>
      </c>
      <c r="AN3" s="48">
        <v>181748831.08000001</v>
      </c>
      <c r="AO3" s="48">
        <v>680763750.52999997</v>
      </c>
      <c r="AP3" s="48">
        <v>468344420.81</v>
      </c>
      <c r="AQ3" s="48">
        <v>590236990.59000003</v>
      </c>
      <c r="AR3" s="48">
        <v>419082605.45999998</v>
      </c>
      <c r="AS3" s="48">
        <v>0</v>
      </c>
    </row>
    <row r="4" spans="1:45">
      <c r="A4" s="48" t="s">
        <v>191</v>
      </c>
      <c r="B4" s="48">
        <v>1763201102.54</v>
      </c>
      <c r="C4" s="48">
        <v>1145931744.99</v>
      </c>
      <c r="D4" s="48">
        <v>552332735.11000001</v>
      </c>
      <c r="E4" s="48">
        <v>2616208430.02</v>
      </c>
      <c r="F4" s="48">
        <v>1538538792.47</v>
      </c>
      <c r="G4" s="48">
        <v>961289995.45000005</v>
      </c>
      <c r="H4" s="48">
        <v>431372254.86000001</v>
      </c>
      <c r="I4" s="48">
        <v>2311575474.5900002</v>
      </c>
      <c r="J4" s="48">
        <v>1347750467</v>
      </c>
      <c r="K4" s="48">
        <v>881149327.19000006</v>
      </c>
      <c r="L4" s="48">
        <v>431129453.88</v>
      </c>
      <c r="M4" s="48">
        <v>2092608347.29</v>
      </c>
      <c r="N4" s="48">
        <v>1298349056.04</v>
      </c>
      <c r="O4" s="48">
        <v>862619894.12</v>
      </c>
      <c r="P4" s="48">
        <v>462472843.76999998</v>
      </c>
      <c r="Q4" s="48">
        <v>1969766903.8199999</v>
      </c>
      <c r="R4" s="48">
        <v>1299438859.97</v>
      </c>
      <c r="S4" s="48">
        <v>853989106.69000006</v>
      </c>
      <c r="T4" s="48">
        <v>452252432.13999999</v>
      </c>
      <c r="U4" s="48">
        <v>1863895419.51</v>
      </c>
      <c r="V4" s="48">
        <v>1255433504.79</v>
      </c>
      <c r="W4" s="48">
        <v>820683087.59000003</v>
      </c>
      <c r="X4" s="48">
        <v>439128345.19999999</v>
      </c>
      <c r="Y4" s="48">
        <v>1776970381.24</v>
      </c>
      <c r="Z4" s="48">
        <v>1192443012.9400001</v>
      </c>
      <c r="AA4" s="48">
        <v>758478132.33000004</v>
      </c>
      <c r="AB4" s="48">
        <v>404312414</v>
      </c>
      <c r="AC4" s="48">
        <v>1453420015.48</v>
      </c>
      <c r="AD4" s="48">
        <v>944792894.37</v>
      </c>
      <c r="AE4" s="48">
        <v>607588062.33000004</v>
      </c>
      <c r="AF4" s="48">
        <v>332888930.76999998</v>
      </c>
      <c r="AG4" s="48">
        <v>1067301429.12</v>
      </c>
      <c r="AH4" s="48">
        <v>698071299.27999997</v>
      </c>
      <c r="AI4" s="48">
        <v>453223021.43000001</v>
      </c>
      <c r="AJ4" s="48">
        <v>253170727.09</v>
      </c>
      <c r="AK4" s="48">
        <v>791785397.63</v>
      </c>
      <c r="AL4" s="48">
        <v>522453685.52999997</v>
      </c>
      <c r="AM4" s="48">
        <v>323155042.13999999</v>
      </c>
      <c r="AN4" s="48">
        <v>181748831.08000001</v>
      </c>
      <c r="AO4" s="48">
        <v>680763750.52999997</v>
      </c>
      <c r="AP4" s="48">
        <v>468344420.81</v>
      </c>
      <c r="AQ4" s="48">
        <v>590236990.59000003</v>
      </c>
      <c r="AR4" s="48">
        <v>419082605.45999998</v>
      </c>
      <c r="AS4" s="48">
        <v>0</v>
      </c>
    </row>
    <row r="5" spans="1:45">
      <c r="A5" s="48" t="s">
        <v>192</v>
      </c>
      <c r="B5" s="48">
        <v>1468494072.8699999</v>
      </c>
      <c r="C5" s="48">
        <v>956446199.16999996</v>
      </c>
      <c r="D5" s="48">
        <v>445277576.02999997</v>
      </c>
      <c r="E5" s="48">
        <v>2066374121.55</v>
      </c>
      <c r="F5" s="48">
        <v>1263677888.1199999</v>
      </c>
      <c r="G5" s="48">
        <v>782072795.90999997</v>
      </c>
      <c r="H5" s="48">
        <v>343487592.82999998</v>
      </c>
      <c r="I5" s="48">
        <v>1797360496.8099999</v>
      </c>
      <c r="J5" s="48">
        <v>1067811959.6</v>
      </c>
      <c r="K5" s="48">
        <v>683804413.91999996</v>
      </c>
      <c r="L5" s="48">
        <v>326464845.13999999</v>
      </c>
      <c r="M5" s="48">
        <v>1630037264.1700001</v>
      </c>
      <c r="N5" s="48">
        <v>1006769093.62</v>
      </c>
      <c r="O5" s="48">
        <v>646482814.78999996</v>
      </c>
      <c r="P5" s="48">
        <v>337515343.88</v>
      </c>
      <c r="Q5" s="48">
        <v>1501406194.0699999</v>
      </c>
      <c r="R5" s="48">
        <v>990145732.52999997</v>
      </c>
      <c r="S5" s="48">
        <v>654657297.67999995</v>
      </c>
      <c r="T5" s="48">
        <v>321502504.02999997</v>
      </c>
      <c r="U5" s="48">
        <v>1464713157.7</v>
      </c>
      <c r="V5" s="48">
        <v>999861685.07000005</v>
      </c>
      <c r="W5" s="48">
        <v>642789889.49000001</v>
      </c>
      <c r="X5" s="48">
        <v>322754989.61000001</v>
      </c>
      <c r="Y5" s="48">
        <v>1427335391.8900001</v>
      </c>
      <c r="Z5" s="48">
        <v>978276434.79999995</v>
      </c>
      <c r="AA5" s="48">
        <v>615346220.52999997</v>
      </c>
      <c r="AB5" s="48">
        <v>302238806.13999999</v>
      </c>
      <c r="AC5" s="48">
        <v>1189220333.6600001</v>
      </c>
      <c r="AD5" s="48">
        <v>778303252.26999998</v>
      </c>
      <c r="AE5" s="48">
        <v>495969192.39999998</v>
      </c>
      <c r="AF5" s="48">
        <v>255716600.97999999</v>
      </c>
      <c r="AG5" s="48">
        <v>905815697.63999999</v>
      </c>
      <c r="AH5" s="48">
        <v>609065042.04999995</v>
      </c>
      <c r="AI5" s="48">
        <v>391759643.06999999</v>
      </c>
      <c r="AJ5" s="48">
        <v>206862531.61000001</v>
      </c>
      <c r="AK5" s="48">
        <v>690693853.53999996</v>
      </c>
      <c r="AL5" s="48">
        <v>462781773.50999999</v>
      </c>
      <c r="AM5" s="48">
        <v>281728274.60000002</v>
      </c>
      <c r="AN5" s="48">
        <v>150709226.50999999</v>
      </c>
      <c r="AO5" s="48">
        <v>600170641.27999997</v>
      </c>
      <c r="AP5" s="48">
        <v>412340318.58999997</v>
      </c>
      <c r="AQ5" s="48">
        <v>527139278.18000001</v>
      </c>
      <c r="AR5" s="48">
        <v>381975756.00999999</v>
      </c>
      <c r="AS5" s="48">
        <v>0</v>
      </c>
    </row>
    <row r="6" spans="1:45">
      <c r="A6" s="48" t="s">
        <v>193</v>
      </c>
      <c r="B6" s="48">
        <v>871658015.63999999</v>
      </c>
      <c r="C6" s="48">
        <v>565389051.57000005</v>
      </c>
      <c r="D6" s="48">
        <v>271018096.25999999</v>
      </c>
      <c r="E6" s="48">
        <v>1319117997.23</v>
      </c>
      <c r="F6" s="48">
        <v>776346533.23000002</v>
      </c>
      <c r="G6" s="48">
        <v>478577159.86000001</v>
      </c>
      <c r="H6" s="48">
        <v>214613391.94</v>
      </c>
      <c r="I6" s="48">
        <v>1150345166.79</v>
      </c>
      <c r="J6" s="48">
        <v>663671186.95000005</v>
      </c>
      <c r="K6" s="48">
        <v>429896966.41000003</v>
      </c>
      <c r="L6" s="48">
        <v>211828510.16999999</v>
      </c>
      <c r="M6" s="48">
        <v>1024309455.52</v>
      </c>
      <c r="N6" s="48">
        <v>632417690.95000005</v>
      </c>
      <c r="O6" s="48">
        <v>413716380.67000002</v>
      </c>
      <c r="P6" s="48">
        <v>225173357.06</v>
      </c>
      <c r="Q6" s="48">
        <v>958861199.09000003</v>
      </c>
      <c r="R6" s="48">
        <v>630604450.87</v>
      </c>
      <c r="S6" s="48">
        <v>409625571.42000002</v>
      </c>
      <c r="T6" s="48">
        <v>213115587.27000001</v>
      </c>
      <c r="U6" s="48">
        <v>906310286.90999997</v>
      </c>
      <c r="V6" s="48">
        <v>615070206.82000005</v>
      </c>
      <c r="W6" s="48">
        <v>394895420.13999999</v>
      </c>
      <c r="X6" s="48">
        <v>210348888.36000001</v>
      </c>
      <c r="Y6" s="48">
        <v>916028982.89999998</v>
      </c>
      <c r="Z6" s="48">
        <v>628905491.99000001</v>
      </c>
      <c r="AA6" s="48">
        <v>404692572.98000002</v>
      </c>
      <c r="AB6" s="48">
        <v>203424582.31</v>
      </c>
      <c r="AC6" s="48">
        <v>769766859.11000001</v>
      </c>
      <c r="AD6" s="48">
        <v>493964080.81999999</v>
      </c>
      <c r="AE6" s="48">
        <v>313039939.76999998</v>
      </c>
      <c r="AF6" s="48">
        <v>167922259.99000001</v>
      </c>
      <c r="AG6" s="48">
        <v>575141161.89999998</v>
      </c>
      <c r="AH6" s="48">
        <v>378433980.73000002</v>
      </c>
      <c r="AI6" s="48">
        <v>242880521.09999999</v>
      </c>
      <c r="AJ6" s="48">
        <v>135032498.55000001</v>
      </c>
      <c r="AK6" s="48">
        <v>451407014.26999998</v>
      </c>
      <c r="AL6" s="48">
        <v>299938501.99000001</v>
      </c>
      <c r="AM6" s="48">
        <v>184462048.91999999</v>
      </c>
      <c r="AN6" s="48">
        <v>103831102.13</v>
      </c>
      <c r="AO6" s="48">
        <v>374453565.63999999</v>
      </c>
      <c r="AP6" s="48">
        <v>257326813.56</v>
      </c>
      <c r="AQ6" s="48">
        <v>369113439.10000002</v>
      </c>
      <c r="AR6" s="48">
        <v>292783827.00999999</v>
      </c>
      <c r="AS6" s="48">
        <v>0</v>
      </c>
    </row>
    <row r="7" spans="1:45">
      <c r="A7" s="48" t="s">
        <v>194</v>
      </c>
      <c r="B7" s="48">
        <v>16286021.220000001</v>
      </c>
      <c r="C7" s="48">
        <v>12989748.48</v>
      </c>
      <c r="D7" s="48">
        <v>6696597.7599999998</v>
      </c>
      <c r="E7" s="48">
        <v>33667441.369999997</v>
      </c>
      <c r="F7" s="48">
        <v>19050964.629999999</v>
      </c>
      <c r="G7" s="48">
        <v>11347896.02</v>
      </c>
      <c r="H7" s="48">
        <v>4513846.1900000004</v>
      </c>
      <c r="I7" s="48">
        <v>20735441.370000001</v>
      </c>
      <c r="J7" s="48">
        <v>12050446.67</v>
      </c>
      <c r="K7" s="48">
        <v>9016859.1500000004</v>
      </c>
      <c r="L7" s="48">
        <v>4118994.37</v>
      </c>
      <c r="M7" s="48">
        <v>23120160.399999999</v>
      </c>
      <c r="N7" s="48">
        <v>12180329.449999999</v>
      </c>
      <c r="O7" s="48">
        <v>7217936.29</v>
      </c>
      <c r="P7" s="48">
        <v>4155859.83</v>
      </c>
      <c r="Q7" s="48">
        <v>22426295.600000001</v>
      </c>
      <c r="R7" s="48">
        <v>14699028.92</v>
      </c>
      <c r="S7" s="48">
        <v>9938723.7699999996</v>
      </c>
      <c r="T7" s="48">
        <v>5423434.3300000001</v>
      </c>
      <c r="U7" s="48">
        <v>18195491.25</v>
      </c>
      <c r="V7" s="48">
        <v>11744559.66</v>
      </c>
      <c r="W7" s="48">
        <v>6679147.6600000001</v>
      </c>
      <c r="X7" s="48">
        <v>3729155.7</v>
      </c>
      <c r="Y7" s="48">
        <v>19667899.760000002</v>
      </c>
      <c r="Z7" s="48">
        <v>12722992.02</v>
      </c>
      <c r="AA7" s="48">
        <v>7466106.8700000001</v>
      </c>
      <c r="AB7" s="48">
        <v>4382780.8499999996</v>
      </c>
      <c r="AC7" s="48">
        <v>12991253.609999999</v>
      </c>
      <c r="AD7" s="48">
        <v>9153135.7899999991</v>
      </c>
      <c r="AE7" s="48">
        <v>6294704.7300000004</v>
      </c>
      <c r="AF7" s="48">
        <v>3615504.33</v>
      </c>
      <c r="AG7" s="48">
        <v>3688998.49</v>
      </c>
      <c r="AH7" s="48">
        <v>2322781.2799999998</v>
      </c>
      <c r="AI7" s="48">
        <v>1605209.89</v>
      </c>
      <c r="AJ7" s="48">
        <v>1056150.07</v>
      </c>
      <c r="AK7" s="48">
        <v>3304954.88</v>
      </c>
      <c r="AL7" s="48">
        <v>2289413.9500000002</v>
      </c>
      <c r="AM7" s="48">
        <v>1466128.77</v>
      </c>
      <c r="AN7" s="48">
        <v>922576.46</v>
      </c>
      <c r="AO7" s="48">
        <v>1719118.97</v>
      </c>
      <c r="AP7" s="48">
        <v>1195729.94</v>
      </c>
      <c r="AQ7" s="48">
        <v>2084069.41</v>
      </c>
      <c r="AR7" s="48">
        <v>1204449.57</v>
      </c>
      <c r="AS7" s="48">
        <v>0</v>
      </c>
    </row>
    <row r="8" spans="1:45">
      <c r="A8" s="48" t="s">
        <v>195</v>
      </c>
      <c r="B8" s="48">
        <v>473656501.60000002</v>
      </c>
      <c r="C8" s="48">
        <v>312198045.56999999</v>
      </c>
      <c r="D8" s="48">
        <v>143830008.46000001</v>
      </c>
      <c r="E8" s="48">
        <v>581949650.57000005</v>
      </c>
      <c r="F8" s="48">
        <v>393266623.56</v>
      </c>
      <c r="G8" s="48">
        <v>255118134.43000001</v>
      </c>
      <c r="H8" s="48">
        <v>112944965.20999999</v>
      </c>
      <c r="I8" s="48">
        <v>536781289.69999999</v>
      </c>
      <c r="J8" s="48">
        <v>335317136.74000001</v>
      </c>
      <c r="K8" s="48">
        <v>213710690.19999999</v>
      </c>
      <c r="L8" s="48">
        <v>97758947.700000003</v>
      </c>
      <c r="M8" s="48">
        <v>491041931.38</v>
      </c>
      <c r="N8" s="48">
        <v>312344719.72000003</v>
      </c>
      <c r="O8" s="48">
        <v>194756674.34999999</v>
      </c>
      <c r="P8" s="48">
        <v>96178218.680000007</v>
      </c>
      <c r="Q8" s="48">
        <v>442693447.52999997</v>
      </c>
      <c r="R8" s="48">
        <v>284599632.86000001</v>
      </c>
      <c r="S8" s="48">
        <v>195834542.71000001</v>
      </c>
      <c r="T8" s="48">
        <v>88016176.329999998</v>
      </c>
      <c r="U8" s="48">
        <v>439227146.56</v>
      </c>
      <c r="V8" s="48">
        <v>301442808.35000002</v>
      </c>
      <c r="W8" s="48">
        <v>195111798.63999999</v>
      </c>
      <c r="X8" s="48">
        <v>85078338.650000006</v>
      </c>
      <c r="Y8" s="48">
        <v>413803577.66000003</v>
      </c>
      <c r="Z8" s="48">
        <v>283123524.36000001</v>
      </c>
      <c r="AA8" s="48">
        <v>170618393.31</v>
      </c>
      <c r="AB8" s="48">
        <v>78539793.730000004</v>
      </c>
      <c r="AC8" s="48">
        <v>340169012.06</v>
      </c>
      <c r="AD8" s="48">
        <v>233425011.93000001</v>
      </c>
      <c r="AE8" s="48">
        <v>150712282.5</v>
      </c>
      <c r="AF8" s="48">
        <v>74504371.730000004</v>
      </c>
      <c r="AG8" s="48">
        <v>268082494.09999999</v>
      </c>
      <c r="AH8" s="48">
        <v>181510605.61000001</v>
      </c>
      <c r="AI8" s="48">
        <v>117079673.52</v>
      </c>
      <c r="AJ8" s="48">
        <v>57242289.609999999</v>
      </c>
      <c r="AK8" s="48">
        <v>188788629.53999999</v>
      </c>
      <c r="AL8" s="48">
        <v>132282338.7</v>
      </c>
      <c r="AM8" s="48">
        <v>79110212.659999996</v>
      </c>
      <c r="AN8" s="48">
        <v>39204501.539999999</v>
      </c>
      <c r="AO8" s="48">
        <v>171925727.18000001</v>
      </c>
      <c r="AP8" s="48">
        <v>116247201.54000001</v>
      </c>
      <c r="AQ8" s="48">
        <v>120843376.58</v>
      </c>
      <c r="AR8" s="48">
        <v>62971907.409999996</v>
      </c>
      <c r="AS8" s="48">
        <v>0</v>
      </c>
    </row>
    <row r="9" spans="1:45">
      <c r="A9" s="48" t="s">
        <v>196</v>
      </c>
      <c r="B9" s="48">
        <v>110863938.05</v>
      </c>
      <c r="C9" s="48">
        <v>75308848.230000004</v>
      </c>
      <c r="D9" s="48">
        <v>29321470</v>
      </c>
      <c r="E9" s="48">
        <v>126559110.14</v>
      </c>
      <c r="F9" s="48">
        <v>82016754.299999997</v>
      </c>
      <c r="G9" s="48">
        <v>43270541.899999999</v>
      </c>
      <c r="H9" s="48">
        <v>19947799.870000001</v>
      </c>
      <c r="I9" s="48">
        <v>80658096.329999998</v>
      </c>
      <c r="J9" s="48">
        <v>59431122.409999996</v>
      </c>
      <c r="K9" s="48">
        <v>37061621.439999998</v>
      </c>
      <c r="L9" s="48">
        <v>17943622.510000002</v>
      </c>
      <c r="M9" s="48">
        <v>94899743.439999998</v>
      </c>
      <c r="N9" s="48">
        <v>63348789.399999999</v>
      </c>
      <c r="O9" s="48">
        <v>39330804.799999997</v>
      </c>
      <c r="P9" s="48">
        <v>16334024.810000001</v>
      </c>
      <c r="Q9" s="48">
        <v>79730769.569999993</v>
      </c>
      <c r="R9" s="48">
        <v>65338429.770000003</v>
      </c>
      <c r="S9" s="48">
        <v>41594882.100000001</v>
      </c>
      <c r="T9" s="48">
        <v>15198942.51</v>
      </c>
      <c r="U9" s="48">
        <v>102620474.59</v>
      </c>
      <c r="V9" s="48">
        <v>73499285.280000001</v>
      </c>
      <c r="W9" s="48">
        <v>49133728.539999999</v>
      </c>
      <c r="X9" s="48">
        <v>23641232.190000001</v>
      </c>
      <c r="Y9" s="48">
        <v>82408828.530000001</v>
      </c>
      <c r="Z9" s="48">
        <v>55783278.270000003</v>
      </c>
      <c r="AA9" s="48">
        <v>34971674.07</v>
      </c>
      <c r="AB9" s="48">
        <v>15883026.970000001</v>
      </c>
      <c r="AC9" s="48">
        <v>67153285.5</v>
      </c>
      <c r="AD9" s="48">
        <v>47665010.130000003</v>
      </c>
      <c r="AE9" s="48">
        <v>28603162.870000001</v>
      </c>
      <c r="AF9" s="48">
        <v>10264823.18</v>
      </c>
      <c r="AG9" s="48">
        <v>66102719.810000002</v>
      </c>
      <c r="AH9" s="48">
        <v>46381059.090000004</v>
      </c>
      <c r="AI9" s="48">
        <v>30587505.18</v>
      </c>
      <c r="AJ9" s="48">
        <v>13448068.67</v>
      </c>
      <c r="AK9" s="48">
        <v>44445569.060000002</v>
      </c>
      <c r="AL9" s="48">
        <v>25751927.52</v>
      </c>
      <c r="AM9" s="48">
        <v>14667022.720000001</v>
      </c>
      <c r="AN9" s="48">
        <v>7138177.9000000004</v>
      </c>
      <c r="AO9" s="48">
        <v>44352647.75</v>
      </c>
      <c r="AP9" s="48">
        <v>32243544.09</v>
      </c>
      <c r="AQ9" s="48">
        <v>28827438.100000001</v>
      </c>
      <c r="AR9" s="48">
        <v>20909040.25</v>
      </c>
      <c r="AS9" s="48">
        <v>0</v>
      </c>
    </row>
    <row r="10" spans="1:45">
      <c r="A10" s="48" t="s">
        <v>197</v>
      </c>
      <c r="B10" s="48">
        <v>874602.01</v>
      </c>
      <c r="C10" s="48">
        <v>-1216349.2</v>
      </c>
      <c r="D10" s="48">
        <v>-1053539.03</v>
      </c>
      <c r="E10" s="48">
        <v>-755791.85</v>
      </c>
      <c r="F10" s="48">
        <v>-1299617.56</v>
      </c>
      <c r="G10" s="48">
        <v>-711880.16</v>
      </c>
      <c r="H10" s="48">
        <v>-876046.09</v>
      </c>
      <c r="I10" s="48">
        <v>-3091853.27</v>
      </c>
      <c r="J10" s="48">
        <v>-4039550.56</v>
      </c>
      <c r="K10" s="48">
        <v>-3444611.51</v>
      </c>
      <c r="L10" s="48">
        <v>-2888495.47</v>
      </c>
      <c r="M10" s="48">
        <v>-17145302.329999998</v>
      </c>
      <c r="N10" s="48">
        <v>-15629733.890000001</v>
      </c>
      <c r="O10" s="48">
        <v>-9943631.5600000005</v>
      </c>
      <c r="P10" s="48">
        <v>-5617944.5199999996</v>
      </c>
      <c r="Q10" s="48">
        <v>-8192542.0099999998</v>
      </c>
      <c r="R10" s="48">
        <v>-4382079.3499999996</v>
      </c>
      <c r="S10" s="48">
        <v>-2084692.56</v>
      </c>
      <c r="T10" s="48">
        <v>-352460.91</v>
      </c>
      <c r="U10" s="48">
        <v>-7878028.6799999997</v>
      </c>
      <c r="V10" s="48">
        <v>-4471473.38</v>
      </c>
      <c r="W10" s="48">
        <v>-2641899.13</v>
      </c>
      <c r="X10" s="48">
        <v>-811103.87</v>
      </c>
      <c r="Y10" s="48">
        <v>-7374026.3499999996</v>
      </c>
      <c r="Z10" s="48">
        <v>-3477099.89</v>
      </c>
      <c r="AA10" s="48">
        <v>-2777557.31</v>
      </c>
      <c r="AB10" s="48">
        <v>-102103.65</v>
      </c>
      <c r="AC10" s="48">
        <v>-4975946.34</v>
      </c>
      <c r="AD10" s="48">
        <v>-7503780.4699999997</v>
      </c>
      <c r="AE10" s="48">
        <v>-3665468.31</v>
      </c>
      <c r="AF10" s="48">
        <v>-1349899.45</v>
      </c>
      <c r="AG10" s="48">
        <v>-8012660.6100000003</v>
      </c>
      <c r="AH10" s="48">
        <v>-1377524.48</v>
      </c>
      <c r="AI10" s="48">
        <v>-756194.33</v>
      </c>
      <c r="AJ10" s="48">
        <v>-172378.34</v>
      </c>
      <c r="AK10" s="48">
        <v>4225905.7</v>
      </c>
      <c r="AL10" s="48">
        <v>3800333.88</v>
      </c>
      <c r="AM10" s="48">
        <v>3105181.44</v>
      </c>
      <c r="AN10" s="48">
        <v>912582.73</v>
      </c>
      <c r="AO10" s="48">
        <v>6874063.9900000002</v>
      </c>
      <c r="AP10" s="48">
        <v>5302004.29</v>
      </c>
      <c r="AQ10" s="48">
        <v>6007006.5499999998</v>
      </c>
      <c r="AR10" s="48">
        <v>2839947.51</v>
      </c>
      <c r="AS10" s="48">
        <v>0</v>
      </c>
    </row>
    <row r="11" spans="1:45">
      <c r="A11" s="48" t="s">
        <v>198</v>
      </c>
      <c r="B11" s="48">
        <v>-4845005.6500000004</v>
      </c>
      <c r="C11" s="48">
        <v>-8223145.4800000004</v>
      </c>
      <c r="D11" s="48">
        <v>-4535057.42</v>
      </c>
      <c r="E11" s="48">
        <v>5835714.0899999999</v>
      </c>
      <c r="F11" s="48">
        <v>-5703370.04</v>
      </c>
      <c r="G11" s="48">
        <v>-5529056.1399999997</v>
      </c>
      <c r="H11" s="48">
        <v>-7656364.29</v>
      </c>
      <c r="I11" s="48">
        <v>11932355.890000001</v>
      </c>
      <c r="J11" s="48">
        <v>1381617.39</v>
      </c>
      <c r="K11" s="48">
        <v>-2437111.77</v>
      </c>
      <c r="L11" s="48">
        <v>-2296734.14</v>
      </c>
      <c r="M11" s="48">
        <v>13811275.76</v>
      </c>
      <c r="N11" s="48">
        <v>2107297.9900000002</v>
      </c>
      <c r="O11" s="48">
        <v>1404650.24</v>
      </c>
      <c r="P11" s="48">
        <v>1291828.02</v>
      </c>
      <c r="Q11" s="48">
        <v>5887024.29</v>
      </c>
      <c r="R11" s="48">
        <v>-713730.54</v>
      </c>
      <c r="S11" s="48">
        <v>-251729.76</v>
      </c>
      <c r="T11" s="48">
        <v>100824.5</v>
      </c>
      <c r="U11" s="48">
        <v>6237787.0700000003</v>
      </c>
      <c r="V11" s="48">
        <v>2576298.34</v>
      </c>
      <c r="W11" s="48">
        <v>-388306.36</v>
      </c>
      <c r="X11" s="48">
        <v>768478.58</v>
      </c>
      <c r="Y11" s="48">
        <v>2800129.39</v>
      </c>
      <c r="Z11" s="48">
        <v>1218248.05</v>
      </c>
      <c r="AA11" s="48">
        <v>375030.61</v>
      </c>
      <c r="AB11" s="48">
        <v>110725.93</v>
      </c>
      <c r="AC11" s="48">
        <v>4115869.72</v>
      </c>
      <c r="AD11" s="48">
        <v>1599794.07</v>
      </c>
      <c r="AE11" s="48">
        <v>984570.84</v>
      </c>
      <c r="AF11" s="48">
        <v>759541.2</v>
      </c>
      <c r="AG11" s="48">
        <v>812983.95</v>
      </c>
      <c r="AH11" s="48">
        <v>1794139.82</v>
      </c>
      <c r="AI11" s="48">
        <v>362927.71</v>
      </c>
      <c r="AJ11" s="48">
        <v>255903.05</v>
      </c>
      <c r="AK11" s="48">
        <v>-1478219.91</v>
      </c>
      <c r="AL11" s="48">
        <v>-1280742.53</v>
      </c>
      <c r="AM11" s="48">
        <v>-1082319.9099999999</v>
      </c>
      <c r="AN11" s="48">
        <v>-1299714.25</v>
      </c>
      <c r="AO11" s="48">
        <v>845517.75</v>
      </c>
      <c r="AP11" s="48">
        <v>25025.17</v>
      </c>
      <c r="AQ11" s="48">
        <v>263948.44</v>
      </c>
      <c r="AR11" s="48">
        <v>1266584.26</v>
      </c>
      <c r="AS11" s="48">
        <v>0</v>
      </c>
    </row>
    <row r="12" spans="1:45">
      <c r="A12" s="48" t="s">
        <v>199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119300</v>
      </c>
      <c r="AS12" s="48">
        <v>0</v>
      </c>
    </row>
    <row r="13" spans="1:45">
      <c r="A13" s="48" t="s">
        <v>200</v>
      </c>
      <c r="B13" s="48">
        <v>37792639.450000003</v>
      </c>
      <c r="C13" s="48">
        <v>23153077.890000001</v>
      </c>
      <c r="D13" s="48">
        <v>8288255.6399999997</v>
      </c>
      <c r="E13" s="48">
        <v>30638859.370000001</v>
      </c>
      <c r="F13" s="48">
        <v>22034526.75</v>
      </c>
      <c r="G13" s="48">
        <v>13274011.41</v>
      </c>
      <c r="H13" s="48">
        <v>12846614.15</v>
      </c>
      <c r="I13" s="48">
        <v>22419837.09</v>
      </c>
      <c r="J13" s="48">
        <v>22202165.859999999</v>
      </c>
      <c r="K13" s="48">
        <v>12582123.27</v>
      </c>
      <c r="L13" s="48">
        <v>7503150.6799999997</v>
      </c>
      <c r="M13" s="48">
        <v>18309739.620000001</v>
      </c>
      <c r="N13" s="48">
        <v>19195986.190000001</v>
      </c>
      <c r="O13" s="48">
        <v>14578890.34</v>
      </c>
      <c r="P13" s="48">
        <v>4794794.4400000004</v>
      </c>
      <c r="Q13" s="48">
        <v>16862699.91</v>
      </c>
      <c r="R13" s="48">
        <v>6658557</v>
      </c>
      <c r="S13" s="48">
        <v>3873017.43</v>
      </c>
      <c r="T13" s="48">
        <v>772876.71</v>
      </c>
      <c r="U13" s="48">
        <v>12012656.6</v>
      </c>
      <c r="V13" s="48">
        <v>6317472.4100000001</v>
      </c>
      <c r="W13" s="48">
        <v>1644250.19</v>
      </c>
      <c r="X13" s="48">
        <v>118356.16</v>
      </c>
      <c r="Y13" s="48">
        <v>119671.23</v>
      </c>
      <c r="Z13" s="48">
        <v>0</v>
      </c>
      <c r="AA13" s="48">
        <v>0</v>
      </c>
      <c r="AB13" s="48">
        <v>0</v>
      </c>
      <c r="AC13" s="48">
        <v>3122265.47</v>
      </c>
      <c r="AD13" s="48">
        <v>0</v>
      </c>
      <c r="AE13" s="48">
        <v>0</v>
      </c>
      <c r="AF13" s="48">
        <v>0</v>
      </c>
      <c r="AG13" s="48">
        <v>0</v>
      </c>
      <c r="AH13" s="48">
        <v>0</v>
      </c>
      <c r="AI13" s="48">
        <v>0</v>
      </c>
      <c r="AJ13" s="48">
        <v>0</v>
      </c>
      <c r="AK13" s="48">
        <v>0</v>
      </c>
      <c r="AL13" s="48">
        <v>20328.759999999998</v>
      </c>
      <c r="AM13" s="48">
        <v>0</v>
      </c>
      <c r="AN13" s="48">
        <v>0</v>
      </c>
      <c r="AO13" s="48">
        <v>0</v>
      </c>
      <c r="AP13" s="48">
        <v>0</v>
      </c>
      <c r="AQ13" s="48">
        <v>0</v>
      </c>
      <c r="AR13" s="48">
        <v>248300</v>
      </c>
      <c r="AS13" s="48">
        <v>0</v>
      </c>
    </row>
    <row r="14" spans="1:45">
      <c r="A14" s="48" t="s">
        <v>201</v>
      </c>
      <c r="B14" s="48">
        <v>0</v>
      </c>
      <c r="C14" s="48">
        <v>0</v>
      </c>
      <c r="D14" s="48">
        <v>0</v>
      </c>
      <c r="E14" s="48">
        <v>0</v>
      </c>
      <c r="F14" s="48">
        <v>0</v>
      </c>
      <c r="G14" s="48">
        <v>0</v>
      </c>
      <c r="H14" s="48">
        <v>0</v>
      </c>
      <c r="I14" s="48">
        <v>0</v>
      </c>
      <c r="J14" s="48">
        <v>0</v>
      </c>
      <c r="K14" s="48">
        <v>0</v>
      </c>
      <c r="L14" s="48">
        <v>0</v>
      </c>
      <c r="M14" s="48">
        <v>0</v>
      </c>
      <c r="N14" s="48">
        <v>0</v>
      </c>
      <c r="O14" s="48">
        <v>0</v>
      </c>
      <c r="P14" s="48">
        <v>0</v>
      </c>
      <c r="Q14" s="48">
        <v>0</v>
      </c>
      <c r="R14" s="48">
        <v>0</v>
      </c>
      <c r="S14" s="48">
        <v>0</v>
      </c>
      <c r="T14" s="48">
        <v>0</v>
      </c>
      <c r="U14" s="48">
        <v>0</v>
      </c>
      <c r="V14" s="48">
        <v>0</v>
      </c>
      <c r="W14" s="48">
        <v>0</v>
      </c>
      <c r="X14" s="48">
        <v>0</v>
      </c>
      <c r="Y14" s="48">
        <v>0</v>
      </c>
      <c r="Z14" s="48">
        <v>0</v>
      </c>
      <c r="AA14" s="48">
        <v>0</v>
      </c>
      <c r="AB14" s="48">
        <v>0</v>
      </c>
      <c r="AC14" s="48">
        <v>0</v>
      </c>
      <c r="AD14" s="48">
        <v>0</v>
      </c>
      <c r="AE14" s="48">
        <v>0</v>
      </c>
      <c r="AF14" s="48">
        <v>0</v>
      </c>
      <c r="AG14" s="48">
        <v>0</v>
      </c>
      <c r="AH14" s="48">
        <v>0</v>
      </c>
      <c r="AI14" s="48">
        <v>0</v>
      </c>
      <c r="AJ14" s="48">
        <v>0</v>
      </c>
      <c r="AK14" s="48">
        <v>0</v>
      </c>
      <c r="AL14" s="48">
        <v>0</v>
      </c>
      <c r="AM14" s="48">
        <v>0</v>
      </c>
      <c r="AN14" s="48">
        <v>0</v>
      </c>
      <c r="AO14" s="48">
        <v>0</v>
      </c>
      <c r="AP14" s="48">
        <v>0</v>
      </c>
      <c r="AQ14" s="48">
        <v>0</v>
      </c>
      <c r="AR14" s="48">
        <v>0</v>
      </c>
      <c r="AS14" s="48">
        <v>0</v>
      </c>
    </row>
    <row r="15" spans="1:45">
      <c r="A15" s="48" t="s">
        <v>202</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row>
    <row r="16" spans="1:45">
      <c r="A16" s="48" t="s">
        <v>203</v>
      </c>
      <c r="B16" s="48">
        <v>337442418.18000001</v>
      </c>
      <c r="C16" s="48">
        <v>216598163.31999999</v>
      </c>
      <c r="D16" s="48">
        <v>115343414.72</v>
      </c>
      <c r="E16" s="48">
        <v>585629149.55999994</v>
      </c>
      <c r="F16" s="48">
        <v>296895431.10000002</v>
      </c>
      <c r="G16" s="48">
        <v>192491210.94999999</v>
      </c>
      <c r="H16" s="48">
        <v>100731276.18000001</v>
      </c>
      <c r="I16" s="48">
        <v>536634814.87</v>
      </c>
      <c r="J16" s="48">
        <v>302140673.25999999</v>
      </c>
      <c r="K16" s="48">
        <v>209927036.53999999</v>
      </c>
      <c r="L16" s="48">
        <v>112167759.42</v>
      </c>
      <c r="M16" s="48">
        <v>480880822.74000001</v>
      </c>
      <c r="N16" s="48">
        <v>310775948.61000001</v>
      </c>
      <c r="O16" s="48">
        <v>230715969.66999999</v>
      </c>
      <c r="P16" s="48">
        <v>129752294.33</v>
      </c>
      <c r="Q16" s="48">
        <v>485223409.66000003</v>
      </c>
      <c r="R16" s="48">
        <v>315951684.44</v>
      </c>
      <c r="S16" s="48">
        <v>203204826.44</v>
      </c>
      <c r="T16" s="48">
        <v>131522804.81999999</v>
      </c>
      <c r="U16" s="48">
        <v>411194918.41000003</v>
      </c>
      <c r="V16" s="48">
        <v>261889292.13</v>
      </c>
      <c r="W16" s="48">
        <v>179537448.28999999</v>
      </c>
      <c r="X16" s="48">
        <v>116491711.75</v>
      </c>
      <c r="Y16" s="48">
        <v>349754660.57999998</v>
      </c>
      <c r="Z16" s="48">
        <v>214166578.13999999</v>
      </c>
      <c r="AA16" s="48">
        <v>143131911.80000001</v>
      </c>
      <c r="AB16" s="48">
        <v>102073607.86</v>
      </c>
      <c r="AC16" s="48">
        <v>267321947.28999999</v>
      </c>
      <c r="AD16" s="48">
        <v>166489642.09999999</v>
      </c>
      <c r="AE16" s="48">
        <v>111618869.93000001</v>
      </c>
      <c r="AF16" s="48">
        <v>77172329.790000007</v>
      </c>
      <c r="AG16" s="48">
        <v>161485731.47999999</v>
      </c>
      <c r="AH16" s="48">
        <v>89006257.230000004</v>
      </c>
      <c r="AI16" s="48">
        <v>61463378.359999999</v>
      </c>
      <c r="AJ16" s="48">
        <v>46308195.479999997</v>
      </c>
      <c r="AK16" s="48">
        <v>101091544.09</v>
      </c>
      <c r="AL16" s="48">
        <v>59692240.780000001</v>
      </c>
      <c r="AM16" s="48">
        <v>41426767.539999999</v>
      </c>
      <c r="AN16" s="48">
        <v>31039604.57</v>
      </c>
      <c r="AO16" s="48">
        <v>80593109.25</v>
      </c>
      <c r="AP16" s="48">
        <v>56004102.229999997</v>
      </c>
      <c r="AQ16" s="48">
        <v>63097712.409999996</v>
      </c>
      <c r="AR16" s="48">
        <v>37474449.450000003</v>
      </c>
      <c r="AS16" s="48">
        <v>0</v>
      </c>
    </row>
    <row r="17" spans="1:45">
      <c r="A17" s="48" t="s">
        <v>204</v>
      </c>
      <c r="B17" s="48">
        <v>5364872.55</v>
      </c>
      <c r="C17" s="48">
        <v>4472468.13</v>
      </c>
      <c r="D17" s="48">
        <v>2353738.4</v>
      </c>
      <c r="E17" s="48">
        <v>17393695.780000001</v>
      </c>
      <c r="F17" s="48">
        <v>11993209.51</v>
      </c>
      <c r="G17" s="48">
        <v>11199900.99</v>
      </c>
      <c r="H17" s="48">
        <v>1617985.55</v>
      </c>
      <c r="I17" s="48">
        <v>23511269.73</v>
      </c>
      <c r="J17" s="48">
        <v>9604665.6999999993</v>
      </c>
      <c r="K17" s="48">
        <v>7372286.5300000003</v>
      </c>
      <c r="L17" s="48">
        <v>1469477.36</v>
      </c>
      <c r="M17" s="48">
        <v>10985113.359999999</v>
      </c>
      <c r="N17" s="48">
        <v>9835662.6899999995</v>
      </c>
      <c r="O17" s="48">
        <v>3521147.14</v>
      </c>
      <c r="P17" s="48">
        <v>580961.69999999995</v>
      </c>
      <c r="Q17" s="48">
        <v>6988516.8799999999</v>
      </c>
      <c r="R17" s="48">
        <v>4216173.04</v>
      </c>
      <c r="S17" s="48">
        <v>3837072.8</v>
      </c>
      <c r="T17" s="48">
        <v>1674411.42</v>
      </c>
      <c r="U17" s="48">
        <v>12007156.5</v>
      </c>
      <c r="V17" s="48">
        <v>19075853.260000002</v>
      </c>
      <c r="W17" s="48">
        <v>1755012.76</v>
      </c>
      <c r="X17" s="48">
        <v>537237.84</v>
      </c>
      <c r="Y17" s="48">
        <v>4111302.03</v>
      </c>
      <c r="Z17" s="48">
        <v>3741749.08</v>
      </c>
      <c r="AA17" s="48">
        <v>3118160.27</v>
      </c>
      <c r="AB17" s="48">
        <v>658872.21</v>
      </c>
      <c r="AC17" s="48">
        <v>6249088.4900000002</v>
      </c>
      <c r="AD17" s="48">
        <v>2469008.8199999998</v>
      </c>
      <c r="AE17" s="48">
        <v>1333653.25</v>
      </c>
      <c r="AF17" s="48">
        <v>344026.57</v>
      </c>
      <c r="AG17" s="48">
        <v>2221330.5699999998</v>
      </c>
      <c r="AH17" s="48">
        <v>1445626.22</v>
      </c>
      <c r="AI17" s="48">
        <v>1001505.75</v>
      </c>
      <c r="AJ17" s="48">
        <v>210059.76</v>
      </c>
      <c r="AK17" s="48">
        <v>8272138.2199999997</v>
      </c>
      <c r="AL17" s="48">
        <v>4758810.3600000003</v>
      </c>
      <c r="AM17" s="48">
        <v>1946541.69</v>
      </c>
      <c r="AN17" s="48">
        <v>732115.94</v>
      </c>
      <c r="AO17" s="48">
        <v>1128046.01</v>
      </c>
      <c r="AP17" s="48">
        <v>623830.49</v>
      </c>
      <c r="AQ17" s="48">
        <v>396664.4</v>
      </c>
      <c r="AR17" s="48">
        <v>2638859.63</v>
      </c>
      <c r="AS17" s="48">
        <v>0</v>
      </c>
    </row>
    <row r="18" spans="1:45">
      <c r="A18" s="48" t="s">
        <v>205</v>
      </c>
      <c r="B18" s="48">
        <v>1360900.12</v>
      </c>
      <c r="C18" s="48">
        <v>1132081.8500000001</v>
      </c>
      <c r="D18" s="48">
        <v>25667.64</v>
      </c>
      <c r="E18" s="48">
        <v>2064317.66</v>
      </c>
      <c r="F18" s="48">
        <v>1270702.56</v>
      </c>
      <c r="G18" s="48">
        <v>1193599.6499999999</v>
      </c>
      <c r="H18" s="48">
        <v>752019.38</v>
      </c>
      <c r="I18" s="48">
        <v>3193141.88</v>
      </c>
      <c r="J18" s="48">
        <v>2502530.23</v>
      </c>
      <c r="K18" s="48">
        <v>2035442.07</v>
      </c>
      <c r="L18" s="48">
        <v>64462.79</v>
      </c>
      <c r="M18" s="48">
        <v>586935.01</v>
      </c>
      <c r="N18" s="48">
        <v>468660.45</v>
      </c>
      <c r="O18" s="48">
        <v>335555.93</v>
      </c>
      <c r="P18" s="48">
        <v>143984.23000000001</v>
      </c>
      <c r="Q18" s="48">
        <v>1640531.62</v>
      </c>
      <c r="R18" s="48">
        <v>643968.64</v>
      </c>
      <c r="S18" s="48">
        <v>78699.490000000005</v>
      </c>
      <c r="T18" s="48">
        <v>16261.76</v>
      </c>
      <c r="U18" s="48">
        <v>695051.09</v>
      </c>
      <c r="V18" s="48">
        <v>148509.92000000001</v>
      </c>
      <c r="W18" s="48">
        <v>71429.77</v>
      </c>
      <c r="X18" s="48">
        <v>27986.38</v>
      </c>
      <c r="Y18" s="48">
        <v>1016449.4</v>
      </c>
      <c r="Z18" s="48">
        <v>636941.53</v>
      </c>
      <c r="AA18" s="48">
        <v>419360.91</v>
      </c>
      <c r="AB18" s="48">
        <v>151421.28</v>
      </c>
      <c r="AC18" s="48">
        <v>1334617.55</v>
      </c>
      <c r="AD18" s="48">
        <v>847798.64</v>
      </c>
      <c r="AE18" s="48">
        <v>798207.09</v>
      </c>
      <c r="AF18" s="48">
        <v>182100.56</v>
      </c>
      <c r="AG18" s="48">
        <v>2486887.35</v>
      </c>
      <c r="AH18" s="48">
        <v>2242411.84</v>
      </c>
      <c r="AI18" s="48">
        <v>1212373.3600000001</v>
      </c>
      <c r="AJ18" s="48">
        <v>208272.58</v>
      </c>
      <c r="AK18" s="48">
        <v>866701.53</v>
      </c>
      <c r="AL18" s="48">
        <v>690559.06</v>
      </c>
      <c r="AM18" s="48">
        <v>304511.99</v>
      </c>
      <c r="AN18" s="48">
        <v>242258.27</v>
      </c>
      <c r="AO18" s="48">
        <v>2531488.64</v>
      </c>
      <c r="AP18" s="48">
        <v>2436922.23</v>
      </c>
      <c r="AQ18" s="48">
        <v>402749.5</v>
      </c>
      <c r="AR18" s="48">
        <v>407709.83</v>
      </c>
      <c r="AS18" s="48">
        <v>0</v>
      </c>
    </row>
    <row r="19" spans="1:45">
      <c r="A19" s="48" t="s">
        <v>206</v>
      </c>
      <c r="B19" s="48">
        <v>0</v>
      </c>
      <c r="C19" s="48">
        <v>0</v>
      </c>
      <c r="D19" s="48">
        <v>0</v>
      </c>
      <c r="E19" s="48">
        <v>0</v>
      </c>
      <c r="F19" s="48">
        <v>0</v>
      </c>
      <c r="G19" s="48">
        <v>0</v>
      </c>
      <c r="H19" s="48">
        <v>0</v>
      </c>
      <c r="I19" s="48">
        <v>305878.71999999997</v>
      </c>
      <c r="J19" s="48">
        <v>89275.86</v>
      </c>
      <c r="K19" s="48">
        <v>84351.17</v>
      </c>
      <c r="L19" s="48">
        <v>24693.59</v>
      </c>
      <c r="M19" s="48">
        <v>55295.54</v>
      </c>
      <c r="N19" s="48">
        <v>167173.09</v>
      </c>
      <c r="O19" s="48">
        <v>133092.88</v>
      </c>
      <c r="P19" s="48">
        <v>133092.88</v>
      </c>
      <c r="Q19" s="48">
        <v>633351.88</v>
      </c>
      <c r="R19" s="48">
        <v>490715.19</v>
      </c>
      <c r="S19" s="48">
        <v>0</v>
      </c>
      <c r="T19" s="48">
        <v>0</v>
      </c>
      <c r="U19" s="48">
        <v>287296.02</v>
      </c>
      <c r="V19" s="48">
        <v>0</v>
      </c>
      <c r="W19" s="48">
        <v>0</v>
      </c>
      <c r="X19" s="48">
        <v>0</v>
      </c>
      <c r="Y19" s="48">
        <v>213608.53</v>
      </c>
      <c r="Z19" s="48">
        <v>-50843.41</v>
      </c>
      <c r="AA19" s="48">
        <v>0</v>
      </c>
      <c r="AB19" s="48">
        <v>0</v>
      </c>
      <c r="AC19" s="48">
        <v>147641.5</v>
      </c>
      <c r="AD19" s="48">
        <v>0</v>
      </c>
      <c r="AE19" s="48">
        <v>0</v>
      </c>
      <c r="AF19" s="48">
        <v>0</v>
      </c>
      <c r="AG19" s="48">
        <v>195899.7</v>
      </c>
      <c r="AH19" s="48">
        <v>0</v>
      </c>
      <c r="AI19" s="48">
        <v>0</v>
      </c>
      <c r="AJ19" s="48">
        <v>0</v>
      </c>
      <c r="AK19" s="48">
        <v>51398.2</v>
      </c>
      <c r="AL19" s="48">
        <v>0</v>
      </c>
      <c r="AM19" s="48">
        <v>0</v>
      </c>
      <c r="AN19" s="48">
        <v>0</v>
      </c>
      <c r="AO19" s="48">
        <v>0</v>
      </c>
      <c r="AP19" s="48">
        <v>0</v>
      </c>
      <c r="AQ19" s="48">
        <v>7853.85</v>
      </c>
      <c r="AR19" s="48">
        <v>216912.88</v>
      </c>
      <c r="AS19" s="48">
        <v>0</v>
      </c>
    </row>
    <row r="20" spans="1:45">
      <c r="A20" s="48" t="s">
        <v>207</v>
      </c>
      <c r="B20" s="48">
        <v>341446390.61000001</v>
      </c>
      <c r="C20" s="48">
        <v>219938549.59999999</v>
      </c>
      <c r="D20" s="48">
        <v>117671485.48</v>
      </c>
      <c r="E20" s="48">
        <v>600958527.67999995</v>
      </c>
      <c r="F20" s="48">
        <v>307617938.05000001</v>
      </c>
      <c r="G20" s="48">
        <v>202497512.28999999</v>
      </c>
      <c r="H20" s="48">
        <v>101597242.34999999</v>
      </c>
      <c r="I20" s="48">
        <v>556952942.72000003</v>
      </c>
      <c r="J20" s="48">
        <v>309242808.73000002</v>
      </c>
      <c r="K20" s="48">
        <v>215263881</v>
      </c>
      <c r="L20" s="48">
        <v>113572773.98999999</v>
      </c>
      <c r="M20" s="48">
        <v>491279001.08999997</v>
      </c>
      <c r="N20" s="48">
        <v>320142950.85000002</v>
      </c>
      <c r="O20" s="48">
        <v>233901560.88</v>
      </c>
      <c r="P20" s="48">
        <v>130189271.8</v>
      </c>
      <c r="Q20" s="48">
        <v>490571394.92000002</v>
      </c>
      <c r="R20" s="48">
        <v>319523888.83999997</v>
      </c>
      <c r="S20" s="48">
        <v>206963199.75</v>
      </c>
      <c r="T20" s="48">
        <v>133180954.48</v>
      </c>
      <c r="U20" s="48">
        <v>422507023.81999999</v>
      </c>
      <c r="V20" s="48">
        <v>280816635.47000003</v>
      </c>
      <c r="W20" s="48">
        <v>181221031.28</v>
      </c>
      <c r="X20" s="48">
        <v>117000963.20999999</v>
      </c>
      <c r="Y20" s="48">
        <v>352849513.20999998</v>
      </c>
      <c r="Z20" s="48">
        <v>217271385.69</v>
      </c>
      <c r="AA20" s="48">
        <v>145830711.16</v>
      </c>
      <c r="AB20" s="48">
        <v>102581058.79000001</v>
      </c>
      <c r="AC20" s="48">
        <v>272236418.23000002</v>
      </c>
      <c r="AD20" s="48">
        <v>168110852.28</v>
      </c>
      <c r="AE20" s="48">
        <v>112154316.09</v>
      </c>
      <c r="AF20" s="48">
        <v>77334255.799999997</v>
      </c>
      <c r="AG20" s="48">
        <v>161220174.69999999</v>
      </c>
      <c r="AH20" s="48">
        <v>88209471.609999999</v>
      </c>
      <c r="AI20" s="48">
        <v>61252510.75</v>
      </c>
      <c r="AJ20" s="48">
        <v>46309982.659999996</v>
      </c>
      <c r="AK20" s="48">
        <v>108496980.78</v>
      </c>
      <c r="AL20" s="48">
        <v>63760492.079999998</v>
      </c>
      <c r="AM20" s="48">
        <v>43068797.240000002</v>
      </c>
      <c r="AN20" s="48">
        <v>31529462.239999998</v>
      </c>
      <c r="AO20" s="48">
        <v>79189666.620000005</v>
      </c>
      <c r="AP20" s="48">
        <v>54191010.490000002</v>
      </c>
      <c r="AQ20" s="48">
        <v>63091627.310000002</v>
      </c>
      <c r="AR20" s="48">
        <v>39705599.25</v>
      </c>
      <c r="AS20" s="48">
        <v>0</v>
      </c>
    </row>
    <row r="21" spans="1:45">
      <c r="A21" s="48" t="s">
        <v>208</v>
      </c>
      <c r="B21" s="48">
        <v>50741967.399999999</v>
      </c>
      <c r="C21" s="48">
        <v>35086325.109999999</v>
      </c>
      <c r="D21" s="48">
        <v>20809549.5</v>
      </c>
      <c r="E21" s="48">
        <v>107491520.19</v>
      </c>
      <c r="F21" s="48">
        <v>67057749.07</v>
      </c>
      <c r="G21" s="48">
        <v>43911094.490000002</v>
      </c>
      <c r="H21" s="48">
        <v>22288862.629999999</v>
      </c>
      <c r="I21" s="48">
        <v>117932231.98999999</v>
      </c>
      <c r="J21" s="48">
        <v>65739055.280000001</v>
      </c>
      <c r="K21" s="48">
        <v>45902821.909999996</v>
      </c>
      <c r="L21" s="48">
        <v>25063953.43</v>
      </c>
      <c r="M21" s="48">
        <v>90053617.069999993</v>
      </c>
      <c r="N21" s="48">
        <v>69702112.829999998</v>
      </c>
      <c r="O21" s="48">
        <v>50987758.810000002</v>
      </c>
      <c r="P21" s="48">
        <v>29174534.640000001</v>
      </c>
      <c r="Q21" s="48">
        <v>114018852.90000001</v>
      </c>
      <c r="R21" s="48">
        <v>75599193.269999996</v>
      </c>
      <c r="S21" s="48">
        <v>49400533.090000004</v>
      </c>
      <c r="T21" s="48">
        <v>32609839.899999999</v>
      </c>
      <c r="U21" s="48">
        <v>107561552.3</v>
      </c>
      <c r="V21" s="48">
        <v>70153576.540000007</v>
      </c>
      <c r="W21" s="48">
        <v>45158735.32</v>
      </c>
      <c r="X21" s="48">
        <v>29140692.399999999</v>
      </c>
      <c r="Y21" s="48">
        <v>92565851.609999999</v>
      </c>
      <c r="Z21" s="48">
        <v>54371819.799999997</v>
      </c>
      <c r="AA21" s="48">
        <v>36506209.590000004</v>
      </c>
      <c r="AB21" s="48">
        <v>25661928.460000001</v>
      </c>
      <c r="AC21" s="48">
        <v>65297625.030000001</v>
      </c>
      <c r="AD21" s="48">
        <v>39222109.560000002</v>
      </c>
      <c r="AE21" s="48">
        <v>26484847.289999999</v>
      </c>
      <c r="AF21" s="48">
        <v>18064180.27</v>
      </c>
      <c r="AG21" s="48">
        <v>33462368.59</v>
      </c>
      <c r="AH21" s="48">
        <v>19201179.52</v>
      </c>
      <c r="AI21" s="48">
        <v>13466500.369999999</v>
      </c>
      <c r="AJ21" s="48">
        <v>10004702.5</v>
      </c>
      <c r="AK21" s="48">
        <v>22391699.23</v>
      </c>
      <c r="AL21" s="48">
        <v>13006658.789999999</v>
      </c>
      <c r="AM21" s="48">
        <v>9361626.6199999992</v>
      </c>
      <c r="AN21" s="48">
        <v>6775986.6600000001</v>
      </c>
      <c r="AO21" s="48">
        <v>13440634.470000001</v>
      </c>
      <c r="AP21" s="48">
        <v>9016715.9600000009</v>
      </c>
      <c r="AQ21" s="48">
        <v>4666928.18</v>
      </c>
      <c r="AR21" s="48">
        <v>5925187.7599999998</v>
      </c>
      <c r="AS21" s="48">
        <v>0</v>
      </c>
    </row>
    <row r="22" spans="1:45">
      <c r="A22" s="48" t="s">
        <v>209</v>
      </c>
      <c r="B22" s="48">
        <v>290704423.20999998</v>
      </c>
      <c r="C22" s="48">
        <v>184852224.49000001</v>
      </c>
      <c r="D22" s="48">
        <v>96861935.980000004</v>
      </c>
      <c r="E22" s="48">
        <v>493467007.49000001</v>
      </c>
      <c r="F22" s="48">
        <v>240560188.97999999</v>
      </c>
      <c r="G22" s="48">
        <v>158586417.80000001</v>
      </c>
      <c r="H22" s="48">
        <v>79308379.719999999</v>
      </c>
      <c r="I22" s="48">
        <v>439020710.73000002</v>
      </c>
      <c r="J22" s="48">
        <v>243503753.44999999</v>
      </c>
      <c r="K22" s="48">
        <v>169361059.09</v>
      </c>
      <c r="L22" s="48">
        <v>88508820.560000002</v>
      </c>
      <c r="M22" s="48">
        <v>401225384.01999998</v>
      </c>
      <c r="N22" s="48">
        <v>250440838.02000001</v>
      </c>
      <c r="O22" s="48">
        <v>182913802.06999999</v>
      </c>
      <c r="P22" s="48">
        <v>101014737.16</v>
      </c>
      <c r="Q22" s="48">
        <v>376552542.01999998</v>
      </c>
      <c r="R22" s="48">
        <v>243924695.56999999</v>
      </c>
      <c r="S22" s="48">
        <v>157562666.66</v>
      </c>
      <c r="T22" s="48">
        <v>100571114.58</v>
      </c>
      <c r="U22" s="48">
        <v>314945471.51999998</v>
      </c>
      <c r="V22" s="48">
        <v>210663058.93000001</v>
      </c>
      <c r="W22" s="48">
        <v>136062295.96000001</v>
      </c>
      <c r="X22" s="48">
        <v>87860270.810000002</v>
      </c>
      <c r="Y22" s="48">
        <v>260283661.59999999</v>
      </c>
      <c r="Z22" s="48">
        <v>162899565.88999999</v>
      </c>
      <c r="AA22" s="48">
        <v>109324501.56999999</v>
      </c>
      <c r="AB22" s="48">
        <v>76919130.329999998</v>
      </c>
      <c r="AC22" s="48">
        <v>206938793.19999999</v>
      </c>
      <c r="AD22" s="48">
        <v>128888742.72</v>
      </c>
      <c r="AE22" s="48">
        <v>85669468.799999997</v>
      </c>
      <c r="AF22" s="48">
        <v>59270075.530000001</v>
      </c>
      <c r="AG22" s="48">
        <v>127757806.11</v>
      </c>
      <c r="AH22" s="48">
        <v>69008292.090000004</v>
      </c>
      <c r="AI22" s="48">
        <v>47786010.380000003</v>
      </c>
      <c r="AJ22" s="48">
        <v>36305280.159999996</v>
      </c>
      <c r="AK22" s="48">
        <v>86105281.549999997</v>
      </c>
      <c r="AL22" s="48">
        <v>50753833.289999999</v>
      </c>
      <c r="AM22" s="48">
        <v>33707170.619999997</v>
      </c>
      <c r="AN22" s="48">
        <v>24753475.579999998</v>
      </c>
      <c r="AO22" s="48">
        <v>65749032.149999999</v>
      </c>
      <c r="AP22" s="48">
        <v>45174294.520000003</v>
      </c>
      <c r="AQ22" s="48">
        <v>58424699.130000003</v>
      </c>
      <c r="AR22" s="48">
        <v>33780411.490000002</v>
      </c>
      <c r="AS22" s="48">
        <v>0</v>
      </c>
    </row>
    <row r="23" spans="1:45">
      <c r="A23" s="48" t="s">
        <v>210</v>
      </c>
      <c r="B23" s="48">
        <v>290704423.20999998</v>
      </c>
      <c r="C23" s="48">
        <v>184852224.49000001</v>
      </c>
      <c r="D23" s="48">
        <v>96861935.980000004</v>
      </c>
      <c r="E23" s="48">
        <v>493467007.49000001</v>
      </c>
      <c r="F23" s="48">
        <v>240560188.97999999</v>
      </c>
      <c r="G23" s="48">
        <v>158586417.80000001</v>
      </c>
      <c r="H23" s="48">
        <v>79308379.719999999</v>
      </c>
      <c r="I23" s="48">
        <v>439020710.73000002</v>
      </c>
      <c r="J23" s="48">
        <v>243503753.44999999</v>
      </c>
      <c r="K23" s="48">
        <v>169361059.09</v>
      </c>
      <c r="L23" s="48">
        <v>88508820.560000002</v>
      </c>
      <c r="M23" s="48">
        <v>401225384.01999998</v>
      </c>
      <c r="N23" s="48">
        <v>250440838.02000001</v>
      </c>
      <c r="O23" s="48">
        <v>182913802.06999999</v>
      </c>
      <c r="P23" s="48">
        <v>101014737.16</v>
      </c>
      <c r="Q23" s="48">
        <v>376552542.01999998</v>
      </c>
      <c r="R23" s="48">
        <v>243924695.56999999</v>
      </c>
      <c r="S23" s="48">
        <v>157562666.66</v>
      </c>
      <c r="T23" s="48">
        <v>100571114.58</v>
      </c>
      <c r="U23" s="48">
        <v>314945471.51999998</v>
      </c>
      <c r="V23" s="48">
        <v>210663058.93000001</v>
      </c>
      <c r="W23" s="48">
        <v>136062295.96000001</v>
      </c>
      <c r="X23" s="48">
        <v>87860270.810000002</v>
      </c>
      <c r="Y23" s="48">
        <v>260283661.59999999</v>
      </c>
      <c r="Z23" s="48">
        <v>162899565.88999999</v>
      </c>
      <c r="AA23" s="48">
        <v>109324501.56999999</v>
      </c>
      <c r="AB23" s="48">
        <v>76919130.329999998</v>
      </c>
      <c r="AC23" s="48">
        <v>206938793.19999999</v>
      </c>
      <c r="AD23" s="48">
        <v>128888742.72</v>
      </c>
      <c r="AE23" s="48">
        <v>85669468.799999997</v>
      </c>
      <c r="AF23" s="48">
        <v>59270075.530000001</v>
      </c>
      <c r="AG23" s="48">
        <v>127757806.11</v>
      </c>
      <c r="AH23" s="48">
        <v>69008292.090000004</v>
      </c>
      <c r="AI23" s="48">
        <v>47786010.380000003</v>
      </c>
      <c r="AJ23" s="48">
        <v>36305280.159999996</v>
      </c>
      <c r="AK23" s="48">
        <v>86105281.549999997</v>
      </c>
      <c r="AL23" s="48">
        <v>50753833.289999999</v>
      </c>
      <c r="AM23" s="48">
        <v>33707170.619999997</v>
      </c>
      <c r="AN23" s="48">
        <v>24753475.579999998</v>
      </c>
      <c r="AO23" s="48">
        <v>65749032.149999999</v>
      </c>
      <c r="AP23" s="48">
        <v>45174294.520000003</v>
      </c>
      <c r="AQ23" s="48">
        <v>58363588.090000004</v>
      </c>
      <c r="AR23" s="48">
        <v>33780911</v>
      </c>
      <c r="AS23" s="48">
        <v>0</v>
      </c>
    </row>
    <row r="24" spans="1:45">
      <c r="A24" s="48" t="s">
        <v>211</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61111.040000000001</v>
      </c>
      <c r="AR24" s="48">
        <v>-499.51</v>
      </c>
      <c r="AS24" s="48">
        <v>0</v>
      </c>
    </row>
    <row r="25" spans="1:45">
      <c r="A25" s="48" t="s">
        <v>212</v>
      </c>
    </row>
    <row r="26" spans="1:45">
      <c r="A26" s="48" t="s">
        <v>213</v>
      </c>
      <c r="B26" s="48">
        <v>0.34</v>
      </c>
      <c r="C26" s="48">
        <v>0.21</v>
      </c>
      <c r="D26" s="48">
        <v>0.11</v>
      </c>
      <c r="E26" s="48">
        <v>0.6</v>
      </c>
      <c r="F26" s="48">
        <v>0.28000000000000003</v>
      </c>
      <c r="G26" s="48">
        <v>0.186</v>
      </c>
      <c r="H26" s="48">
        <v>0.09</v>
      </c>
      <c r="I26" s="48">
        <v>0.52</v>
      </c>
      <c r="J26" s="48">
        <v>0.28999999999999998</v>
      </c>
      <c r="K26" s="48">
        <v>0.20399999999999999</v>
      </c>
      <c r="L26" s="48">
        <v>0.11</v>
      </c>
      <c r="M26" s="48">
        <v>0.47</v>
      </c>
      <c r="N26" s="48">
        <v>0.28999999999999998</v>
      </c>
      <c r="O26" s="48">
        <v>0.21299999999999999</v>
      </c>
      <c r="P26" s="48">
        <v>0.24</v>
      </c>
      <c r="Q26" s="48">
        <v>0.9</v>
      </c>
      <c r="R26" s="48">
        <v>0.56999999999999995</v>
      </c>
      <c r="S26" s="48">
        <v>0.37</v>
      </c>
      <c r="T26" s="48">
        <v>0.31</v>
      </c>
      <c r="U26" s="48">
        <v>0.98</v>
      </c>
      <c r="V26" s="48">
        <v>0.66</v>
      </c>
      <c r="W26" s="48">
        <v>0.42</v>
      </c>
      <c r="X26" s="48">
        <v>0.55000000000000004</v>
      </c>
      <c r="Y26" s="48">
        <v>1.62</v>
      </c>
      <c r="Z26" s="48">
        <v>1.01</v>
      </c>
      <c r="AA26" s="48">
        <v>0.68</v>
      </c>
      <c r="AB26" s="48">
        <v>0.56999999999999995</v>
      </c>
      <c r="AC26" s="48">
        <v>1.55</v>
      </c>
      <c r="AD26" s="48">
        <v>0.96</v>
      </c>
      <c r="AE26" s="48">
        <v>0.64</v>
      </c>
      <c r="AF26" s="48">
        <v>0.44</v>
      </c>
      <c r="AG26" s="48">
        <v>0.95</v>
      </c>
      <c r="AH26" s="48">
        <v>0.52</v>
      </c>
      <c r="AI26" s="48">
        <v>0.46</v>
      </c>
      <c r="AJ26" s="48">
        <v>0.35</v>
      </c>
      <c r="AK26" s="48">
        <v>1.1183000000000001</v>
      </c>
      <c r="AL26" s="48">
        <v>0.66</v>
      </c>
      <c r="AM26" s="48">
        <v>0.44</v>
      </c>
      <c r="AN26" s="48">
        <v>0.32</v>
      </c>
      <c r="AO26" s="48">
        <v>0.85</v>
      </c>
      <c r="AP26" s="48">
        <v>0.59</v>
      </c>
      <c r="AQ26" s="48">
        <v>0.78</v>
      </c>
      <c r="AR26" s="48">
        <v>0.48</v>
      </c>
      <c r="AS26" s="48">
        <v>0</v>
      </c>
    </row>
    <row r="27" spans="1:45">
      <c r="A27" s="48" t="s">
        <v>214</v>
      </c>
      <c r="B27" s="48">
        <v>0.33</v>
      </c>
      <c r="C27" s="48">
        <v>0.21</v>
      </c>
      <c r="D27" s="48">
        <v>0.11</v>
      </c>
      <c r="E27" s="48">
        <v>0.59</v>
      </c>
      <c r="F27" s="48">
        <v>0.28000000000000003</v>
      </c>
      <c r="G27" s="48">
        <v>0.182</v>
      </c>
      <c r="H27" s="48">
        <v>0.09</v>
      </c>
      <c r="I27" s="48">
        <v>0.5</v>
      </c>
      <c r="J27" s="48">
        <v>0.28999999999999998</v>
      </c>
      <c r="K27" s="48">
        <v>0.20100000000000001</v>
      </c>
      <c r="L27" s="48">
        <v>0.11</v>
      </c>
      <c r="M27" s="48">
        <v>0.47</v>
      </c>
      <c r="N27" s="48">
        <v>0.28999999999999998</v>
      </c>
      <c r="O27" s="48">
        <v>0.21299999999999999</v>
      </c>
      <c r="P27" s="48">
        <v>0.24</v>
      </c>
      <c r="Q27" s="48">
        <v>0.89</v>
      </c>
      <c r="R27" s="48">
        <v>0.56000000000000005</v>
      </c>
      <c r="S27" s="48">
        <v>0.37</v>
      </c>
      <c r="T27" s="48">
        <v>0.31</v>
      </c>
      <c r="U27" s="48">
        <v>0.98</v>
      </c>
      <c r="V27" s="48">
        <v>0.64</v>
      </c>
      <c r="W27" s="48">
        <v>0.41</v>
      </c>
      <c r="X27" s="48">
        <v>0.54</v>
      </c>
      <c r="Y27" s="48">
        <v>1.61</v>
      </c>
      <c r="Z27" s="48">
        <v>1.01</v>
      </c>
      <c r="AA27" s="48">
        <v>0.68</v>
      </c>
      <c r="AB27" s="48">
        <v>0.56999999999999995</v>
      </c>
      <c r="AC27" s="48">
        <v>1.54</v>
      </c>
      <c r="AD27" s="48">
        <v>0.96</v>
      </c>
      <c r="AE27" s="48">
        <v>0.64</v>
      </c>
      <c r="AF27" s="48">
        <v>0.44</v>
      </c>
      <c r="AG27" s="48">
        <v>0.95</v>
      </c>
      <c r="AH27" s="48">
        <v>0.52</v>
      </c>
      <c r="AI27" s="48">
        <v>0.46</v>
      </c>
      <c r="AJ27" s="48">
        <v>0.35</v>
      </c>
      <c r="AK27" s="48">
        <v>1.1183000000000001</v>
      </c>
      <c r="AL27" s="48">
        <v>0.66</v>
      </c>
      <c r="AM27" s="48">
        <v>0.44</v>
      </c>
      <c r="AN27" s="48">
        <v>0.32</v>
      </c>
      <c r="AO27" s="48">
        <v>0.85</v>
      </c>
      <c r="AP27" s="48">
        <v>0.59</v>
      </c>
      <c r="AQ27" s="48">
        <v>0.78</v>
      </c>
      <c r="AR27" s="48">
        <v>0.48</v>
      </c>
      <c r="AS27" s="48">
        <v>0</v>
      </c>
    </row>
    <row r="28" spans="1:45">
      <c r="A28" s="48" t="s">
        <v>215</v>
      </c>
      <c r="B28" s="48">
        <v>0</v>
      </c>
      <c r="C28" s="48">
        <v>0</v>
      </c>
      <c r="D28" s="48">
        <v>0</v>
      </c>
      <c r="E28" s="48">
        <v>0</v>
      </c>
      <c r="F28" s="48">
        <v>0</v>
      </c>
      <c r="G28" s="48">
        <v>0</v>
      </c>
      <c r="H28" s="48">
        <v>0</v>
      </c>
      <c r="I28" s="48">
        <v>0</v>
      </c>
      <c r="J28" s="48">
        <v>0</v>
      </c>
      <c r="K28" s="48">
        <v>0</v>
      </c>
      <c r="L28" s="48">
        <v>0</v>
      </c>
      <c r="M28" s="48">
        <v>0</v>
      </c>
      <c r="N28" s="48">
        <v>0</v>
      </c>
      <c r="O28" s="48">
        <v>0</v>
      </c>
      <c r="P28" s="48">
        <v>0</v>
      </c>
      <c r="Q28" s="48">
        <v>0</v>
      </c>
      <c r="R28" s="48">
        <v>0</v>
      </c>
      <c r="S28" s="48">
        <v>0</v>
      </c>
      <c r="T28" s="48">
        <v>0</v>
      </c>
      <c r="U28" s="48">
        <v>0</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-70573.61</v>
      </c>
      <c r="AR28" s="48">
        <v>0</v>
      </c>
      <c r="AS28" s="48">
        <v>0</v>
      </c>
    </row>
    <row r="29" spans="1:45">
      <c r="A29" s="48" t="s">
        <v>216</v>
      </c>
      <c r="B29" s="48">
        <v>290704423.20999998</v>
      </c>
      <c r="C29" s="48">
        <v>184852224.49000001</v>
      </c>
      <c r="D29" s="48">
        <v>96861935.980000004</v>
      </c>
      <c r="E29" s="48">
        <v>493467007.49000001</v>
      </c>
      <c r="F29" s="48">
        <v>240560188.97999999</v>
      </c>
      <c r="G29" s="48">
        <v>158586417.80000001</v>
      </c>
      <c r="H29" s="48">
        <v>79308379.719999999</v>
      </c>
      <c r="I29" s="48">
        <v>439020710.73000002</v>
      </c>
      <c r="J29" s="48">
        <v>243503753.44999999</v>
      </c>
      <c r="K29" s="48">
        <v>169361059.09</v>
      </c>
      <c r="L29" s="48">
        <v>88508820.560000002</v>
      </c>
      <c r="M29" s="48">
        <v>401225384.01999998</v>
      </c>
      <c r="N29" s="48">
        <v>250440838.02000001</v>
      </c>
      <c r="O29" s="48">
        <v>182913802.06999999</v>
      </c>
      <c r="P29" s="48">
        <v>101014737.16</v>
      </c>
      <c r="Q29" s="48">
        <v>376552542.01999998</v>
      </c>
      <c r="R29" s="48">
        <v>243924695.56999999</v>
      </c>
      <c r="S29" s="48">
        <v>157562666.66</v>
      </c>
      <c r="T29" s="48">
        <v>100571114.58</v>
      </c>
      <c r="U29" s="48">
        <v>314945471.51999998</v>
      </c>
      <c r="V29" s="48">
        <v>210663058.93000001</v>
      </c>
      <c r="W29" s="48">
        <v>136062295.96000001</v>
      </c>
      <c r="X29" s="48">
        <v>87860270.810000002</v>
      </c>
      <c r="Y29" s="48">
        <v>260283661.59999999</v>
      </c>
      <c r="Z29" s="48">
        <v>162899565.88999999</v>
      </c>
      <c r="AA29" s="48">
        <v>109324501.56999999</v>
      </c>
      <c r="AB29" s="48">
        <v>76919130.329999998</v>
      </c>
      <c r="AC29" s="48">
        <v>206938793.19999999</v>
      </c>
      <c r="AD29" s="48">
        <v>128888742.72</v>
      </c>
      <c r="AE29" s="48">
        <v>85669468.799999997</v>
      </c>
      <c r="AF29" s="48">
        <v>59270075.530000001</v>
      </c>
      <c r="AG29" s="48">
        <v>127757806.11</v>
      </c>
      <c r="AH29" s="48">
        <v>69008292.090000004</v>
      </c>
      <c r="AI29" s="48">
        <v>47786010.380000003</v>
      </c>
      <c r="AJ29" s="48">
        <v>36305280.159999996</v>
      </c>
      <c r="AK29" s="48">
        <v>86105281.549999997</v>
      </c>
      <c r="AL29" s="48">
        <v>50753833.289999999</v>
      </c>
      <c r="AM29" s="48">
        <v>33707170.619999997</v>
      </c>
      <c r="AN29" s="48">
        <v>24753475.579999998</v>
      </c>
      <c r="AO29" s="48">
        <v>65749032.149999999</v>
      </c>
      <c r="AP29" s="48">
        <v>45174294.520000003</v>
      </c>
      <c r="AQ29" s="48">
        <v>58354125.520000003</v>
      </c>
      <c r="AR29" s="48">
        <v>33780411.490000002</v>
      </c>
      <c r="AS29" s="48">
        <v>0</v>
      </c>
    </row>
    <row r="30" spans="1:45">
      <c r="A30" s="48" t="s">
        <v>217</v>
      </c>
      <c r="B30" s="48">
        <v>290704423.20999998</v>
      </c>
      <c r="C30" s="48">
        <v>184852224.49000001</v>
      </c>
      <c r="D30" s="48">
        <v>96861935.980000004</v>
      </c>
      <c r="E30" s="48">
        <v>493467007.49000001</v>
      </c>
      <c r="F30" s="48">
        <v>240560188.97999999</v>
      </c>
      <c r="G30" s="48">
        <v>158586417.80000001</v>
      </c>
      <c r="H30" s="48">
        <v>79308379.719999999</v>
      </c>
      <c r="I30" s="48">
        <v>439020710.73000002</v>
      </c>
      <c r="J30" s="48">
        <v>243503753.44999999</v>
      </c>
      <c r="K30" s="48">
        <v>169361059.09</v>
      </c>
      <c r="L30" s="48">
        <v>88508820.560000002</v>
      </c>
      <c r="M30" s="48">
        <v>401225384.01999998</v>
      </c>
      <c r="N30" s="48">
        <v>250440838.02000001</v>
      </c>
      <c r="O30" s="48">
        <v>182913802.06999999</v>
      </c>
      <c r="P30" s="48">
        <v>101014737.16</v>
      </c>
      <c r="Q30" s="48">
        <v>376552542.01999998</v>
      </c>
      <c r="R30" s="48">
        <v>243924695.56999999</v>
      </c>
      <c r="S30" s="48">
        <v>157562666.66</v>
      </c>
      <c r="T30" s="48">
        <v>100571114.58</v>
      </c>
      <c r="U30" s="48">
        <v>314945471.51999998</v>
      </c>
      <c r="V30" s="48">
        <v>210663058.93000001</v>
      </c>
      <c r="W30" s="48">
        <v>136062295.96000001</v>
      </c>
      <c r="X30" s="48">
        <v>87860270.810000002</v>
      </c>
      <c r="Y30" s="48">
        <v>260283661.59999999</v>
      </c>
      <c r="Z30" s="48">
        <v>162899565.88999999</v>
      </c>
      <c r="AA30" s="48">
        <v>109324501.56999999</v>
      </c>
      <c r="AB30" s="48">
        <v>76919130.329999998</v>
      </c>
      <c r="AC30" s="48">
        <v>206938793.19999999</v>
      </c>
      <c r="AD30" s="48">
        <v>128888742.72</v>
      </c>
      <c r="AE30" s="48">
        <v>85669468.799999997</v>
      </c>
      <c r="AF30" s="48">
        <v>59270075.530000001</v>
      </c>
      <c r="AG30" s="48">
        <v>127757806.11</v>
      </c>
      <c r="AH30" s="48">
        <v>69008292.090000004</v>
      </c>
      <c r="AI30" s="48">
        <v>47786010.380000003</v>
      </c>
      <c r="AJ30" s="48">
        <v>36305280.159999996</v>
      </c>
      <c r="AK30" s="48">
        <v>86105281.549999997</v>
      </c>
      <c r="AL30" s="48">
        <v>50753833.289999999</v>
      </c>
      <c r="AM30" s="48">
        <v>33707170.619999997</v>
      </c>
      <c r="AN30" s="48">
        <v>24753475.579999998</v>
      </c>
      <c r="AO30" s="48">
        <v>65749032.149999999</v>
      </c>
      <c r="AP30" s="48">
        <v>45174294.520000003</v>
      </c>
      <c r="AQ30" s="48">
        <v>58293014.479999997</v>
      </c>
      <c r="AR30" s="48">
        <v>33780911</v>
      </c>
      <c r="AS30" s="48">
        <v>0</v>
      </c>
    </row>
    <row r="31" spans="1:45">
      <c r="A31" s="48" t="s">
        <v>218</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61111.040000000001</v>
      </c>
      <c r="AR31" s="48">
        <v>-499.51</v>
      </c>
      <c r="AS31" s="4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S77"/>
  <sheetViews>
    <sheetView topLeftCell="A16" workbookViewId="0">
      <selection activeCell="E49" sqref="E49"/>
    </sheetView>
  </sheetViews>
  <sheetFormatPr defaultRowHeight="13.5"/>
  <cols>
    <col min="1" max="1" width="54.625" style="48" bestFit="1" customWidth="1"/>
    <col min="2" max="4" width="13.875" style="48" hidden="1" customWidth="1"/>
    <col min="5" max="5" width="13.875" style="48" bestFit="1" customWidth="1"/>
    <col min="6" max="8" width="13.875" style="48" hidden="1" customWidth="1"/>
    <col min="9" max="9" width="13.875" style="48" bestFit="1" customWidth="1"/>
    <col min="10" max="12" width="13.875" style="48" hidden="1" customWidth="1"/>
    <col min="13" max="13" width="13.875" style="48" bestFit="1" customWidth="1"/>
    <col min="14" max="16" width="13.875" style="48" hidden="1" customWidth="1"/>
    <col min="17" max="17" width="13.875" style="48" bestFit="1" customWidth="1"/>
    <col min="18" max="18" width="12.75" style="48" hidden="1" customWidth="1"/>
    <col min="19" max="20" width="13.875" style="48" hidden="1" customWidth="1"/>
    <col min="21" max="21" width="13.875" style="48" bestFit="1" customWidth="1"/>
    <col min="22" max="24" width="13.875" style="48" hidden="1" customWidth="1"/>
    <col min="25" max="25" width="13.875" style="48" bestFit="1" customWidth="1"/>
    <col min="26" max="28" width="13.875" style="48" hidden="1" customWidth="1"/>
    <col min="29" max="29" width="13.875" style="48" bestFit="1" customWidth="1"/>
    <col min="30" max="32" width="13.875" style="48" hidden="1" customWidth="1"/>
    <col min="33" max="33" width="13.875" style="48" bestFit="1" customWidth="1"/>
    <col min="34" max="36" width="13.875" style="48" hidden="1" customWidth="1"/>
    <col min="37" max="37" width="13.875" style="48" bestFit="1" customWidth="1"/>
    <col min="38" max="40" width="13.875" style="48" hidden="1" customWidth="1"/>
    <col min="41" max="41" width="13.875" style="48" bestFit="1" customWidth="1"/>
    <col min="42" max="42" width="13.875" style="48" hidden="1" customWidth="1"/>
    <col min="43" max="44" width="13.875" style="48" bestFit="1" customWidth="1"/>
    <col min="45" max="45" width="9.5" style="48" hidden="1" customWidth="1"/>
    <col min="46" max="16384" width="9" style="48"/>
  </cols>
  <sheetData>
    <row r="1" spans="1:45">
      <c r="A1" s="48">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20071231</v>
      </c>
      <c r="AR1" s="48">
        <v>20061231</v>
      </c>
      <c r="AS1" s="48">
        <v>19700101</v>
      </c>
    </row>
    <row r="2" spans="1:45">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row>
    <row r="3" spans="1:45">
      <c r="A3" s="48" t="s">
        <v>219</v>
      </c>
    </row>
    <row r="4" spans="1:45">
      <c r="A4" s="48" t="s">
        <v>220</v>
      </c>
      <c r="B4" s="48">
        <v>2300834399.9299998</v>
      </c>
      <c r="C4" s="48">
        <v>1591869156.3199999</v>
      </c>
      <c r="D4" s="48">
        <v>752074472.63999999</v>
      </c>
      <c r="E4" s="48">
        <v>3418357779.1199999</v>
      </c>
      <c r="F4" s="48">
        <v>1897387188.6700001</v>
      </c>
      <c r="G4" s="48">
        <v>1278291270.8499999</v>
      </c>
      <c r="H4" s="48">
        <v>647788754.39999998</v>
      </c>
      <c r="I4" s="48">
        <v>3011633782.3099999</v>
      </c>
      <c r="J4" s="48">
        <v>1650213898.3900001</v>
      </c>
      <c r="K4" s="48">
        <v>1125864101.52</v>
      </c>
      <c r="L4" s="48">
        <v>588396375.11000001</v>
      </c>
      <c r="M4" s="48">
        <v>2763998224.9699998</v>
      </c>
      <c r="N4" s="48">
        <v>1484807558.6800001</v>
      </c>
      <c r="O4" s="48">
        <v>973937859.46000004</v>
      </c>
      <c r="P4" s="48">
        <v>526205237.23000002</v>
      </c>
      <c r="Q4" s="48">
        <v>2643125121.5999999</v>
      </c>
      <c r="R4" s="48">
        <v>1533874257.04</v>
      </c>
      <c r="S4" s="48">
        <v>999976976.79999995</v>
      </c>
      <c r="T4" s="48">
        <v>527583229.41000003</v>
      </c>
      <c r="U4" s="48">
        <v>2166869154.3400002</v>
      </c>
      <c r="V4" s="48">
        <v>1438846329.28</v>
      </c>
      <c r="W4" s="48">
        <v>962637882.34000003</v>
      </c>
      <c r="X4" s="48">
        <v>502162838.74000001</v>
      </c>
      <c r="Y4" s="48">
        <v>1981355528.6900001</v>
      </c>
      <c r="Z4" s="48">
        <v>1394364884.02</v>
      </c>
      <c r="AA4" s="48">
        <v>890657035.03999996</v>
      </c>
      <c r="AB4" s="48">
        <v>482198928.61000001</v>
      </c>
      <c r="AC4" s="48">
        <v>1555776389.79</v>
      </c>
      <c r="AD4" s="48">
        <v>1073156712.58</v>
      </c>
      <c r="AE4" s="48">
        <v>690933705.63999999</v>
      </c>
      <c r="AF4" s="48">
        <v>367693082.56</v>
      </c>
      <c r="AG4" s="48">
        <v>1231605769.4000001</v>
      </c>
      <c r="AH4" s="48">
        <v>816590336.07000005</v>
      </c>
      <c r="AI4" s="48">
        <v>512502160.69</v>
      </c>
      <c r="AJ4" s="48">
        <v>286967808.22000003</v>
      </c>
      <c r="AK4" s="48">
        <v>926182505.46000004</v>
      </c>
      <c r="AL4" s="48">
        <v>603337706.61000001</v>
      </c>
      <c r="AM4" s="48">
        <v>401010695.13</v>
      </c>
      <c r="AN4" s="48">
        <v>208046366.21000001</v>
      </c>
      <c r="AO4" s="48">
        <v>801407370.79999995</v>
      </c>
      <c r="AP4" s="48">
        <v>545673848.24000001</v>
      </c>
      <c r="AQ4" s="48">
        <v>579333924.02999997</v>
      </c>
      <c r="AR4" s="48">
        <v>481559953.31999999</v>
      </c>
      <c r="AS4" s="48">
        <v>0</v>
      </c>
    </row>
    <row r="5" spans="1:45">
      <c r="A5" s="48" t="s">
        <v>221</v>
      </c>
      <c r="B5" s="48">
        <v>2401710.84</v>
      </c>
      <c r="C5" s="48">
        <v>2121712.1800000002</v>
      </c>
      <c r="D5" s="48">
        <v>6257.88</v>
      </c>
      <c r="E5" s="48">
        <v>0</v>
      </c>
      <c r="F5" s="48">
        <v>2396090.63</v>
      </c>
      <c r="G5" s="48">
        <v>2395818.2200000002</v>
      </c>
      <c r="H5" s="48">
        <v>16103</v>
      </c>
      <c r="I5" s="48">
        <v>0</v>
      </c>
      <c r="J5" s="48">
        <v>1536762.31</v>
      </c>
      <c r="K5" s="48">
        <v>20000</v>
      </c>
      <c r="L5" s="48">
        <v>5371.11</v>
      </c>
      <c r="M5" s="48">
        <v>0</v>
      </c>
      <c r="N5" s="48">
        <v>580047.46</v>
      </c>
      <c r="O5" s="48">
        <v>22929.11</v>
      </c>
      <c r="P5" s="48">
        <v>0</v>
      </c>
      <c r="Q5" s="48">
        <v>0</v>
      </c>
      <c r="R5" s="48">
        <v>142775.26</v>
      </c>
      <c r="S5" s="48">
        <v>142775.26</v>
      </c>
      <c r="T5" s="48">
        <v>68000</v>
      </c>
      <c r="U5" s="48">
        <v>0</v>
      </c>
      <c r="V5" s="48">
        <v>313675.94</v>
      </c>
      <c r="W5" s="48">
        <v>76000</v>
      </c>
      <c r="X5" s="48">
        <v>76000</v>
      </c>
      <c r="Y5" s="48">
        <v>0</v>
      </c>
      <c r="Z5" s="48">
        <v>117000</v>
      </c>
      <c r="AA5" s="48">
        <v>38000</v>
      </c>
      <c r="AB5" s="48">
        <v>0</v>
      </c>
      <c r="AC5" s="48">
        <v>0</v>
      </c>
      <c r="AD5" s="48">
        <v>62671.33</v>
      </c>
      <c r="AE5" s="48">
        <v>62600</v>
      </c>
      <c r="AF5" s="48">
        <v>0</v>
      </c>
      <c r="AG5" s="48">
        <v>479404.29</v>
      </c>
      <c r="AH5" s="48">
        <v>453014.59</v>
      </c>
      <c r="AI5" s="48">
        <v>433804.85</v>
      </c>
      <c r="AJ5" s="48">
        <v>0</v>
      </c>
      <c r="AK5" s="48">
        <v>0</v>
      </c>
      <c r="AL5" s="48">
        <v>0</v>
      </c>
      <c r="AM5" s="48">
        <v>0</v>
      </c>
      <c r="AN5" s="48">
        <v>0</v>
      </c>
      <c r="AO5" s="48">
        <v>0</v>
      </c>
      <c r="AP5" s="48">
        <v>0</v>
      </c>
      <c r="AQ5" s="48">
        <v>0</v>
      </c>
      <c r="AR5" s="48">
        <v>0</v>
      </c>
      <c r="AS5" s="48">
        <v>0</v>
      </c>
    </row>
    <row r="6" spans="1:45">
      <c r="A6" s="48" t="s">
        <v>222</v>
      </c>
      <c r="B6" s="48">
        <v>80331931.439999998</v>
      </c>
      <c r="C6" s="48">
        <v>70996645.430000007</v>
      </c>
      <c r="D6" s="48">
        <v>40970711.509999998</v>
      </c>
      <c r="E6" s="48">
        <v>25563339.780000001</v>
      </c>
      <c r="F6" s="48">
        <v>76147122.799999997</v>
      </c>
      <c r="G6" s="48">
        <v>27725641.539999999</v>
      </c>
      <c r="H6" s="48">
        <v>5049809.67</v>
      </c>
      <c r="I6" s="48">
        <v>36282626.289999999</v>
      </c>
      <c r="J6" s="48">
        <v>68628958.010000005</v>
      </c>
      <c r="K6" s="48">
        <v>34689786.579999998</v>
      </c>
      <c r="L6" s="48">
        <v>5044424.4800000004</v>
      </c>
      <c r="M6" s="48">
        <v>34313550.590000004</v>
      </c>
      <c r="N6" s="48">
        <v>54761448.869999997</v>
      </c>
      <c r="O6" s="48">
        <v>27279630.34</v>
      </c>
      <c r="P6" s="48">
        <v>14459569.99</v>
      </c>
      <c r="Q6" s="48">
        <v>24102201.57</v>
      </c>
      <c r="R6" s="48">
        <v>48478665.109999999</v>
      </c>
      <c r="S6" s="48">
        <v>48748526.32</v>
      </c>
      <c r="T6" s="48">
        <v>16110420.449999999</v>
      </c>
      <c r="U6" s="48">
        <v>27488462.649999999</v>
      </c>
      <c r="V6" s="48">
        <v>37813543.920000002</v>
      </c>
      <c r="W6" s="48">
        <v>26505605.280000001</v>
      </c>
      <c r="X6" s="48">
        <v>7712203.6500000004</v>
      </c>
      <c r="Y6" s="48">
        <v>20901243.530000001</v>
      </c>
      <c r="Z6" s="48">
        <v>20791411.129999999</v>
      </c>
      <c r="AA6" s="48">
        <v>9331833.3699999992</v>
      </c>
      <c r="AB6" s="48">
        <v>8201926.1200000001</v>
      </c>
      <c r="AC6" s="48">
        <v>18195986.25</v>
      </c>
      <c r="AD6" s="48">
        <v>18349601.07</v>
      </c>
      <c r="AE6" s="48">
        <v>8633390.9000000004</v>
      </c>
      <c r="AF6" s="48">
        <v>7831544.2800000003</v>
      </c>
      <c r="AG6" s="48">
        <v>17271680.07</v>
      </c>
      <c r="AH6" s="48">
        <v>7787253.5999999996</v>
      </c>
      <c r="AI6" s="48">
        <v>4555037.09</v>
      </c>
      <c r="AJ6" s="48">
        <v>5214756.01</v>
      </c>
      <c r="AK6" s="48">
        <v>20376127.210000001</v>
      </c>
      <c r="AL6" s="48">
        <v>15907201.76</v>
      </c>
      <c r="AM6" s="48">
        <v>4667733.91</v>
      </c>
      <c r="AN6" s="48">
        <v>3328704.08</v>
      </c>
      <c r="AO6" s="48">
        <v>3823669.96</v>
      </c>
      <c r="AP6" s="48">
        <v>8749882.9499999993</v>
      </c>
      <c r="AQ6" s="48">
        <v>4372100.07</v>
      </c>
      <c r="AR6" s="48">
        <v>5725904.3899999997</v>
      </c>
      <c r="AS6" s="48">
        <v>0</v>
      </c>
    </row>
    <row r="7" spans="1:45">
      <c r="A7" s="48" t="s">
        <v>223</v>
      </c>
      <c r="B7" s="48">
        <v>2383568042.21</v>
      </c>
      <c r="C7" s="48">
        <v>1664987513.9300001</v>
      </c>
      <c r="D7" s="48">
        <v>793051442.02999997</v>
      </c>
      <c r="E7" s="48">
        <v>3443921118.9000001</v>
      </c>
      <c r="F7" s="48">
        <v>1975930402.0999999</v>
      </c>
      <c r="G7" s="48">
        <v>1308412730.6099999</v>
      </c>
      <c r="H7" s="48">
        <v>652854667.07000005</v>
      </c>
      <c r="I7" s="48">
        <v>3047916408.5999999</v>
      </c>
      <c r="J7" s="48">
        <v>1720379618.71</v>
      </c>
      <c r="K7" s="48">
        <v>1160573888.0999999</v>
      </c>
      <c r="L7" s="48">
        <v>593446170.70000005</v>
      </c>
      <c r="M7" s="48">
        <v>2798311775.5599999</v>
      </c>
      <c r="N7" s="48">
        <v>1540149055.01</v>
      </c>
      <c r="O7" s="48">
        <v>1001240418.91</v>
      </c>
      <c r="P7" s="48">
        <v>540664807.22000003</v>
      </c>
      <c r="Q7" s="48">
        <v>2667227323.1700001</v>
      </c>
      <c r="R7" s="48">
        <v>1582495697.4100001</v>
      </c>
      <c r="S7" s="48">
        <v>1048868278.38</v>
      </c>
      <c r="T7" s="48">
        <v>543761649.86000001</v>
      </c>
      <c r="U7" s="48">
        <v>2194357616.9899998</v>
      </c>
      <c r="V7" s="48">
        <v>1476973549.1400001</v>
      </c>
      <c r="W7" s="48">
        <v>989219487.62</v>
      </c>
      <c r="X7" s="48">
        <v>509951042.38999999</v>
      </c>
      <c r="Y7" s="48">
        <v>2002256772.22</v>
      </c>
      <c r="Z7" s="48">
        <v>1415273295.1500001</v>
      </c>
      <c r="AA7" s="48">
        <v>900026868.40999997</v>
      </c>
      <c r="AB7" s="48">
        <v>490400854.73000002</v>
      </c>
      <c r="AC7" s="48">
        <v>1573972376.04</v>
      </c>
      <c r="AD7" s="48">
        <v>1091568984.98</v>
      </c>
      <c r="AE7" s="48">
        <v>699629696.53999996</v>
      </c>
      <c r="AF7" s="48">
        <v>375524626.83999997</v>
      </c>
      <c r="AG7" s="48">
        <v>1249356853.76</v>
      </c>
      <c r="AH7" s="48">
        <v>824830604.25999999</v>
      </c>
      <c r="AI7" s="48">
        <v>517491002.63</v>
      </c>
      <c r="AJ7" s="48">
        <v>292182564.23000002</v>
      </c>
      <c r="AK7" s="48">
        <v>946558632.66999996</v>
      </c>
      <c r="AL7" s="48">
        <v>619244908.37</v>
      </c>
      <c r="AM7" s="48">
        <v>405678429.04000002</v>
      </c>
      <c r="AN7" s="48">
        <v>211375070.28999999</v>
      </c>
      <c r="AO7" s="48">
        <v>805231040.75999999</v>
      </c>
      <c r="AP7" s="48">
        <v>554423731.19000006</v>
      </c>
      <c r="AQ7" s="48">
        <v>583706024.10000002</v>
      </c>
      <c r="AR7" s="48">
        <v>487285857.70999998</v>
      </c>
      <c r="AS7" s="48">
        <v>0</v>
      </c>
    </row>
    <row r="8" spans="1:45">
      <c r="A8" s="48" t="s">
        <v>224</v>
      </c>
      <c r="B8" s="48">
        <v>1395955335.3199999</v>
      </c>
      <c r="C8" s="48">
        <v>856777342.51999998</v>
      </c>
      <c r="D8" s="48">
        <v>352023964.69</v>
      </c>
      <c r="E8" s="48">
        <v>1835912765.29</v>
      </c>
      <c r="F8" s="48">
        <v>1095533069.49</v>
      </c>
      <c r="G8" s="48">
        <v>783769204.33000004</v>
      </c>
      <c r="H8" s="48">
        <v>402859027.94</v>
      </c>
      <c r="I8" s="48">
        <v>1595103085.8299999</v>
      </c>
      <c r="J8" s="48">
        <v>802030508.12</v>
      </c>
      <c r="K8" s="48">
        <v>494071668.22000003</v>
      </c>
      <c r="L8" s="48">
        <v>291294649.19999999</v>
      </c>
      <c r="M8" s="48">
        <v>1509818757.3499999</v>
      </c>
      <c r="N8" s="48">
        <v>786136899.99000001</v>
      </c>
      <c r="O8" s="48">
        <v>559991911.80999994</v>
      </c>
      <c r="P8" s="48">
        <v>317178073.32999998</v>
      </c>
      <c r="Q8" s="48">
        <v>1298903202.6300001</v>
      </c>
      <c r="R8" s="48">
        <v>803743311.58000004</v>
      </c>
      <c r="S8" s="48">
        <v>543631294.95000005</v>
      </c>
      <c r="T8" s="48">
        <v>269362962.29000002</v>
      </c>
      <c r="U8" s="48">
        <v>1126030656.1600001</v>
      </c>
      <c r="V8" s="48">
        <v>892196851.23000002</v>
      </c>
      <c r="W8" s="48">
        <v>577774050.88999999</v>
      </c>
      <c r="X8" s="48">
        <v>275066738.35000002</v>
      </c>
      <c r="Y8" s="48">
        <v>716858301.76999998</v>
      </c>
      <c r="Z8" s="48">
        <v>628793584.21000004</v>
      </c>
      <c r="AA8" s="48">
        <v>471582019.57999998</v>
      </c>
      <c r="AB8" s="48">
        <v>271056078.17000002</v>
      </c>
      <c r="AC8" s="48">
        <v>749968582.15999997</v>
      </c>
      <c r="AD8" s="48">
        <v>512634437.06999999</v>
      </c>
      <c r="AE8" s="48">
        <v>287575333.56</v>
      </c>
      <c r="AF8" s="48">
        <v>164541856.28</v>
      </c>
      <c r="AG8" s="48">
        <v>845266367.59000003</v>
      </c>
      <c r="AH8" s="48">
        <v>629267399.57000005</v>
      </c>
      <c r="AI8" s="48">
        <v>397859413.17000002</v>
      </c>
      <c r="AJ8" s="48">
        <v>186354497.96000001</v>
      </c>
      <c r="AK8" s="48">
        <v>466185129.32999998</v>
      </c>
      <c r="AL8" s="48">
        <v>316366121.66000003</v>
      </c>
      <c r="AM8" s="48">
        <v>221096375.78</v>
      </c>
      <c r="AN8" s="48">
        <v>130872930.18000001</v>
      </c>
      <c r="AO8" s="48">
        <v>433590063.63</v>
      </c>
      <c r="AP8" s="48">
        <v>338898426.41000003</v>
      </c>
      <c r="AQ8" s="48">
        <v>304406458.88</v>
      </c>
      <c r="AR8" s="48">
        <v>315922412.38</v>
      </c>
      <c r="AS8" s="48">
        <v>0</v>
      </c>
    </row>
    <row r="9" spans="1:45">
      <c r="A9" s="48" t="s">
        <v>225</v>
      </c>
      <c r="B9" s="48">
        <v>319289994.04000002</v>
      </c>
      <c r="C9" s="48">
        <v>218835935.00999999</v>
      </c>
      <c r="D9" s="48">
        <v>108952194.26000001</v>
      </c>
      <c r="E9" s="48">
        <v>438080967.44</v>
      </c>
      <c r="F9" s="48">
        <v>282024158.10000002</v>
      </c>
      <c r="G9" s="48">
        <v>185183311.08000001</v>
      </c>
      <c r="H9" s="48">
        <v>94382931.549999997</v>
      </c>
      <c r="I9" s="48">
        <v>367274934.23000002</v>
      </c>
      <c r="J9" s="48">
        <v>239856018.65000001</v>
      </c>
      <c r="K9" s="48">
        <v>161668078.71000001</v>
      </c>
      <c r="L9" s="48">
        <v>81808748.25</v>
      </c>
      <c r="M9" s="48">
        <v>323461651.97000003</v>
      </c>
      <c r="N9" s="48">
        <v>230394655.06</v>
      </c>
      <c r="O9" s="48">
        <v>145235903.05000001</v>
      </c>
      <c r="P9" s="48">
        <v>73029563.420000002</v>
      </c>
      <c r="Q9" s="48">
        <v>282684674.31999999</v>
      </c>
      <c r="R9" s="48">
        <v>189518715.75</v>
      </c>
      <c r="S9" s="48">
        <v>126475913.23</v>
      </c>
      <c r="T9" s="48">
        <v>64030334.619999997</v>
      </c>
      <c r="U9" s="48">
        <v>281468573.60000002</v>
      </c>
      <c r="V9" s="48">
        <v>181592888.62</v>
      </c>
      <c r="W9" s="48">
        <v>118957736.47</v>
      </c>
      <c r="X9" s="48">
        <v>59646558.359999999</v>
      </c>
      <c r="Y9" s="48">
        <v>262020027.56</v>
      </c>
      <c r="Z9" s="48">
        <v>162934369.31</v>
      </c>
      <c r="AA9" s="48">
        <v>110890135.09999999</v>
      </c>
      <c r="AB9" s="48">
        <v>57029024.840000004</v>
      </c>
      <c r="AC9" s="48">
        <v>205662220.55000001</v>
      </c>
      <c r="AD9" s="48">
        <v>144486694.44999999</v>
      </c>
      <c r="AE9" s="48">
        <v>90830239.049999997</v>
      </c>
      <c r="AF9" s="48">
        <v>45935995.649999999</v>
      </c>
      <c r="AG9" s="48">
        <v>156520800.12</v>
      </c>
      <c r="AH9" s="48">
        <v>109369846.47</v>
      </c>
      <c r="AI9" s="48">
        <v>71639222.670000002</v>
      </c>
      <c r="AJ9" s="48">
        <v>33193346.039999999</v>
      </c>
      <c r="AK9" s="48">
        <v>109167028.43000001</v>
      </c>
      <c r="AL9" s="48">
        <v>75975871.870000005</v>
      </c>
      <c r="AM9" s="48">
        <v>52634968.030000001</v>
      </c>
      <c r="AN9" s="48">
        <v>27411414.789999999</v>
      </c>
      <c r="AO9" s="48">
        <v>102962877.51000001</v>
      </c>
      <c r="AP9" s="48">
        <v>68193080.450000003</v>
      </c>
      <c r="AQ9" s="48">
        <v>69650063.120000005</v>
      </c>
      <c r="AR9" s="48">
        <v>43684134.390000001</v>
      </c>
      <c r="AS9" s="48">
        <v>0</v>
      </c>
    </row>
    <row r="10" spans="1:45">
      <c r="A10" s="48" t="s">
        <v>226</v>
      </c>
      <c r="B10" s="48">
        <v>279857185.5</v>
      </c>
      <c r="C10" s="48">
        <v>220836078.5</v>
      </c>
      <c r="D10" s="48">
        <v>108014624.83</v>
      </c>
      <c r="E10" s="48">
        <v>370993451.29000002</v>
      </c>
      <c r="F10" s="48">
        <v>283575841.33999997</v>
      </c>
      <c r="G10" s="48">
        <v>218993468.74000001</v>
      </c>
      <c r="H10" s="48">
        <v>103177739.87</v>
      </c>
      <c r="I10" s="48">
        <v>296262116.06</v>
      </c>
      <c r="J10" s="48">
        <v>274276046.22000003</v>
      </c>
      <c r="K10" s="48">
        <v>219252037.93000001</v>
      </c>
      <c r="L10" s="48">
        <v>94585795.230000004</v>
      </c>
      <c r="M10" s="48">
        <v>312677315.63</v>
      </c>
      <c r="N10" s="48">
        <v>242069685.46000001</v>
      </c>
      <c r="O10" s="48">
        <v>179200721.49000001</v>
      </c>
      <c r="P10" s="48">
        <v>83530836.329999998</v>
      </c>
      <c r="Q10" s="48">
        <v>315128918.13</v>
      </c>
      <c r="R10" s="48">
        <v>230394238.19999999</v>
      </c>
      <c r="S10" s="48">
        <v>180384224.75999999</v>
      </c>
      <c r="T10" s="48">
        <v>68488994.310000002</v>
      </c>
      <c r="U10" s="48">
        <v>290349331.20999998</v>
      </c>
      <c r="V10" s="48">
        <v>195888230.05000001</v>
      </c>
      <c r="W10" s="48">
        <v>148589625.80000001</v>
      </c>
      <c r="X10" s="48">
        <v>77999177.519999996</v>
      </c>
      <c r="Y10" s="48">
        <v>278377070.20999998</v>
      </c>
      <c r="Z10" s="48">
        <v>187250830.08000001</v>
      </c>
      <c r="AA10" s="48">
        <v>145906074.97</v>
      </c>
      <c r="AB10" s="48">
        <v>61790462.049999997</v>
      </c>
      <c r="AC10" s="48">
        <v>158489264.06999999</v>
      </c>
      <c r="AD10" s="48">
        <v>130348917.93000001</v>
      </c>
      <c r="AE10" s="48">
        <v>98372740.780000001</v>
      </c>
      <c r="AF10" s="48">
        <v>39862817.270000003</v>
      </c>
      <c r="AG10" s="48">
        <v>84018534.219999999</v>
      </c>
      <c r="AH10" s="48">
        <v>61252012.520000003</v>
      </c>
      <c r="AI10" s="48">
        <v>48819309.810000002</v>
      </c>
      <c r="AJ10" s="48">
        <v>25735259.890000001</v>
      </c>
      <c r="AK10" s="48">
        <v>84883686.569999993</v>
      </c>
      <c r="AL10" s="48">
        <v>57574571.399999999</v>
      </c>
      <c r="AM10" s="48">
        <v>40096303.460000001</v>
      </c>
      <c r="AN10" s="48">
        <v>17529374.059999999</v>
      </c>
      <c r="AO10" s="48">
        <v>62656119.799999997</v>
      </c>
      <c r="AP10" s="48">
        <v>41521397.25</v>
      </c>
      <c r="AQ10" s="48">
        <v>51220432.579999998</v>
      </c>
      <c r="AR10" s="48">
        <v>25871678.280000001</v>
      </c>
      <c r="AS10" s="48">
        <v>0</v>
      </c>
    </row>
    <row r="11" spans="1:45">
      <c r="A11" s="48" t="s">
        <v>227</v>
      </c>
      <c r="B11" s="48">
        <v>655344082.24000001</v>
      </c>
      <c r="C11" s="48">
        <v>297266474.97000003</v>
      </c>
      <c r="D11" s="48">
        <v>137976628.83000001</v>
      </c>
      <c r="E11" s="48">
        <v>433180744.63999999</v>
      </c>
      <c r="F11" s="48">
        <v>471015220.33999997</v>
      </c>
      <c r="G11" s="48">
        <v>291431025.83999997</v>
      </c>
      <c r="H11" s="48">
        <v>99443130.780000001</v>
      </c>
      <c r="I11" s="48">
        <v>369470142.81999999</v>
      </c>
      <c r="J11" s="48">
        <v>365758464.07999998</v>
      </c>
      <c r="K11" s="48">
        <v>207860054.61000001</v>
      </c>
      <c r="L11" s="48">
        <v>83022025.159999996</v>
      </c>
      <c r="M11" s="48">
        <v>361402495.91000003</v>
      </c>
      <c r="N11" s="48">
        <v>291984418.75999999</v>
      </c>
      <c r="O11" s="48">
        <v>162869351.66</v>
      </c>
      <c r="P11" s="48">
        <v>75426311.829999998</v>
      </c>
      <c r="Q11" s="48">
        <v>334743031.89999998</v>
      </c>
      <c r="R11" s="48">
        <v>189091882.80000001</v>
      </c>
      <c r="S11" s="48">
        <v>130084645.20999999</v>
      </c>
      <c r="T11" s="48">
        <v>58902745.32</v>
      </c>
      <c r="U11" s="48">
        <v>278695590.33999997</v>
      </c>
      <c r="V11" s="48">
        <v>241769172.34999999</v>
      </c>
      <c r="W11" s="48">
        <v>172639774.88999999</v>
      </c>
      <c r="X11" s="48">
        <v>96071843.359999999</v>
      </c>
      <c r="Y11" s="48">
        <v>294937257.67000002</v>
      </c>
      <c r="Z11" s="48">
        <v>234300625.13</v>
      </c>
      <c r="AA11" s="48">
        <v>152092944.75999999</v>
      </c>
      <c r="AB11" s="48">
        <v>82635197.959999993</v>
      </c>
      <c r="AC11" s="48">
        <v>248124271.49000001</v>
      </c>
      <c r="AD11" s="48">
        <v>185168961.47999999</v>
      </c>
      <c r="AE11" s="48">
        <v>115636505.18000001</v>
      </c>
      <c r="AF11" s="48">
        <v>63483560.5</v>
      </c>
      <c r="AG11" s="48">
        <v>226333756.19999999</v>
      </c>
      <c r="AH11" s="48">
        <v>177959884.93000001</v>
      </c>
      <c r="AI11" s="48">
        <v>89497080.569999993</v>
      </c>
      <c r="AJ11" s="48">
        <v>39007175.82</v>
      </c>
      <c r="AK11" s="48">
        <v>157099661.44</v>
      </c>
      <c r="AL11" s="48">
        <v>101787261.27</v>
      </c>
      <c r="AM11" s="48">
        <v>59250718.969999999</v>
      </c>
      <c r="AN11" s="48">
        <v>27067235.690000001</v>
      </c>
      <c r="AO11" s="48">
        <v>138949923.61000001</v>
      </c>
      <c r="AP11" s="48">
        <v>96948325.549999997</v>
      </c>
      <c r="AQ11" s="48">
        <v>107831847.40000001</v>
      </c>
      <c r="AR11" s="48">
        <v>60004663.43</v>
      </c>
      <c r="AS11" s="48">
        <v>0</v>
      </c>
    </row>
    <row r="12" spans="1:45">
      <c r="A12" s="48" t="s">
        <v>228</v>
      </c>
      <c r="B12" s="48">
        <v>2650446597.0999999</v>
      </c>
      <c r="C12" s="48">
        <v>1593715831</v>
      </c>
      <c r="D12" s="48">
        <v>706967412.61000001</v>
      </c>
      <c r="E12" s="48">
        <v>3078167928.6599998</v>
      </c>
      <c r="F12" s="48">
        <v>2132148289.27</v>
      </c>
      <c r="G12" s="48">
        <v>1479377009.99</v>
      </c>
      <c r="H12" s="48">
        <v>699862830.13999999</v>
      </c>
      <c r="I12" s="48">
        <v>2628110278.9400001</v>
      </c>
      <c r="J12" s="48">
        <v>1681921037.0699999</v>
      </c>
      <c r="K12" s="48">
        <v>1082851839.47</v>
      </c>
      <c r="L12" s="48">
        <v>550711217.84000003</v>
      </c>
      <c r="M12" s="48">
        <v>2507360220.8600001</v>
      </c>
      <c r="N12" s="48">
        <v>1550585659.27</v>
      </c>
      <c r="O12" s="48">
        <v>1047297888.01</v>
      </c>
      <c r="P12" s="48">
        <v>549164784.90999997</v>
      </c>
      <c r="Q12" s="48">
        <v>2231459826.98</v>
      </c>
      <c r="R12" s="48">
        <v>1412748148.3299999</v>
      </c>
      <c r="S12" s="48">
        <v>980576078.14999998</v>
      </c>
      <c r="T12" s="48">
        <v>460785036.54000002</v>
      </c>
      <c r="U12" s="48">
        <v>1976544151.3099999</v>
      </c>
      <c r="V12" s="48">
        <v>1511447142.25</v>
      </c>
      <c r="W12" s="48">
        <v>1017961188.05</v>
      </c>
      <c r="X12" s="48">
        <v>508784317.58999997</v>
      </c>
      <c r="Y12" s="48">
        <v>1552192657.21</v>
      </c>
      <c r="Z12" s="48">
        <v>1213279408.73</v>
      </c>
      <c r="AA12" s="48">
        <v>880471174.40999997</v>
      </c>
      <c r="AB12" s="48">
        <v>472510763.01999998</v>
      </c>
      <c r="AC12" s="48">
        <v>1362244338.27</v>
      </c>
      <c r="AD12" s="48">
        <v>972639010.92999995</v>
      </c>
      <c r="AE12" s="48">
        <v>592414818.57000005</v>
      </c>
      <c r="AF12" s="48">
        <v>313824229.69999999</v>
      </c>
      <c r="AG12" s="48">
        <v>1312139458.1300001</v>
      </c>
      <c r="AH12" s="48">
        <v>977849143.49000001</v>
      </c>
      <c r="AI12" s="48">
        <v>607815026.22000003</v>
      </c>
      <c r="AJ12" s="48">
        <v>284290279.70999998</v>
      </c>
      <c r="AK12" s="48">
        <v>817335505.76999998</v>
      </c>
      <c r="AL12" s="48">
        <v>551703826.20000005</v>
      </c>
      <c r="AM12" s="48">
        <v>373078366.24000001</v>
      </c>
      <c r="AN12" s="48">
        <v>202880954.72</v>
      </c>
      <c r="AO12" s="48">
        <v>738158984.54999995</v>
      </c>
      <c r="AP12" s="48">
        <v>545561229.65999997</v>
      </c>
      <c r="AQ12" s="48">
        <v>533108801.98000002</v>
      </c>
      <c r="AR12" s="48">
        <v>445482888.48000002</v>
      </c>
      <c r="AS12" s="48">
        <v>0</v>
      </c>
    </row>
    <row r="13" spans="1:45">
      <c r="A13" s="48" t="s">
        <v>229</v>
      </c>
      <c r="B13" s="48">
        <v>-266878554.88999999</v>
      </c>
      <c r="C13" s="48">
        <v>71271682.930000007</v>
      </c>
      <c r="D13" s="48">
        <v>86084029.420000002</v>
      </c>
      <c r="E13" s="48">
        <v>365753190.24000001</v>
      </c>
      <c r="F13" s="48">
        <v>-156217887.16999999</v>
      </c>
      <c r="G13" s="48">
        <v>-170964279.38</v>
      </c>
      <c r="H13" s="48">
        <v>-47008163.07</v>
      </c>
      <c r="I13" s="48">
        <v>419806129.66000003</v>
      </c>
      <c r="J13" s="48">
        <v>38458581.640000001</v>
      </c>
      <c r="K13" s="48">
        <v>77722048.629999995</v>
      </c>
      <c r="L13" s="48">
        <v>42734952.859999999</v>
      </c>
      <c r="M13" s="48">
        <v>290951554.69999999</v>
      </c>
      <c r="N13" s="48">
        <v>-10436604.26</v>
      </c>
      <c r="O13" s="48">
        <v>-46057469.100000001</v>
      </c>
      <c r="P13" s="48">
        <v>-8499977.6899999995</v>
      </c>
      <c r="Q13" s="48">
        <v>435767496.19</v>
      </c>
      <c r="R13" s="48">
        <v>169747549.08000001</v>
      </c>
      <c r="S13" s="48">
        <v>68292200.230000004</v>
      </c>
      <c r="T13" s="48">
        <v>82976613.319999993</v>
      </c>
      <c r="U13" s="48">
        <v>217813465.68000001</v>
      </c>
      <c r="V13" s="48">
        <v>-34473593.109999999</v>
      </c>
      <c r="W13" s="48">
        <v>-28741700.43</v>
      </c>
      <c r="X13" s="48">
        <v>1166724.8</v>
      </c>
      <c r="Y13" s="48">
        <v>450064115.00999999</v>
      </c>
      <c r="Z13" s="48">
        <v>201993886.41999999</v>
      </c>
      <c r="AA13" s="48">
        <v>19555694</v>
      </c>
      <c r="AB13" s="48">
        <v>17890091.710000001</v>
      </c>
      <c r="AC13" s="48">
        <v>211728037.77000001</v>
      </c>
      <c r="AD13" s="48">
        <v>118929974.05</v>
      </c>
      <c r="AE13" s="48">
        <v>107214877.97</v>
      </c>
      <c r="AF13" s="48">
        <v>61700397.140000001</v>
      </c>
      <c r="AG13" s="48">
        <v>-62782604.369999997</v>
      </c>
      <c r="AH13" s="48">
        <v>-153018539.22999999</v>
      </c>
      <c r="AI13" s="48">
        <v>-90324023.590000004</v>
      </c>
      <c r="AJ13" s="48">
        <v>7892284.5199999996</v>
      </c>
      <c r="AK13" s="48">
        <v>129223126.90000001</v>
      </c>
      <c r="AL13" s="48">
        <v>67541082.170000002</v>
      </c>
      <c r="AM13" s="48">
        <v>32600062.800000001</v>
      </c>
      <c r="AN13" s="48">
        <v>8494115.5700000003</v>
      </c>
      <c r="AO13" s="48">
        <v>67072056.210000001</v>
      </c>
      <c r="AP13" s="48">
        <v>8862501.5299999993</v>
      </c>
      <c r="AQ13" s="48">
        <v>50597222.119999997</v>
      </c>
      <c r="AR13" s="48">
        <v>41802969.229999997</v>
      </c>
      <c r="AS13" s="48">
        <v>0</v>
      </c>
    </row>
    <row r="14" spans="1:45">
      <c r="A14" s="48" t="s">
        <v>230</v>
      </c>
    </row>
    <row r="15" spans="1:45">
      <c r="A15" s="48" t="s">
        <v>231</v>
      </c>
      <c r="B15" s="48">
        <v>1610000000</v>
      </c>
      <c r="C15" s="48">
        <v>1310000000</v>
      </c>
      <c r="D15" s="48">
        <v>510000000</v>
      </c>
      <c r="E15" s="48">
        <v>618924919.37</v>
      </c>
      <c r="F15" s="48">
        <v>370000000</v>
      </c>
      <c r="G15" s="48">
        <v>220000000</v>
      </c>
      <c r="H15" s="48">
        <v>70000000</v>
      </c>
      <c r="I15" s="48">
        <v>808665767.09000003</v>
      </c>
      <c r="J15" s="48">
        <v>410000000</v>
      </c>
      <c r="K15" s="48">
        <v>200000000</v>
      </c>
      <c r="L15" s="48">
        <v>0</v>
      </c>
      <c r="M15" s="48">
        <v>650000000</v>
      </c>
      <c r="N15" s="48">
        <v>470000000</v>
      </c>
      <c r="O15" s="48">
        <v>290000000</v>
      </c>
      <c r="P15" s="48">
        <v>170000000</v>
      </c>
      <c r="Q15" s="48">
        <v>650000000</v>
      </c>
      <c r="R15" s="48">
        <v>370000000</v>
      </c>
      <c r="S15" s="48">
        <v>140000000</v>
      </c>
      <c r="T15" s="48">
        <v>50000000</v>
      </c>
      <c r="U15" s="48">
        <v>560000000</v>
      </c>
      <c r="V15" s="48">
        <v>300000000</v>
      </c>
      <c r="W15" s="48">
        <v>0</v>
      </c>
      <c r="X15" s="48">
        <v>0</v>
      </c>
      <c r="Y15" s="48">
        <v>0</v>
      </c>
      <c r="Z15" s="48">
        <v>0</v>
      </c>
      <c r="AA15" s="48">
        <v>0</v>
      </c>
      <c r="AB15" s="48">
        <v>0</v>
      </c>
      <c r="AC15" s="48">
        <v>596022265.47000003</v>
      </c>
      <c r="AD15" s="48">
        <v>0</v>
      </c>
      <c r="AE15" s="48">
        <v>0</v>
      </c>
      <c r="AF15" s="48">
        <v>0</v>
      </c>
      <c r="AG15" s="48">
        <v>0</v>
      </c>
      <c r="AH15" s="48">
        <v>0</v>
      </c>
      <c r="AI15" s="48">
        <v>0</v>
      </c>
      <c r="AJ15" s="48">
        <v>0</v>
      </c>
      <c r="AK15" s="48">
        <v>0</v>
      </c>
      <c r="AL15" s="48">
        <v>0</v>
      </c>
      <c r="AM15" s="48">
        <v>0</v>
      </c>
      <c r="AN15" s="48">
        <v>0</v>
      </c>
      <c r="AO15" s="48">
        <v>0</v>
      </c>
      <c r="AP15" s="48">
        <v>0</v>
      </c>
      <c r="AQ15" s="48">
        <v>0</v>
      </c>
      <c r="AR15" s="48">
        <v>1000000</v>
      </c>
      <c r="AS15" s="48">
        <v>0</v>
      </c>
    </row>
    <row r="16" spans="1:45">
      <c r="A16" s="48" t="s">
        <v>232</v>
      </c>
      <c r="B16" s="48">
        <v>37792639.450000003</v>
      </c>
      <c r="C16" s="48">
        <v>23153077.890000001</v>
      </c>
      <c r="D16" s="48">
        <v>8288255.6399999997</v>
      </c>
      <c r="E16" s="48">
        <v>11713940</v>
      </c>
      <c r="F16" s="48">
        <v>50909088.380000003</v>
      </c>
      <c r="G16" s="48">
        <v>33324189.48</v>
      </c>
      <c r="H16" s="48">
        <v>31124482.190000001</v>
      </c>
      <c r="I16" s="48">
        <v>3754070</v>
      </c>
      <c r="J16" s="48">
        <v>16005845.77</v>
      </c>
      <c r="K16" s="48">
        <v>7918356.1500000004</v>
      </c>
      <c r="L16" s="48">
        <v>471780.82</v>
      </c>
      <c r="M16" s="48">
        <v>18309739.620000001</v>
      </c>
      <c r="N16" s="48">
        <v>13032840.689999999</v>
      </c>
      <c r="O16" s="48">
        <v>9528183.1899999995</v>
      </c>
      <c r="P16" s="48">
        <v>7815100.9900000002</v>
      </c>
      <c r="Q16" s="48">
        <v>16862699.91</v>
      </c>
      <c r="R16" s="48">
        <v>17340938.75</v>
      </c>
      <c r="S16" s="48">
        <v>8570864.7899999991</v>
      </c>
      <c r="T16" s="48">
        <v>5470724.0700000003</v>
      </c>
      <c r="U16" s="48">
        <v>12012656.6</v>
      </c>
      <c r="V16" s="48">
        <v>7285992.5499999998</v>
      </c>
      <c r="W16" s="48">
        <v>0</v>
      </c>
      <c r="X16" s="48">
        <v>118356.16</v>
      </c>
      <c r="Y16" s="48">
        <v>119671.23</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c r="AR16" s="48">
        <v>248300</v>
      </c>
      <c r="AS16" s="48">
        <v>0</v>
      </c>
    </row>
    <row r="17" spans="1:45">
      <c r="A17" s="48" t="s">
        <v>233</v>
      </c>
      <c r="B17" s="48">
        <v>0</v>
      </c>
      <c r="C17" s="48">
        <v>0</v>
      </c>
      <c r="D17" s="48">
        <v>0</v>
      </c>
      <c r="E17" s="48">
        <v>3496162.04</v>
      </c>
      <c r="F17" s="48">
        <v>0</v>
      </c>
      <c r="G17" s="48">
        <v>0</v>
      </c>
      <c r="H17" s="48">
        <v>120000</v>
      </c>
      <c r="I17" s="48">
        <v>2736562.12</v>
      </c>
      <c r="J17" s="48">
        <v>120000</v>
      </c>
      <c r="K17" s="48">
        <v>70000</v>
      </c>
      <c r="L17" s="48">
        <v>0</v>
      </c>
      <c r="M17" s="48">
        <v>943437.81</v>
      </c>
      <c r="N17" s="48">
        <v>160330</v>
      </c>
      <c r="O17" s="48">
        <v>122100</v>
      </c>
      <c r="P17" s="48">
        <v>180000</v>
      </c>
      <c r="Q17" s="48">
        <v>635555.48</v>
      </c>
      <c r="R17" s="48">
        <v>297900.01</v>
      </c>
      <c r="S17" s="48">
        <v>226000.01</v>
      </c>
      <c r="T17" s="48">
        <v>118000.01</v>
      </c>
      <c r="U17" s="48">
        <v>2037181.52</v>
      </c>
      <c r="V17" s="48">
        <v>552635</v>
      </c>
      <c r="W17" s="48">
        <v>97635</v>
      </c>
      <c r="X17" s="48">
        <v>5435</v>
      </c>
      <c r="Y17" s="48">
        <v>170955.13</v>
      </c>
      <c r="Z17" s="48">
        <v>79480</v>
      </c>
      <c r="AA17" s="48">
        <v>47760</v>
      </c>
      <c r="AB17" s="48">
        <v>47760</v>
      </c>
      <c r="AC17" s="48">
        <v>191082.09</v>
      </c>
      <c r="AD17" s="48">
        <v>164874</v>
      </c>
      <c r="AE17" s="48">
        <v>54874</v>
      </c>
      <c r="AF17" s="48">
        <v>54874</v>
      </c>
      <c r="AG17" s="48">
        <v>431495.17</v>
      </c>
      <c r="AH17" s="48">
        <v>123500</v>
      </c>
      <c r="AI17" s="48">
        <v>123500</v>
      </c>
      <c r="AJ17" s="48">
        <v>123500</v>
      </c>
      <c r="AK17" s="48">
        <v>111368.06</v>
      </c>
      <c r="AL17" s="48">
        <v>76920</v>
      </c>
      <c r="AM17" s="48">
        <v>58200</v>
      </c>
      <c r="AN17" s="48">
        <v>0</v>
      </c>
      <c r="AO17" s="48">
        <v>149650</v>
      </c>
      <c r="AP17" s="48">
        <v>48150</v>
      </c>
      <c r="AQ17" s="48">
        <v>8431512</v>
      </c>
      <c r="AR17" s="48">
        <v>200000</v>
      </c>
      <c r="AS17" s="48">
        <v>0</v>
      </c>
    </row>
    <row r="18" spans="1:45">
      <c r="A18" s="48" t="s">
        <v>234</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c r="AR18" s="48">
        <v>0</v>
      </c>
      <c r="AS18" s="48">
        <v>0</v>
      </c>
    </row>
    <row r="19" spans="1:45">
      <c r="A19" s="48" t="s">
        <v>235</v>
      </c>
      <c r="B19" s="48">
        <v>0</v>
      </c>
      <c r="C19" s="48">
        <v>0</v>
      </c>
      <c r="D19" s="48">
        <v>0</v>
      </c>
      <c r="E19" s="48">
        <v>0</v>
      </c>
      <c r="F19" s="48">
        <v>0</v>
      </c>
      <c r="G19" s="48">
        <v>0</v>
      </c>
      <c r="H19" s="48">
        <v>0</v>
      </c>
      <c r="I19" s="48">
        <v>0</v>
      </c>
      <c r="J19" s="48">
        <v>0</v>
      </c>
      <c r="K19" s="48">
        <v>0</v>
      </c>
      <c r="L19" s="48">
        <v>0</v>
      </c>
      <c r="M19" s="48">
        <v>0</v>
      </c>
      <c r="N19" s="48">
        <v>0</v>
      </c>
      <c r="O19" s="48">
        <v>0</v>
      </c>
      <c r="P19" s="48">
        <v>0</v>
      </c>
      <c r="Q19" s="48">
        <v>0</v>
      </c>
      <c r="R19" s="48">
        <v>0</v>
      </c>
      <c r="S19" s="48">
        <v>0</v>
      </c>
      <c r="T19" s="48">
        <v>0</v>
      </c>
      <c r="U19" s="48">
        <v>0</v>
      </c>
      <c r="V19" s="48">
        <v>0</v>
      </c>
      <c r="W19" s="48">
        <v>1644250.19</v>
      </c>
      <c r="X19" s="48">
        <v>0</v>
      </c>
      <c r="Y19" s="48">
        <v>0</v>
      </c>
      <c r="Z19" s="48">
        <v>0</v>
      </c>
      <c r="AA19" s="48">
        <v>0</v>
      </c>
      <c r="AB19" s="48">
        <v>0</v>
      </c>
      <c r="AC19" s="48">
        <v>3232200</v>
      </c>
      <c r="AD19" s="48">
        <v>0</v>
      </c>
      <c r="AE19" s="48">
        <v>0</v>
      </c>
      <c r="AF19" s="48">
        <v>0</v>
      </c>
      <c r="AG19" s="48">
        <v>15900000</v>
      </c>
      <c r="AH19" s="48">
        <v>0</v>
      </c>
      <c r="AI19" s="48">
        <v>0</v>
      </c>
      <c r="AJ19" s="48">
        <v>0</v>
      </c>
      <c r="AK19" s="48">
        <v>0</v>
      </c>
      <c r="AL19" s="48">
        <v>20328.759999999998</v>
      </c>
      <c r="AM19" s="48">
        <v>0</v>
      </c>
      <c r="AN19" s="48">
        <v>0</v>
      </c>
      <c r="AO19" s="48">
        <v>0</v>
      </c>
      <c r="AP19" s="48">
        <v>0</v>
      </c>
      <c r="AQ19" s="48">
        <v>0</v>
      </c>
      <c r="AR19" s="48">
        <v>0</v>
      </c>
      <c r="AS19" s="48">
        <v>0</v>
      </c>
    </row>
    <row r="20" spans="1:45">
      <c r="A20" s="48" t="s">
        <v>236</v>
      </c>
      <c r="B20" s="48">
        <v>1647792639.45</v>
      </c>
      <c r="C20" s="48">
        <v>1333153077.8900001</v>
      </c>
      <c r="D20" s="48">
        <v>518288255.63999999</v>
      </c>
      <c r="E20" s="48">
        <v>634135021.40999997</v>
      </c>
      <c r="F20" s="48">
        <v>420909088.38</v>
      </c>
      <c r="G20" s="48">
        <v>253324189.47999999</v>
      </c>
      <c r="H20" s="48">
        <v>101244482.19</v>
      </c>
      <c r="I20" s="48">
        <v>815156399.21000004</v>
      </c>
      <c r="J20" s="48">
        <v>426125845.76999998</v>
      </c>
      <c r="K20" s="48">
        <v>207988356.15000001</v>
      </c>
      <c r="L20" s="48">
        <v>471780.82</v>
      </c>
      <c r="M20" s="48">
        <v>669253177.42999995</v>
      </c>
      <c r="N20" s="48">
        <v>483193170.69</v>
      </c>
      <c r="O20" s="48">
        <v>299650283.19</v>
      </c>
      <c r="P20" s="48">
        <v>177995100.99000001</v>
      </c>
      <c r="Q20" s="48">
        <v>667498255.38999999</v>
      </c>
      <c r="R20" s="48">
        <v>387638838.75999999</v>
      </c>
      <c r="S20" s="48">
        <v>148796864.80000001</v>
      </c>
      <c r="T20" s="48">
        <v>55588724.079999998</v>
      </c>
      <c r="U20" s="48">
        <v>574049838.12</v>
      </c>
      <c r="V20" s="48">
        <v>307838627.55000001</v>
      </c>
      <c r="W20" s="48">
        <v>1741885.19</v>
      </c>
      <c r="X20" s="48">
        <v>123791.16</v>
      </c>
      <c r="Y20" s="48">
        <v>290626.36</v>
      </c>
      <c r="Z20" s="48">
        <v>79480</v>
      </c>
      <c r="AA20" s="48">
        <v>47760</v>
      </c>
      <c r="AB20" s="48">
        <v>47760</v>
      </c>
      <c r="AC20" s="48">
        <v>599445547.55999994</v>
      </c>
      <c r="AD20" s="48">
        <v>164874</v>
      </c>
      <c r="AE20" s="48">
        <v>54874</v>
      </c>
      <c r="AF20" s="48">
        <v>54874</v>
      </c>
      <c r="AG20" s="48">
        <v>16331495.17</v>
      </c>
      <c r="AH20" s="48">
        <v>123500</v>
      </c>
      <c r="AI20" s="48">
        <v>123500</v>
      </c>
      <c r="AJ20" s="48">
        <v>123500</v>
      </c>
      <c r="AK20" s="48">
        <v>111368.06</v>
      </c>
      <c r="AL20" s="48">
        <v>97248.76</v>
      </c>
      <c r="AM20" s="48">
        <v>58200</v>
      </c>
      <c r="AN20" s="48">
        <v>0</v>
      </c>
      <c r="AO20" s="48">
        <v>149650</v>
      </c>
      <c r="AP20" s="48">
        <v>48150</v>
      </c>
      <c r="AQ20" s="48">
        <v>8431512</v>
      </c>
      <c r="AR20" s="48">
        <v>1448300</v>
      </c>
      <c r="AS20" s="48">
        <v>0</v>
      </c>
    </row>
    <row r="21" spans="1:45">
      <c r="A21" s="48" t="s">
        <v>237</v>
      </c>
      <c r="B21" s="48">
        <v>47659512.289999999</v>
      </c>
      <c r="C21" s="48">
        <v>558560185.92999995</v>
      </c>
      <c r="D21" s="48">
        <v>300147105.10000002</v>
      </c>
      <c r="E21" s="48">
        <v>230470406.19</v>
      </c>
      <c r="F21" s="48">
        <v>154125854.38999999</v>
      </c>
      <c r="G21" s="48">
        <v>138278502.11000001</v>
      </c>
      <c r="H21" s="48">
        <v>120361634.16</v>
      </c>
      <c r="I21" s="48">
        <v>323876151.14999998</v>
      </c>
      <c r="J21" s="48">
        <v>143005329.59</v>
      </c>
      <c r="K21" s="48">
        <v>63214531.850000001</v>
      </c>
      <c r="L21" s="48">
        <v>16700348.210000001</v>
      </c>
      <c r="M21" s="48">
        <v>190215973.84999999</v>
      </c>
      <c r="N21" s="48">
        <v>68091897.959999993</v>
      </c>
      <c r="O21" s="48">
        <v>61510927.32</v>
      </c>
      <c r="P21" s="48">
        <v>41612090.189999998</v>
      </c>
      <c r="Q21" s="48">
        <v>171223161.09</v>
      </c>
      <c r="R21" s="48">
        <v>93671719.760000005</v>
      </c>
      <c r="S21" s="48">
        <v>72178390.560000002</v>
      </c>
      <c r="T21" s="48">
        <v>48647344.359999999</v>
      </c>
      <c r="U21" s="48">
        <v>83532883.280000001</v>
      </c>
      <c r="V21" s="48">
        <v>61462511.399999999</v>
      </c>
      <c r="W21" s="48">
        <v>45245213.130000003</v>
      </c>
      <c r="X21" s="48">
        <v>19905940.449999999</v>
      </c>
      <c r="Y21" s="48">
        <v>88733951.829999998</v>
      </c>
      <c r="Z21" s="48">
        <v>76066228.719999999</v>
      </c>
      <c r="AA21" s="48">
        <v>52334976.210000001</v>
      </c>
      <c r="AB21" s="48">
        <v>37019827.969999999</v>
      </c>
      <c r="AC21" s="48">
        <v>247096805.41</v>
      </c>
      <c r="AD21" s="48">
        <v>170296899.63</v>
      </c>
      <c r="AE21" s="48">
        <v>83802936.670000002</v>
      </c>
      <c r="AF21" s="48">
        <v>31846414.170000002</v>
      </c>
      <c r="AG21" s="48">
        <v>143355264.49000001</v>
      </c>
      <c r="AH21" s="48">
        <v>79843600.959999993</v>
      </c>
      <c r="AI21" s="48">
        <v>40225546.200000003</v>
      </c>
      <c r="AJ21" s="48">
        <v>21197415.699999999</v>
      </c>
      <c r="AK21" s="48">
        <v>28289901.41</v>
      </c>
      <c r="AL21" s="48">
        <v>7038785.9900000002</v>
      </c>
      <c r="AM21" s="48">
        <v>1032957.57</v>
      </c>
      <c r="AN21" s="48">
        <v>378589.75</v>
      </c>
      <c r="AO21" s="48">
        <v>11804559.869999999</v>
      </c>
      <c r="AP21" s="48">
        <v>7494522.6900000004</v>
      </c>
      <c r="AQ21" s="48">
        <v>49683534.420000002</v>
      </c>
      <c r="AR21" s="48">
        <v>33040331.440000001</v>
      </c>
      <c r="AS21" s="48">
        <v>0</v>
      </c>
    </row>
    <row r="22" spans="1:45">
      <c r="A22" s="48" t="s">
        <v>238</v>
      </c>
      <c r="B22" s="48">
        <v>1700000000</v>
      </c>
      <c r="C22" s="48">
        <v>1060000000</v>
      </c>
      <c r="D22" s="48">
        <v>460000000</v>
      </c>
      <c r="E22" s="48">
        <v>849900000</v>
      </c>
      <c r="F22" s="48">
        <v>313499809</v>
      </c>
      <c r="G22" s="48">
        <v>303499809</v>
      </c>
      <c r="H22" s="48">
        <v>107590000</v>
      </c>
      <c r="I22" s="48">
        <v>1090000000</v>
      </c>
      <c r="J22" s="48">
        <v>670500000</v>
      </c>
      <c r="K22" s="48">
        <v>550500000</v>
      </c>
      <c r="L22" s="48">
        <v>210000000</v>
      </c>
      <c r="M22" s="48">
        <v>724500000</v>
      </c>
      <c r="N22" s="48">
        <v>574500000</v>
      </c>
      <c r="O22" s="48">
        <v>574500000</v>
      </c>
      <c r="P22" s="48">
        <v>170000000</v>
      </c>
      <c r="Q22" s="48">
        <v>720000000</v>
      </c>
      <c r="R22" s="48">
        <v>440000000</v>
      </c>
      <c r="S22" s="48">
        <v>210000000</v>
      </c>
      <c r="T22" s="48">
        <v>30000000</v>
      </c>
      <c r="U22" s="48">
        <v>640000000</v>
      </c>
      <c r="V22" s="48">
        <v>340000000</v>
      </c>
      <c r="W22" s="48">
        <v>0</v>
      </c>
      <c r="X22" s="48">
        <v>50000000</v>
      </c>
      <c r="Y22" s="48">
        <v>200000000</v>
      </c>
      <c r="Z22" s="48">
        <v>0</v>
      </c>
      <c r="AA22" s="48">
        <v>0</v>
      </c>
      <c r="AB22" s="48">
        <v>0</v>
      </c>
      <c r="AC22" s="48">
        <v>592900000</v>
      </c>
      <c r="AD22" s="48">
        <v>0</v>
      </c>
      <c r="AE22" s="48">
        <v>0</v>
      </c>
      <c r="AF22" s="48">
        <v>0</v>
      </c>
      <c r="AG22" s="48">
        <v>0</v>
      </c>
      <c r="AH22" s="48">
        <v>0</v>
      </c>
      <c r="AI22" s="48">
        <v>0</v>
      </c>
      <c r="AJ22" s="48">
        <v>0</v>
      </c>
      <c r="AK22" s="48">
        <v>0</v>
      </c>
      <c r="AL22" s="48">
        <v>0</v>
      </c>
      <c r="AM22" s="48">
        <v>0</v>
      </c>
      <c r="AN22" s="48">
        <v>0</v>
      </c>
      <c r="AO22" s="48">
        <v>0</v>
      </c>
      <c r="AP22" s="48">
        <v>0</v>
      </c>
      <c r="AQ22" s="48">
        <v>4400000</v>
      </c>
      <c r="AR22" s="48">
        <v>0</v>
      </c>
      <c r="AS22" s="48">
        <v>0</v>
      </c>
    </row>
    <row r="23" spans="1:45">
      <c r="A23" s="48" t="s">
        <v>239</v>
      </c>
      <c r="B23" s="48">
        <v>0</v>
      </c>
      <c r="C23" s="48">
        <v>0</v>
      </c>
      <c r="D23" s="48">
        <v>0</v>
      </c>
      <c r="E23" s="48">
        <v>0</v>
      </c>
      <c r="F23" s="48">
        <v>0</v>
      </c>
      <c r="G23" s="48">
        <v>0</v>
      </c>
      <c r="H23" s="48">
        <v>0</v>
      </c>
      <c r="I23" s="48">
        <v>0</v>
      </c>
      <c r="J23" s="48">
        <v>0</v>
      </c>
      <c r="K23" s="48">
        <v>0</v>
      </c>
      <c r="L23" s="48">
        <v>0</v>
      </c>
      <c r="M23" s="48">
        <v>0</v>
      </c>
      <c r="N23" s="48">
        <v>0</v>
      </c>
      <c r="O23" s="48">
        <v>0</v>
      </c>
      <c r="P23" s="48">
        <v>0</v>
      </c>
      <c r="Q23" s="48">
        <v>0</v>
      </c>
      <c r="R23" s="48">
        <v>0</v>
      </c>
      <c r="S23" s="48">
        <v>0</v>
      </c>
      <c r="T23" s="48">
        <v>0</v>
      </c>
      <c r="U23" s="48">
        <v>0</v>
      </c>
      <c r="V23" s="48">
        <v>0</v>
      </c>
      <c r="W23" s="48">
        <v>0</v>
      </c>
      <c r="X23" s="48">
        <v>0</v>
      </c>
      <c r="Y23" s="48">
        <v>0</v>
      </c>
      <c r="Z23" s="48">
        <v>0</v>
      </c>
      <c r="AA23" s="48">
        <v>0</v>
      </c>
      <c r="AB23" s="48">
        <v>0</v>
      </c>
      <c r="AC23" s="48">
        <v>0</v>
      </c>
      <c r="AD23" s="48">
        <v>0</v>
      </c>
      <c r="AE23" s="48">
        <v>0</v>
      </c>
      <c r="AF23" s="48">
        <v>0</v>
      </c>
      <c r="AG23" s="48">
        <v>0</v>
      </c>
      <c r="AH23" s="48">
        <v>0</v>
      </c>
      <c r="AI23" s="48">
        <v>0</v>
      </c>
      <c r="AJ23" s="48">
        <v>0</v>
      </c>
      <c r="AK23" s="48">
        <v>0</v>
      </c>
      <c r="AL23" s="48">
        <v>0</v>
      </c>
      <c r="AM23" s="48">
        <v>0</v>
      </c>
      <c r="AN23" s="48">
        <v>0</v>
      </c>
      <c r="AO23" s="48">
        <v>0</v>
      </c>
      <c r="AP23" s="48">
        <v>0</v>
      </c>
      <c r="AQ23" s="48">
        <v>0</v>
      </c>
      <c r="AR23" s="48">
        <v>0</v>
      </c>
      <c r="AS23" s="48">
        <v>0</v>
      </c>
    </row>
    <row r="24" spans="1:45">
      <c r="A24" s="48" t="s">
        <v>240</v>
      </c>
      <c r="B24" s="48">
        <v>0</v>
      </c>
      <c r="C24" s="48">
        <v>0</v>
      </c>
      <c r="D24" s="48">
        <v>0</v>
      </c>
      <c r="E24" s="48">
        <v>0</v>
      </c>
      <c r="F24" s="48">
        <v>0</v>
      </c>
      <c r="G24" s="48">
        <v>0</v>
      </c>
      <c r="H24" s="48">
        <v>0</v>
      </c>
      <c r="I24" s="48">
        <v>0</v>
      </c>
      <c r="J24" s="48">
        <v>0</v>
      </c>
      <c r="K24" s="48">
        <v>0</v>
      </c>
      <c r="L24" s="48">
        <v>0</v>
      </c>
      <c r="M24" s="48">
        <v>0</v>
      </c>
      <c r="N24" s="48">
        <v>0</v>
      </c>
      <c r="O24" s="48">
        <v>0</v>
      </c>
      <c r="P24" s="48">
        <v>10000000</v>
      </c>
      <c r="Q24" s="48">
        <v>0</v>
      </c>
      <c r="R24" s="48">
        <v>0</v>
      </c>
      <c r="S24" s="48">
        <v>0</v>
      </c>
      <c r="T24" s="48">
        <v>0</v>
      </c>
      <c r="U24" s="48">
        <v>0</v>
      </c>
      <c r="V24" s="48">
        <v>0</v>
      </c>
      <c r="W24" s="48">
        <v>80000000</v>
      </c>
      <c r="X24" s="48">
        <v>0</v>
      </c>
      <c r="Y24" s="48">
        <v>0</v>
      </c>
      <c r="Z24" s="48">
        <v>0</v>
      </c>
      <c r="AA24" s="48">
        <v>0</v>
      </c>
      <c r="AB24" s="48">
        <v>0</v>
      </c>
      <c r="AC24" s="48">
        <v>0</v>
      </c>
      <c r="AD24" s="48">
        <v>0</v>
      </c>
      <c r="AE24" s="48">
        <v>0</v>
      </c>
      <c r="AF24" s="48">
        <v>0</v>
      </c>
      <c r="AG24" s="48">
        <v>3714796.82</v>
      </c>
      <c r="AH24" s="48">
        <v>0</v>
      </c>
      <c r="AI24" s="48">
        <v>0</v>
      </c>
      <c r="AJ24" s="48">
        <v>0</v>
      </c>
      <c r="AK24" s="48">
        <v>0</v>
      </c>
      <c r="AL24" s="48">
        <v>0</v>
      </c>
      <c r="AM24" s="48">
        <v>0</v>
      </c>
      <c r="AN24" s="48">
        <v>0</v>
      </c>
      <c r="AO24" s="48">
        <v>0</v>
      </c>
      <c r="AP24" s="48">
        <v>0</v>
      </c>
      <c r="AQ24" s="48">
        <v>0</v>
      </c>
      <c r="AR24" s="48">
        <v>0</v>
      </c>
      <c r="AS24" s="48">
        <v>0</v>
      </c>
    </row>
    <row r="25" spans="1:45">
      <c r="A25" s="48" t="s">
        <v>241</v>
      </c>
      <c r="B25" s="48">
        <v>1747659512.29</v>
      </c>
      <c r="C25" s="48">
        <v>1618560185.9300001</v>
      </c>
      <c r="D25" s="48">
        <v>760147105.10000002</v>
      </c>
      <c r="E25" s="48">
        <v>1080370406.1900001</v>
      </c>
      <c r="F25" s="48">
        <v>467625663.38999999</v>
      </c>
      <c r="G25" s="48">
        <v>441778311.11000001</v>
      </c>
      <c r="H25" s="48">
        <v>227951634.16</v>
      </c>
      <c r="I25" s="48">
        <v>1413876151.1500001</v>
      </c>
      <c r="J25" s="48">
        <v>813505329.59000003</v>
      </c>
      <c r="K25" s="48">
        <v>613714531.85000002</v>
      </c>
      <c r="L25" s="48">
        <v>226700348.21000001</v>
      </c>
      <c r="M25" s="48">
        <v>914715973.85000002</v>
      </c>
      <c r="N25" s="48">
        <v>642591897.96000004</v>
      </c>
      <c r="O25" s="48">
        <v>636010927.32000005</v>
      </c>
      <c r="P25" s="48">
        <v>221612090.19</v>
      </c>
      <c r="Q25" s="48">
        <v>891223161.09000003</v>
      </c>
      <c r="R25" s="48">
        <v>533671719.75999999</v>
      </c>
      <c r="S25" s="48">
        <v>282178390.56</v>
      </c>
      <c r="T25" s="48">
        <v>78647344.359999999</v>
      </c>
      <c r="U25" s="48">
        <v>723532883.27999997</v>
      </c>
      <c r="V25" s="48">
        <v>401462511.39999998</v>
      </c>
      <c r="W25" s="48">
        <v>125245213.13</v>
      </c>
      <c r="X25" s="48">
        <v>69905940.450000003</v>
      </c>
      <c r="Y25" s="48">
        <v>288733951.82999998</v>
      </c>
      <c r="Z25" s="48">
        <v>76066228.719999999</v>
      </c>
      <c r="AA25" s="48">
        <v>52334976.210000001</v>
      </c>
      <c r="AB25" s="48">
        <v>37019827.969999999</v>
      </c>
      <c r="AC25" s="48">
        <v>839996805.40999997</v>
      </c>
      <c r="AD25" s="48">
        <v>170296899.63</v>
      </c>
      <c r="AE25" s="48">
        <v>83802936.670000002</v>
      </c>
      <c r="AF25" s="48">
        <v>31846414.170000002</v>
      </c>
      <c r="AG25" s="48">
        <v>147070061.31</v>
      </c>
      <c r="AH25" s="48">
        <v>79843600.959999993</v>
      </c>
      <c r="AI25" s="48">
        <v>40225546.200000003</v>
      </c>
      <c r="AJ25" s="48">
        <v>21197415.699999999</v>
      </c>
      <c r="AK25" s="48">
        <v>28289901.41</v>
      </c>
      <c r="AL25" s="48">
        <v>7038785.9900000002</v>
      </c>
      <c r="AM25" s="48">
        <v>1032957.57</v>
      </c>
      <c r="AN25" s="48">
        <v>378589.75</v>
      </c>
      <c r="AO25" s="48">
        <v>11804559.869999999</v>
      </c>
      <c r="AP25" s="48">
        <v>7494522.6900000004</v>
      </c>
      <c r="AQ25" s="48">
        <v>54083534.420000002</v>
      </c>
      <c r="AR25" s="48">
        <v>33040331.440000001</v>
      </c>
      <c r="AS25" s="48">
        <v>0</v>
      </c>
    </row>
    <row r="26" spans="1:45">
      <c r="A26" s="48" t="s">
        <v>242</v>
      </c>
      <c r="B26" s="48">
        <v>-99866872.840000004</v>
      </c>
      <c r="C26" s="48">
        <v>-285407108.04000002</v>
      </c>
      <c r="D26" s="48">
        <v>-241858849.46000001</v>
      </c>
      <c r="E26" s="48">
        <v>-446235384.77999997</v>
      </c>
      <c r="F26" s="48">
        <v>-46716575.009999998</v>
      </c>
      <c r="G26" s="48">
        <v>-188454121.63</v>
      </c>
      <c r="H26" s="48">
        <v>-126707151.97</v>
      </c>
      <c r="I26" s="48">
        <v>-598719751.94000006</v>
      </c>
      <c r="J26" s="48">
        <v>-387379483.81999999</v>
      </c>
      <c r="K26" s="48">
        <v>-405726175.69999999</v>
      </c>
      <c r="L26" s="48">
        <v>-226228567.38999999</v>
      </c>
      <c r="M26" s="48">
        <v>-245462796.41999999</v>
      </c>
      <c r="N26" s="48">
        <v>-159398727.27000001</v>
      </c>
      <c r="O26" s="48">
        <v>-336360644.13</v>
      </c>
      <c r="P26" s="48">
        <v>-43616989.200000003</v>
      </c>
      <c r="Q26" s="48">
        <v>-223724905.69999999</v>
      </c>
      <c r="R26" s="48">
        <v>-146032881</v>
      </c>
      <c r="S26" s="48">
        <v>-133381525.76000001</v>
      </c>
      <c r="T26" s="48">
        <v>-23058620.280000001</v>
      </c>
      <c r="U26" s="48">
        <v>-149483045.16</v>
      </c>
      <c r="V26" s="48">
        <v>-93623883.849999994</v>
      </c>
      <c r="W26" s="48">
        <v>-123503327.94</v>
      </c>
      <c r="X26" s="48">
        <v>-69782149.290000007</v>
      </c>
      <c r="Y26" s="48">
        <v>-288443325.47000003</v>
      </c>
      <c r="Z26" s="48">
        <v>-75986748.719999999</v>
      </c>
      <c r="AA26" s="48">
        <v>-52287216.210000001</v>
      </c>
      <c r="AB26" s="48">
        <v>-36972067.969999999</v>
      </c>
      <c r="AC26" s="48">
        <v>-240551257.84999999</v>
      </c>
      <c r="AD26" s="48">
        <v>-170132025.63</v>
      </c>
      <c r="AE26" s="48">
        <v>-83748062.670000002</v>
      </c>
      <c r="AF26" s="48">
        <v>-31791540.170000002</v>
      </c>
      <c r="AG26" s="48">
        <v>-130738566.14</v>
      </c>
      <c r="AH26" s="48">
        <v>-79720100.959999993</v>
      </c>
      <c r="AI26" s="48">
        <v>-40102046.200000003</v>
      </c>
      <c r="AJ26" s="48">
        <v>-21073915.699999999</v>
      </c>
      <c r="AK26" s="48">
        <v>-28178533.350000001</v>
      </c>
      <c r="AL26" s="48">
        <v>-6941537.2300000004</v>
      </c>
      <c r="AM26" s="48">
        <v>-974757.57</v>
      </c>
      <c r="AN26" s="48">
        <v>-378589.75</v>
      </c>
      <c r="AO26" s="48">
        <v>-11654909.869999999</v>
      </c>
      <c r="AP26" s="48">
        <v>-7446372.6900000004</v>
      </c>
      <c r="AQ26" s="48">
        <v>-45652022.420000002</v>
      </c>
      <c r="AR26" s="48">
        <v>-31592031.440000001</v>
      </c>
      <c r="AS26" s="48">
        <v>0</v>
      </c>
    </row>
    <row r="27" spans="1:45">
      <c r="A27" s="48" t="s">
        <v>243</v>
      </c>
    </row>
    <row r="28" spans="1:45">
      <c r="A28" s="48" t="s">
        <v>244</v>
      </c>
      <c r="B28" s="48">
        <v>4251072</v>
      </c>
      <c r="C28" s="48">
        <v>4251072</v>
      </c>
      <c r="D28" s="48">
        <v>4308600</v>
      </c>
      <c r="E28" s="48">
        <v>105586399</v>
      </c>
      <c r="F28" s="48">
        <v>151218245.25999999</v>
      </c>
      <c r="G28" s="48">
        <v>138395245.25999999</v>
      </c>
      <c r="H28" s="48">
        <v>83911171.260000005</v>
      </c>
      <c r="I28" s="48">
        <v>83392100</v>
      </c>
      <c r="J28" s="48">
        <v>83883004.5</v>
      </c>
      <c r="K28" s="48">
        <v>83363300.420000002</v>
      </c>
      <c r="L28" s="48">
        <v>1280353.83</v>
      </c>
      <c r="M28" s="48">
        <v>56334846.619999997</v>
      </c>
      <c r="N28" s="48">
        <v>27716121.559999999</v>
      </c>
      <c r="O28" s="48">
        <v>8230684.9299999997</v>
      </c>
      <c r="P28" s="48">
        <v>8787470.6300000008</v>
      </c>
      <c r="Q28" s="48">
        <v>66989014.939999998</v>
      </c>
      <c r="R28" s="48">
        <v>50753477.200000003</v>
      </c>
      <c r="S28" s="48">
        <v>50753477.200000003</v>
      </c>
      <c r="T28" s="48">
        <v>0</v>
      </c>
      <c r="U28" s="48">
        <v>11136277.5</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780000000</v>
      </c>
      <c r="AL28" s="48">
        <v>0</v>
      </c>
      <c r="AM28" s="48">
        <v>0</v>
      </c>
      <c r="AN28" s="48">
        <v>0</v>
      </c>
      <c r="AO28" s="48">
        <v>0</v>
      </c>
      <c r="AP28" s="48">
        <v>0</v>
      </c>
      <c r="AQ28" s="48">
        <v>10171290</v>
      </c>
      <c r="AR28" s="48">
        <v>2000000</v>
      </c>
      <c r="AS28" s="48">
        <v>0</v>
      </c>
    </row>
    <row r="29" spans="1:45">
      <c r="A29" s="48" t="s">
        <v>245</v>
      </c>
      <c r="B29" s="48">
        <v>0</v>
      </c>
      <c r="C29" s="48">
        <v>0</v>
      </c>
      <c r="D29" s="48">
        <v>0</v>
      </c>
      <c r="E29" s="48">
        <v>0</v>
      </c>
      <c r="F29" s="48">
        <v>0</v>
      </c>
      <c r="G29" s="48">
        <v>0</v>
      </c>
      <c r="H29" s="48">
        <v>0</v>
      </c>
      <c r="I29" s="48">
        <v>0</v>
      </c>
      <c r="J29" s="48">
        <v>0</v>
      </c>
      <c r="K29" s="48">
        <v>0</v>
      </c>
      <c r="L29" s="48">
        <v>0</v>
      </c>
      <c r="M29" s="48">
        <v>0</v>
      </c>
      <c r="N29" s="48">
        <v>0</v>
      </c>
      <c r="O29" s="48">
        <v>0</v>
      </c>
      <c r="P29" s="48">
        <v>0</v>
      </c>
      <c r="Q29" s="48">
        <v>0</v>
      </c>
      <c r="R29" s="48">
        <v>0</v>
      </c>
      <c r="S29" s="48">
        <v>0</v>
      </c>
      <c r="T29" s="48">
        <v>0</v>
      </c>
      <c r="U29" s="48">
        <v>0</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v>2000000</v>
      </c>
      <c r="AS29" s="48">
        <v>0</v>
      </c>
    </row>
    <row r="30" spans="1:45">
      <c r="A30" s="48" t="s">
        <v>246</v>
      </c>
      <c r="B30" s="48">
        <v>326770000</v>
      </c>
      <c r="C30" s="48">
        <v>326770000</v>
      </c>
      <c r="D30" s="48">
        <v>326770000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30000000</v>
      </c>
      <c r="AH30" s="48">
        <v>30000000</v>
      </c>
      <c r="AI30" s="48">
        <v>0</v>
      </c>
      <c r="AJ30" s="48">
        <v>0</v>
      </c>
      <c r="AK30" s="48">
        <v>0</v>
      </c>
      <c r="AL30" s="48">
        <v>0</v>
      </c>
      <c r="AM30" s="48">
        <v>0</v>
      </c>
      <c r="AN30" s="48">
        <v>0</v>
      </c>
      <c r="AO30" s="48">
        <v>50000000</v>
      </c>
      <c r="AP30" s="48">
        <v>50000000</v>
      </c>
      <c r="AQ30" s="48">
        <v>70000000</v>
      </c>
      <c r="AR30" s="48">
        <v>63000000</v>
      </c>
      <c r="AS30" s="48">
        <v>0</v>
      </c>
    </row>
    <row r="31" spans="1:45">
      <c r="A31" s="48" t="s">
        <v>247</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row>
    <row r="32" spans="1:45">
      <c r="A32" s="48" t="s">
        <v>248</v>
      </c>
      <c r="B32" s="48">
        <v>0</v>
      </c>
      <c r="C32" s="48">
        <v>0</v>
      </c>
      <c r="D32" s="48">
        <v>0</v>
      </c>
      <c r="E32" s="48">
        <v>18831592.079999998</v>
      </c>
      <c r="F32" s="48">
        <v>0</v>
      </c>
      <c r="G32" s="48">
        <v>1051312.17</v>
      </c>
      <c r="H32" s="48">
        <v>0</v>
      </c>
      <c r="I32" s="48">
        <v>0</v>
      </c>
      <c r="J32" s="48">
        <v>0</v>
      </c>
      <c r="K32" s="48">
        <v>0</v>
      </c>
      <c r="L32" s="48">
        <v>0</v>
      </c>
      <c r="M32" s="48">
        <v>11220000</v>
      </c>
      <c r="N32" s="48">
        <v>4000000</v>
      </c>
      <c r="O32" s="48">
        <v>3000000</v>
      </c>
      <c r="P32" s="48">
        <v>3000000</v>
      </c>
      <c r="Q32" s="48">
        <v>4450000</v>
      </c>
      <c r="R32" s="48">
        <v>0</v>
      </c>
      <c r="S32" s="48">
        <v>0</v>
      </c>
      <c r="T32" s="48">
        <v>0</v>
      </c>
      <c r="U32" s="48">
        <v>0</v>
      </c>
      <c r="V32" s="48">
        <v>0</v>
      </c>
      <c r="W32" s="48">
        <v>1220112</v>
      </c>
      <c r="X32" s="48">
        <v>0</v>
      </c>
      <c r="Y32" s="48">
        <v>0</v>
      </c>
      <c r="Z32" s="48">
        <v>0</v>
      </c>
      <c r="AA32" s="48">
        <v>0</v>
      </c>
      <c r="AB32" s="48">
        <v>0</v>
      </c>
      <c r="AC32" s="48">
        <v>437537.94</v>
      </c>
      <c r="AD32" s="48">
        <v>0</v>
      </c>
      <c r="AE32" s="48">
        <v>0</v>
      </c>
      <c r="AF32" s="48">
        <v>0</v>
      </c>
      <c r="AG32" s="48">
        <v>0</v>
      </c>
      <c r="AH32" s="48">
        <v>0</v>
      </c>
      <c r="AI32" s="48">
        <v>0</v>
      </c>
      <c r="AJ32" s="48">
        <v>0</v>
      </c>
      <c r="AK32" s="48">
        <v>0</v>
      </c>
      <c r="AL32" s="48">
        <v>0</v>
      </c>
      <c r="AM32" s="48">
        <v>0</v>
      </c>
      <c r="AN32" s="48">
        <v>0</v>
      </c>
      <c r="AO32" s="48">
        <v>0</v>
      </c>
      <c r="AP32" s="48">
        <v>0</v>
      </c>
      <c r="AQ32" s="48">
        <v>0</v>
      </c>
      <c r="AR32" s="48">
        <v>5000000</v>
      </c>
      <c r="AS32" s="48">
        <v>0</v>
      </c>
    </row>
    <row r="33" spans="1:45">
      <c r="A33" s="48" t="s">
        <v>249</v>
      </c>
      <c r="B33" s="48">
        <v>331021072</v>
      </c>
      <c r="C33" s="48">
        <v>331021072</v>
      </c>
      <c r="D33" s="48">
        <v>331078600</v>
      </c>
      <c r="E33" s="48">
        <v>124417991.08</v>
      </c>
      <c r="F33" s="48">
        <v>151218245.25999999</v>
      </c>
      <c r="G33" s="48">
        <v>139446557.43000001</v>
      </c>
      <c r="H33" s="48">
        <v>83911171.260000005</v>
      </c>
      <c r="I33" s="48">
        <v>83392100</v>
      </c>
      <c r="J33" s="48">
        <v>83883004.5</v>
      </c>
      <c r="K33" s="48">
        <v>83363300.420000002</v>
      </c>
      <c r="L33" s="48">
        <v>1280353.83</v>
      </c>
      <c r="M33" s="48">
        <v>67554846.620000005</v>
      </c>
      <c r="N33" s="48">
        <v>31716121.559999999</v>
      </c>
      <c r="O33" s="48">
        <v>11230684.93</v>
      </c>
      <c r="P33" s="48">
        <v>11787470.630000001</v>
      </c>
      <c r="Q33" s="48">
        <v>71439014.939999998</v>
      </c>
      <c r="R33" s="48">
        <v>50753477.200000003</v>
      </c>
      <c r="S33" s="48">
        <v>50753477.200000003</v>
      </c>
      <c r="T33" s="48">
        <v>0</v>
      </c>
      <c r="U33" s="48">
        <v>11136277.5</v>
      </c>
      <c r="V33" s="48">
        <v>0</v>
      </c>
      <c r="W33" s="48">
        <v>1220112</v>
      </c>
      <c r="X33" s="48">
        <v>0</v>
      </c>
      <c r="Y33" s="48">
        <v>0</v>
      </c>
      <c r="Z33" s="48">
        <v>0</v>
      </c>
      <c r="AA33" s="48">
        <v>0</v>
      </c>
      <c r="AB33" s="48">
        <v>0</v>
      </c>
      <c r="AC33" s="48">
        <v>437537.94</v>
      </c>
      <c r="AD33" s="48">
        <v>0</v>
      </c>
      <c r="AE33" s="48">
        <v>0</v>
      </c>
      <c r="AF33" s="48">
        <v>0</v>
      </c>
      <c r="AG33" s="48">
        <v>30000000</v>
      </c>
      <c r="AH33" s="48">
        <v>30000000</v>
      </c>
      <c r="AI33" s="48">
        <v>0</v>
      </c>
      <c r="AJ33" s="48">
        <v>0</v>
      </c>
      <c r="AK33" s="48">
        <v>780000000</v>
      </c>
      <c r="AL33" s="48">
        <v>0</v>
      </c>
      <c r="AM33" s="48">
        <v>0</v>
      </c>
      <c r="AN33" s="48">
        <v>0</v>
      </c>
      <c r="AO33" s="48">
        <v>50000000</v>
      </c>
      <c r="AP33" s="48">
        <v>50000000</v>
      </c>
      <c r="AQ33" s="48">
        <v>80171290</v>
      </c>
      <c r="AR33" s="48">
        <v>70000000</v>
      </c>
      <c r="AS33" s="48">
        <v>0</v>
      </c>
    </row>
    <row r="34" spans="1:45">
      <c r="A34" s="48" t="s">
        <v>250</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30000000</v>
      </c>
      <c r="AD34" s="48">
        <v>30000000</v>
      </c>
      <c r="AE34" s="48">
        <v>30000000</v>
      </c>
      <c r="AF34" s="48">
        <v>30000000</v>
      </c>
      <c r="AG34" s="48">
        <v>0</v>
      </c>
      <c r="AH34" s="48">
        <v>0</v>
      </c>
      <c r="AI34" s="48">
        <v>0</v>
      </c>
      <c r="AJ34" s="48">
        <v>0</v>
      </c>
      <c r="AK34" s="48">
        <v>65222222.229999997</v>
      </c>
      <c r="AL34" s="48">
        <v>57222222.229999997</v>
      </c>
      <c r="AM34" s="48">
        <v>44222222.229999997</v>
      </c>
      <c r="AN34" s="48">
        <v>28000000</v>
      </c>
      <c r="AO34" s="48">
        <v>75500000</v>
      </c>
      <c r="AP34" s="48">
        <v>52500000</v>
      </c>
      <c r="AQ34" s="48">
        <v>39944444.439999998</v>
      </c>
      <c r="AR34" s="48">
        <v>52400000</v>
      </c>
      <c r="AS34" s="48">
        <v>0</v>
      </c>
    </row>
    <row r="35" spans="1:45">
      <c r="A35" s="48" t="s">
        <v>560</v>
      </c>
      <c r="B35" s="48">
        <v>110852811.97</v>
      </c>
      <c r="C35" s="48">
        <v>110415043.87</v>
      </c>
      <c r="D35" s="48">
        <v>4915326.5</v>
      </c>
      <c r="E35" s="48">
        <v>97751006.260000005</v>
      </c>
      <c r="F35" s="48">
        <v>70969189.579999998</v>
      </c>
      <c r="G35" s="48">
        <v>61334095.810000002</v>
      </c>
      <c r="H35" s="48">
        <v>11682779</v>
      </c>
      <c r="I35" s="48">
        <v>97108670.109999999</v>
      </c>
      <c r="J35" s="48">
        <v>73305571.010000005</v>
      </c>
      <c r="K35" s="48">
        <v>59643287.090000004</v>
      </c>
      <c r="L35" s="48">
        <v>6633226.8899999997</v>
      </c>
      <c r="M35" s="48">
        <v>26955890.27</v>
      </c>
      <c r="N35" s="48">
        <v>23683765.920000002</v>
      </c>
      <c r="O35" s="48">
        <v>23033038.920000002</v>
      </c>
      <c r="P35" s="48">
        <v>5171763.6500000004</v>
      </c>
      <c r="Q35" s="48">
        <v>33870204.729999997</v>
      </c>
      <c r="R35" s="48">
        <v>29497451.579999998</v>
      </c>
      <c r="S35" s="48">
        <v>28333925.48</v>
      </c>
      <c r="T35" s="48">
        <v>1872812</v>
      </c>
      <c r="U35" s="48">
        <v>52464346.390000001</v>
      </c>
      <c r="V35" s="48">
        <v>44722111.490000002</v>
      </c>
      <c r="W35" s="48">
        <v>22832851.489999998</v>
      </c>
      <c r="X35" s="48">
        <v>3068527.4</v>
      </c>
      <c r="Y35" s="48">
        <v>33404659.289999999</v>
      </c>
      <c r="Z35" s="48">
        <v>16670788.5</v>
      </c>
      <c r="AA35" s="48">
        <v>13415234.07</v>
      </c>
      <c r="AB35" s="48">
        <v>4768016.78</v>
      </c>
      <c r="AC35" s="48">
        <v>72619194.670000002</v>
      </c>
      <c r="AD35" s="48">
        <v>60566403.25</v>
      </c>
      <c r="AE35" s="48">
        <v>19030179.530000001</v>
      </c>
      <c r="AF35" s="48">
        <v>1570332.77</v>
      </c>
      <c r="AG35" s="48">
        <v>20294426.440000001</v>
      </c>
      <c r="AH35" s="48">
        <v>18862090.149999999</v>
      </c>
      <c r="AI35" s="48">
        <v>0</v>
      </c>
      <c r="AJ35" s="48">
        <v>0</v>
      </c>
      <c r="AK35" s="48">
        <v>2736742.91</v>
      </c>
      <c r="AL35" s="48">
        <v>2658529.58</v>
      </c>
      <c r="AM35" s="48">
        <v>2410357.79</v>
      </c>
      <c r="AN35" s="48">
        <v>527614.18000000005</v>
      </c>
      <c r="AO35" s="48">
        <v>30436984.370000001</v>
      </c>
      <c r="AP35" s="48">
        <v>29251802.190000001</v>
      </c>
      <c r="AQ35" s="48">
        <v>5424668.6200000001</v>
      </c>
      <c r="AR35" s="48">
        <v>3520023.31</v>
      </c>
      <c r="AS35" s="48">
        <v>0</v>
      </c>
    </row>
    <row r="36" spans="1:45">
      <c r="A36" s="48" t="s">
        <v>251</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c r="AR36" s="48">
        <v>0</v>
      </c>
      <c r="AS36" s="48">
        <v>0</v>
      </c>
    </row>
    <row r="37" spans="1:45">
      <c r="A37" s="48" t="s">
        <v>252</v>
      </c>
      <c r="B37" s="48">
        <v>9861898.9299999997</v>
      </c>
      <c r="C37" s="48">
        <v>6182742.4000000004</v>
      </c>
      <c r="D37" s="48">
        <v>5135884.4000000004</v>
      </c>
      <c r="E37" s="48">
        <v>13220017.24</v>
      </c>
      <c r="F37" s="48">
        <v>4420462.59</v>
      </c>
      <c r="G37" s="48">
        <v>0</v>
      </c>
      <c r="H37" s="48">
        <v>0</v>
      </c>
      <c r="I37" s="48">
        <v>4637771.38</v>
      </c>
      <c r="J37" s="48">
        <v>0</v>
      </c>
      <c r="K37" s="48">
        <v>0</v>
      </c>
      <c r="L37" s="48">
        <v>0</v>
      </c>
      <c r="M37" s="48">
        <v>301016039.38</v>
      </c>
      <c r="N37" s="48">
        <v>0</v>
      </c>
      <c r="O37" s="48">
        <v>0</v>
      </c>
      <c r="P37" s="48">
        <v>0</v>
      </c>
      <c r="Q37" s="48">
        <v>0</v>
      </c>
      <c r="R37" s="48">
        <v>0</v>
      </c>
      <c r="S37" s="48">
        <v>0</v>
      </c>
      <c r="T37" s="48">
        <v>0</v>
      </c>
      <c r="U37" s="48">
        <v>0</v>
      </c>
      <c r="V37" s="48">
        <v>0</v>
      </c>
      <c r="W37" s="48">
        <v>0</v>
      </c>
      <c r="X37" s="48">
        <v>0</v>
      </c>
      <c r="Y37" s="48">
        <v>0</v>
      </c>
      <c r="Z37" s="48">
        <v>0</v>
      </c>
      <c r="AA37" s="48">
        <v>0</v>
      </c>
      <c r="AB37" s="48">
        <v>0</v>
      </c>
      <c r="AC37" s="48">
        <v>0</v>
      </c>
      <c r="AD37" s="48">
        <v>0</v>
      </c>
      <c r="AE37" s="48">
        <v>0</v>
      </c>
      <c r="AF37" s="48">
        <v>0</v>
      </c>
      <c r="AG37" s="48">
        <v>3509517.65</v>
      </c>
      <c r="AH37" s="48">
        <v>3346995.76</v>
      </c>
      <c r="AI37" s="48">
        <v>3328095.76</v>
      </c>
      <c r="AJ37" s="48">
        <v>3328095.76</v>
      </c>
      <c r="AK37" s="48">
        <v>39083152.960000001</v>
      </c>
      <c r="AL37" s="48">
        <v>0</v>
      </c>
      <c r="AM37" s="48">
        <v>0</v>
      </c>
      <c r="AN37" s="48">
        <v>0</v>
      </c>
      <c r="AO37" s="48">
        <v>0</v>
      </c>
      <c r="AP37" s="48">
        <v>0</v>
      </c>
      <c r="AQ37" s="48">
        <v>5000000</v>
      </c>
      <c r="AR37" s="48">
        <v>0</v>
      </c>
      <c r="AS37" s="48">
        <v>0</v>
      </c>
    </row>
    <row r="38" spans="1:45">
      <c r="A38" s="48" t="s">
        <v>253</v>
      </c>
      <c r="B38" s="48">
        <v>120714710.90000001</v>
      </c>
      <c r="C38" s="48">
        <v>116597786.27</v>
      </c>
      <c r="D38" s="48">
        <v>10051210.9</v>
      </c>
      <c r="E38" s="48">
        <v>110971023.5</v>
      </c>
      <c r="F38" s="48">
        <v>75389652.170000002</v>
      </c>
      <c r="G38" s="48">
        <v>61334095.810000002</v>
      </c>
      <c r="H38" s="48">
        <v>11682779</v>
      </c>
      <c r="I38" s="48">
        <v>101746441.48999999</v>
      </c>
      <c r="J38" s="48">
        <v>73305571.010000005</v>
      </c>
      <c r="K38" s="48">
        <v>59643287.090000004</v>
      </c>
      <c r="L38" s="48">
        <v>6633226.8899999997</v>
      </c>
      <c r="M38" s="48">
        <v>327971929.64999998</v>
      </c>
      <c r="N38" s="48">
        <v>23683765.920000002</v>
      </c>
      <c r="O38" s="48">
        <v>23033038.920000002</v>
      </c>
      <c r="P38" s="48">
        <v>5171763.6500000004</v>
      </c>
      <c r="Q38" s="48">
        <v>33870204.729999997</v>
      </c>
      <c r="R38" s="48">
        <v>29497451.579999998</v>
      </c>
      <c r="S38" s="48">
        <v>28333925.48</v>
      </c>
      <c r="T38" s="48">
        <v>1872812</v>
      </c>
      <c r="U38" s="48">
        <v>52464346.390000001</v>
      </c>
      <c r="V38" s="48">
        <v>44722111.490000002</v>
      </c>
      <c r="W38" s="48">
        <v>22832851.489999998</v>
      </c>
      <c r="X38" s="48">
        <v>3068527.4</v>
      </c>
      <c r="Y38" s="48">
        <v>33404659.289999999</v>
      </c>
      <c r="Z38" s="48">
        <v>16670788.5</v>
      </c>
      <c r="AA38" s="48">
        <v>13415234.07</v>
      </c>
      <c r="AB38" s="48">
        <v>4768016.78</v>
      </c>
      <c r="AC38" s="48">
        <v>102619194.67</v>
      </c>
      <c r="AD38" s="48">
        <v>90566403.25</v>
      </c>
      <c r="AE38" s="48">
        <v>49030179.530000001</v>
      </c>
      <c r="AF38" s="48">
        <v>31570332.77</v>
      </c>
      <c r="AG38" s="48">
        <v>23803944.09</v>
      </c>
      <c r="AH38" s="48">
        <v>22209085.91</v>
      </c>
      <c r="AI38" s="48">
        <v>3328095.76</v>
      </c>
      <c r="AJ38" s="48">
        <v>3328095.76</v>
      </c>
      <c r="AK38" s="48">
        <v>107042118.09999999</v>
      </c>
      <c r="AL38" s="48">
        <v>59880751.810000002</v>
      </c>
      <c r="AM38" s="48">
        <v>46632580.020000003</v>
      </c>
      <c r="AN38" s="48">
        <v>28527614.18</v>
      </c>
      <c r="AO38" s="48">
        <v>105936984.37</v>
      </c>
      <c r="AP38" s="48">
        <v>81751802.189999998</v>
      </c>
      <c r="AQ38" s="48">
        <v>50369113.060000002</v>
      </c>
      <c r="AR38" s="48">
        <v>55920023.310000002</v>
      </c>
      <c r="AS38" s="48">
        <v>0</v>
      </c>
    </row>
    <row r="39" spans="1:45">
      <c r="A39" s="48" t="s">
        <v>254</v>
      </c>
      <c r="B39" s="48">
        <v>210306361.09999999</v>
      </c>
      <c r="C39" s="48">
        <v>214423285.72999999</v>
      </c>
      <c r="D39" s="48">
        <v>321027389.10000002</v>
      </c>
      <c r="E39" s="48">
        <v>13446967.58</v>
      </c>
      <c r="F39" s="48">
        <v>75828593.090000004</v>
      </c>
      <c r="G39" s="48">
        <v>78112461.620000005</v>
      </c>
      <c r="H39" s="48">
        <v>72228392.260000005</v>
      </c>
      <c r="I39" s="48">
        <v>-18354341.489999998</v>
      </c>
      <c r="J39" s="48">
        <v>10577433.49</v>
      </c>
      <c r="K39" s="48">
        <v>23720013.329999998</v>
      </c>
      <c r="L39" s="48">
        <v>-5352873.0599999996</v>
      </c>
      <c r="M39" s="48">
        <v>-260417083.03</v>
      </c>
      <c r="N39" s="48">
        <v>8032355.6399999997</v>
      </c>
      <c r="O39" s="48">
        <v>-11802353.99</v>
      </c>
      <c r="P39" s="48">
        <v>6615706.9800000004</v>
      </c>
      <c r="Q39" s="48">
        <v>37568810.210000001</v>
      </c>
      <c r="R39" s="48">
        <v>21256025.620000001</v>
      </c>
      <c r="S39" s="48">
        <v>22419551.719999999</v>
      </c>
      <c r="T39" s="48">
        <v>-1872812</v>
      </c>
      <c r="U39" s="48">
        <v>-41328068.890000001</v>
      </c>
      <c r="V39" s="48">
        <v>-44722111.490000002</v>
      </c>
      <c r="W39" s="48">
        <v>-21612739.489999998</v>
      </c>
      <c r="X39" s="48">
        <v>-3068527.4</v>
      </c>
      <c r="Y39" s="48">
        <v>-33404659.289999999</v>
      </c>
      <c r="Z39" s="48">
        <v>-16670788.5</v>
      </c>
      <c r="AA39" s="48">
        <v>-13415234.07</v>
      </c>
      <c r="AB39" s="48">
        <v>-4768016.78</v>
      </c>
      <c r="AC39" s="48">
        <v>-102181656.73</v>
      </c>
      <c r="AD39" s="48">
        <v>-90566403.25</v>
      </c>
      <c r="AE39" s="48">
        <v>-49030179.530000001</v>
      </c>
      <c r="AF39" s="48">
        <v>-31570332.77</v>
      </c>
      <c r="AG39" s="48">
        <v>6196055.9100000001</v>
      </c>
      <c r="AH39" s="48">
        <v>7790914.0899999999</v>
      </c>
      <c r="AI39" s="48">
        <v>-3328095.76</v>
      </c>
      <c r="AJ39" s="48">
        <v>-3328095.76</v>
      </c>
      <c r="AK39" s="48">
        <v>672957881.89999998</v>
      </c>
      <c r="AL39" s="48">
        <v>-59880751.810000002</v>
      </c>
      <c r="AM39" s="48">
        <v>-46632580.020000003</v>
      </c>
      <c r="AN39" s="48">
        <v>-28527614.18</v>
      </c>
      <c r="AO39" s="48">
        <v>-55936984.369999997</v>
      </c>
      <c r="AP39" s="48">
        <v>-31751802.190000001</v>
      </c>
      <c r="AQ39" s="48">
        <v>29802176.940000001</v>
      </c>
      <c r="AR39" s="48">
        <v>14079976.689999999</v>
      </c>
      <c r="AS39" s="48">
        <v>0</v>
      </c>
    </row>
    <row r="40" spans="1:45">
      <c r="A40" s="48" t="s">
        <v>255</v>
      </c>
      <c r="B40" s="48">
        <v>0</v>
      </c>
      <c r="C40" s="48">
        <v>0</v>
      </c>
      <c r="D40" s="48">
        <v>0</v>
      </c>
      <c r="E40" s="48">
        <v>0</v>
      </c>
      <c r="F40" s="48">
        <v>0</v>
      </c>
      <c r="G40" s="48">
        <v>0</v>
      </c>
      <c r="H40" s="48">
        <v>0</v>
      </c>
      <c r="I40" s="48">
        <v>0</v>
      </c>
      <c r="J40" s="48">
        <v>0</v>
      </c>
      <c r="K40" s="48">
        <v>0</v>
      </c>
      <c r="L40" s="48">
        <v>0</v>
      </c>
      <c r="M40" s="48">
        <v>0</v>
      </c>
      <c r="N40" s="48">
        <v>0</v>
      </c>
      <c r="O40" s="48">
        <v>0</v>
      </c>
      <c r="P40" s="48">
        <v>0</v>
      </c>
      <c r="Q40" s="48">
        <v>0</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0</v>
      </c>
      <c r="AN40" s="48">
        <v>0</v>
      </c>
      <c r="AO40" s="48">
        <v>0</v>
      </c>
      <c r="AP40" s="48">
        <v>0</v>
      </c>
      <c r="AQ40" s="48">
        <v>0</v>
      </c>
      <c r="AR40" s="48">
        <v>0</v>
      </c>
      <c r="AS40" s="48">
        <v>0</v>
      </c>
    </row>
    <row r="41" spans="1:45">
      <c r="A41" s="48" t="s">
        <v>256</v>
      </c>
      <c r="B41" s="48">
        <v>-156439066.63</v>
      </c>
      <c r="C41" s="48">
        <v>287860.62</v>
      </c>
      <c r="D41" s="48">
        <v>165252569.06</v>
      </c>
      <c r="E41" s="48">
        <v>-67035226.960000001</v>
      </c>
      <c r="F41" s="48">
        <v>-127105869.09</v>
      </c>
      <c r="G41" s="48">
        <v>-281305939.38999999</v>
      </c>
      <c r="H41" s="48">
        <v>-101486922.78</v>
      </c>
      <c r="I41" s="48">
        <v>-197267963.77000001</v>
      </c>
      <c r="J41" s="48">
        <v>-338343468.69</v>
      </c>
      <c r="K41" s="48">
        <v>-304284113.74000001</v>
      </c>
      <c r="L41" s="48">
        <v>-188846487.59</v>
      </c>
      <c r="M41" s="48">
        <v>-214928324.75</v>
      </c>
      <c r="N41" s="48">
        <v>-161802975.88999999</v>
      </c>
      <c r="O41" s="48">
        <v>-394220467.22000003</v>
      </c>
      <c r="P41" s="48">
        <v>-45501259.909999996</v>
      </c>
      <c r="Q41" s="48">
        <v>249611400.69999999</v>
      </c>
      <c r="R41" s="48">
        <v>44970693.700000003</v>
      </c>
      <c r="S41" s="48">
        <v>-42669773.810000002</v>
      </c>
      <c r="T41" s="48">
        <v>58045181.039999999</v>
      </c>
      <c r="U41" s="48">
        <v>27002351.629999999</v>
      </c>
      <c r="V41" s="48">
        <v>-172819588.44999999</v>
      </c>
      <c r="W41" s="48">
        <v>-173857767.86000001</v>
      </c>
      <c r="X41" s="48">
        <v>-71683951.890000001</v>
      </c>
      <c r="Y41" s="48">
        <v>128216130.25</v>
      </c>
      <c r="Z41" s="48">
        <v>109336349.2</v>
      </c>
      <c r="AA41" s="48">
        <v>-46146756.280000001</v>
      </c>
      <c r="AB41" s="48">
        <v>-23849993.039999999</v>
      </c>
      <c r="AC41" s="48">
        <v>-131004876.81</v>
      </c>
      <c r="AD41" s="48">
        <v>-141768454.83000001</v>
      </c>
      <c r="AE41" s="48">
        <v>-25563364.23</v>
      </c>
      <c r="AF41" s="48">
        <v>-1661475.8</v>
      </c>
      <c r="AG41" s="48">
        <v>-187325114.59999999</v>
      </c>
      <c r="AH41" s="48">
        <v>-224947726.09999999</v>
      </c>
      <c r="AI41" s="48">
        <v>-133754165.55</v>
      </c>
      <c r="AJ41" s="48">
        <v>-16509726.939999999</v>
      </c>
      <c r="AK41" s="48">
        <v>774002475.45000005</v>
      </c>
      <c r="AL41" s="48">
        <v>718793.13</v>
      </c>
      <c r="AM41" s="48">
        <v>-15007274.789999999</v>
      </c>
      <c r="AN41" s="48">
        <v>-20412088.359999999</v>
      </c>
      <c r="AO41" s="48">
        <v>-519838.03</v>
      </c>
      <c r="AP41" s="48">
        <v>-30335673.350000001</v>
      </c>
      <c r="AQ41" s="48">
        <v>34747376.640000001</v>
      </c>
      <c r="AR41" s="48">
        <v>24290914.48</v>
      </c>
      <c r="AS41" s="48">
        <v>0</v>
      </c>
    </row>
    <row r="42" spans="1:45">
      <c r="A42" s="48" t="s">
        <v>257</v>
      </c>
      <c r="B42" s="48">
        <v>459748074.94999999</v>
      </c>
      <c r="C42" s="48">
        <v>459748074.94999999</v>
      </c>
      <c r="D42" s="48">
        <v>459748074.94999999</v>
      </c>
      <c r="E42" s="48">
        <v>526783301.91000003</v>
      </c>
      <c r="F42" s="48">
        <v>553442517.54999995</v>
      </c>
      <c r="G42" s="48">
        <v>526783301.91000003</v>
      </c>
      <c r="H42" s="48">
        <v>526783301.91000003</v>
      </c>
      <c r="I42" s="48">
        <v>724051265.67999995</v>
      </c>
      <c r="J42" s="48">
        <v>724051265.67999995</v>
      </c>
      <c r="K42" s="48">
        <v>724051265.67999995</v>
      </c>
      <c r="L42" s="48">
        <v>724051265.67999995</v>
      </c>
      <c r="M42" s="48">
        <v>938979590.42999995</v>
      </c>
      <c r="N42" s="48">
        <v>938979590.42999995</v>
      </c>
      <c r="O42" s="48">
        <v>938979590.42999995</v>
      </c>
      <c r="P42" s="48">
        <v>938979590.42999995</v>
      </c>
      <c r="Q42" s="48">
        <v>689368189.73000002</v>
      </c>
      <c r="R42" s="48">
        <v>689368189.73000002</v>
      </c>
      <c r="S42" s="48">
        <v>689368189.73000002</v>
      </c>
      <c r="T42" s="48">
        <v>689368189.73000002</v>
      </c>
      <c r="U42" s="48">
        <v>662365838.10000002</v>
      </c>
      <c r="V42" s="48">
        <v>662365838.10000002</v>
      </c>
      <c r="W42" s="48">
        <v>662365838.10000002</v>
      </c>
      <c r="X42" s="48">
        <v>662365838.10000002</v>
      </c>
      <c r="Y42" s="48">
        <v>534149707.85000002</v>
      </c>
      <c r="Z42" s="48">
        <v>534153377.06999999</v>
      </c>
      <c r="AA42" s="48">
        <v>534153377.06999999</v>
      </c>
      <c r="AB42" s="48">
        <v>534153377.06999999</v>
      </c>
      <c r="AC42" s="48">
        <v>665154584.65999997</v>
      </c>
      <c r="AD42" s="48">
        <v>665154584.65999997</v>
      </c>
      <c r="AE42" s="48">
        <v>665154584.65999997</v>
      </c>
      <c r="AF42" s="48">
        <v>665154584.65999997</v>
      </c>
      <c r="AG42" s="48">
        <v>852479699.25999999</v>
      </c>
      <c r="AH42" s="48">
        <v>852479699.25999999</v>
      </c>
      <c r="AI42" s="48">
        <v>852479699.25999999</v>
      </c>
      <c r="AJ42" s="48">
        <v>853443052.58000004</v>
      </c>
      <c r="AK42" s="48">
        <v>78477223.810000002</v>
      </c>
      <c r="AL42" s="48">
        <v>78477223.810000002</v>
      </c>
      <c r="AM42" s="48">
        <v>78477223.810000002</v>
      </c>
      <c r="AN42" s="48">
        <v>78477223.810000002</v>
      </c>
      <c r="AO42" s="48">
        <v>78997061.840000004</v>
      </c>
      <c r="AP42" s="48">
        <v>78997061.840000004</v>
      </c>
      <c r="AQ42" s="48">
        <v>44249685.200000003</v>
      </c>
      <c r="AR42" s="48">
        <v>19958770.719999999</v>
      </c>
      <c r="AS42" s="48">
        <v>0</v>
      </c>
    </row>
    <row r="43" spans="1:45">
      <c r="A43" s="48" t="s">
        <v>258</v>
      </c>
      <c r="B43" s="48">
        <v>303309008.31999999</v>
      </c>
      <c r="C43" s="48">
        <v>460035935.56999999</v>
      </c>
      <c r="D43" s="48">
        <v>625000644.00999999</v>
      </c>
      <c r="E43" s="48">
        <v>459748074.94999999</v>
      </c>
      <c r="F43" s="48">
        <v>426336648.45999998</v>
      </c>
      <c r="G43" s="48">
        <v>245477362.52000001</v>
      </c>
      <c r="H43" s="48">
        <v>425296379.13</v>
      </c>
      <c r="I43" s="48">
        <v>526783301.91000003</v>
      </c>
      <c r="J43" s="48">
        <v>385707796.99000001</v>
      </c>
      <c r="K43" s="48">
        <v>419767151.94</v>
      </c>
      <c r="L43" s="48">
        <v>535204778.08999997</v>
      </c>
      <c r="M43" s="48">
        <v>724051265.67999995</v>
      </c>
      <c r="N43" s="48">
        <v>777176614.53999996</v>
      </c>
      <c r="O43" s="48">
        <v>544759123.21000004</v>
      </c>
      <c r="P43" s="48">
        <v>893478330.51999998</v>
      </c>
      <c r="Q43" s="48">
        <v>938979590.42999995</v>
      </c>
      <c r="R43" s="48">
        <v>734338883.42999995</v>
      </c>
      <c r="S43" s="48">
        <v>646698415.91999996</v>
      </c>
      <c r="T43" s="48">
        <v>747413370.76999998</v>
      </c>
      <c r="U43" s="48">
        <v>689368189.73000002</v>
      </c>
      <c r="V43" s="48">
        <v>489546249.64999998</v>
      </c>
      <c r="W43" s="48">
        <v>488508070.24000001</v>
      </c>
      <c r="X43" s="48">
        <v>590681886.21000004</v>
      </c>
      <c r="Y43" s="48">
        <v>662365838.10000002</v>
      </c>
      <c r="Z43" s="48">
        <v>643489726.26999998</v>
      </c>
      <c r="AA43" s="48">
        <v>488006620.79000002</v>
      </c>
      <c r="AB43" s="48">
        <v>510303384.02999997</v>
      </c>
      <c r="AC43" s="48">
        <v>534149707.85000002</v>
      </c>
      <c r="AD43" s="48">
        <v>523386129.82999998</v>
      </c>
      <c r="AE43" s="48">
        <v>639591220.42999995</v>
      </c>
      <c r="AF43" s="48">
        <v>663493108.86000001</v>
      </c>
      <c r="AG43" s="48">
        <v>665154584.65999997</v>
      </c>
      <c r="AH43" s="48">
        <v>627531973.15999997</v>
      </c>
      <c r="AI43" s="48">
        <v>718725533.71000004</v>
      </c>
      <c r="AJ43" s="48">
        <v>836933325.63999999</v>
      </c>
      <c r="AK43" s="48">
        <v>852479699.25999999</v>
      </c>
      <c r="AL43" s="48">
        <v>79196016.939999998</v>
      </c>
      <c r="AM43" s="48">
        <v>63469949.020000003</v>
      </c>
      <c r="AN43" s="48">
        <v>58065135.450000003</v>
      </c>
      <c r="AO43" s="48">
        <v>78477223.810000002</v>
      </c>
      <c r="AP43" s="48">
        <v>48661388.490000002</v>
      </c>
      <c r="AQ43" s="48">
        <v>78997061.840000004</v>
      </c>
      <c r="AR43" s="48">
        <v>44249685.200000003</v>
      </c>
      <c r="AS43" s="48">
        <v>0</v>
      </c>
    </row>
    <row r="44" spans="1:45">
      <c r="A44" s="48" t="s">
        <v>259</v>
      </c>
    </row>
    <row r="45" spans="1:45">
      <c r="A45" s="48" t="s">
        <v>260</v>
      </c>
      <c r="B45" s="48">
        <v>0</v>
      </c>
      <c r="C45" s="48">
        <v>184852224.49000001</v>
      </c>
      <c r="D45" s="48">
        <v>0</v>
      </c>
      <c r="E45" s="48">
        <v>493467007.49000001</v>
      </c>
      <c r="F45" s="48">
        <v>0</v>
      </c>
      <c r="G45" s="48">
        <v>158586417.80000001</v>
      </c>
      <c r="H45" s="48">
        <v>0</v>
      </c>
      <c r="I45" s="48">
        <v>439020710.73000002</v>
      </c>
      <c r="J45" s="48">
        <v>0</v>
      </c>
      <c r="K45" s="48">
        <v>169361059.09</v>
      </c>
      <c r="L45" s="48">
        <v>0</v>
      </c>
      <c r="M45" s="48">
        <v>401225384.01999998</v>
      </c>
      <c r="N45" s="48">
        <v>0</v>
      </c>
      <c r="O45" s="48">
        <v>182913802.06999999</v>
      </c>
      <c r="P45" s="48">
        <v>0</v>
      </c>
      <c r="Q45" s="48">
        <v>376552542.01999998</v>
      </c>
      <c r="R45" s="48">
        <v>0</v>
      </c>
      <c r="S45" s="48">
        <v>157562666.66</v>
      </c>
      <c r="T45" s="48">
        <v>0</v>
      </c>
      <c r="U45" s="48">
        <v>314945471.51999998</v>
      </c>
      <c r="V45" s="48">
        <v>0</v>
      </c>
      <c r="W45" s="48">
        <v>136062295.96000001</v>
      </c>
      <c r="X45" s="48">
        <v>0</v>
      </c>
      <c r="Y45" s="48">
        <v>260283661.59999999</v>
      </c>
      <c r="Z45" s="48">
        <v>0</v>
      </c>
      <c r="AA45" s="48">
        <v>109324501.56999999</v>
      </c>
      <c r="AB45" s="48">
        <v>0</v>
      </c>
      <c r="AC45" s="48">
        <v>206938793.19999999</v>
      </c>
      <c r="AD45" s="48">
        <v>0</v>
      </c>
      <c r="AE45" s="48">
        <v>85669468.799999997</v>
      </c>
      <c r="AF45" s="48">
        <v>0</v>
      </c>
      <c r="AG45" s="48">
        <v>127757806.11</v>
      </c>
      <c r="AH45" s="48">
        <v>0</v>
      </c>
      <c r="AI45" s="48">
        <v>47786010.380000003</v>
      </c>
      <c r="AJ45" s="48">
        <v>0</v>
      </c>
      <c r="AK45" s="48">
        <v>86105281.549999997</v>
      </c>
      <c r="AL45" s="48">
        <v>0</v>
      </c>
      <c r="AM45" s="48">
        <v>33707170.619999997</v>
      </c>
      <c r="AN45" s="48">
        <v>0</v>
      </c>
      <c r="AO45" s="48">
        <v>65749032.149999999</v>
      </c>
      <c r="AP45" s="48">
        <v>0</v>
      </c>
      <c r="AQ45" s="48">
        <v>58424699.130000003</v>
      </c>
      <c r="AR45" s="48">
        <v>33780411.490000002</v>
      </c>
      <c r="AS45" s="48">
        <v>0</v>
      </c>
    </row>
    <row r="46" spans="1:45">
      <c r="A46" s="48" t="s">
        <v>187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row>
    <row r="47" spans="1:45">
      <c r="A47" s="48" t="s">
        <v>261</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0</v>
      </c>
      <c r="AD47" s="48">
        <v>0</v>
      </c>
      <c r="AE47" s="48">
        <v>0</v>
      </c>
      <c r="AF47" s="48">
        <v>0</v>
      </c>
      <c r="AG47" s="48">
        <v>0</v>
      </c>
      <c r="AH47" s="48">
        <v>0</v>
      </c>
      <c r="AI47" s="48">
        <v>0</v>
      </c>
      <c r="AJ47" s="48">
        <v>0</v>
      </c>
      <c r="AK47" s="48">
        <v>0</v>
      </c>
      <c r="AL47" s="48">
        <v>0</v>
      </c>
      <c r="AM47" s="48">
        <v>0</v>
      </c>
      <c r="AN47" s="48">
        <v>0</v>
      </c>
      <c r="AO47" s="48">
        <v>0</v>
      </c>
      <c r="AP47" s="48">
        <v>0</v>
      </c>
      <c r="AQ47" s="48">
        <v>0</v>
      </c>
      <c r="AR47" s="48">
        <v>0</v>
      </c>
      <c r="AS47" s="48">
        <v>0</v>
      </c>
    </row>
    <row r="48" spans="1:45">
      <c r="A48" s="48" t="s">
        <v>262</v>
      </c>
      <c r="B48" s="48">
        <v>0</v>
      </c>
      <c r="C48" s="48">
        <v>-8223145.4800000004</v>
      </c>
      <c r="D48" s="48">
        <v>0</v>
      </c>
      <c r="E48" s="48">
        <v>5835714.0899999999</v>
      </c>
      <c r="F48" s="48">
        <v>0</v>
      </c>
      <c r="G48" s="48">
        <v>-5529056.1399999997</v>
      </c>
      <c r="H48" s="48">
        <v>0</v>
      </c>
      <c r="I48" s="48">
        <v>11932355.890000001</v>
      </c>
      <c r="J48" s="48">
        <v>0</v>
      </c>
      <c r="K48" s="48">
        <v>-2437111.77</v>
      </c>
      <c r="L48" s="48">
        <v>0</v>
      </c>
      <c r="M48" s="48">
        <v>13811275.76</v>
      </c>
      <c r="N48" s="48">
        <v>0</v>
      </c>
      <c r="O48" s="48">
        <v>1404650.24</v>
      </c>
      <c r="P48" s="48">
        <v>0</v>
      </c>
      <c r="Q48" s="48">
        <v>5887024.29</v>
      </c>
      <c r="R48" s="48">
        <v>0</v>
      </c>
      <c r="S48" s="48">
        <v>-251729.76</v>
      </c>
      <c r="T48" s="48">
        <v>0</v>
      </c>
      <c r="U48" s="48">
        <v>6237787.0700000003</v>
      </c>
      <c r="V48" s="48">
        <v>0</v>
      </c>
      <c r="W48" s="48">
        <v>-388306.36</v>
      </c>
      <c r="X48" s="48">
        <v>0</v>
      </c>
      <c r="Y48" s="48">
        <v>2800129.39</v>
      </c>
      <c r="Z48" s="48">
        <v>0</v>
      </c>
      <c r="AA48" s="48">
        <v>375030.61</v>
      </c>
      <c r="AB48" s="48">
        <v>0</v>
      </c>
      <c r="AC48" s="48">
        <v>4115869.72</v>
      </c>
      <c r="AD48" s="48">
        <v>0</v>
      </c>
      <c r="AE48" s="48">
        <v>984570.84</v>
      </c>
      <c r="AF48" s="48">
        <v>0</v>
      </c>
      <c r="AG48" s="48">
        <v>812983.95</v>
      </c>
      <c r="AH48" s="48">
        <v>0</v>
      </c>
      <c r="AI48" s="48">
        <v>362927.71</v>
      </c>
      <c r="AJ48" s="48">
        <v>0</v>
      </c>
      <c r="AK48" s="48">
        <v>-1478219.91</v>
      </c>
      <c r="AL48" s="48">
        <v>0</v>
      </c>
      <c r="AM48" s="48">
        <v>-1082319.9099999999</v>
      </c>
      <c r="AN48" s="48">
        <v>0</v>
      </c>
      <c r="AO48" s="48">
        <v>845517.75</v>
      </c>
      <c r="AP48" s="48">
        <v>0</v>
      </c>
      <c r="AQ48" s="48">
        <v>263948.44</v>
      </c>
      <c r="AR48" s="48">
        <v>1266584.27</v>
      </c>
      <c r="AS48" s="48">
        <v>0</v>
      </c>
    </row>
    <row r="49" spans="1:45">
      <c r="A49" s="48" t="s">
        <v>263</v>
      </c>
      <c r="B49" s="48">
        <v>0</v>
      </c>
      <c r="C49" s="48">
        <v>13480385.32</v>
      </c>
      <c r="D49" s="48">
        <v>0</v>
      </c>
      <c r="E49" s="48">
        <v>34762032.68</v>
      </c>
      <c r="F49" s="48">
        <v>0</v>
      </c>
      <c r="G49" s="48">
        <v>19142856.039999999</v>
      </c>
      <c r="H49" s="48">
        <v>0</v>
      </c>
      <c r="I49" s="48">
        <v>42955949.240000002</v>
      </c>
      <c r="J49" s="48">
        <v>0</v>
      </c>
      <c r="K49" s="48">
        <v>21859514.260000002</v>
      </c>
      <c r="L49" s="48">
        <v>0</v>
      </c>
      <c r="M49" s="48">
        <v>39485774.140000001</v>
      </c>
      <c r="N49" s="48">
        <v>0</v>
      </c>
      <c r="O49" s="48">
        <v>17944770.390000001</v>
      </c>
      <c r="P49" s="48">
        <v>0</v>
      </c>
      <c r="Q49" s="48">
        <v>36912727.810000002</v>
      </c>
      <c r="R49" s="48">
        <v>0</v>
      </c>
      <c r="S49" s="48">
        <v>18647153.48</v>
      </c>
      <c r="T49" s="48">
        <v>0</v>
      </c>
      <c r="U49" s="48">
        <v>34523693.869999997</v>
      </c>
      <c r="V49" s="48">
        <v>0</v>
      </c>
      <c r="W49" s="48">
        <v>16687916.369999999</v>
      </c>
      <c r="X49" s="48">
        <v>0</v>
      </c>
      <c r="Y49" s="48">
        <v>30818699.879999999</v>
      </c>
      <c r="Z49" s="48">
        <v>0</v>
      </c>
      <c r="AA49" s="48">
        <v>14580941.300000001</v>
      </c>
      <c r="AB49" s="48">
        <v>0</v>
      </c>
      <c r="AC49" s="48">
        <v>18996414.829999998</v>
      </c>
      <c r="AD49" s="48">
        <v>0</v>
      </c>
      <c r="AE49" s="48">
        <v>8789443.8399999999</v>
      </c>
      <c r="AF49" s="48">
        <v>0</v>
      </c>
      <c r="AG49" s="48">
        <v>14348189.4</v>
      </c>
      <c r="AH49" s="48">
        <v>0</v>
      </c>
      <c r="AI49" s="48">
        <v>6325983.2699999996</v>
      </c>
      <c r="AJ49" s="48">
        <v>0</v>
      </c>
      <c r="AK49" s="48">
        <v>10698190.23</v>
      </c>
      <c r="AL49" s="48">
        <v>0</v>
      </c>
      <c r="AM49" s="48">
        <v>5358187.29</v>
      </c>
      <c r="AN49" s="48">
        <v>0</v>
      </c>
      <c r="AO49" s="48">
        <v>10454569.210000001</v>
      </c>
      <c r="AP49" s="48">
        <v>0</v>
      </c>
      <c r="AQ49" s="48">
        <v>8212393.3200000003</v>
      </c>
      <c r="AR49" s="48">
        <v>5635554.3700000001</v>
      </c>
      <c r="AS49" s="48">
        <v>0</v>
      </c>
    </row>
    <row r="50" spans="1:45">
      <c r="A50" s="48" t="s">
        <v>264</v>
      </c>
      <c r="B50" s="48">
        <v>0</v>
      </c>
      <c r="C50" s="48">
        <v>2331041.83</v>
      </c>
      <c r="D50" s="48">
        <v>0</v>
      </c>
      <c r="E50" s="48">
        <v>4627334.9400000004</v>
      </c>
      <c r="F50" s="48">
        <v>0</v>
      </c>
      <c r="G50" s="48">
        <v>2114679.13</v>
      </c>
      <c r="H50" s="48">
        <v>0</v>
      </c>
      <c r="I50" s="48">
        <v>2264019.61</v>
      </c>
      <c r="J50" s="48">
        <v>0</v>
      </c>
      <c r="K50" s="48">
        <v>847109.51</v>
      </c>
      <c r="L50" s="48">
        <v>0</v>
      </c>
      <c r="M50" s="48">
        <v>2643689.39</v>
      </c>
      <c r="N50" s="48">
        <v>0</v>
      </c>
      <c r="O50" s="48">
        <v>1796517.25</v>
      </c>
      <c r="P50" s="48">
        <v>0</v>
      </c>
      <c r="Q50" s="48">
        <v>3592992.74</v>
      </c>
      <c r="R50" s="48">
        <v>0</v>
      </c>
      <c r="S50" s="48">
        <v>1796496.37</v>
      </c>
      <c r="T50" s="48">
        <v>0</v>
      </c>
      <c r="U50" s="48">
        <v>2763545.69</v>
      </c>
      <c r="V50" s="48">
        <v>0</v>
      </c>
      <c r="W50" s="48">
        <v>963136.2</v>
      </c>
      <c r="X50" s="48">
        <v>0</v>
      </c>
      <c r="Y50" s="48">
        <v>1392301.14</v>
      </c>
      <c r="Z50" s="48">
        <v>0</v>
      </c>
      <c r="AA50" s="48">
        <v>620321.16</v>
      </c>
      <c r="AB50" s="48">
        <v>0</v>
      </c>
      <c r="AC50" s="48">
        <v>1133582.54</v>
      </c>
      <c r="AD50" s="48">
        <v>0</v>
      </c>
      <c r="AE50" s="48">
        <v>548947.97</v>
      </c>
      <c r="AF50" s="48">
        <v>0</v>
      </c>
      <c r="AG50" s="48">
        <v>1097895.94</v>
      </c>
      <c r="AH50" s="48">
        <v>0</v>
      </c>
      <c r="AI50" s="48">
        <v>548947.97</v>
      </c>
      <c r="AJ50" s="48">
        <v>0</v>
      </c>
      <c r="AK50" s="48">
        <v>1560932.61</v>
      </c>
      <c r="AL50" s="48">
        <v>0</v>
      </c>
      <c r="AM50" s="48">
        <v>826769.97</v>
      </c>
      <c r="AN50" s="48">
        <v>0</v>
      </c>
      <c r="AO50" s="48">
        <v>1925613.89</v>
      </c>
      <c r="AP50" s="48">
        <v>0</v>
      </c>
      <c r="AQ50" s="48">
        <v>1397014.1</v>
      </c>
      <c r="AR50" s="48">
        <v>1094722.25</v>
      </c>
      <c r="AS50" s="48">
        <v>0</v>
      </c>
    </row>
    <row r="51" spans="1:45">
      <c r="A51" s="48" t="s">
        <v>265</v>
      </c>
      <c r="B51" s="48">
        <v>0</v>
      </c>
      <c r="C51" s="48">
        <v>18347567.75</v>
      </c>
      <c r="D51" s="48">
        <v>0</v>
      </c>
      <c r="E51" s="48">
        <v>6777993.5499999998</v>
      </c>
      <c r="F51" s="48">
        <v>0</v>
      </c>
      <c r="G51" s="48">
        <v>2564631.0499999998</v>
      </c>
      <c r="H51" s="48">
        <v>0</v>
      </c>
      <c r="I51" s="48">
        <v>3290836.07</v>
      </c>
      <c r="J51" s="48">
        <v>0</v>
      </c>
      <c r="K51" s="48">
        <v>1776510.45</v>
      </c>
      <c r="L51" s="48">
        <v>0</v>
      </c>
      <c r="M51" s="48">
        <v>3195707.52</v>
      </c>
      <c r="N51" s="48">
        <v>0</v>
      </c>
      <c r="O51" s="48">
        <v>1634225.34</v>
      </c>
      <c r="P51" s="48">
        <v>0</v>
      </c>
      <c r="Q51" s="48">
        <v>1488722.23</v>
      </c>
      <c r="R51" s="48">
        <v>0</v>
      </c>
      <c r="S51" s="48">
        <v>795581.85</v>
      </c>
      <c r="T51" s="48">
        <v>0</v>
      </c>
      <c r="U51" s="48">
        <v>1024662.02</v>
      </c>
      <c r="V51" s="48">
        <v>0</v>
      </c>
      <c r="W51" s="48">
        <v>0</v>
      </c>
      <c r="X51" s="48">
        <v>0</v>
      </c>
      <c r="Y51" s="48">
        <v>0</v>
      </c>
      <c r="Z51" s="48">
        <v>0</v>
      </c>
      <c r="AA51" s="48">
        <v>0</v>
      </c>
      <c r="AB51" s="48">
        <v>0</v>
      </c>
      <c r="AC51" s="48">
        <v>1022345.12</v>
      </c>
      <c r="AD51" s="48">
        <v>0</v>
      </c>
      <c r="AE51" s="48">
        <v>656148.9</v>
      </c>
      <c r="AF51" s="48">
        <v>0</v>
      </c>
      <c r="AG51" s="48">
        <v>1308697.8</v>
      </c>
      <c r="AH51" s="48">
        <v>0</v>
      </c>
      <c r="AI51" s="48">
        <v>655428.9</v>
      </c>
      <c r="AJ51" s="48">
        <v>0</v>
      </c>
      <c r="AK51" s="48">
        <v>1272928.17</v>
      </c>
      <c r="AL51" s="48">
        <v>0</v>
      </c>
      <c r="AM51" s="48">
        <v>636977.23</v>
      </c>
      <c r="AN51" s="48">
        <v>0</v>
      </c>
      <c r="AO51" s="48">
        <v>386408.02</v>
      </c>
      <c r="AP51" s="48">
        <v>0</v>
      </c>
      <c r="AQ51" s="48">
        <v>65098.92</v>
      </c>
      <c r="AR51" s="48">
        <v>65098.92</v>
      </c>
      <c r="AS51" s="48">
        <v>0</v>
      </c>
    </row>
    <row r="52" spans="1:45">
      <c r="A52" s="48" t="s">
        <v>266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c r="AR52" s="48">
        <v>0</v>
      </c>
      <c r="AS52" s="48">
        <v>0</v>
      </c>
    </row>
    <row r="53" spans="1:45">
      <c r="A53" s="48" t="s">
        <v>267</v>
      </c>
      <c r="B53" s="48">
        <v>0</v>
      </c>
      <c r="C53" s="48">
        <v>0</v>
      </c>
      <c r="D53" s="48">
        <v>0</v>
      </c>
      <c r="E53" s="48">
        <v>0</v>
      </c>
      <c r="F53" s="48">
        <v>0</v>
      </c>
      <c r="G53" s="48">
        <v>0</v>
      </c>
      <c r="H53" s="48">
        <v>0</v>
      </c>
      <c r="I53" s="48">
        <v>0</v>
      </c>
      <c r="J53" s="48">
        <v>0</v>
      </c>
      <c r="K53" s="48">
        <v>0</v>
      </c>
      <c r="L53" s="48">
        <v>0</v>
      </c>
      <c r="M53" s="48">
        <v>0</v>
      </c>
      <c r="N53" s="48">
        <v>0</v>
      </c>
      <c r="O53" s="48">
        <v>0</v>
      </c>
      <c r="P53" s="48">
        <v>0</v>
      </c>
      <c r="Q53" s="48">
        <v>0</v>
      </c>
      <c r="R53" s="48">
        <v>0</v>
      </c>
      <c r="S53" s="48">
        <v>0</v>
      </c>
      <c r="T53" s="48">
        <v>0</v>
      </c>
      <c r="U53" s="48">
        <v>0</v>
      </c>
      <c r="V53" s="48">
        <v>0</v>
      </c>
      <c r="W53" s="48">
        <v>0</v>
      </c>
      <c r="X53" s="48">
        <v>0</v>
      </c>
      <c r="Y53" s="48">
        <v>0</v>
      </c>
      <c r="Z53" s="48">
        <v>0</v>
      </c>
      <c r="AA53" s="48">
        <v>0</v>
      </c>
      <c r="AB53" s="48">
        <v>0</v>
      </c>
      <c r="AC53" s="48">
        <v>0</v>
      </c>
      <c r="AD53" s="48">
        <v>0</v>
      </c>
      <c r="AE53" s="48">
        <v>0</v>
      </c>
      <c r="AF53" s="48">
        <v>0</v>
      </c>
      <c r="AG53" s="48">
        <v>0</v>
      </c>
      <c r="AH53" s="48">
        <v>0</v>
      </c>
      <c r="AI53" s="48">
        <v>0</v>
      </c>
      <c r="AJ53" s="48">
        <v>0</v>
      </c>
      <c r="AK53" s="48">
        <v>0</v>
      </c>
      <c r="AL53" s="48">
        <v>0</v>
      </c>
      <c r="AM53" s="48">
        <v>0</v>
      </c>
      <c r="AN53" s="48">
        <v>0</v>
      </c>
      <c r="AO53" s="48">
        <v>0</v>
      </c>
      <c r="AP53" s="48">
        <v>0</v>
      </c>
      <c r="AQ53" s="48">
        <v>0</v>
      </c>
      <c r="AR53" s="48">
        <v>0</v>
      </c>
      <c r="AS53" s="48">
        <v>0</v>
      </c>
    </row>
    <row r="54" spans="1:45">
      <c r="A54" s="48" t="s">
        <v>268</v>
      </c>
      <c r="B54" s="48">
        <v>0</v>
      </c>
      <c r="C54" s="48">
        <v>-36334.379999999997</v>
      </c>
      <c r="D54" s="48">
        <v>0</v>
      </c>
      <c r="E54" s="48">
        <v>0</v>
      </c>
      <c r="F54" s="48">
        <v>0</v>
      </c>
      <c r="G54" s="48">
        <v>-61756.08</v>
      </c>
      <c r="H54" s="48">
        <v>0</v>
      </c>
      <c r="I54" s="48">
        <v>305566.3</v>
      </c>
      <c r="J54" s="48">
        <v>0</v>
      </c>
      <c r="K54" s="48">
        <v>84351.17</v>
      </c>
      <c r="L54" s="48">
        <v>0</v>
      </c>
      <c r="M54" s="48">
        <v>32370.97</v>
      </c>
      <c r="N54" s="48">
        <v>0</v>
      </c>
      <c r="O54" s="48">
        <v>1268005.6100000001</v>
      </c>
      <c r="P54" s="48">
        <v>0</v>
      </c>
      <c r="Q54" s="48">
        <v>478063.89</v>
      </c>
      <c r="R54" s="48">
        <v>0</v>
      </c>
      <c r="S54" s="48">
        <v>-118096.33</v>
      </c>
      <c r="T54" s="48">
        <v>0</v>
      </c>
      <c r="U54" s="48">
        <v>176155.69</v>
      </c>
      <c r="V54" s="48">
        <v>0</v>
      </c>
      <c r="W54" s="48">
        <v>0</v>
      </c>
      <c r="X54" s="48">
        <v>0</v>
      </c>
      <c r="Y54" s="48">
        <v>191479.43</v>
      </c>
      <c r="Z54" s="48">
        <v>0</v>
      </c>
      <c r="AA54" s="48">
        <v>0</v>
      </c>
      <c r="AB54" s="48">
        <v>0</v>
      </c>
      <c r="AC54" s="48">
        <v>147641.5</v>
      </c>
      <c r="AD54" s="48">
        <v>0</v>
      </c>
      <c r="AE54" s="48">
        <v>0</v>
      </c>
      <c r="AF54" s="48">
        <v>0</v>
      </c>
      <c r="AG54" s="48">
        <v>195899.7</v>
      </c>
      <c r="AH54" s="48">
        <v>0</v>
      </c>
      <c r="AI54" s="48">
        <v>0</v>
      </c>
      <c r="AJ54" s="48">
        <v>0</v>
      </c>
      <c r="AK54" s="48">
        <v>23791.95</v>
      </c>
      <c r="AL54" s="48">
        <v>0</v>
      </c>
      <c r="AM54" s="48">
        <v>27000.95</v>
      </c>
      <c r="AN54" s="48">
        <v>0</v>
      </c>
      <c r="AO54" s="48">
        <v>-82204.39</v>
      </c>
      <c r="AP54" s="48">
        <v>0</v>
      </c>
      <c r="AQ54" s="48">
        <v>-45809</v>
      </c>
      <c r="AR54" s="48">
        <v>-2182119.77</v>
      </c>
      <c r="AS54" s="48">
        <v>0</v>
      </c>
    </row>
    <row r="55" spans="1:45">
      <c r="A55" s="48" t="s">
        <v>269</v>
      </c>
      <c r="B55" s="48">
        <v>0</v>
      </c>
      <c r="C55" s="48">
        <v>0</v>
      </c>
      <c r="D55" s="48">
        <v>0</v>
      </c>
      <c r="E55" s="48">
        <v>7939.05</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7853.85</v>
      </c>
      <c r="AR55" s="48">
        <v>0</v>
      </c>
      <c r="AS55" s="48">
        <v>0</v>
      </c>
    </row>
    <row r="56" spans="1:45">
      <c r="A56" s="48" t="s">
        <v>270</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-119300</v>
      </c>
      <c r="AS56" s="48">
        <v>0</v>
      </c>
    </row>
    <row r="57" spans="1:45">
      <c r="A57" s="48" t="s">
        <v>271</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row>
    <row r="58" spans="1:45">
      <c r="A58" s="48" t="s">
        <v>272</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0</v>
      </c>
      <c r="AM58" s="48">
        <v>0</v>
      </c>
      <c r="AN58" s="48">
        <v>0</v>
      </c>
      <c r="AO58" s="48">
        <v>0</v>
      </c>
      <c r="AP58" s="48">
        <v>0</v>
      </c>
      <c r="AQ58" s="48">
        <v>0</v>
      </c>
      <c r="AR58" s="48">
        <v>0</v>
      </c>
      <c r="AS58" s="48">
        <v>0</v>
      </c>
    </row>
    <row r="59" spans="1:45">
      <c r="A59" s="48" t="s">
        <v>197</v>
      </c>
      <c r="B59" s="48">
        <v>0</v>
      </c>
      <c r="C59" s="48">
        <v>-1216349.2</v>
      </c>
      <c r="D59" s="48">
        <v>0</v>
      </c>
      <c r="E59" s="48">
        <v>0</v>
      </c>
      <c r="F59" s="48">
        <v>0</v>
      </c>
      <c r="G59" s="48">
        <v>-711880.16</v>
      </c>
      <c r="H59" s="48">
        <v>0</v>
      </c>
      <c r="I59" s="48">
        <v>0</v>
      </c>
      <c r="J59" s="48">
        <v>0</v>
      </c>
      <c r="K59" s="48">
        <v>-3444611.51</v>
      </c>
      <c r="L59" s="48">
        <v>0</v>
      </c>
      <c r="M59" s="48">
        <v>-71894.649999999994</v>
      </c>
      <c r="N59" s="48">
        <v>0</v>
      </c>
      <c r="O59" s="48">
        <v>-9943631.5600000005</v>
      </c>
      <c r="P59" s="48">
        <v>0</v>
      </c>
      <c r="Q59" s="48">
        <v>0</v>
      </c>
      <c r="R59" s="48">
        <v>0</v>
      </c>
      <c r="S59" s="48">
        <v>-2084692.56</v>
      </c>
      <c r="T59" s="48">
        <v>0</v>
      </c>
      <c r="U59" s="48">
        <v>0</v>
      </c>
      <c r="V59" s="48">
        <v>0</v>
      </c>
      <c r="W59" s="48">
        <v>-2641899.13</v>
      </c>
      <c r="X59" s="48">
        <v>0</v>
      </c>
      <c r="Y59" s="48">
        <v>0</v>
      </c>
      <c r="Z59" s="48">
        <v>0</v>
      </c>
      <c r="AA59" s="48">
        <v>0</v>
      </c>
      <c r="AB59" s="48">
        <v>0</v>
      </c>
      <c r="AC59" s="48">
        <v>83666.66</v>
      </c>
      <c r="AD59" s="48">
        <v>0</v>
      </c>
      <c r="AE59" s="48">
        <v>83666.66</v>
      </c>
      <c r="AF59" s="48">
        <v>0</v>
      </c>
      <c r="AG59" s="48">
        <v>494347.71</v>
      </c>
      <c r="AH59" s="48">
        <v>0</v>
      </c>
      <c r="AI59" s="48">
        <v>0</v>
      </c>
      <c r="AJ59" s="48">
        <v>0</v>
      </c>
      <c r="AK59" s="48">
        <v>2736742.91</v>
      </c>
      <c r="AL59" s="48">
        <v>0</v>
      </c>
      <c r="AM59" s="48">
        <v>2410357.79</v>
      </c>
      <c r="AN59" s="48">
        <v>0</v>
      </c>
      <c r="AO59" s="48">
        <v>5261664.37</v>
      </c>
      <c r="AP59" s="48">
        <v>0</v>
      </c>
      <c r="AQ59" s="48">
        <v>5032268.62</v>
      </c>
      <c r="AR59" s="48">
        <v>3520023.31</v>
      </c>
      <c r="AS59" s="48">
        <v>0</v>
      </c>
    </row>
    <row r="60" spans="1:45">
      <c r="A60" s="48" t="s">
        <v>273</v>
      </c>
      <c r="B60" s="48">
        <v>0</v>
      </c>
      <c r="C60" s="48">
        <v>-23153077.890000001</v>
      </c>
      <c r="D60" s="48">
        <v>0</v>
      </c>
      <c r="E60" s="48">
        <v>-30638859.370000001</v>
      </c>
      <c r="F60" s="48">
        <v>0</v>
      </c>
      <c r="G60" s="48">
        <v>-13274011.41</v>
      </c>
      <c r="H60" s="48">
        <v>0</v>
      </c>
      <c r="I60" s="48">
        <v>-22419837.09</v>
      </c>
      <c r="J60" s="48">
        <v>0</v>
      </c>
      <c r="K60" s="48">
        <v>-12582123.27</v>
      </c>
      <c r="L60" s="48">
        <v>0</v>
      </c>
      <c r="M60" s="48">
        <v>-18309739.620000001</v>
      </c>
      <c r="N60" s="48">
        <v>0</v>
      </c>
      <c r="O60" s="48">
        <v>0</v>
      </c>
      <c r="P60" s="48">
        <v>0</v>
      </c>
      <c r="Q60" s="48">
        <v>-16862699.91</v>
      </c>
      <c r="R60" s="48">
        <v>0</v>
      </c>
      <c r="S60" s="48">
        <v>-3873017.43</v>
      </c>
      <c r="T60" s="48">
        <v>0</v>
      </c>
      <c r="U60" s="48">
        <v>-12012656.6</v>
      </c>
      <c r="V60" s="48">
        <v>0</v>
      </c>
      <c r="W60" s="48">
        <v>-1644250.19</v>
      </c>
      <c r="X60" s="48">
        <v>0</v>
      </c>
      <c r="Y60" s="48">
        <v>-119671.23</v>
      </c>
      <c r="Z60" s="48">
        <v>0</v>
      </c>
      <c r="AA60" s="48">
        <v>0</v>
      </c>
      <c r="AB60" s="48">
        <v>0</v>
      </c>
      <c r="AC60" s="48">
        <v>-3122265.47</v>
      </c>
      <c r="AD60" s="48">
        <v>0</v>
      </c>
      <c r="AE60" s="48">
        <v>0</v>
      </c>
      <c r="AF60" s="48">
        <v>0</v>
      </c>
      <c r="AG60" s="48">
        <v>0</v>
      </c>
      <c r="AH60" s="48">
        <v>0</v>
      </c>
      <c r="AI60" s="48">
        <v>0</v>
      </c>
      <c r="AJ60" s="48">
        <v>0</v>
      </c>
      <c r="AK60" s="48">
        <v>0</v>
      </c>
      <c r="AL60" s="48">
        <v>0</v>
      </c>
      <c r="AM60" s="48">
        <v>0</v>
      </c>
      <c r="AN60" s="48">
        <v>0</v>
      </c>
      <c r="AO60" s="48">
        <v>0</v>
      </c>
      <c r="AP60" s="48">
        <v>0</v>
      </c>
      <c r="AQ60" s="48">
        <v>0</v>
      </c>
      <c r="AR60" s="48">
        <v>-248300</v>
      </c>
      <c r="AS60" s="48">
        <v>0</v>
      </c>
    </row>
    <row r="61" spans="1:45">
      <c r="A61" s="48" t="s">
        <v>274</v>
      </c>
      <c r="B61" s="48">
        <v>0</v>
      </c>
      <c r="C61" s="48">
        <v>-7085438.1299999999</v>
      </c>
      <c r="D61" s="48">
        <v>0</v>
      </c>
      <c r="E61" s="48">
        <v>4078768.29</v>
      </c>
      <c r="F61" s="48">
        <v>0</v>
      </c>
      <c r="G61" s="48">
        <v>-9917572.8000000007</v>
      </c>
      <c r="H61" s="48">
        <v>0</v>
      </c>
      <c r="I61" s="48">
        <v>-9837234.6300000008</v>
      </c>
      <c r="J61" s="48">
        <v>0</v>
      </c>
      <c r="K61" s="48">
        <v>837739.92</v>
      </c>
      <c r="L61" s="48">
        <v>0</v>
      </c>
      <c r="M61" s="48">
        <v>-13680268.42</v>
      </c>
      <c r="N61" s="48">
        <v>0</v>
      </c>
      <c r="O61" s="48">
        <v>-2767186.4</v>
      </c>
      <c r="P61" s="48">
        <v>0</v>
      </c>
      <c r="Q61" s="48">
        <v>-5005322.8</v>
      </c>
      <c r="R61" s="48">
        <v>0</v>
      </c>
      <c r="S61" s="48">
        <v>-168083.67</v>
      </c>
      <c r="T61" s="48">
        <v>0</v>
      </c>
      <c r="U61" s="48">
        <v>-7080791.3399999999</v>
      </c>
      <c r="V61" s="48">
        <v>0</v>
      </c>
      <c r="W61" s="48">
        <v>412766.93</v>
      </c>
      <c r="X61" s="48">
        <v>0</v>
      </c>
      <c r="Y61" s="48">
        <v>-9076575.0899999999</v>
      </c>
      <c r="Z61" s="48">
        <v>0</v>
      </c>
      <c r="AA61" s="48">
        <v>-3899877.68</v>
      </c>
      <c r="AB61" s="48">
        <v>0</v>
      </c>
      <c r="AC61" s="48">
        <v>-8338432.3600000003</v>
      </c>
      <c r="AD61" s="48">
        <v>0</v>
      </c>
      <c r="AE61" s="48">
        <v>-1233954.05</v>
      </c>
      <c r="AF61" s="48">
        <v>0</v>
      </c>
      <c r="AG61" s="48">
        <v>-1111506.54</v>
      </c>
      <c r="AH61" s="48">
        <v>0</v>
      </c>
      <c r="AI61" s="48">
        <v>1571474.86</v>
      </c>
      <c r="AJ61" s="48">
        <v>0</v>
      </c>
      <c r="AK61" s="48">
        <v>194117.07</v>
      </c>
      <c r="AL61" s="48">
        <v>0</v>
      </c>
      <c r="AM61" s="48">
        <v>1822167.9</v>
      </c>
      <c r="AN61" s="48">
        <v>0</v>
      </c>
      <c r="AO61" s="48">
        <v>-4231435.29</v>
      </c>
      <c r="AP61" s="48">
        <v>0</v>
      </c>
      <c r="AQ61" s="48">
        <v>-6037846.2000000002</v>
      </c>
      <c r="AR61" s="48">
        <v>-11237.29</v>
      </c>
      <c r="AS61" s="48">
        <v>0</v>
      </c>
    </row>
    <row r="62" spans="1:45">
      <c r="A62" s="48" t="s">
        <v>275</v>
      </c>
      <c r="B62" s="48">
        <v>0</v>
      </c>
      <c r="C62" s="48">
        <v>0</v>
      </c>
      <c r="D62" s="48">
        <v>0</v>
      </c>
      <c r="E62" s="48">
        <v>0</v>
      </c>
      <c r="F62" s="48">
        <v>0</v>
      </c>
      <c r="G62" s="48">
        <v>0</v>
      </c>
      <c r="H62" s="48">
        <v>0</v>
      </c>
      <c r="I62" s="48">
        <v>0</v>
      </c>
      <c r="J62" s="48">
        <v>0</v>
      </c>
      <c r="K62" s="48">
        <v>0</v>
      </c>
      <c r="L62" s="48">
        <v>0</v>
      </c>
      <c r="M62" s="48">
        <v>0</v>
      </c>
      <c r="N62" s="48">
        <v>0</v>
      </c>
      <c r="O62" s="48">
        <v>0</v>
      </c>
      <c r="P62" s="48">
        <v>0</v>
      </c>
      <c r="Q62" s="48">
        <v>0</v>
      </c>
      <c r="R62" s="48">
        <v>0</v>
      </c>
      <c r="S62" s="48">
        <v>0</v>
      </c>
      <c r="T62" s="48">
        <v>0</v>
      </c>
      <c r="U62" s="48">
        <v>0</v>
      </c>
      <c r="V62" s="48">
        <v>0</v>
      </c>
      <c r="W62" s="48">
        <v>0</v>
      </c>
      <c r="X62" s="48">
        <v>0</v>
      </c>
      <c r="Y62" s="48">
        <v>0</v>
      </c>
      <c r="Z62" s="48">
        <v>0</v>
      </c>
      <c r="AA62" s="48">
        <v>0</v>
      </c>
      <c r="AB62" s="48">
        <v>0</v>
      </c>
      <c r="AC62" s="48">
        <v>0</v>
      </c>
      <c r="AD62" s="48">
        <v>0</v>
      </c>
      <c r="AE62" s="48">
        <v>0</v>
      </c>
      <c r="AF62" s="48">
        <v>0</v>
      </c>
      <c r="AG62" s="48">
        <v>0</v>
      </c>
      <c r="AH62" s="48">
        <v>0</v>
      </c>
      <c r="AI62" s="48">
        <v>0</v>
      </c>
      <c r="AJ62" s="48">
        <v>0</v>
      </c>
      <c r="AK62" s="48">
        <v>0</v>
      </c>
      <c r="AL62" s="48">
        <v>0</v>
      </c>
      <c r="AM62" s="48">
        <v>0</v>
      </c>
      <c r="AN62" s="48">
        <v>0</v>
      </c>
      <c r="AO62" s="48">
        <v>0</v>
      </c>
      <c r="AP62" s="48">
        <v>0</v>
      </c>
      <c r="AQ62" s="48">
        <v>0</v>
      </c>
      <c r="AR62" s="48">
        <v>49105.09</v>
      </c>
      <c r="AS62" s="48">
        <v>0</v>
      </c>
    </row>
    <row r="63" spans="1:45">
      <c r="A63" s="48" t="s">
        <v>276</v>
      </c>
      <c r="B63" s="48">
        <v>0</v>
      </c>
      <c r="C63" s="48">
        <v>-99192398.489999995</v>
      </c>
      <c r="D63" s="48">
        <v>0</v>
      </c>
      <c r="E63" s="48">
        <v>-86022916.060000002</v>
      </c>
      <c r="F63" s="48">
        <v>0</v>
      </c>
      <c r="G63" s="48">
        <v>-136120063.86000001</v>
      </c>
      <c r="H63" s="48">
        <v>0</v>
      </c>
      <c r="I63" s="48">
        <v>-112026916.67</v>
      </c>
      <c r="J63" s="48">
        <v>0</v>
      </c>
      <c r="K63" s="48">
        <v>-54272323.090000004</v>
      </c>
      <c r="L63" s="48">
        <v>0</v>
      </c>
      <c r="M63" s="48">
        <v>-8908009.9800000004</v>
      </c>
      <c r="N63" s="48">
        <v>0</v>
      </c>
      <c r="O63" s="48">
        <v>-87936324.109999999</v>
      </c>
      <c r="P63" s="48">
        <v>0</v>
      </c>
      <c r="Q63" s="48">
        <v>37001210.240000002</v>
      </c>
      <c r="R63" s="48">
        <v>0</v>
      </c>
      <c r="S63" s="48">
        <v>48049128.5</v>
      </c>
      <c r="T63" s="48">
        <v>0</v>
      </c>
      <c r="U63" s="48">
        <v>-140276809.84999999</v>
      </c>
      <c r="V63" s="48">
        <v>0</v>
      </c>
      <c r="W63" s="48">
        <v>-112781522.23</v>
      </c>
      <c r="X63" s="48">
        <v>0</v>
      </c>
      <c r="Y63" s="48">
        <v>78295056.159999996</v>
      </c>
      <c r="Z63" s="48">
        <v>0</v>
      </c>
      <c r="AA63" s="48">
        <v>25600591.460000001</v>
      </c>
      <c r="AB63" s="48">
        <v>0</v>
      </c>
      <c r="AC63" s="48">
        <v>-103854997.39</v>
      </c>
      <c r="AD63" s="48">
        <v>0</v>
      </c>
      <c r="AE63" s="48">
        <v>52732208.490000002</v>
      </c>
      <c r="AF63" s="48">
        <v>0</v>
      </c>
      <c r="AG63" s="48">
        <v>-217883630.44999999</v>
      </c>
      <c r="AH63" s="48">
        <v>0</v>
      </c>
      <c r="AI63" s="48">
        <v>-159195243.74000001</v>
      </c>
      <c r="AJ63" s="48">
        <v>0</v>
      </c>
      <c r="AK63" s="48">
        <v>21883304.82</v>
      </c>
      <c r="AL63" s="48">
        <v>0</v>
      </c>
      <c r="AM63" s="48">
        <v>31867655.789999999</v>
      </c>
      <c r="AN63" s="48">
        <v>0</v>
      </c>
      <c r="AO63" s="48">
        <v>-73305363.109999999</v>
      </c>
      <c r="AP63" s="48">
        <v>0</v>
      </c>
      <c r="AQ63" s="48">
        <v>-23585988.57</v>
      </c>
      <c r="AR63" s="48">
        <v>-7480197.8799999999</v>
      </c>
      <c r="AS63" s="48">
        <v>0</v>
      </c>
    </row>
    <row r="64" spans="1:45">
      <c r="A64" s="48" t="s">
        <v>277</v>
      </c>
      <c r="B64" s="48">
        <v>0</v>
      </c>
      <c r="C64" s="48">
        <v>101047275.87</v>
      </c>
      <c r="D64" s="48">
        <v>0</v>
      </c>
      <c r="E64" s="48">
        <v>-47365980.280000001</v>
      </c>
      <c r="F64" s="48">
        <v>0</v>
      </c>
      <c r="G64" s="48">
        <v>-10196755.82</v>
      </c>
      <c r="H64" s="48">
        <v>0</v>
      </c>
      <c r="I64" s="48">
        <v>-118500263.83</v>
      </c>
      <c r="J64" s="48">
        <v>0</v>
      </c>
      <c r="K64" s="48">
        <v>52492669.100000001</v>
      </c>
      <c r="L64" s="48">
        <v>0</v>
      </c>
      <c r="M64" s="48">
        <v>-133949760.5</v>
      </c>
      <c r="N64" s="48">
        <v>0</v>
      </c>
      <c r="O64" s="48">
        <v>-11222997.609999999</v>
      </c>
      <c r="P64" s="48">
        <v>0</v>
      </c>
      <c r="Q64" s="48">
        <v>-18108626.34</v>
      </c>
      <c r="R64" s="48">
        <v>0</v>
      </c>
      <c r="S64" s="48">
        <v>-9724765.6899999995</v>
      </c>
      <c r="T64" s="48">
        <v>0</v>
      </c>
      <c r="U64" s="48">
        <v>1348903.1</v>
      </c>
      <c r="V64" s="48">
        <v>0</v>
      </c>
      <c r="W64" s="48">
        <v>-24596517.469999999</v>
      </c>
      <c r="X64" s="48">
        <v>0</v>
      </c>
      <c r="Y64" s="48">
        <v>-32694460.760000002</v>
      </c>
      <c r="Z64" s="48">
        <v>0</v>
      </c>
      <c r="AA64" s="48">
        <v>29074302.27</v>
      </c>
      <c r="AB64" s="48">
        <v>0</v>
      </c>
      <c r="AC64" s="48">
        <v>-41795185.119999997</v>
      </c>
      <c r="AD64" s="48">
        <v>0</v>
      </c>
      <c r="AE64" s="48">
        <v>-12775630.98</v>
      </c>
      <c r="AF64" s="48">
        <v>0</v>
      </c>
      <c r="AG64" s="48">
        <v>-45592912.640000001</v>
      </c>
      <c r="AH64" s="48">
        <v>0</v>
      </c>
      <c r="AI64" s="48">
        <v>-16187943.24</v>
      </c>
      <c r="AJ64" s="48">
        <v>0</v>
      </c>
      <c r="AK64" s="48">
        <v>-3732754.8</v>
      </c>
      <c r="AL64" s="48">
        <v>0</v>
      </c>
      <c r="AM64" s="48">
        <v>-1309041.18</v>
      </c>
      <c r="AN64" s="48">
        <v>0</v>
      </c>
      <c r="AO64" s="48">
        <v>8376715.3300000001</v>
      </c>
      <c r="AP64" s="48">
        <v>0</v>
      </c>
      <c r="AQ64" s="48">
        <v>-8816688.3800000008</v>
      </c>
      <c r="AR64" s="48">
        <v>-10381357.529999999</v>
      </c>
      <c r="AS64" s="48">
        <v>0</v>
      </c>
    </row>
    <row r="65" spans="1:45">
      <c r="A65" s="48" t="s">
        <v>278</v>
      </c>
      <c r="B65" s="48">
        <v>0</v>
      </c>
      <c r="C65" s="48">
        <v>-122123317.94</v>
      </c>
      <c r="D65" s="48">
        <v>0</v>
      </c>
      <c r="E65" s="48">
        <v>-55717734.659999996</v>
      </c>
      <c r="F65" s="48">
        <v>0</v>
      </c>
      <c r="G65" s="48">
        <v>-140127944.16999999</v>
      </c>
      <c r="H65" s="48">
        <v>0</v>
      </c>
      <c r="I65" s="48">
        <v>180469957.87</v>
      </c>
      <c r="J65" s="48">
        <v>0</v>
      </c>
      <c r="K65" s="48">
        <v>-89400708.519999996</v>
      </c>
      <c r="L65" s="48">
        <v>0</v>
      </c>
      <c r="M65" s="48">
        <v>3606294.07</v>
      </c>
      <c r="N65" s="48">
        <v>0</v>
      </c>
      <c r="O65" s="48">
        <v>-135732330.28</v>
      </c>
      <c r="P65" s="48">
        <v>0</v>
      </c>
      <c r="Q65" s="48">
        <v>12251135.42</v>
      </c>
      <c r="R65" s="48">
        <v>0</v>
      </c>
      <c r="S65" s="48">
        <v>-142338441.19</v>
      </c>
      <c r="T65" s="48">
        <v>0</v>
      </c>
      <c r="U65" s="48">
        <v>6329004.5099999998</v>
      </c>
      <c r="V65" s="48">
        <v>0</v>
      </c>
      <c r="W65" s="48">
        <v>-40815320.509999998</v>
      </c>
      <c r="X65" s="48">
        <v>0</v>
      </c>
      <c r="Y65" s="48">
        <v>104174894.48999999</v>
      </c>
      <c r="Z65" s="48">
        <v>0</v>
      </c>
      <c r="AA65" s="48">
        <v>-156120116.69999999</v>
      </c>
      <c r="AB65" s="48">
        <v>0</v>
      </c>
      <c r="AC65" s="48">
        <v>130920104.54000001</v>
      </c>
      <c r="AD65" s="48">
        <v>0</v>
      </c>
      <c r="AE65" s="48">
        <v>-28239992.5</v>
      </c>
      <c r="AF65" s="48">
        <v>0</v>
      </c>
      <c r="AG65" s="48">
        <v>55789624.649999999</v>
      </c>
      <c r="AH65" s="48">
        <v>0</v>
      </c>
      <c r="AI65" s="48">
        <v>27808390.300000001</v>
      </c>
      <c r="AJ65" s="48">
        <v>0</v>
      </c>
      <c r="AK65" s="48">
        <v>9958812.3000000007</v>
      </c>
      <c r="AL65" s="48">
        <v>0</v>
      </c>
      <c r="AM65" s="48">
        <v>-41664863.649999999</v>
      </c>
      <c r="AN65" s="48">
        <v>0</v>
      </c>
      <c r="AO65" s="48">
        <v>51691538.280000001</v>
      </c>
      <c r="AP65" s="48">
        <v>0</v>
      </c>
      <c r="AQ65" s="48">
        <v>15680277.890000001</v>
      </c>
      <c r="AR65" s="48">
        <v>16813982</v>
      </c>
      <c r="AS65" s="48">
        <v>0</v>
      </c>
    </row>
    <row r="66" spans="1:45">
      <c r="A66" s="48" t="s">
        <v>279</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row>
    <row r="67" spans="1:45">
      <c r="A67" s="48" t="s">
        <v>280</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row>
    <row r="68" spans="1:45">
      <c r="A68" s="48" t="s">
        <v>281</v>
      </c>
      <c r="B68" s="48">
        <v>0</v>
      </c>
      <c r="C68" s="48">
        <v>12243249.18</v>
      </c>
      <c r="D68" s="48">
        <v>0</v>
      </c>
      <c r="E68" s="48">
        <v>35941890.520000003</v>
      </c>
      <c r="F68" s="48">
        <v>0</v>
      </c>
      <c r="G68" s="48">
        <v>-37433822.960000001</v>
      </c>
      <c r="H68" s="48">
        <v>0</v>
      </c>
      <c r="I68" s="48">
        <v>2350986.17</v>
      </c>
      <c r="J68" s="48">
        <v>0</v>
      </c>
      <c r="K68" s="48">
        <v>-7400026.71</v>
      </c>
      <c r="L68" s="48">
        <v>0</v>
      </c>
      <c r="M68" s="48">
        <v>1870732</v>
      </c>
      <c r="N68" s="48">
        <v>0</v>
      </c>
      <c r="O68" s="48">
        <v>-5416970.04</v>
      </c>
      <c r="P68" s="48">
        <v>0</v>
      </c>
      <c r="Q68" s="48">
        <v>1579726.6</v>
      </c>
      <c r="R68" s="48">
        <v>0</v>
      </c>
      <c r="S68" s="48">
        <v>0</v>
      </c>
      <c r="T68" s="48">
        <v>0</v>
      </c>
      <c r="U68" s="48">
        <v>9834500</v>
      </c>
      <c r="V68" s="48">
        <v>0</v>
      </c>
      <c r="W68" s="48">
        <v>0</v>
      </c>
      <c r="X68" s="48">
        <v>0</v>
      </c>
      <c r="Y68" s="48">
        <v>13998600</v>
      </c>
      <c r="Z68" s="48">
        <v>0</v>
      </c>
      <c r="AA68" s="48">
        <v>0</v>
      </c>
      <c r="AB68" s="48">
        <v>0</v>
      </c>
      <c r="AC68" s="48">
        <v>5480500</v>
      </c>
      <c r="AD68" s="48">
        <v>0</v>
      </c>
      <c r="AE68" s="48">
        <v>0</v>
      </c>
      <c r="AF68" s="48">
        <v>0</v>
      </c>
      <c r="AG68" s="48">
        <v>0</v>
      </c>
      <c r="AH68" s="48">
        <v>0</v>
      </c>
      <c r="AI68" s="48">
        <v>0</v>
      </c>
      <c r="AJ68" s="48">
        <v>0</v>
      </c>
      <c r="AK68" s="48">
        <v>0</v>
      </c>
      <c r="AL68" s="48">
        <v>0</v>
      </c>
      <c r="AM68" s="48">
        <v>0</v>
      </c>
      <c r="AN68" s="48">
        <v>0</v>
      </c>
      <c r="AO68" s="48">
        <v>0</v>
      </c>
      <c r="AP68" s="48">
        <v>0</v>
      </c>
      <c r="AQ68" s="48">
        <v>0</v>
      </c>
      <c r="AR68" s="48">
        <v>0</v>
      </c>
      <c r="AS68" s="48">
        <v>0</v>
      </c>
    </row>
    <row r="69" spans="1:45">
      <c r="A69" s="48" t="s">
        <v>282</v>
      </c>
      <c r="B69" s="48">
        <v>0</v>
      </c>
      <c r="C69" s="48">
        <v>71271682.930000007</v>
      </c>
      <c r="D69" s="48">
        <v>0</v>
      </c>
      <c r="E69" s="48">
        <v>365753190.24000001</v>
      </c>
      <c r="F69" s="48">
        <v>0</v>
      </c>
      <c r="G69" s="48">
        <v>-170964279.38</v>
      </c>
      <c r="H69" s="48">
        <v>0</v>
      </c>
      <c r="I69" s="48">
        <v>419806129.66000003</v>
      </c>
      <c r="J69" s="48">
        <v>0</v>
      </c>
      <c r="K69" s="48">
        <v>77722048.629999995</v>
      </c>
      <c r="L69" s="48">
        <v>0</v>
      </c>
      <c r="M69" s="48">
        <v>290951554.69999999</v>
      </c>
      <c r="N69" s="48">
        <v>0</v>
      </c>
      <c r="O69" s="48">
        <v>-46057469.100000001</v>
      </c>
      <c r="P69" s="48">
        <v>0</v>
      </c>
      <c r="Q69" s="48">
        <v>435767496.19</v>
      </c>
      <c r="R69" s="48">
        <v>0</v>
      </c>
      <c r="S69" s="48">
        <v>68292200.230000004</v>
      </c>
      <c r="T69" s="48">
        <v>0</v>
      </c>
      <c r="U69" s="48">
        <v>217813465.68000001</v>
      </c>
      <c r="V69" s="48">
        <v>0</v>
      </c>
      <c r="W69" s="48">
        <v>-28741700.43</v>
      </c>
      <c r="X69" s="48">
        <v>0</v>
      </c>
      <c r="Y69" s="48">
        <v>450064115.00999999</v>
      </c>
      <c r="Z69" s="48">
        <v>0</v>
      </c>
      <c r="AA69" s="48">
        <v>19555694</v>
      </c>
      <c r="AB69" s="48">
        <v>0</v>
      </c>
      <c r="AC69" s="48">
        <v>211728037.77000001</v>
      </c>
      <c r="AD69" s="48">
        <v>0</v>
      </c>
      <c r="AE69" s="48">
        <v>107214877.97</v>
      </c>
      <c r="AF69" s="48">
        <v>0</v>
      </c>
      <c r="AG69" s="48">
        <v>-62782604.369999997</v>
      </c>
      <c r="AH69" s="48">
        <v>0</v>
      </c>
      <c r="AI69" s="48">
        <v>-90324023.590000004</v>
      </c>
      <c r="AJ69" s="48">
        <v>0</v>
      </c>
      <c r="AK69" s="48">
        <v>129223126.90000001</v>
      </c>
      <c r="AL69" s="48">
        <v>0</v>
      </c>
      <c r="AM69" s="48">
        <v>32600062.800000001</v>
      </c>
      <c r="AN69" s="48">
        <v>0</v>
      </c>
      <c r="AO69" s="48">
        <v>67072056.210000001</v>
      </c>
      <c r="AP69" s="48">
        <v>0</v>
      </c>
      <c r="AQ69" s="48">
        <v>50597222.119999997</v>
      </c>
      <c r="AR69" s="48">
        <v>41802969.229999997</v>
      </c>
      <c r="AS69" s="48">
        <v>0</v>
      </c>
    </row>
    <row r="70" spans="1:45">
      <c r="A70" s="48" t="s">
        <v>283</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0</v>
      </c>
      <c r="S70" s="48">
        <v>0</v>
      </c>
      <c r="T70" s="48">
        <v>0</v>
      </c>
      <c r="U70" s="48">
        <v>0</v>
      </c>
      <c r="V70" s="48">
        <v>0</v>
      </c>
      <c r="W70" s="48">
        <v>0</v>
      </c>
      <c r="X70" s="48">
        <v>0</v>
      </c>
      <c r="Y70" s="48">
        <v>0</v>
      </c>
      <c r="Z70" s="48">
        <v>0</v>
      </c>
      <c r="AA70" s="48">
        <v>0</v>
      </c>
      <c r="AB70" s="48">
        <v>0</v>
      </c>
      <c r="AC70" s="48">
        <v>0</v>
      </c>
      <c r="AD70" s="48">
        <v>0</v>
      </c>
      <c r="AE70" s="48">
        <v>0</v>
      </c>
      <c r="AF70" s="48">
        <v>0</v>
      </c>
      <c r="AG70" s="48">
        <v>0</v>
      </c>
      <c r="AH70" s="48">
        <v>0</v>
      </c>
      <c r="AI70" s="48">
        <v>0</v>
      </c>
      <c r="AJ70" s="48">
        <v>0</v>
      </c>
      <c r="AK70" s="48">
        <v>0</v>
      </c>
      <c r="AL70" s="48">
        <v>0</v>
      </c>
      <c r="AM70" s="48">
        <v>0</v>
      </c>
      <c r="AN70" s="48">
        <v>0</v>
      </c>
      <c r="AO70" s="48">
        <v>0</v>
      </c>
      <c r="AP70" s="48">
        <v>0</v>
      </c>
      <c r="AQ70" s="48">
        <v>0</v>
      </c>
      <c r="AR70" s="48">
        <v>0</v>
      </c>
      <c r="AS70" s="48">
        <v>0</v>
      </c>
    </row>
    <row r="71" spans="1:45">
      <c r="A71" s="48" t="s">
        <v>284</v>
      </c>
      <c r="B71" s="48">
        <v>0</v>
      </c>
      <c r="C71" s="48">
        <v>0</v>
      </c>
      <c r="D71" s="48">
        <v>0</v>
      </c>
      <c r="E71" s="48">
        <v>0</v>
      </c>
      <c r="F71" s="48">
        <v>0</v>
      </c>
      <c r="G71" s="48">
        <v>0</v>
      </c>
      <c r="H71" s="48">
        <v>0</v>
      </c>
      <c r="I71" s="48">
        <v>0</v>
      </c>
      <c r="J71" s="48">
        <v>0</v>
      </c>
      <c r="K71" s="48">
        <v>0</v>
      </c>
      <c r="L71" s="48">
        <v>0</v>
      </c>
      <c r="M71" s="48">
        <v>0</v>
      </c>
      <c r="N71" s="48">
        <v>0</v>
      </c>
      <c r="O71" s="48">
        <v>0</v>
      </c>
      <c r="P71" s="48">
        <v>0</v>
      </c>
      <c r="Q71" s="48">
        <v>0</v>
      </c>
      <c r="R71" s="48">
        <v>0</v>
      </c>
      <c r="S71" s="48">
        <v>0</v>
      </c>
      <c r="T71" s="48">
        <v>0</v>
      </c>
      <c r="U71" s="48">
        <v>0</v>
      </c>
      <c r="V71" s="48">
        <v>0</v>
      </c>
      <c r="W71" s="48">
        <v>0</v>
      </c>
      <c r="X71" s="48">
        <v>0</v>
      </c>
      <c r="Y71" s="48">
        <v>0</v>
      </c>
      <c r="Z71" s="48">
        <v>0</v>
      </c>
      <c r="AA71" s="48">
        <v>0</v>
      </c>
      <c r="AB71" s="48">
        <v>0</v>
      </c>
      <c r="AC71" s="48">
        <v>0</v>
      </c>
      <c r="AD71" s="48">
        <v>0</v>
      </c>
      <c r="AE71" s="48">
        <v>0</v>
      </c>
      <c r="AF71" s="48">
        <v>0</v>
      </c>
      <c r="AG71" s="48">
        <v>0</v>
      </c>
      <c r="AH71" s="48">
        <v>0</v>
      </c>
      <c r="AI71" s="48">
        <v>0</v>
      </c>
      <c r="AJ71" s="48">
        <v>0</v>
      </c>
      <c r="AK71" s="48">
        <v>0</v>
      </c>
      <c r="AL71" s="48">
        <v>0</v>
      </c>
      <c r="AM71" s="48">
        <v>0</v>
      </c>
      <c r="AN71" s="48">
        <v>0</v>
      </c>
      <c r="AO71" s="48">
        <v>0</v>
      </c>
      <c r="AP71" s="48">
        <v>0</v>
      </c>
      <c r="AQ71" s="48">
        <v>0</v>
      </c>
      <c r="AR71" s="48">
        <v>0</v>
      </c>
      <c r="AS71" s="48">
        <v>0</v>
      </c>
    </row>
    <row r="72" spans="1:45">
      <c r="A72" s="48" t="s">
        <v>285</v>
      </c>
      <c r="B72" s="48">
        <v>0</v>
      </c>
      <c r="C72" s="48">
        <v>0</v>
      </c>
      <c r="D72" s="48">
        <v>0</v>
      </c>
      <c r="E72" s="48">
        <v>0</v>
      </c>
      <c r="F72" s="48">
        <v>0</v>
      </c>
      <c r="G72" s="48">
        <v>0</v>
      </c>
      <c r="H72" s="48">
        <v>0</v>
      </c>
      <c r="I72" s="48">
        <v>0</v>
      </c>
      <c r="J72" s="48">
        <v>0</v>
      </c>
      <c r="K72" s="48">
        <v>0</v>
      </c>
      <c r="L72" s="48">
        <v>0</v>
      </c>
      <c r="M72" s="48">
        <v>0</v>
      </c>
      <c r="N72" s="48">
        <v>0</v>
      </c>
      <c r="O72" s="48">
        <v>0</v>
      </c>
      <c r="P72" s="48">
        <v>0</v>
      </c>
      <c r="Q72" s="48">
        <v>0</v>
      </c>
      <c r="R72" s="48">
        <v>0</v>
      </c>
      <c r="S72" s="48">
        <v>0</v>
      </c>
      <c r="T72" s="48">
        <v>0</v>
      </c>
      <c r="U72" s="48">
        <v>0</v>
      </c>
      <c r="V72" s="48">
        <v>0</v>
      </c>
      <c r="W72" s="48">
        <v>0</v>
      </c>
      <c r="X72" s="48">
        <v>0</v>
      </c>
      <c r="Y72" s="48">
        <v>0</v>
      </c>
      <c r="Z72" s="48">
        <v>0</v>
      </c>
      <c r="AA72" s="48">
        <v>0</v>
      </c>
      <c r="AB72" s="48">
        <v>0</v>
      </c>
      <c r="AC72" s="48">
        <v>0</v>
      </c>
      <c r="AD72" s="48">
        <v>0</v>
      </c>
      <c r="AE72" s="48">
        <v>0</v>
      </c>
      <c r="AF72" s="48">
        <v>0</v>
      </c>
      <c r="AG72" s="48">
        <v>0</v>
      </c>
      <c r="AH72" s="48">
        <v>0</v>
      </c>
      <c r="AI72" s="48">
        <v>0</v>
      </c>
      <c r="AJ72" s="48">
        <v>0</v>
      </c>
      <c r="AK72" s="48">
        <v>0</v>
      </c>
      <c r="AL72" s="48">
        <v>0</v>
      </c>
      <c r="AM72" s="48">
        <v>0</v>
      </c>
      <c r="AN72" s="48">
        <v>0</v>
      </c>
      <c r="AO72" s="48">
        <v>0</v>
      </c>
      <c r="AP72" s="48">
        <v>0</v>
      </c>
      <c r="AQ72" s="48">
        <v>0</v>
      </c>
      <c r="AR72" s="48">
        <v>0</v>
      </c>
      <c r="AS72" s="48">
        <v>0</v>
      </c>
    </row>
    <row r="73" spans="1:45">
      <c r="A73" s="48" t="s">
        <v>286</v>
      </c>
      <c r="B73" s="48">
        <v>0</v>
      </c>
      <c r="C73" s="48">
        <v>460035935.56999999</v>
      </c>
      <c r="D73" s="48">
        <v>0</v>
      </c>
      <c r="E73" s="48">
        <v>459748074.94999999</v>
      </c>
      <c r="F73" s="48">
        <v>0</v>
      </c>
      <c r="G73" s="48">
        <v>245477362.52000001</v>
      </c>
      <c r="H73" s="48">
        <v>0</v>
      </c>
      <c r="I73" s="48">
        <v>526783301.91000003</v>
      </c>
      <c r="J73" s="48">
        <v>0</v>
      </c>
      <c r="K73" s="48">
        <v>0</v>
      </c>
      <c r="L73" s="48">
        <v>0</v>
      </c>
      <c r="M73" s="48">
        <v>724051265.67999995</v>
      </c>
      <c r="N73" s="48">
        <v>0</v>
      </c>
      <c r="O73" s="48">
        <v>0</v>
      </c>
      <c r="P73" s="48">
        <v>0</v>
      </c>
      <c r="Q73" s="48">
        <v>938979590.42999995</v>
      </c>
      <c r="R73" s="48">
        <v>0</v>
      </c>
      <c r="S73" s="48">
        <v>0</v>
      </c>
      <c r="T73" s="48">
        <v>0</v>
      </c>
      <c r="U73" s="48">
        <v>689368189.73000002</v>
      </c>
      <c r="V73" s="48">
        <v>0</v>
      </c>
      <c r="W73" s="48">
        <v>488508070.24000001</v>
      </c>
      <c r="X73" s="48">
        <v>0</v>
      </c>
      <c r="Y73" s="48">
        <v>662365838.10000002</v>
      </c>
      <c r="Z73" s="48">
        <v>0</v>
      </c>
      <c r="AA73" s="48">
        <v>488006620.79000002</v>
      </c>
      <c r="AB73" s="48">
        <v>0</v>
      </c>
      <c r="AC73" s="48">
        <v>534149707.85000002</v>
      </c>
      <c r="AD73" s="48">
        <v>0</v>
      </c>
      <c r="AE73" s="48">
        <v>639591220.42999995</v>
      </c>
      <c r="AF73" s="48">
        <v>663493108.86000001</v>
      </c>
      <c r="AG73" s="48">
        <v>665154584.65999997</v>
      </c>
      <c r="AH73" s="48">
        <v>627531973.15999997</v>
      </c>
      <c r="AI73" s="48">
        <v>718725533.71000004</v>
      </c>
      <c r="AJ73" s="48">
        <v>836933325.63999999</v>
      </c>
      <c r="AK73" s="48">
        <v>852479699.25999999</v>
      </c>
      <c r="AL73" s="48">
        <v>79196016.939999998</v>
      </c>
      <c r="AM73" s="48">
        <v>63469949.020000003</v>
      </c>
      <c r="AN73" s="48">
        <v>58065135.450000003</v>
      </c>
      <c r="AO73" s="48">
        <v>78477223.810000002</v>
      </c>
      <c r="AP73" s="48">
        <v>48661388.490000002</v>
      </c>
      <c r="AQ73" s="48">
        <v>78997061.840000004</v>
      </c>
      <c r="AR73" s="48">
        <v>44249685.200000003</v>
      </c>
      <c r="AS73" s="48">
        <v>0</v>
      </c>
    </row>
    <row r="74" spans="1:45">
      <c r="A74" s="48" t="s">
        <v>287</v>
      </c>
      <c r="B74" s="48">
        <v>0</v>
      </c>
      <c r="C74" s="48">
        <v>459748074.94999999</v>
      </c>
      <c r="D74" s="48">
        <v>0</v>
      </c>
      <c r="E74" s="48">
        <v>526783301.91000003</v>
      </c>
      <c r="F74" s="48">
        <v>0</v>
      </c>
      <c r="G74" s="48">
        <v>526783301.91000003</v>
      </c>
      <c r="H74" s="48">
        <v>0</v>
      </c>
      <c r="I74" s="48">
        <v>724051265.67999995</v>
      </c>
      <c r="J74" s="48">
        <v>0</v>
      </c>
      <c r="K74" s="48">
        <v>0</v>
      </c>
      <c r="L74" s="48">
        <v>0</v>
      </c>
      <c r="M74" s="48">
        <v>938979590.42999995</v>
      </c>
      <c r="N74" s="48">
        <v>0</v>
      </c>
      <c r="O74" s="48">
        <v>0</v>
      </c>
      <c r="P74" s="48">
        <v>0</v>
      </c>
      <c r="Q74" s="48">
        <v>689368189.73000002</v>
      </c>
      <c r="R74" s="48">
        <v>0</v>
      </c>
      <c r="S74" s="48">
        <v>0</v>
      </c>
      <c r="T74" s="48">
        <v>0</v>
      </c>
      <c r="U74" s="48">
        <v>662365838.10000002</v>
      </c>
      <c r="V74" s="48">
        <v>0</v>
      </c>
      <c r="W74" s="48">
        <v>662365838.10000002</v>
      </c>
      <c r="X74" s="48">
        <v>0</v>
      </c>
      <c r="Y74" s="48">
        <v>534149707.85000002</v>
      </c>
      <c r="Z74" s="48">
        <v>0</v>
      </c>
      <c r="AA74" s="48">
        <v>534153377.06999999</v>
      </c>
      <c r="AB74" s="48">
        <v>0</v>
      </c>
      <c r="AC74" s="48">
        <v>665154584.65999997</v>
      </c>
      <c r="AD74" s="48">
        <v>0</v>
      </c>
      <c r="AE74" s="48">
        <v>665154584.65999997</v>
      </c>
      <c r="AF74" s="48">
        <v>665154584.65999997</v>
      </c>
      <c r="AG74" s="48">
        <v>852479699.25999999</v>
      </c>
      <c r="AH74" s="48">
        <v>852479699.25999999</v>
      </c>
      <c r="AI74" s="48">
        <v>852479699.25999999</v>
      </c>
      <c r="AJ74" s="48">
        <v>853443052.58000004</v>
      </c>
      <c r="AK74" s="48">
        <v>78477223.810000002</v>
      </c>
      <c r="AL74" s="48">
        <v>78477223.810000002</v>
      </c>
      <c r="AM74" s="48">
        <v>78477223.810000002</v>
      </c>
      <c r="AN74" s="48">
        <v>78477223.810000002</v>
      </c>
      <c r="AO74" s="48">
        <v>78997061.840000004</v>
      </c>
      <c r="AP74" s="48">
        <v>78997061.840000004</v>
      </c>
      <c r="AQ74" s="48">
        <v>44249685.200000003</v>
      </c>
      <c r="AR74" s="48">
        <v>19958770.719999999</v>
      </c>
      <c r="AS74" s="48">
        <v>0</v>
      </c>
    </row>
    <row r="75" spans="1:45">
      <c r="A75" s="48" t="s">
        <v>288</v>
      </c>
      <c r="B75" s="48">
        <v>0</v>
      </c>
      <c r="C75" s="48">
        <v>0</v>
      </c>
      <c r="D75" s="48">
        <v>0</v>
      </c>
      <c r="E75" s="48">
        <v>0</v>
      </c>
      <c r="F75" s="48">
        <v>0</v>
      </c>
      <c r="G75" s="48">
        <v>0</v>
      </c>
      <c r="H75" s="48">
        <v>0</v>
      </c>
      <c r="I75" s="48">
        <v>0</v>
      </c>
      <c r="J75" s="48">
        <v>0</v>
      </c>
      <c r="K75" s="48">
        <v>419767151.94</v>
      </c>
      <c r="L75" s="48">
        <v>0</v>
      </c>
      <c r="M75" s="48">
        <v>0</v>
      </c>
      <c r="N75" s="48">
        <v>0</v>
      </c>
      <c r="O75" s="48">
        <v>544759123.21000004</v>
      </c>
      <c r="P75" s="48">
        <v>0</v>
      </c>
      <c r="Q75" s="48">
        <v>0</v>
      </c>
      <c r="R75" s="48">
        <v>0</v>
      </c>
      <c r="S75" s="48">
        <v>646698415.91999996</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row>
    <row r="76" spans="1:45">
      <c r="A76" s="48" t="s">
        <v>289</v>
      </c>
      <c r="B76" s="48">
        <v>0</v>
      </c>
      <c r="C76" s="48">
        <v>0</v>
      </c>
      <c r="D76" s="48">
        <v>0</v>
      </c>
      <c r="E76" s="48">
        <v>0</v>
      </c>
      <c r="F76" s="48">
        <v>0</v>
      </c>
      <c r="G76" s="48">
        <v>0</v>
      </c>
      <c r="H76" s="48">
        <v>0</v>
      </c>
      <c r="I76" s="48">
        <v>0</v>
      </c>
      <c r="J76" s="48">
        <v>0</v>
      </c>
      <c r="K76" s="48">
        <v>724051265.67999995</v>
      </c>
      <c r="L76" s="48">
        <v>0</v>
      </c>
      <c r="M76" s="48">
        <v>0</v>
      </c>
      <c r="N76" s="48">
        <v>0</v>
      </c>
      <c r="O76" s="48">
        <v>938979590.42999995</v>
      </c>
      <c r="P76" s="48">
        <v>0</v>
      </c>
      <c r="Q76" s="48">
        <v>0</v>
      </c>
      <c r="R76" s="48">
        <v>0</v>
      </c>
      <c r="S76" s="48">
        <v>689368189.73000002</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row>
    <row r="77" spans="1:45">
      <c r="A77" s="48" t="s">
        <v>290</v>
      </c>
      <c r="B77" s="48">
        <v>0</v>
      </c>
      <c r="C77" s="48">
        <v>287860.62</v>
      </c>
      <c r="D77" s="48">
        <v>0</v>
      </c>
      <c r="E77" s="48">
        <v>-67035226.960000001</v>
      </c>
      <c r="F77" s="48">
        <v>0</v>
      </c>
      <c r="G77" s="48">
        <v>-281305939.38999999</v>
      </c>
      <c r="H77" s="48">
        <v>0</v>
      </c>
      <c r="I77" s="48">
        <v>-197267963.77000001</v>
      </c>
      <c r="J77" s="48">
        <v>0</v>
      </c>
      <c r="K77" s="48">
        <v>-304284113.74000001</v>
      </c>
      <c r="L77" s="48">
        <v>0</v>
      </c>
      <c r="M77" s="48">
        <v>-214928324.75</v>
      </c>
      <c r="N77" s="48">
        <v>0</v>
      </c>
      <c r="O77" s="48">
        <v>-394220467.22000003</v>
      </c>
      <c r="P77" s="48">
        <v>0</v>
      </c>
      <c r="Q77" s="48">
        <v>249611400.69999999</v>
      </c>
      <c r="R77" s="48">
        <v>0</v>
      </c>
      <c r="S77" s="48">
        <v>-42669773.810000002</v>
      </c>
      <c r="T77" s="48">
        <v>0</v>
      </c>
      <c r="U77" s="48">
        <v>27002351.629999999</v>
      </c>
      <c r="V77" s="48">
        <v>0</v>
      </c>
      <c r="W77" s="48">
        <v>-173857767.86000001</v>
      </c>
      <c r="X77" s="48">
        <v>0</v>
      </c>
      <c r="Y77" s="48">
        <v>128216130.25</v>
      </c>
      <c r="Z77" s="48">
        <v>0</v>
      </c>
      <c r="AA77" s="48">
        <v>-46146756.280000001</v>
      </c>
      <c r="AB77" s="48">
        <v>0</v>
      </c>
      <c r="AC77" s="48">
        <v>-131004876.81</v>
      </c>
      <c r="AD77" s="48">
        <v>0</v>
      </c>
      <c r="AE77" s="48">
        <v>-25563364.23</v>
      </c>
      <c r="AF77" s="48">
        <v>-1661475.8</v>
      </c>
      <c r="AG77" s="48">
        <v>-187325114.59999999</v>
      </c>
      <c r="AH77" s="48">
        <v>-224947726.09999999</v>
      </c>
      <c r="AI77" s="48">
        <v>-133754165.55</v>
      </c>
      <c r="AJ77" s="48">
        <v>-16509726.939999999</v>
      </c>
      <c r="AK77" s="48">
        <v>774002475.45000005</v>
      </c>
      <c r="AL77" s="48">
        <v>718793.13</v>
      </c>
      <c r="AM77" s="48">
        <v>-15007274.789999999</v>
      </c>
      <c r="AN77" s="48">
        <v>-20412088.359999999</v>
      </c>
      <c r="AO77" s="48">
        <v>-519838.03</v>
      </c>
      <c r="AP77" s="48">
        <v>-30335673.350000001</v>
      </c>
      <c r="AQ77" s="48">
        <v>34747376.640000001</v>
      </c>
      <c r="AR77" s="48">
        <v>24290914.48</v>
      </c>
      <c r="AS77" s="4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53" sqref="E53"/>
    </sheetView>
  </sheetViews>
  <sheetFormatPr defaultRowHeight="13.5"/>
  <cols>
    <col min="1" max="1" width="31.875" bestFit="1" customWidth="1"/>
    <col min="2" max="4" width="19.37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38" width="17.25" hidden="1" customWidth="1"/>
    <col min="39" max="39" width="18.25" hidden="1" customWidth="1"/>
    <col min="40" max="42" width="18.25" bestFit="1" customWidth="1"/>
    <col min="43" max="43" width="9.5" hidden="1" customWidth="1"/>
    <col min="44" max="84" width="19.375" bestFit="1" customWidth="1"/>
    <col min="85" max="87" width="17.25" bestFit="1" customWidth="1"/>
    <col min="88" max="89" width="16.125" bestFit="1" customWidth="1"/>
    <col min="90" max="90" width="7.375" bestFit="1" customWidth="1"/>
  </cols>
  <sheetData>
    <row r="1" spans="1:90" s="49" customFormat="1">
      <c r="A1" s="49">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20081231</v>
      </c>
      <c r="AO1" s="48">
        <v>20071231</v>
      </c>
      <c r="AP1" s="48">
        <v>20061231</v>
      </c>
      <c r="AQ1" s="48">
        <v>19700101</v>
      </c>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row>
    <row r="2" spans="1:90">
      <c r="A2" s="2" t="s">
        <v>0</v>
      </c>
      <c r="B2" s="33"/>
      <c r="C2" s="33"/>
      <c r="D2" s="33"/>
      <c r="E2" s="33"/>
      <c r="F2" s="33"/>
      <c r="G2" s="33"/>
      <c r="H2" s="33"/>
      <c r="I2" s="33"/>
      <c r="J2" s="33"/>
      <c r="K2" s="33"/>
      <c r="L2" s="30"/>
    </row>
    <row r="3" spans="1:90">
      <c r="A3" s="2" t="s">
        <v>316</v>
      </c>
      <c r="B3" s="33"/>
      <c r="C3" s="33"/>
      <c r="D3" s="33"/>
      <c r="E3" s="33"/>
      <c r="F3" s="33"/>
      <c r="G3" s="33"/>
      <c r="H3" s="33"/>
      <c r="I3" s="33"/>
      <c r="J3" s="33"/>
      <c r="K3" s="33"/>
      <c r="L3" s="30"/>
    </row>
    <row r="4" spans="1:90">
      <c r="A4" t="s">
        <v>1</v>
      </c>
      <c r="B4" s="48">
        <v>327379876.77999997</v>
      </c>
      <c r="C4" s="48">
        <v>483027574.06999999</v>
      </c>
      <c r="D4" s="48">
        <v>650350112.45000005</v>
      </c>
      <c r="E4" s="48">
        <v>487793476.30000001</v>
      </c>
      <c r="F4" s="48">
        <v>453443896.37</v>
      </c>
      <c r="G4" s="48">
        <v>270725427.14999998</v>
      </c>
      <c r="H4" s="48">
        <v>437399309.26999998</v>
      </c>
      <c r="I4" s="48">
        <v>553442517.54999995</v>
      </c>
      <c r="J4" s="48">
        <v>392984863.17000002</v>
      </c>
      <c r="K4" s="48">
        <v>427624009.98000002</v>
      </c>
      <c r="L4" s="48">
        <v>562010036.55999994</v>
      </c>
      <c r="M4" s="48">
        <v>747939234.26999998</v>
      </c>
      <c r="N4" s="48">
        <v>798736604.16999996</v>
      </c>
      <c r="O4" s="48">
        <v>562510971.26999998</v>
      </c>
      <c r="P4" s="48">
        <v>909436222.82000005</v>
      </c>
      <c r="Q4" s="48">
        <v>964507014.34000003</v>
      </c>
      <c r="R4" s="48">
        <v>755741642.29999995</v>
      </c>
      <c r="S4" s="48">
        <v>665116750.71000004</v>
      </c>
      <c r="T4" s="48">
        <v>763230395.60000002</v>
      </c>
      <c r="U4" s="48">
        <v>703488319.61000001</v>
      </c>
      <c r="V4" s="48">
        <v>501180113.66000003</v>
      </c>
      <c r="W4" s="48">
        <v>502241523.37</v>
      </c>
      <c r="X4" s="48">
        <v>602246499.29999995</v>
      </c>
      <c r="Y4" s="48">
        <v>673380231.46000004</v>
      </c>
      <c r="Z4" s="48">
        <v>643489726.26999998</v>
      </c>
      <c r="AA4" s="48">
        <v>488036620.79000002</v>
      </c>
      <c r="AB4" s="48">
        <v>510333384.02999997</v>
      </c>
      <c r="AC4" s="48">
        <v>534179707.85000002</v>
      </c>
      <c r="AD4" s="48">
        <v>523746129.82999998</v>
      </c>
      <c r="AE4" s="48">
        <v>641391460.04999995</v>
      </c>
      <c r="AF4" s="48">
        <v>665322811.37</v>
      </c>
      <c r="AG4" s="48">
        <v>666518672.60000002</v>
      </c>
      <c r="AH4" s="48">
        <v>628738523.15999997</v>
      </c>
      <c r="AI4" s="48">
        <v>719788534.54999995</v>
      </c>
      <c r="AJ4" s="48">
        <v>836933325.63999999</v>
      </c>
      <c r="AK4" s="48">
        <v>853443052.58000004</v>
      </c>
      <c r="AL4" s="48">
        <v>79196016.939999998</v>
      </c>
      <c r="AM4" s="48">
        <v>63469949.020000003</v>
      </c>
      <c r="AN4" s="48">
        <v>78477223.810000002</v>
      </c>
      <c r="AO4" s="48">
        <v>78997061.840000004</v>
      </c>
      <c r="AP4" s="48">
        <v>44249685.200000003</v>
      </c>
      <c r="AQ4" s="48">
        <v>0</v>
      </c>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c r="CL4" s="48"/>
    </row>
    <row r="5" spans="1:90">
      <c r="A5" t="s">
        <v>2</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c r="AS5" s="48"/>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c r="CL5" s="48"/>
    </row>
    <row r="6" spans="1:90">
      <c r="A6" t="s">
        <v>13</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row>
    <row r="7" spans="1:90">
      <c r="A7" t="s">
        <v>4</v>
      </c>
      <c r="B7" s="48">
        <v>0</v>
      </c>
      <c r="C7" s="48">
        <v>0</v>
      </c>
      <c r="D7" s="48">
        <v>0</v>
      </c>
      <c r="E7" s="48">
        <v>0</v>
      </c>
      <c r="F7" s="48">
        <v>0</v>
      </c>
      <c r="G7" s="48">
        <v>0</v>
      </c>
      <c r="H7" s="48">
        <v>0</v>
      </c>
      <c r="I7" s="48">
        <v>0</v>
      </c>
      <c r="J7" s="48">
        <v>0</v>
      </c>
      <c r="K7" s="48">
        <v>0</v>
      </c>
      <c r="L7" s="48">
        <v>0</v>
      </c>
      <c r="M7" s="48">
        <v>0</v>
      </c>
      <c r="N7" s="48">
        <v>0</v>
      </c>
      <c r="O7" s="48">
        <v>0</v>
      </c>
      <c r="P7" s="48">
        <v>0</v>
      </c>
      <c r="Q7" s="48">
        <v>0</v>
      </c>
      <c r="R7" s="48">
        <v>0</v>
      </c>
      <c r="S7" s="48">
        <v>0</v>
      </c>
      <c r="T7" s="48">
        <v>0</v>
      </c>
      <c r="U7" s="48">
        <v>0</v>
      </c>
      <c r="V7" s="48">
        <v>0</v>
      </c>
      <c r="W7" s="48">
        <v>0</v>
      </c>
      <c r="X7" s="48">
        <v>0</v>
      </c>
      <c r="Y7" s="48">
        <v>0</v>
      </c>
      <c r="Z7" s="48">
        <v>0</v>
      </c>
      <c r="AA7" s="48">
        <v>0</v>
      </c>
      <c r="AB7" s="48">
        <v>0</v>
      </c>
      <c r="AC7" s="48">
        <v>0</v>
      </c>
      <c r="AD7" s="48">
        <v>0</v>
      </c>
      <c r="AE7" s="48">
        <v>0</v>
      </c>
      <c r="AF7" s="48">
        <v>0</v>
      </c>
      <c r="AG7" s="48">
        <v>0</v>
      </c>
      <c r="AH7" s="48">
        <v>0</v>
      </c>
      <c r="AI7" s="48">
        <v>0</v>
      </c>
      <c r="AJ7" s="48">
        <v>0</v>
      </c>
      <c r="AK7" s="48">
        <v>0</v>
      </c>
      <c r="AL7" s="48">
        <v>0</v>
      </c>
      <c r="AM7" s="48">
        <v>0</v>
      </c>
      <c r="AN7" s="48">
        <v>0</v>
      </c>
      <c r="AO7" s="48">
        <v>0</v>
      </c>
      <c r="AP7" s="48">
        <v>0</v>
      </c>
      <c r="AQ7" s="48">
        <v>0</v>
      </c>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row>
    <row r="8" spans="1:90">
      <c r="A8" t="s">
        <v>5</v>
      </c>
      <c r="B8" s="48">
        <v>224500000</v>
      </c>
      <c r="C8" s="48">
        <v>224500000</v>
      </c>
      <c r="D8" s="48">
        <v>224500000</v>
      </c>
      <c r="E8" s="48">
        <v>224500000</v>
      </c>
      <c r="F8" s="48">
        <v>224500000</v>
      </c>
      <c r="G8" s="48">
        <v>224500000</v>
      </c>
      <c r="H8" s="48">
        <v>224500000</v>
      </c>
      <c r="I8" s="48">
        <v>224500000</v>
      </c>
      <c r="J8" s="48">
        <v>224500000</v>
      </c>
      <c r="K8" s="48">
        <v>224500000</v>
      </c>
      <c r="L8" s="48">
        <v>224500000</v>
      </c>
      <c r="M8" s="48">
        <v>224500000</v>
      </c>
      <c r="N8" s="48">
        <v>0</v>
      </c>
      <c r="O8" s="48">
        <v>0</v>
      </c>
      <c r="P8" s="48">
        <v>0</v>
      </c>
      <c r="Q8" s="48">
        <v>0</v>
      </c>
      <c r="R8" s="48">
        <v>0</v>
      </c>
      <c r="S8" s="48">
        <v>0</v>
      </c>
      <c r="T8" s="48">
        <v>0</v>
      </c>
      <c r="U8" s="48">
        <v>0</v>
      </c>
      <c r="V8" s="48">
        <v>0</v>
      </c>
      <c r="W8" s="48">
        <v>0</v>
      </c>
      <c r="X8" s="48">
        <v>0</v>
      </c>
      <c r="Y8" s="48">
        <v>0</v>
      </c>
      <c r="Z8" s="48">
        <v>0</v>
      </c>
      <c r="AA8" s="48">
        <v>0</v>
      </c>
      <c r="AB8" s="48">
        <v>0</v>
      </c>
      <c r="AC8" s="48">
        <v>0</v>
      </c>
      <c r="AD8" s="48">
        <v>0</v>
      </c>
      <c r="AE8" s="48">
        <v>0</v>
      </c>
      <c r="AF8" s="48">
        <v>0</v>
      </c>
      <c r="AG8" s="48">
        <v>0</v>
      </c>
      <c r="AH8" s="48">
        <v>0</v>
      </c>
      <c r="AI8" s="48">
        <v>0</v>
      </c>
      <c r="AJ8" s="48">
        <v>0</v>
      </c>
      <c r="AK8" s="48">
        <v>0</v>
      </c>
      <c r="AL8" s="48">
        <v>0</v>
      </c>
      <c r="AM8" s="48">
        <v>0</v>
      </c>
      <c r="AN8" s="48">
        <v>0</v>
      </c>
      <c r="AO8" s="48">
        <v>0</v>
      </c>
      <c r="AP8" s="48">
        <v>0</v>
      </c>
      <c r="AQ8" s="48">
        <v>0</v>
      </c>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row>
    <row r="9" spans="1:90">
      <c r="A9" t="s">
        <v>6</v>
      </c>
      <c r="B9" s="48">
        <v>0</v>
      </c>
      <c r="C9" s="48">
        <v>0</v>
      </c>
      <c r="D9" s="48">
        <v>0</v>
      </c>
      <c r="E9" s="48">
        <v>0</v>
      </c>
      <c r="F9" s="48">
        <v>0</v>
      </c>
      <c r="G9" s="48">
        <v>0</v>
      </c>
      <c r="H9" s="48">
        <v>0</v>
      </c>
      <c r="I9" s="48">
        <v>0</v>
      </c>
      <c r="J9" s="48">
        <v>0</v>
      </c>
      <c r="K9" s="48">
        <v>0</v>
      </c>
      <c r="L9" s="48">
        <v>0</v>
      </c>
      <c r="M9" s="48">
        <v>0</v>
      </c>
      <c r="N9" s="48">
        <v>0</v>
      </c>
      <c r="O9" s="48">
        <v>0</v>
      </c>
      <c r="P9" s="48">
        <v>0</v>
      </c>
      <c r="Q9" s="48">
        <v>0</v>
      </c>
      <c r="R9" s="48">
        <v>0</v>
      </c>
      <c r="S9" s="48">
        <v>0</v>
      </c>
      <c r="T9" s="48">
        <v>0</v>
      </c>
      <c r="U9" s="48">
        <v>0</v>
      </c>
      <c r="V9" s="48">
        <v>0</v>
      </c>
      <c r="W9" s="48">
        <v>0</v>
      </c>
      <c r="X9" s="48">
        <v>0</v>
      </c>
      <c r="Y9" s="48">
        <v>0</v>
      </c>
      <c r="Z9" s="48">
        <v>0</v>
      </c>
      <c r="AA9" s="48">
        <v>0</v>
      </c>
      <c r="AB9" s="48">
        <v>0</v>
      </c>
      <c r="AC9" s="48">
        <v>0</v>
      </c>
      <c r="AD9" s="48">
        <v>0</v>
      </c>
      <c r="AE9" s="48">
        <v>0</v>
      </c>
      <c r="AF9" s="48">
        <v>0</v>
      </c>
      <c r="AG9" s="48">
        <v>0</v>
      </c>
      <c r="AH9" s="48">
        <v>0</v>
      </c>
      <c r="AI9" s="48">
        <v>0</v>
      </c>
      <c r="AJ9" s="48">
        <v>0</v>
      </c>
      <c r="AK9" s="48">
        <v>0</v>
      </c>
      <c r="AL9" s="48">
        <v>0</v>
      </c>
      <c r="AM9" s="48">
        <v>0</v>
      </c>
      <c r="AN9" s="48">
        <v>0</v>
      </c>
      <c r="AO9" s="48">
        <v>0</v>
      </c>
      <c r="AP9" s="48">
        <v>0</v>
      </c>
      <c r="AQ9" s="48">
        <v>0</v>
      </c>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row>
    <row r="10" spans="1:90">
      <c r="A10" s="3" t="s">
        <v>7</v>
      </c>
      <c r="B10" s="48">
        <v>0</v>
      </c>
      <c r="C10" s="48">
        <v>0</v>
      </c>
      <c r="D10" s="48">
        <v>0</v>
      </c>
      <c r="E10" s="48">
        <v>0</v>
      </c>
      <c r="F10" s="48">
        <v>0</v>
      </c>
      <c r="G10" s="48">
        <v>0</v>
      </c>
      <c r="H10" s="48">
        <v>0</v>
      </c>
      <c r="I10" s="48">
        <v>0</v>
      </c>
      <c r="J10" s="48">
        <v>0</v>
      </c>
      <c r="K10" s="48">
        <v>0</v>
      </c>
      <c r="L10" s="48">
        <v>0</v>
      </c>
      <c r="M10" s="48">
        <v>0</v>
      </c>
      <c r="N10" s="48">
        <v>0</v>
      </c>
      <c r="O10" s="48">
        <v>0</v>
      </c>
      <c r="P10" s="48">
        <v>0</v>
      </c>
      <c r="Q10" s="48">
        <v>0</v>
      </c>
      <c r="R10" s="48">
        <v>0</v>
      </c>
      <c r="S10" s="48">
        <v>0</v>
      </c>
      <c r="T10" s="48">
        <v>0</v>
      </c>
      <c r="U10" s="48">
        <v>0</v>
      </c>
      <c r="V10" s="48">
        <v>0</v>
      </c>
      <c r="W10" s="48">
        <v>0</v>
      </c>
      <c r="X10" s="48">
        <v>0</v>
      </c>
      <c r="Y10" s="48">
        <v>0</v>
      </c>
      <c r="Z10" s="48">
        <v>0</v>
      </c>
      <c r="AA10" s="48">
        <v>0</v>
      </c>
      <c r="AB10" s="48">
        <v>0</v>
      </c>
      <c r="AC10" s="48">
        <v>0</v>
      </c>
      <c r="AD10" s="48">
        <v>0</v>
      </c>
      <c r="AE10" s="48">
        <v>0</v>
      </c>
      <c r="AF10" s="48">
        <v>0</v>
      </c>
      <c r="AG10" s="48">
        <v>0</v>
      </c>
      <c r="AH10" s="48">
        <v>0</v>
      </c>
      <c r="AI10" s="48">
        <v>0</v>
      </c>
      <c r="AJ10" s="48">
        <v>0</v>
      </c>
      <c r="AK10" s="48">
        <v>0</v>
      </c>
      <c r="AL10" s="48">
        <v>0</v>
      </c>
      <c r="AM10" s="48">
        <v>0</v>
      </c>
      <c r="AN10" s="48">
        <v>0</v>
      </c>
      <c r="AO10" s="48">
        <v>0</v>
      </c>
      <c r="AP10" s="48">
        <v>0</v>
      </c>
      <c r="AQ10" s="48">
        <v>0</v>
      </c>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c r="CL10" s="48"/>
    </row>
    <row r="11" spans="1:90">
      <c r="A11" t="s">
        <v>8</v>
      </c>
      <c r="B11" s="48">
        <v>0</v>
      </c>
      <c r="C11" s="48">
        <v>0</v>
      </c>
      <c r="D11" s="48">
        <v>0</v>
      </c>
      <c r="E11" s="48">
        <v>0</v>
      </c>
      <c r="F11" s="48">
        <v>0</v>
      </c>
      <c r="G11" s="48">
        <v>0</v>
      </c>
      <c r="H11" s="48">
        <v>0</v>
      </c>
      <c r="I11" s="48">
        <v>0</v>
      </c>
      <c r="J11" s="48">
        <v>0</v>
      </c>
      <c r="K11" s="48">
        <v>0</v>
      </c>
      <c r="L11" s="48">
        <v>0</v>
      </c>
      <c r="M11" s="48">
        <v>0</v>
      </c>
      <c r="N11" s="48">
        <v>0</v>
      </c>
      <c r="O11" s="48">
        <v>0</v>
      </c>
      <c r="P11" s="48">
        <v>0</v>
      </c>
      <c r="Q11" s="48">
        <v>0</v>
      </c>
      <c r="R11" s="48">
        <v>0</v>
      </c>
      <c r="S11" s="48">
        <v>0</v>
      </c>
      <c r="T11" s="48">
        <v>0</v>
      </c>
      <c r="U11" s="48">
        <v>0</v>
      </c>
      <c r="V11" s="48">
        <v>0</v>
      </c>
      <c r="W11" s="48">
        <v>0</v>
      </c>
      <c r="X11" s="48">
        <v>0</v>
      </c>
      <c r="Y11" s="48">
        <v>0</v>
      </c>
      <c r="Z11" s="48">
        <v>0</v>
      </c>
      <c r="AA11" s="48">
        <v>0</v>
      </c>
      <c r="AB11" s="48">
        <v>0</v>
      </c>
      <c r="AC11" s="48">
        <v>0</v>
      </c>
      <c r="AD11" s="48">
        <v>0</v>
      </c>
      <c r="AE11" s="48">
        <v>0</v>
      </c>
      <c r="AF11" s="48">
        <v>0</v>
      </c>
      <c r="AG11" s="48">
        <v>0</v>
      </c>
      <c r="AH11" s="48">
        <v>0</v>
      </c>
      <c r="AI11" s="48">
        <v>0</v>
      </c>
      <c r="AJ11" s="48">
        <v>0</v>
      </c>
      <c r="AK11" s="48">
        <v>0</v>
      </c>
      <c r="AL11" s="48">
        <v>0</v>
      </c>
      <c r="AM11" s="48">
        <v>0</v>
      </c>
      <c r="AN11" s="48">
        <v>0</v>
      </c>
      <c r="AO11" s="48">
        <v>0</v>
      </c>
      <c r="AP11" s="48">
        <v>0</v>
      </c>
      <c r="AQ11" s="48">
        <v>0</v>
      </c>
      <c r="AR11" s="48"/>
      <c r="AS11" s="48"/>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c r="CB11" s="48"/>
      <c r="CC11" s="48"/>
      <c r="CD11" s="48"/>
      <c r="CE11" s="48"/>
      <c r="CF11" s="48"/>
      <c r="CG11" s="48"/>
      <c r="CH11" s="48"/>
      <c r="CI11" s="48"/>
      <c r="CJ11" s="48"/>
      <c r="CK11" s="48"/>
      <c r="CL11" s="48"/>
    </row>
    <row r="12" spans="1:90">
      <c r="A12" t="s">
        <v>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c r="AS12" s="48"/>
      <c r="AT12" s="48"/>
      <c r="AU12" s="48"/>
      <c r="AV12" s="48"/>
      <c r="AW12" s="48"/>
      <c r="AX12" s="48"/>
      <c r="AY12" s="48"/>
      <c r="AZ12" s="48"/>
      <c r="BA12" s="48"/>
      <c r="BB12" s="48"/>
      <c r="BC12" s="48"/>
      <c r="BD12" s="48"/>
      <c r="BE12" s="48"/>
      <c r="BF12" s="48"/>
      <c r="BG12" s="48"/>
      <c r="BH12" s="48"/>
      <c r="BI12" s="48"/>
      <c r="BJ12" s="48"/>
      <c r="BK12" s="48"/>
      <c r="BL12" s="48"/>
      <c r="BM12" s="48"/>
      <c r="BN12" s="48"/>
      <c r="BO12" s="48"/>
      <c r="BP12" s="48"/>
      <c r="BQ12" s="48"/>
      <c r="BR12" s="48"/>
      <c r="BS12" s="48"/>
      <c r="BT12" s="48"/>
      <c r="BU12" s="48"/>
      <c r="BV12" s="48"/>
      <c r="BW12" s="48"/>
      <c r="BX12" s="48"/>
      <c r="BY12" s="48"/>
      <c r="BZ12" s="48"/>
      <c r="CA12" s="48"/>
      <c r="CB12" s="48"/>
      <c r="CC12" s="48"/>
      <c r="CD12" s="48"/>
      <c r="CE12" s="48"/>
      <c r="CF12" s="48"/>
      <c r="CG12" s="48"/>
      <c r="CH12" s="48"/>
      <c r="CI12" s="48"/>
      <c r="CJ12" s="48"/>
      <c r="CK12" s="48"/>
      <c r="CL12" s="48"/>
    </row>
    <row r="13" spans="1:90">
      <c r="A13" t="s">
        <v>10</v>
      </c>
      <c r="B13" s="48">
        <v>0</v>
      </c>
      <c r="C13" s="48">
        <v>0</v>
      </c>
      <c r="D13" s="48">
        <v>0</v>
      </c>
      <c r="E13" s="48">
        <v>0</v>
      </c>
      <c r="F13" s="48">
        <v>1125438.3700000001</v>
      </c>
      <c r="G13" s="48">
        <v>9949821.9299999997</v>
      </c>
      <c r="H13" s="48">
        <v>16196054.789999999</v>
      </c>
      <c r="I13" s="48">
        <v>0</v>
      </c>
      <c r="J13" s="48">
        <v>6196369.8600000003</v>
      </c>
      <c r="K13" s="48">
        <v>4663767.12</v>
      </c>
      <c r="L13" s="48">
        <v>8863150.6799999997</v>
      </c>
      <c r="M13" s="48">
        <v>847671.23</v>
      </c>
      <c r="N13" s="48">
        <v>10974553.42</v>
      </c>
      <c r="O13" s="48">
        <v>8071013.7000000002</v>
      </c>
      <c r="P13" s="48">
        <v>0</v>
      </c>
      <c r="Q13" s="48">
        <v>471664.49</v>
      </c>
      <c r="R13" s="48">
        <v>0</v>
      </c>
      <c r="S13" s="48">
        <v>0</v>
      </c>
      <c r="T13" s="48">
        <v>0</v>
      </c>
      <c r="U13" s="48">
        <v>3002589.11</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c r="AR13" s="48"/>
      <c r="AS13" s="48"/>
      <c r="AT13" s="48"/>
      <c r="AU13" s="48"/>
      <c r="AV13" s="48"/>
      <c r="AW13" s="48"/>
      <c r="AX13" s="48"/>
      <c r="AY13" s="48"/>
      <c r="AZ13" s="48"/>
      <c r="BA13" s="48"/>
      <c r="BB13" s="48"/>
      <c r="BC13" s="48"/>
      <c r="BD13" s="48"/>
      <c r="BE13" s="48"/>
      <c r="BF13" s="48"/>
      <c r="BG13" s="48"/>
      <c r="BH13" s="48"/>
      <c r="BI13" s="48"/>
      <c r="BJ13" s="48"/>
      <c r="BK13" s="48"/>
      <c r="BL13" s="48"/>
      <c r="BM13" s="48"/>
      <c r="BN13" s="48"/>
      <c r="BO13" s="48"/>
      <c r="BP13" s="48"/>
      <c r="BQ13" s="48"/>
      <c r="BR13" s="48"/>
      <c r="BS13" s="48"/>
      <c r="BT13" s="48"/>
      <c r="BU13" s="48"/>
      <c r="BV13" s="48"/>
      <c r="BW13" s="48"/>
      <c r="BX13" s="48"/>
      <c r="BY13" s="48"/>
      <c r="BZ13" s="48"/>
      <c r="CA13" s="48"/>
      <c r="CB13" s="48"/>
      <c r="CC13" s="48"/>
      <c r="CD13" s="48"/>
      <c r="CE13" s="48"/>
      <c r="CF13" s="48"/>
      <c r="CG13" s="48"/>
      <c r="CH13" s="48"/>
      <c r="CI13" s="48"/>
      <c r="CJ13" s="48"/>
      <c r="CK13" s="48"/>
      <c r="CL13" s="48"/>
    </row>
    <row r="14" spans="1:90" hidden="1">
      <c r="B14" s="33"/>
      <c r="C14" s="33"/>
      <c r="D14" s="33"/>
      <c r="E14" s="33"/>
      <c r="F14" s="33"/>
      <c r="G14" s="33"/>
      <c r="H14" s="33"/>
      <c r="I14" s="33"/>
      <c r="J14" s="33"/>
      <c r="K14" s="33"/>
      <c r="L14" s="30"/>
    </row>
    <row r="15" spans="1:90" hidden="1">
      <c r="B15" s="33"/>
      <c r="C15" s="33"/>
      <c r="D15" s="33"/>
      <c r="E15" s="33"/>
      <c r="F15" s="33"/>
      <c r="G15" s="33"/>
      <c r="H15" s="33"/>
      <c r="I15" s="33"/>
      <c r="J15" s="33"/>
      <c r="K15" s="33"/>
      <c r="L15" s="30"/>
    </row>
    <row r="16" spans="1:90" hidden="1">
      <c r="B16" s="33"/>
      <c r="C16" s="33"/>
      <c r="D16" s="33"/>
      <c r="E16" s="33"/>
      <c r="F16" s="33"/>
      <c r="G16" s="33"/>
      <c r="H16" s="33"/>
      <c r="I16" s="33"/>
      <c r="J16" s="33"/>
      <c r="K16" s="33"/>
      <c r="L16" s="30"/>
    </row>
    <row r="17" spans="1:90" s="6" customFormat="1">
      <c r="A17" s="6" t="s">
        <v>11</v>
      </c>
      <c r="B17" s="41">
        <f>SUM(B4:B13)</f>
        <v>551879876.77999997</v>
      </c>
      <c r="C17" s="41">
        <f t="shared" ref="C17:BN17" si="0">SUM(C4:C13)</f>
        <v>707527574.06999993</v>
      </c>
      <c r="D17" s="41">
        <f t="shared" si="0"/>
        <v>874850112.45000005</v>
      </c>
      <c r="E17" s="41">
        <f t="shared" si="0"/>
        <v>712293476.29999995</v>
      </c>
      <c r="F17" s="41">
        <f t="shared" si="0"/>
        <v>679069334.74000001</v>
      </c>
      <c r="G17" s="41">
        <f t="shared" si="0"/>
        <v>505175249.07999998</v>
      </c>
      <c r="H17" s="41">
        <f t="shared" si="0"/>
        <v>678095364.05999994</v>
      </c>
      <c r="I17" s="41">
        <f t="shared" si="0"/>
        <v>777942517.54999995</v>
      </c>
      <c r="J17" s="41">
        <f t="shared" si="0"/>
        <v>623681233.03000009</v>
      </c>
      <c r="K17" s="41">
        <f t="shared" si="0"/>
        <v>656787777.10000002</v>
      </c>
      <c r="L17" s="41">
        <f t="shared" si="0"/>
        <v>795373187.23999989</v>
      </c>
      <c r="M17" s="41">
        <f t="shared" si="0"/>
        <v>973286905.5</v>
      </c>
      <c r="N17" s="41">
        <f t="shared" si="0"/>
        <v>809711157.58999991</v>
      </c>
      <c r="O17" s="41">
        <f t="shared" si="0"/>
        <v>570581984.97000003</v>
      </c>
      <c r="P17" s="41">
        <f t="shared" si="0"/>
        <v>909436222.82000005</v>
      </c>
      <c r="Q17" s="41">
        <f t="shared" si="0"/>
        <v>964978678.83000004</v>
      </c>
      <c r="R17" s="41">
        <f t="shared" si="0"/>
        <v>755741642.29999995</v>
      </c>
      <c r="S17" s="41">
        <f t="shared" si="0"/>
        <v>665116750.71000004</v>
      </c>
      <c r="T17" s="41">
        <f t="shared" si="0"/>
        <v>763230395.60000002</v>
      </c>
      <c r="U17" s="41">
        <f t="shared" si="0"/>
        <v>706490908.72000003</v>
      </c>
      <c r="V17" s="41">
        <f t="shared" si="0"/>
        <v>501180113.66000003</v>
      </c>
      <c r="W17" s="41">
        <f t="shared" si="0"/>
        <v>502241523.37</v>
      </c>
      <c r="X17" s="41">
        <f t="shared" si="0"/>
        <v>602246499.29999995</v>
      </c>
      <c r="Y17" s="41">
        <f t="shared" si="0"/>
        <v>673380231.46000004</v>
      </c>
      <c r="Z17" s="41">
        <f t="shared" si="0"/>
        <v>643489726.26999998</v>
      </c>
      <c r="AA17" s="41">
        <f t="shared" si="0"/>
        <v>488036620.79000002</v>
      </c>
      <c r="AB17" s="41">
        <f t="shared" si="0"/>
        <v>510333384.02999997</v>
      </c>
      <c r="AC17" s="41">
        <f t="shared" si="0"/>
        <v>534179707.85000002</v>
      </c>
      <c r="AD17" s="41">
        <f t="shared" si="0"/>
        <v>523746129.82999998</v>
      </c>
      <c r="AE17" s="41">
        <f t="shared" si="0"/>
        <v>641391460.04999995</v>
      </c>
      <c r="AF17" s="41">
        <f t="shared" si="0"/>
        <v>665322811.37</v>
      </c>
      <c r="AG17" s="41">
        <f t="shared" si="0"/>
        <v>666518672.60000002</v>
      </c>
      <c r="AH17" s="41">
        <f t="shared" si="0"/>
        <v>628738523.15999997</v>
      </c>
      <c r="AI17" s="41">
        <f t="shared" si="0"/>
        <v>719788534.54999995</v>
      </c>
      <c r="AJ17" s="41">
        <f t="shared" si="0"/>
        <v>836933325.63999999</v>
      </c>
      <c r="AK17" s="41">
        <f t="shared" si="0"/>
        <v>853443052.58000004</v>
      </c>
      <c r="AL17" s="41">
        <f t="shared" si="0"/>
        <v>79196016.939999998</v>
      </c>
      <c r="AM17" s="41">
        <f t="shared" si="0"/>
        <v>63469949.020000003</v>
      </c>
      <c r="AN17" s="41">
        <f t="shared" si="0"/>
        <v>78477223.810000002</v>
      </c>
      <c r="AO17" s="41">
        <f t="shared" si="0"/>
        <v>78997061.840000004</v>
      </c>
      <c r="AP17" s="41">
        <f t="shared" si="0"/>
        <v>44249685.200000003</v>
      </c>
      <c r="AQ17" s="41">
        <f t="shared" si="0"/>
        <v>0</v>
      </c>
      <c r="AR17" s="41">
        <f t="shared" si="0"/>
        <v>0</v>
      </c>
      <c r="AS17" s="41">
        <f t="shared" si="0"/>
        <v>0</v>
      </c>
      <c r="AT17" s="41">
        <f t="shared" si="0"/>
        <v>0</v>
      </c>
      <c r="AU17" s="41">
        <f t="shared" si="0"/>
        <v>0</v>
      </c>
      <c r="AV17" s="41">
        <f t="shared" si="0"/>
        <v>0</v>
      </c>
      <c r="AW17" s="41">
        <f t="shared" si="0"/>
        <v>0</v>
      </c>
      <c r="AX17" s="41">
        <f t="shared" si="0"/>
        <v>0</v>
      </c>
      <c r="AY17" s="41">
        <f t="shared" si="0"/>
        <v>0</v>
      </c>
      <c r="AZ17" s="41">
        <f t="shared" si="0"/>
        <v>0</v>
      </c>
      <c r="BA17" s="41">
        <f t="shared" si="0"/>
        <v>0</v>
      </c>
      <c r="BB17" s="41">
        <f t="shared" si="0"/>
        <v>0</v>
      </c>
      <c r="BC17" s="41">
        <f t="shared" si="0"/>
        <v>0</v>
      </c>
      <c r="BD17" s="41">
        <f t="shared" si="0"/>
        <v>0</v>
      </c>
      <c r="BE17" s="41">
        <f t="shared" si="0"/>
        <v>0</v>
      </c>
      <c r="BF17" s="41">
        <f t="shared" si="0"/>
        <v>0</v>
      </c>
      <c r="BG17" s="41">
        <f t="shared" si="0"/>
        <v>0</v>
      </c>
      <c r="BH17" s="41">
        <f t="shared" si="0"/>
        <v>0</v>
      </c>
      <c r="BI17" s="41">
        <f t="shared" si="0"/>
        <v>0</v>
      </c>
      <c r="BJ17" s="41">
        <f t="shared" si="0"/>
        <v>0</v>
      </c>
      <c r="BK17" s="41">
        <f t="shared" si="0"/>
        <v>0</v>
      </c>
      <c r="BL17" s="41">
        <f t="shared" si="0"/>
        <v>0</v>
      </c>
      <c r="BM17" s="41">
        <f t="shared" si="0"/>
        <v>0</v>
      </c>
      <c r="BN17" s="41">
        <f t="shared" si="0"/>
        <v>0</v>
      </c>
      <c r="BO17" s="41">
        <f t="shared" ref="BO17:CK17" si="1">SUM(BO4:BO13)</f>
        <v>0</v>
      </c>
      <c r="BP17" s="41">
        <f t="shared" si="1"/>
        <v>0</v>
      </c>
      <c r="BQ17" s="41">
        <f t="shared" si="1"/>
        <v>0</v>
      </c>
      <c r="BR17" s="41">
        <f t="shared" si="1"/>
        <v>0</v>
      </c>
      <c r="BS17" s="41">
        <f t="shared" si="1"/>
        <v>0</v>
      </c>
      <c r="BT17" s="41">
        <f t="shared" si="1"/>
        <v>0</v>
      </c>
      <c r="BU17" s="41">
        <f t="shared" si="1"/>
        <v>0</v>
      </c>
      <c r="BV17" s="41">
        <f t="shared" si="1"/>
        <v>0</v>
      </c>
      <c r="BW17" s="41">
        <f t="shared" si="1"/>
        <v>0</v>
      </c>
      <c r="BX17" s="41">
        <f t="shared" si="1"/>
        <v>0</v>
      </c>
      <c r="BY17" s="41">
        <f t="shared" si="1"/>
        <v>0</v>
      </c>
      <c r="BZ17" s="41">
        <f t="shared" si="1"/>
        <v>0</v>
      </c>
      <c r="CA17" s="41">
        <f t="shared" si="1"/>
        <v>0</v>
      </c>
      <c r="CB17" s="41">
        <f t="shared" si="1"/>
        <v>0</v>
      </c>
      <c r="CC17" s="41">
        <f t="shared" si="1"/>
        <v>0</v>
      </c>
      <c r="CD17" s="41">
        <f t="shared" si="1"/>
        <v>0</v>
      </c>
      <c r="CE17" s="41">
        <f t="shared" si="1"/>
        <v>0</v>
      </c>
      <c r="CF17" s="41">
        <f t="shared" si="1"/>
        <v>0</v>
      </c>
      <c r="CG17" s="41">
        <f t="shared" si="1"/>
        <v>0</v>
      </c>
      <c r="CH17" s="41">
        <f t="shared" si="1"/>
        <v>0</v>
      </c>
      <c r="CI17" s="41">
        <f t="shared" si="1"/>
        <v>0</v>
      </c>
      <c r="CJ17" s="41">
        <f t="shared" si="1"/>
        <v>0</v>
      </c>
      <c r="CK17" s="41">
        <f t="shared" si="1"/>
        <v>0</v>
      </c>
    </row>
    <row r="18" spans="1:90" s="15" customFormat="1">
      <c r="A18" s="20" t="s">
        <v>79</v>
      </c>
      <c r="B18" s="42"/>
      <c r="C18" s="42"/>
      <c r="D18" s="42"/>
      <c r="E18" s="42"/>
      <c r="F18" s="42"/>
      <c r="G18" s="42"/>
      <c r="H18" s="42"/>
      <c r="I18" s="42"/>
      <c r="J18" s="42"/>
      <c r="K18" s="42"/>
      <c r="L18" s="40"/>
      <c r="M18" s="19"/>
      <c r="N18" s="19"/>
    </row>
    <row r="19" spans="1:90" s="6" customFormat="1">
      <c r="A19" s="6" t="s">
        <v>78</v>
      </c>
      <c r="B19" s="48">
        <v>0</v>
      </c>
      <c r="C19" s="48">
        <v>0</v>
      </c>
      <c r="D19" s="48">
        <v>0</v>
      </c>
      <c r="E19" s="48">
        <v>0</v>
      </c>
      <c r="F19" s="48">
        <v>0</v>
      </c>
      <c r="G19" s="48">
        <v>0</v>
      </c>
      <c r="H19" s="48">
        <v>0</v>
      </c>
      <c r="I19" s="48">
        <v>0</v>
      </c>
      <c r="J19" s="48">
        <v>0</v>
      </c>
      <c r="K19" s="48">
        <v>0</v>
      </c>
      <c r="L19" s="48">
        <v>0</v>
      </c>
      <c r="M19" s="48">
        <v>0</v>
      </c>
      <c r="N19" s="48">
        <v>224500000</v>
      </c>
      <c r="O19" s="48">
        <v>224500000</v>
      </c>
      <c r="P19" s="48">
        <v>0</v>
      </c>
      <c r="Q19" s="48">
        <v>0</v>
      </c>
      <c r="R19" s="48">
        <v>0</v>
      </c>
      <c r="S19" s="48">
        <v>0</v>
      </c>
      <c r="T19" s="48">
        <v>0</v>
      </c>
      <c r="U19" s="48">
        <v>0</v>
      </c>
      <c r="V19" s="48">
        <v>0</v>
      </c>
      <c r="W19" s="48">
        <v>0</v>
      </c>
      <c r="X19" s="48">
        <v>0</v>
      </c>
      <c r="Y19" s="48">
        <v>0</v>
      </c>
      <c r="Z19" s="48">
        <v>0</v>
      </c>
      <c r="AA19" s="48">
        <v>0</v>
      </c>
      <c r="AB19" s="48">
        <v>0</v>
      </c>
      <c r="AC19" s="48">
        <v>0</v>
      </c>
      <c r="AD19" s="48">
        <v>0</v>
      </c>
      <c r="AE19" s="48">
        <v>0</v>
      </c>
      <c r="AF19" s="48">
        <v>0</v>
      </c>
      <c r="AG19" s="48">
        <v>0</v>
      </c>
      <c r="AH19" s="48">
        <v>0</v>
      </c>
      <c r="AI19" s="48">
        <v>0</v>
      </c>
      <c r="AJ19" s="48">
        <v>0</v>
      </c>
      <c r="AK19" s="48">
        <v>0</v>
      </c>
      <c r="AL19" s="48">
        <v>0</v>
      </c>
      <c r="AM19" s="48">
        <v>0</v>
      </c>
      <c r="AN19" s="48">
        <v>0</v>
      </c>
      <c r="AO19" s="48">
        <v>0</v>
      </c>
      <c r="AP19" s="48">
        <v>0</v>
      </c>
      <c r="AQ19" s="48">
        <v>0</v>
      </c>
      <c r="AR19" s="48"/>
      <c r="AS19" s="48"/>
      <c r="AT19" s="48"/>
      <c r="AU19" s="48"/>
      <c r="AV19" s="48"/>
      <c r="AW19" s="48"/>
      <c r="AX19" s="48"/>
      <c r="AY19" s="48"/>
      <c r="AZ19" s="48"/>
      <c r="BA19" s="48"/>
      <c r="BB19" s="48"/>
      <c r="BC19" s="48"/>
      <c r="BD19" s="48"/>
      <c r="BE19" s="48"/>
      <c r="BF19" s="48"/>
      <c r="BG19" s="48"/>
      <c r="BH19" s="48"/>
      <c r="BI19" s="48"/>
      <c r="BJ19" s="48"/>
      <c r="BK19" s="48"/>
      <c r="BL19" s="48"/>
      <c r="BM19" s="48"/>
      <c r="BN19" s="48"/>
      <c r="BO19" s="48"/>
      <c r="BP19" s="48"/>
      <c r="BQ19" s="48"/>
      <c r="BR19" s="48"/>
      <c r="BS19" s="48"/>
      <c r="BT19" s="48"/>
      <c r="BU19" s="48"/>
      <c r="BV19" s="48"/>
      <c r="BW19" s="48"/>
      <c r="BX19" s="48"/>
      <c r="BY19" s="48"/>
      <c r="BZ19" s="48"/>
      <c r="CA19" s="48"/>
      <c r="CB19" s="48"/>
      <c r="CC19" s="48"/>
      <c r="CD19" s="48"/>
      <c r="CE19" s="48"/>
      <c r="CF19" s="48"/>
      <c r="CG19" s="48"/>
      <c r="CH19" s="48"/>
      <c r="CI19" s="48"/>
      <c r="CJ19" s="48"/>
      <c r="CK19" s="48"/>
      <c r="CL19" s="48"/>
    </row>
    <row r="20" spans="1:90">
      <c r="A20" s="2" t="s">
        <v>12</v>
      </c>
      <c r="B20" s="33"/>
      <c r="C20" s="33"/>
      <c r="D20" s="33"/>
      <c r="E20" s="33"/>
      <c r="F20" s="33"/>
      <c r="G20" s="33"/>
      <c r="H20" s="33"/>
      <c r="I20" s="33"/>
      <c r="J20" s="33"/>
      <c r="K20" s="33"/>
      <c r="L20" s="30"/>
      <c r="M20" s="18"/>
      <c r="N20" s="18"/>
    </row>
    <row r="21" spans="1:90">
      <c r="A21" s="2" t="s">
        <v>80</v>
      </c>
      <c r="B21" s="33"/>
      <c r="C21" s="33"/>
      <c r="D21" s="33"/>
      <c r="E21" s="33"/>
      <c r="F21" s="33"/>
      <c r="G21" s="33"/>
      <c r="H21" s="33"/>
      <c r="I21" s="33"/>
      <c r="J21" s="33"/>
      <c r="K21" s="33"/>
      <c r="L21" s="30"/>
      <c r="M21" s="18"/>
      <c r="N21" s="18"/>
    </row>
    <row r="22" spans="1:90">
      <c r="A22" t="s">
        <v>14</v>
      </c>
      <c r="B22" s="48">
        <v>0</v>
      </c>
      <c r="C22" s="48">
        <v>0</v>
      </c>
      <c r="D22" s="48">
        <v>0</v>
      </c>
      <c r="E22" s="48">
        <v>0</v>
      </c>
      <c r="F22" s="48">
        <v>0</v>
      </c>
      <c r="G22" s="48">
        <v>0</v>
      </c>
      <c r="H22" s="48">
        <v>0</v>
      </c>
      <c r="I22" s="48">
        <v>0</v>
      </c>
      <c r="J22" s="48">
        <v>200000</v>
      </c>
      <c r="K22" s="48">
        <v>0</v>
      </c>
      <c r="L22" s="48">
        <v>0</v>
      </c>
      <c r="M22" s="48">
        <v>0</v>
      </c>
      <c r="N22" s="48">
        <v>1443963.64</v>
      </c>
      <c r="O22" s="48">
        <v>3164358.53</v>
      </c>
      <c r="P22" s="48">
        <v>0</v>
      </c>
      <c r="Q22" s="48">
        <v>6848000</v>
      </c>
      <c r="R22" s="48">
        <v>5031000</v>
      </c>
      <c r="S22" s="48">
        <v>1000000</v>
      </c>
      <c r="T22" s="48">
        <v>200000</v>
      </c>
      <c r="U22" s="48">
        <v>941260.78</v>
      </c>
      <c r="V22" s="48">
        <v>0</v>
      </c>
      <c r="W22" s="48">
        <v>0</v>
      </c>
      <c r="X22" s="48">
        <v>0</v>
      </c>
      <c r="Y22" s="48">
        <v>0</v>
      </c>
      <c r="Z22" s="48">
        <v>0</v>
      </c>
      <c r="AA22" s="48">
        <v>0</v>
      </c>
      <c r="AB22" s="48">
        <v>0</v>
      </c>
      <c r="AC22" s="48">
        <v>0</v>
      </c>
      <c r="AD22" s="48">
        <v>0</v>
      </c>
      <c r="AE22" s="48">
        <v>1327766.5</v>
      </c>
      <c r="AF22" s="48">
        <v>0</v>
      </c>
      <c r="AG22" s="48">
        <v>0</v>
      </c>
      <c r="AH22" s="48">
        <v>0</v>
      </c>
      <c r="AI22" s="48">
        <v>0</v>
      </c>
      <c r="AJ22" s="48">
        <v>0</v>
      </c>
      <c r="AK22" s="48">
        <v>0</v>
      </c>
      <c r="AL22" s="48">
        <v>0</v>
      </c>
      <c r="AM22" s="48">
        <v>14866.97</v>
      </c>
      <c r="AN22" s="48">
        <v>0</v>
      </c>
      <c r="AO22" s="48">
        <v>0</v>
      </c>
      <c r="AP22" s="48">
        <v>158517.29999999999</v>
      </c>
      <c r="AQ22" s="48">
        <v>0</v>
      </c>
      <c r="AR22" s="48"/>
      <c r="AS22" s="48"/>
      <c r="AT22" s="48"/>
      <c r="AU22" s="48"/>
      <c r="AV22" s="48"/>
      <c r="AW22" s="48"/>
      <c r="AX22" s="48"/>
      <c r="AY22" s="48"/>
      <c r="AZ22" s="48"/>
      <c r="BA22" s="48"/>
      <c r="BB22" s="48"/>
      <c r="BC22" s="48"/>
      <c r="BD22" s="48"/>
      <c r="BE22" s="48"/>
      <c r="BF22" s="48"/>
      <c r="BG22" s="48"/>
      <c r="BH22" s="48"/>
      <c r="BI22" s="48"/>
      <c r="BJ22" s="48"/>
      <c r="BK22" s="48"/>
      <c r="BL22" s="48"/>
      <c r="BM22" s="48"/>
      <c r="BN22" s="48"/>
      <c r="BO22" s="48"/>
      <c r="BP22" s="48"/>
      <c r="BQ22" s="48"/>
      <c r="BR22" s="48"/>
      <c r="BS22" s="48"/>
      <c r="BT22" s="48"/>
      <c r="BU22" s="48"/>
      <c r="BV22" s="48"/>
      <c r="BW22" s="48"/>
      <c r="BX22" s="48"/>
      <c r="BY22" s="48"/>
      <c r="BZ22" s="48"/>
      <c r="CA22" s="48"/>
      <c r="CB22" s="48"/>
      <c r="CC22" s="48"/>
      <c r="CD22" s="48"/>
      <c r="CE22" s="48"/>
      <c r="CF22" s="48"/>
      <c r="CG22" s="48"/>
      <c r="CH22" s="48"/>
      <c r="CI22" s="48"/>
      <c r="CJ22" s="48"/>
      <c r="CK22" s="48"/>
      <c r="CL22" s="48"/>
    </row>
    <row r="23" spans="1:90">
      <c r="A23" t="s">
        <v>15</v>
      </c>
      <c r="B23" s="48">
        <v>187130657.96000001</v>
      </c>
      <c r="C23" s="48">
        <v>156182342.13</v>
      </c>
      <c r="D23" s="48">
        <v>176939323.97</v>
      </c>
      <c r="E23" s="48">
        <v>325539669.19999999</v>
      </c>
      <c r="F23" s="48">
        <v>213485657.53</v>
      </c>
      <c r="G23" s="48">
        <v>167855781.74000001</v>
      </c>
      <c r="H23" s="48">
        <v>151295115.91</v>
      </c>
      <c r="I23" s="48">
        <v>312945573.50999999</v>
      </c>
      <c r="J23" s="48">
        <v>138982205.03999999</v>
      </c>
      <c r="K23" s="48">
        <v>121617278.62</v>
      </c>
      <c r="L23" s="48">
        <v>118158745.17</v>
      </c>
      <c r="M23" s="48">
        <v>194109947.72</v>
      </c>
      <c r="N23" s="48">
        <v>80339544.609999999</v>
      </c>
      <c r="O23" s="48">
        <v>86354609.780000001</v>
      </c>
      <c r="P23" s="48">
        <v>84037651.109999999</v>
      </c>
      <c r="Q23" s="48">
        <v>76079994.939999998</v>
      </c>
      <c r="R23" s="48">
        <v>47323817.689999998</v>
      </c>
      <c r="S23" s="48">
        <v>60274528.25</v>
      </c>
      <c r="T23" s="48">
        <v>65493197.130000003</v>
      </c>
      <c r="U23" s="48">
        <v>68901519.340000004</v>
      </c>
      <c r="V23" s="48">
        <v>90022861.450000003</v>
      </c>
      <c r="W23" s="48">
        <v>59328861.990000002</v>
      </c>
      <c r="X23" s="48">
        <v>66177537.810000002</v>
      </c>
      <c r="Y23" s="48">
        <v>64600236.479999997</v>
      </c>
      <c r="Z23" s="48">
        <v>62268922.969999999</v>
      </c>
      <c r="AA23" s="48">
        <v>56753805.850000001</v>
      </c>
      <c r="AB23" s="48">
        <v>55921911.149999999</v>
      </c>
      <c r="AC23" s="48">
        <v>58396755.240000002</v>
      </c>
      <c r="AD23" s="48">
        <v>46648321.509999998</v>
      </c>
      <c r="AE23" s="48">
        <v>36810470.159999996</v>
      </c>
      <c r="AF23" s="48">
        <v>39139579.200000003</v>
      </c>
      <c r="AG23" s="48">
        <v>22144319.640000001</v>
      </c>
      <c r="AH23" s="48">
        <v>21775585.510000002</v>
      </c>
      <c r="AI23" s="48">
        <v>14473123.82</v>
      </c>
      <c r="AJ23" s="48">
        <v>23793081.93</v>
      </c>
      <c r="AK23" s="48">
        <v>21888267.120000001</v>
      </c>
      <c r="AL23" s="48">
        <v>21990922.379999999</v>
      </c>
      <c r="AM23" s="48">
        <v>25118227.859999999</v>
      </c>
      <c r="AN23" s="48">
        <v>24633832.100000001</v>
      </c>
      <c r="AO23" s="48">
        <v>28212824.710000001</v>
      </c>
      <c r="AP23" s="48">
        <v>18790013.109999999</v>
      </c>
      <c r="AQ23" s="48">
        <v>0</v>
      </c>
      <c r="AR23" s="48"/>
      <c r="AS23" s="48"/>
      <c r="AT23" s="48"/>
      <c r="AU23" s="48"/>
      <c r="AV23" s="48"/>
      <c r="AW23" s="48"/>
      <c r="AX23" s="48"/>
      <c r="AY23" s="48"/>
      <c r="AZ23" s="48"/>
      <c r="BA23" s="48"/>
      <c r="BB23" s="48"/>
      <c r="BC23" s="48"/>
      <c r="BD23" s="48"/>
      <c r="BE23" s="48"/>
      <c r="BF23" s="48"/>
      <c r="BG23" s="48"/>
      <c r="BH23" s="48"/>
      <c r="BI23" s="48"/>
      <c r="BJ23" s="48"/>
      <c r="BK23" s="48"/>
      <c r="BL23" s="48"/>
      <c r="BM23" s="48"/>
      <c r="BN23" s="48"/>
      <c r="BO23" s="48"/>
      <c r="BP23" s="48"/>
      <c r="BQ23" s="48"/>
      <c r="BR23" s="48"/>
      <c r="BS23" s="48"/>
      <c r="BT23" s="48"/>
      <c r="BU23" s="48"/>
      <c r="BV23" s="48"/>
      <c r="BW23" s="48"/>
      <c r="BX23" s="48"/>
      <c r="BY23" s="48"/>
      <c r="BZ23" s="48"/>
      <c r="CA23" s="48"/>
      <c r="CB23" s="48"/>
      <c r="CC23" s="48"/>
      <c r="CD23" s="48"/>
      <c r="CE23" s="48"/>
      <c r="CF23" s="48"/>
      <c r="CG23" s="48"/>
      <c r="CH23" s="48"/>
      <c r="CI23" s="48"/>
      <c r="CJ23" s="48"/>
      <c r="CK23" s="48"/>
      <c r="CL23" s="48"/>
    </row>
    <row r="24" spans="1:90">
      <c r="A24" t="s">
        <v>16</v>
      </c>
      <c r="B24" s="48">
        <v>155507995.49000001</v>
      </c>
      <c r="C24" s="48">
        <v>79056075.799999997</v>
      </c>
      <c r="D24" s="48">
        <v>61555605.960000001</v>
      </c>
      <c r="E24" s="48">
        <v>34006654.310000002</v>
      </c>
      <c r="F24" s="48">
        <v>28243141.859999999</v>
      </c>
      <c r="G24" s="48">
        <v>95537821.420000002</v>
      </c>
      <c r="H24" s="48">
        <v>29134486.609999999</v>
      </c>
      <c r="I24" s="48">
        <v>21312489.149999999</v>
      </c>
      <c r="J24" s="48">
        <v>12692836.16</v>
      </c>
      <c r="K24" s="48">
        <v>22039334.879999999</v>
      </c>
      <c r="L24" s="48">
        <v>27629533.190000001</v>
      </c>
      <c r="M24" s="48">
        <v>27627110.52</v>
      </c>
      <c r="N24" s="48">
        <v>28767435.199999999</v>
      </c>
      <c r="O24" s="48">
        <v>25860656.449999999</v>
      </c>
      <c r="P24" s="48">
        <v>17907210.82</v>
      </c>
      <c r="Q24" s="48">
        <v>21493846.489999998</v>
      </c>
      <c r="R24" s="48">
        <v>41293195.689999998</v>
      </c>
      <c r="S24" s="48">
        <v>43763972.950000003</v>
      </c>
      <c r="T24" s="48">
        <v>26630938.77</v>
      </c>
      <c r="U24" s="48">
        <v>24530182.32</v>
      </c>
      <c r="V24" s="48">
        <v>45502539.75</v>
      </c>
      <c r="W24" s="48">
        <v>84424161.890000001</v>
      </c>
      <c r="X24" s="48">
        <v>41729465.039999999</v>
      </c>
      <c r="Y24" s="48">
        <v>53526573.170000002</v>
      </c>
      <c r="Z24" s="48">
        <v>40580336.170000002</v>
      </c>
      <c r="AA24" s="48">
        <v>53587347.310000002</v>
      </c>
      <c r="AB24" s="48">
        <v>75529040.209999993</v>
      </c>
      <c r="AC24" s="48">
        <v>83343793.810000002</v>
      </c>
      <c r="AD24" s="48">
        <v>98937288.959999993</v>
      </c>
      <c r="AE24" s="48">
        <v>81830798.599999994</v>
      </c>
      <c r="AF24" s="48">
        <v>39761033.850000001</v>
      </c>
      <c r="AG24" s="48">
        <v>49822516.520000003</v>
      </c>
      <c r="AH24" s="48">
        <v>43450455.43</v>
      </c>
      <c r="AI24" s="48">
        <v>18702423.82</v>
      </c>
      <c r="AJ24" s="48">
        <v>11744920.869999999</v>
      </c>
      <c r="AK24" s="48">
        <v>12420721.68</v>
      </c>
      <c r="AL24" s="48">
        <v>11873534.859999999</v>
      </c>
      <c r="AM24" s="48">
        <v>6206662</v>
      </c>
      <c r="AN24" s="48">
        <v>4833539.95</v>
      </c>
      <c r="AO24" s="48">
        <v>8211300.21</v>
      </c>
      <c r="AP24" s="48">
        <v>17425293.890000001</v>
      </c>
      <c r="AQ24" s="48">
        <v>0</v>
      </c>
      <c r="AR24" s="48"/>
      <c r="AS24" s="48"/>
      <c r="AT24" s="48"/>
      <c r="AU24" s="48"/>
      <c r="AV24" s="48"/>
      <c r="AW24" s="48"/>
      <c r="AX24" s="48"/>
      <c r="AY24" s="48"/>
      <c r="AZ24" s="48"/>
      <c r="BA24" s="48"/>
      <c r="BB24" s="48"/>
      <c r="BC24" s="48"/>
      <c r="BD24" s="48"/>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row>
    <row r="25" spans="1:90">
      <c r="A25" t="s">
        <v>17</v>
      </c>
      <c r="B25" s="48">
        <v>71852632.430000007</v>
      </c>
      <c r="C25" s="48">
        <v>66850840.490000002</v>
      </c>
      <c r="D25" s="48">
        <v>78342943.75</v>
      </c>
      <c r="E25" s="48">
        <v>43590210.780000001</v>
      </c>
      <c r="F25" s="48">
        <v>64388712.520000003</v>
      </c>
      <c r="G25" s="48">
        <v>107660000.62</v>
      </c>
      <c r="H25" s="48">
        <v>53864974.630000003</v>
      </c>
      <c r="I25" s="48">
        <v>36548607.229999997</v>
      </c>
      <c r="J25" s="48">
        <v>48921310.439999998</v>
      </c>
      <c r="K25" s="48">
        <v>40182413.079999998</v>
      </c>
      <c r="L25" s="48">
        <v>32163917.690000001</v>
      </c>
      <c r="M25" s="48">
        <v>31044940.190000001</v>
      </c>
      <c r="N25" s="48">
        <v>32437334.010000002</v>
      </c>
      <c r="O25" s="48">
        <v>25154377.350000001</v>
      </c>
      <c r="P25" s="48">
        <v>38220862.579999998</v>
      </c>
      <c r="Q25" s="48">
        <v>24889163.07</v>
      </c>
      <c r="R25" s="48">
        <v>26157555.719999999</v>
      </c>
      <c r="S25" s="48">
        <v>21979047.670000002</v>
      </c>
      <c r="T25" s="48">
        <v>24740540.690000001</v>
      </c>
      <c r="U25" s="48">
        <v>23396104.289999999</v>
      </c>
      <c r="V25" s="48">
        <v>29678673.210000001</v>
      </c>
      <c r="W25" s="48">
        <v>27817437.41</v>
      </c>
      <c r="X25" s="48">
        <v>26395234.949999999</v>
      </c>
      <c r="Y25" s="48">
        <v>23943093.52</v>
      </c>
      <c r="Z25" s="48">
        <v>20117425.920000002</v>
      </c>
      <c r="AA25" s="48">
        <v>21438672.030000001</v>
      </c>
      <c r="AB25" s="48">
        <v>21314650.41</v>
      </c>
      <c r="AC25" s="48">
        <v>17091570.530000001</v>
      </c>
      <c r="AD25" s="48">
        <v>26269531.539999999</v>
      </c>
      <c r="AE25" s="48">
        <v>20445049.82</v>
      </c>
      <c r="AF25" s="48">
        <v>13714003.210000001</v>
      </c>
      <c r="AG25" s="48">
        <v>13373270.58</v>
      </c>
      <c r="AH25" s="48">
        <v>15082069.75</v>
      </c>
      <c r="AI25" s="48">
        <v>12563679.08</v>
      </c>
      <c r="AJ25" s="48">
        <v>9006173.9700000007</v>
      </c>
      <c r="AK25" s="48">
        <v>7657919.6299999999</v>
      </c>
      <c r="AL25" s="48">
        <v>10513971.869999999</v>
      </c>
      <c r="AM25" s="48">
        <v>9592169.0600000005</v>
      </c>
      <c r="AN25" s="48">
        <v>7455434.6299999999</v>
      </c>
      <c r="AO25" s="48">
        <v>8282182</v>
      </c>
      <c r="AP25" s="48">
        <v>11626236.539999999</v>
      </c>
      <c r="AQ25" s="48">
        <v>0</v>
      </c>
      <c r="AR25" s="48"/>
      <c r="AS25" s="48"/>
      <c r="AT25" s="48"/>
      <c r="AU25" s="48"/>
      <c r="AV25" s="48"/>
      <c r="AW25" s="48"/>
      <c r="AX25" s="48"/>
      <c r="AY25" s="48"/>
      <c r="AZ25" s="48"/>
      <c r="BA25" s="48"/>
      <c r="BB25" s="48"/>
      <c r="BC25" s="48"/>
      <c r="BD25" s="48"/>
      <c r="BE25" s="48"/>
      <c r="BF25" s="48"/>
      <c r="BG25" s="48"/>
      <c r="BH25" s="48"/>
      <c r="BI25" s="48"/>
      <c r="BJ25" s="48"/>
      <c r="BK25" s="48"/>
      <c r="BL25" s="48"/>
      <c r="BM25" s="48"/>
      <c r="BN25" s="48"/>
      <c r="BO25" s="48"/>
      <c r="BP25" s="48"/>
      <c r="BQ25" s="48"/>
      <c r="BR25" s="48"/>
      <c r="BS25" s="48"/>
      <c r="BT25" s="48"/>
      <c r="BU25" s="48"/>
      <c r="BV25" s="48"/>
      <c r="BW25" s="48"/>
      <c r="BX25" s="48"/>
      <c r="BY25" s="48"/>
      <c r="BZ25" s="48"/>
      <c r="CA25" s="48"/>
      <c r="CB25" s="48"/>
      <c r="CC25" s="48"/>
      <c r="CD25" s="48"/>
      <c r="CE25" s="48"/>
      <c r="CF25" s="48"/>
      <c r="CG25" s="48"/>
      <c r="CH25" s="48"/>
      <c r="CI25" s="48"/>
      <c r="CJ25" s="48"/>
      <c r="CK25" s="48"/>
      <c r="CL25" s="48"/>
    </row>
    <row r="26" spans="1:90">
      <c r="A26" t="s">
        <v>18</v>
      </c>
      <c r="B26" s="48">
        <v>999393529.48000002</v>
      </c>
      <c r="C26" s="48">
        <v>818032780.53999996</v>
      </c>
      <c r="D26" s="48">
        <v>746795404.14999998</v>
      </c>
      <c r="E26" s="48">
        <v>718840382.04999995</v>
      </c>
      <c r="F26" s="48">
        <v>820851385.72000003</v>
      </c>
      <c r="G26" s="48">
        <v>774650406.79999995</v>
      </c>
      <c r="H26" s="48">
        <v>726226041.11000001</v>
      </c>
      <c r="I26" s="48">
        <v>638530342.94000006</v>
      </c>
      <c r="J26" s="48">
        <v>698966925.53999996</v>
      </c>
      <c r="K26" s="48">
        <v>587925170.94000006</v>
      </c>
      <c r="L26" s="48">
        <v>565796092.24000001</v>
      </c>
      <c r="M26" s="48">
        <v>533652847.85000002</v>
      </c>
      <c r="N26" s="48">
        <v>650525217.88999999</v>
      </c>
      <c r="O26" s="48">
        <v>619197712.64999998</v>
      </c>
      <c r="P26" s="48">
        <v>557370135.13</v>
      </c>
      <c r="Q26" s="48">
        <v>531261388.54000002</v>
      </c>
      <c r="R26" s="48">
        <v>568192555.25999999</v>
      </c>
      <c r="S26" s="48">
        <v>525358158.92000002</v>
      </c>
      <c r="T26" s="48">
        <v>529607992.70999998</v>
      </c>
      <c r="U26" s="48">
        <v>573407287.41999996</v>
      </c>
      <c r="V26" s="48">
        <v>579567313.74000001</v>
      </c>
      <c r="W26" s="48">
        <v>550012582.82000005</v>
      </c>
      <c r="X26" s="48">
        <v>486279130.36000001</v>
      </c>
      <c r="Y26" s="48">
        <v>437231060.58999997</v>
      </c>
      <c r="Z26" s="48">
        <v>459814024.52999997</v>
      </c>
      <c r="AA26" s="48">
        <v>491454809.50999999</v>
      </c>
      <c r="AB26" s="48">
        <v>520517931.63999999</v>
      </c>
      <c r="AC26" s="48">
        <v>517055400.97000003</v>
      </c>
      <c r="AD26" s="48">
        <v>480801176.99000001</v>
      </c>
      <c r="AE26" s="48">
        <v>363216710.76999998</v>
      </c>
      <c r="AF26" s="48">
        <v>367129263.45999998</v>
      </c>
      <c r="AG26" s="48">
        <v>415122019.25999999</v>
      </c>
      <c r="AH26" s="48">
        <v>419263192.25999999</v>
      </c>
      <c r="AI26" s="48">
        <v>356433632.55000001</v>
      </c>
      <c r="AJ26" s="48">
        <v>242099788.90000001</v>
      </c>
      <c r="AK26" s="48">
        <v>197238388.81</v>
      </c>
      <c r="AL26" s="48">
        <v>206845537.66999999</v>
      </c>
      <c r="AM26" s="48">
        <v>187254037.84</v>
      </c>
      <c r="AN26" s="48">
        <v>219121693.63</v>
      </c>
      <c r="AO26" s="48">
        <v>145816330.52000001</v>
      </c>
      <c r="AP26" s="48">
        <v>122230341.95</v>
      </c>
      <c r="AQ26" s="48">
        <v>0</v>
      </c>
      <c r="AR26" s="48"/>
      <c r="AS26" s="48"/>
      <c r="AT26" s="48"/>
      <c r="AU26" s="48"/>
      <c r="AV26" s="48"/>
      <c r="AW26" s="48"/>
      <c r="AX26" s="48"/>
      <c r="AY26" s="48"/>
      <c r="AZ26" s="48"/>
      <c r="BA26" s="48"/>
      <c r="BB26" s="48"/>
      <c r="BC26" s="48"/>
      <c r="BD26" s="48"/>
      <c r="BE26" s="48"/>
      <c r="BF26" s="48"/>
      <c r="BG26" s="48"/>
      <c r="BH26" s="48"/>
      <c r="BI26" s="48"/>
      <c r="BJ26" s="48"/>
      <c r="BK26" s="48"/>
      <c r="BL26" s="48"/>
      <c r="BM26" s="48"/>
      <c r="BN26" s="48"/>
      <c r="BO26" s="48"/>
      <c r="BP26" s="48"/>
      <c r="BQ26" s="48"/>
      <c r="BR26" s="48"/>
      <c r="BS26" s="48"/>
      <c r="BT26" s="48"/>
      <c r="BU26" s="48"/>
      <c r="BV26" s="48"/>
      <c r="BW26" s="48"/>
      <c r="BX26" s="48"/>
      <c r="BY26" s="48"/>
      <c r="BZ26" s="48"/>
      <c r="CA26" s="48"/>
      <c r="CB26" s="48"/>
      <c r="CC26" s="48"/>
      <c r="CD26" s="48"/>
      <c r="CE26" s="48"/>
      <c r="CF26" s="48"/>
      <c r="CG26" s="48"/>
      <c r="CH26" s="48"/>
      <c r="CI26" s="48"/>
      <c r="CJ26" s="48"/>
      <c r="CK26" s="48"/>
      <c r="CL26" s="48"/>
    </row>
    <row r="27" spans="1:90">
      <c r="A27" t="s">
        <v>19</v>
      </c>
      <c r="B27" s="48">
        <v>877323571.88</v>
      </c>
      <c r="C27" s="48">
        <v>970956309.22000003</v>
      </c>
      <c r="D27" s="48">
        <v>1007155161.76</v>
      </c>
      <c r="E27" s="48">
        <v>767373947.20000005</v>
      </c>
      <c r="F27" s="48">
        <v>485390010.81</v>
      </c>
      <c r="G27" s="48">
        <v>625397485.74000001</v>
      </c>
      <c r="H27" s="48">
        <v>627614111.41999996</v>
      </c>
      <c r="I27" s="48">
        <v>503946854.17000002</v>
      </c>
      <c r="J27" s="48">
        <v>545515984.00999999</v>
      </c>
      <c r="K27" s="48">
        <v>578708858.32000005</v>
      </c>
      <c r="L27" s="48">
        <v>435415211.82999998</v>
      </c>
      <c r="M27" s="48">
        <v>210177771.93000001</v>
      </c>
      <c r="N27" s="48">
        <v>240696427.49000001</v>
      </c>
      <c r="O27" s="48">
        <v>414026893.63</v>
      </c>
      <c r="P27" s="48">
        <v>358377518.20999998</v>
      </c>
      <c r="Q27" s="48">
        <v>356274299.75</v>
      </c>
      <c r="R27" s="48">
        <v>354890848.63</v>
      </c>
      <c r="S27" s="48">
        <v>354942974.41000003</v>
      </c>
      <c r="T27" s="48">
        <v>264440494.38</v>
      </c>
      <c r="U27" s="48">
        <v>285484096.58999997</v>
      </c>
      <c r="V27" s="48">
        <v>247966464.37</v>
      </c>
      <c r="W27" s="48">
        <v>284302674.70999998</v>
      </c>
      <c r="X27" s="48">
        <v>252729854.28</v>
      </c>
      <c r="Y27" s="48">
        <v>202702581.62</v>
      </c>
      <c r="Z27" s="48">
        <v>1633429.46</v>
      </c>
      <c r="AA27" s="48">
        <v>2394363.7000000002</v>
      </c>
      <c r="AB27" s="48">
        <v>2636305.23</v>
      </c>
      <c r="AC27" s="48">
        <v>4791402.1900000004</v>
      </c>
      <c r="AD27" s="48">
        <v>2244822.94</v>
      </c>
      <c r="AE27" s="48">
        <v>1030691.35</v>
      </c>
      <c r="AF27" s="48">
        <v>1939209.27</v>
      </c>
      <c r="AG27" s="48">
        <v>7491565.4500000002</v>
      </c>
      <c r="AH27" s="48">
        <v>13926381</v>
      </c>
      <c r="AI27" s="48">
        <v>12619555.65</v>
      </c>
      <c r="AJ27" s="48">
        <v>1059581.46</v>
      </c>
      <c r="AK27" s="48">
        <v>566858.41</v>
      </c>
      <c r="AL27" s="48">
        <v>1104624.3899999999</v>
      </c>
      <c r="AM27" s="48">
        <v>234665.26</v>
      </c>
      <c r="AN27" s="48">
        <v>1852423.38</v>
      </c>
      <c r="AO27" s="48">
        <v>2957137.06</v>
      </c>
      <c r="AP27" s="48">
        <v>0</v>
      </c>
      <c r="AQ27" s="48">
        <v>0</v>
      </c>
      <c r="AR27" s="48"/>
      <c r="AS27" s="48"/>
      <c r="AT27" s="48"/>
      <c r="AU27" s="48"/>
      <c r="AV27" s="48"/>
      <c r="AW27" s="48"/>
      <c r="AX27" s="48"/>
      <c r="AY27" s="48"/>
      <c r="AZ27" s="48"/>
      <c r="BA27" s="48"/>
      <c r="BB27" s="48"/>
      <c r="BC27" s="48"/>
      <c r="BD27" s="48"/>
      <c r="BE27" s="48"/>
      <c r="BF27" s="48"/>
      <c r="BG27" s="48"/>
      <c r="BH27" s="48"/>
      <c r="BI27" s="48"/>
      <c r="BJ27" s="48"/>
      <c r="BK27" s="48"/>
      <c r="BL27" s="48"/>
      <c r="BM27" s="48"/>
      <c r="BN27" s="48"/>
      <c r="BO27" s="48"/>
      <c r="BP27" s="48"/>
      <c r="BQ27" s="48"/>
      <c r="BR27" s="48"/>
      <c r="BS27" s="48"/>
      <c r="BT27" s="48"/>
      <c r="BU27" s="48"/>
      <c r="BV27" s="48"/>
      <c r="BW27" s="48"/>
      <c r="BX27" s="48"/>
      <c r="BY27" s="48"/>
      <c r="BZ27" s="48"/>
      <c r="CA27" s="48"/>
      <c r="CB27" s="48"/>
      <c r="CC27" s="48"/>
      <c r="CD27" s="48"/>
      <c r="CE27" s="48"/>
      <c r="CF27" s="48"/>
      <c r="CG27" s="48"/>
      <c r="CH27" s="48"/>
      <c r="CI27" s="48"/>
      <c r="CJ27" s="48"/>
      <c r="CK27" s="48"/>
      <c r="CL27" s="48"/>
    </row>
    <row r="28" spans="1:90">
      <c r="A28" t="s">
        <v>76</v>
      </c>
      <c r="B28" s="48">
        <v>0</v>
      </c>
      <c r="C28" s="48">
        <v>0</v>
      </c>
      <c r="D28" s="48">
        <v>0</v>
      </c>
      <c r="E28" s="48">
        <v>0</v>
      </c>
      <c r="F28" s="48">
        <v>0</v>
      </c>
      <c r="G28" s="48">
        <v>0</v>
      </c>
      <c r="H28" s="48">
        <v>0</v>
      </c>
      <c r="I28" s="48">
        <v>0</v>
      </c>
      <c r="J28" s="48">
        <v>0</v>
      </c>
      <c r="K28" s="48">
        <v>0</v>
      </c>
      <c r="L28" s="48">
        <v>0</v>
      </c>
      <c r="M28" s="48">
        <v>0</v>
      </c>
      <c r="N28" s="48">
        <v>0</v>
      </c>
      <c r="O28" s="48">
        <v>0</v>
      </c>
      <c r="P28" s="48">
        <v>0</v>
      </c>
      <c r="Q28" s="48">
        <v>0</v>
      </c>
      <c r="R28" s="48">
        <v>0</v>
      </c>
      <c r="S28" s="48">
        <v>0</v>
      </c>
      <c r="T28" s="48">
        <v>0</v>
      </c>
      <c r="U28" s="48">
        <v>0</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0</v>
      </c>
      <c r="AR28" s="48"/>
      <c r="AS28" s="48"/>
      <c r="AT28" s="48"/>
      <c r="AU28" s="48"/>
      <c r="AV28" s="48"/>
      <c r="AW28" s="48"/>
      <c r="AX28" s="48"/>
      <c r="AY28" s="48"/>
      <c r="AZ28" s="48"/>
      <c r="BA28" s="48"/>
      <c r="BB28" s="48"/>
      <c r="BC28" s="48"/>
      <c r="BD28" s="48"/>
      <c r="BE28" s="48"/>
      <c r="BF28" s="48"/>
      <c r="BG28" s="48"/>
      <c r="BH28" s="48"/>
      <c r="BI28" s="48"/>
      <c r="BJ28" s="48"/>
      <c r="BK28" s="48"/>
      <c r="BL28" s="48"/>
      <c r="BM28" s="48"/>
      <c r="BN28" s="48"/>
      <c r="BO28" s="48"/>
      <c r="BP28" s="48"/>
      <c r="BQ28" s="48"/>
      <c r="BR28" s="48"/>
      <c r="BS28" s="48"/>
      <c r="BT28" s="48"/>
      <c r="BU28" s="48"/>
      <c r="BV28" s="48"/>
      <c r="BW28" s="48"/>
      <c r="BX28" s="48"/>
      <c r="BY28" s="48"/>
      <c r="BZ28" s="48"/>
      <c r="CA28" s="48"/>
      <c r="CB28" s="48"/>
      <c r="CC28" s="48"/>
      <c r="CD28" s="48"/>
      <c r="CE28" s="48"/>
      <c r="CF28" s="48"/>
      <c r="CG28" s="48"/>
      <c r="CH28" s="48"/>
      <c r="CI28" s="48"/>
      <c r="CJ28" s="48"/>
      <c r="CK28" s="48"/>
      <c r="CL28" s="48"/>
    </row>
    <row r="29" spans="1:90">
      <c r="A29" t="s">
        <v>3</v>
      </c>
      <c r="B29" s="48">
        <v>0</v>
      </c>
      <c r="C29" s="48">
        <v>0</v>
      </c>
      <c r="D29" s="48">
        <v>0</v>
      </c>
      <c r="E29" s="48">
        <v>0</v>
      </c>
      <c r="F29" s="48">
        <v>0</v>
      </c>
      <c r="G29" s="48">
        <v>0</v>
      </c>
      <c r="H29" s="48">
        <v>0</v>
      </c>
      <c r="I29" s="48">
        <v>0</v>
      </c>
      <c r="J29" s="48">
        <v>0</v>
      </c>
      <c r="K29" s="48">
        <v>0</v>
      </c>
      <c r="L29" s="48">
        <v>0</v>
      </c>
      <c r="M29" s="48">
        <v>0</v>
      </c>
      <c r="N29" s="48">
        <v>0</v>
      </c>
      <c r="O29" s="48">
        <v>0</v>
      </c>
      <c r="P29" s="48">
        <v>0</v>
      </c>
      <c r="Q29" s="48">
        <v>0</v>
      </c>
      <c r="R29" s="48">
        <v>0</v>
      </c>
      <c r="S29" s="48">
        <v>0</v>
      </c>
      <c r="T29" s="48">
        <v>0</v>
      </c>
      <c r="U29" s="48">
        <v>0</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c r="AS29" s="48"/>
      <c r="AT29" s="48"/>
      <c r="AU29" s="48"/>
      <c r="AV29" s="48"/>
      <c r="AW29" s="48"/>
      <c r="AX29" s="48"/>
      <c r="AY29" s="48"/>
      <c r="AZ29" s="48"/>
      <c r="BA29" s="48"/>
      <c r="BB29" s="48"/>
      <c r="BC29" s="48"/>
      <c r="BD29" s="48"/>
      <c r="BE29" s="48"/>
      <c r="BF29" s="48"/>
      <c r="BG29" s="48"/>
      <c r="BH29" s="48"/>
      <c r="BI29" s="48"/>
      <c r="BJ29" s="48"/>
      <c r="BK29" s="48"/>
      <c r="BL29" s="48"/>
      <c r="BM29" s="48"/>
      <c r="BN29" s="48"/>
      <c r="BO29" s="48"/>
      <c r="BP29" s="48"/>
      <c r="BQ29" s="48"/>
      <c r="BR29" s="48"/>
      <c r="BS29" s="48"/>
      <c r="BT29" s="48"/>
      <c r="BU29" s="48"/>
      <c r="BV29" s="48"/>
      <c r="BW29" s="48"/>
      <c r="BX29" s="48"/>
      <c r="BY29" s="48"/>
      <c r="BZ29" s="48"/>
      <c r="CA29" s="48"/>
      <c r="CB29" s="48"/>
      <c r="CC29" s="48"/>
      <c r="CD29" s="48"/>
      <c r="CE29" s="48"/>
      <c r="CF29" s="48"/>
      <c r="CG29" s="48"/>
      <c r="CH29" s="48"/>
      <c r="CI29" s="48"/>
      <c r="CJ29" s="48"/>
      <c r="CK29" s="48"/>
      <c r="CL29" s="48"/>
    </row>
    <row r="30" spans="1:90" hidden="1">
      <c r="B30" s="33"/>
      <c r="C30" s="33"/>
      <c r="D30" s="33"/>
      <c r="E30" s="33"/>
      <c r="F30" s="33"/>
      <c r="G30" s="33"/>
      <c r="H30" s="33"/>
      <c r="I30" s="33"/>
      <c r="J30" s="33"/>
      <c r="K30" s="33"/>
      <c r="L30" s="30"/>
    </row>
    <row r="31" spans="1:90" hidden="1">
      <c r="B31" s="33"/>
      <c r="C31" s="33"/>
      <c r="D31" s="33"/>
      <c r="E31" s="33"/>
      <c r="F31" s="33"/>
      <c r="G31" s="33"/>
      <c r="H31" s="33"/>
      <c r="I31" s="33"/>
      <c r="J31" s="33"/>
      <c r="K31" s="33"/>
      <c r="L31" s="30"/>
    </row>
    <row r="32" spans="1:90" hidden="1">
      <c r="B32" s="33"/>
      <c r="C32" s="33"/>
      <c r="D32" s="33"/>
      <c r="E32" s="33"/>
      <c r="F32" s="33"/>
      <c r="G32" s="33"/>
      <c r="H32" s="33"/>
      <c r="I32" s="33"/>
      <c r="J32" s="33"/>
      <c r="K32" s="33"/>
      <c r="L32" s="30"/>
    </row>
    <row r="33" spans="1:90" s="14" customFormat="1">
      <c r="A33" s="14" t="s">
        <v>20</v>
      </c>
      <c r="B33" s="43">
        <f>SUM(B22:B29)</f>
        <v>2291208387.2400002</v>
      </c>
      <c r="C33" s="43">
        <f t="shared" ref="C33:BN33" si="2">SUM(C22:C29)</f>
        <v>2091078348.1800001</v>
      </c>
      <c r="D33" s="43">
        <f t="shared" si="2"/>
        <v>2070788439.5899999</v>
      </c>
      <c r="E33" s="43">
        <f t="shared" si="2"/>
        <v>1889350863.54</v>
      </c>
      <c r="F33" s="43">
        <f t="shared" si="2"/>
        <v>1612358908.4400001</v>
      </c>
      <c r="G33" s="43">
        <f t="shared" si="2"/>
        <v>1771101496.3199999</v>
      </c>
      <c r="H33" s="43">
        <f t="shared" si="2"/>
        <v>1588134729.6799998</v>
      </c>
      <c r="I33" s="43">
        <f t="shared" si="2"/>
        <v>1513283867</v>
      </c>
      <c r="J33" s="43">
        <f t="shared" si="2"/>
        <v>1445279261.1900001</v>
      </c>
      <c r="K33" s="43">
        <f t="shared" si="2"/>
        <v>1350473055.8400002</v>
      </c>
      <c r="L33" s="43">
        <f t="shared" si="2"/>
        <v>1179163500.1199999</v>
      </c>
      <c r="M33" s="43">
        <f t="shared" si="2"/>
        <v>996612618.21000004</v>
      </c>
      <c r="N33" s="43">
        <f t="shared" si="2"/>
        <v>1034209922.84</v>
      </c>
      <c r="O33" s="43">
        <f t="shared" si="2"/>
        <v>1173758608.3899999</v>
      </c>
      <c r="P33" s="43">
        <f t="shared" si="2"/>
        <v>1055913377.8499999</v>
      </c>
      <c r="Q33" s="43">
        <f t="shared" si="2"/>
        <v>1016846692.79</v>
      </c>
      <c r="R33" s="43">
        <f t="shared" si="2"/>
        <v>1042888972.99</v>
      </c>
      <c r="S33" s="43">
        <f t="shared" si="2"/>
        <v>1007318682.2</v>
      </c>
      <c r="T33" s="43">
        <f t="shared" si="2"/>
        <v>911113163.67999995</v>
      </c>
      <c r="U33" s="43">
        <f t="shared" si="2"/>
        <v>976660450.74000001</v>
      </c>
      <c r="V33" s="43">
        <f t="shared" si="2"/>
        <v>992737852.51999998</v>
      </c>
      <c r="W33" s="43">
        <f t="shared" si="2"/>
        <v>1005885718.8199999</v>
      </c>
      <c r="X33" s="43">
        <f t="shared" si="2"/>
        <v>873311222.43999994</v>
      </c>
      <c r="Y33" s="43">
        <f t="shared" si="2"/>
        <v>782003545.38</v>
      </c>
      <c r="Z33" s="43">
        <f t="shared" si="2"/>
        <v>584414139.04999995</v>
      </c>
      <c r="AA33" s="43">
        <f t="shared" si="2"/>
        <v>625628998.4000001</v>
      </c>
      <c r="AB33" s="43">
        <f t="shared" si="2"/>
        <v>675919838.63999999</v>
      </c>
      <c r="AC33" s="43">
        <f t="shared" si="2"/>
        <v>680678922.74000013</v>
      </c>
      <c r="AD33" s="43">
        <f t="shared" si="2"/>
        <v>654901141.94000006</v>
      </c>
      <c r="AE33" s="43">
        <f t="shared" si="2"/>
        <v>504661487.19999999</v>
      </c>
      <c r="AF33" s="43">
        <f t="shared" si="2"/>
        <v>461683088.99000001</v>
      </c>
      <c r="AG33" s="43">
        <f t="shared" si="2"/>
        <v>507953691.44999999</v>
      </c>
      <c r="AH33" s="43">
        <f t="shared" si="2"/>
        <v>513497683.94999999</v>
      </c>
      <c r="AI33" s="43">
        <f t="shared" si="2"/>
        <v>414792414.91999996</v>
      </c>
      <c r="AJ33" s="43">
        <f t="shared" si="2"/>
        <v>287703547.13</v>
      </c>
      <c r="AK33" s="43">
        <f t="shared" si="2"/>
        <v>239772155.65000001</v>
      </c>
      <c r="AL33" s="43">
        <f t="shared" si="2"/>
        <v>252328591.16999996</v>
      </c>
      <c r="AM33" s="43">
        <f t="shared" si="2"/>
        <v>228420628.99000001</v>
      </c>
      <c r="AN33" s="43">
        <f t="shared" si="2"/>
        <v>257896923.69</v>
      </c>
      <c r="AO33" s="43">
        <f t="shared" si="2"/>
        <v>193479774.5</v>
      </c>
      <c r="AP33" s="43">
        <f t="shared" si="2"/>
        <v>170230402.78999999</v>
      </c>
      <c r="AQ33" s="43">
        <f t="shared" si="2"/>
        <v>0</v>
      </c>
      <c r="AR33" s="43">
        <f t="shared" si="2"/>
        <v>0</v>
      </c>
      <c r="AS33" s="43">
        <f t="shared" si="2"/>
        <v>0</v>
      </c>
      <c r="AT33" s="43">
        <f t="shared" si="2"/>
        <v>0</v>
      </c>
      <c r="AU33" s="43">
        <f t="shared" si="2"/>
        <v>0</v>
      </c>
      <c r="AV33" s="43">
        <f t="shared" si="2"/>
        <v>0</v>
      </c>
      <c r="AW33" s="43">
        <f t="shared" si="2"/>
        <v>0</v>
      </c>
      <c r="AX33" s="43">
        <f t="shared" si="2"/>
        <v>0</v>
      </c>
      <c r="AY33" s="43">
        <f t="shared" si="2"/>
        <v>0</v>
      </c>
      <c r="AZ33" s="43">
        <f t="shared" si="2"/>
        <v>0</v>
      </c>
      <c r="BA33" s="43">
        <f t="shared" si="2"/>
        <v>0</v>
      </c>
      <c r="BB33" s="43">
        <f t="shared" si="2"/>
        <v>0</v>
      </c>
      <c r="BC33" s="43">
        <f t="shared" si="2"/>
        <v>0</v>
      </c>
      <c r="BD33" s="43">
        <f t="shared" si="2"/>
        <v>0</v>
      </c>
      <c r="BE33" s="43">
        <f t="shared" si="2"/>
        <v>0</v>
      </c>
      <c r="BF33" s="43">
        <f t="shared" si="2"/>
        <v>0</v>
      </c>
      <c r="BG33" s="43">
        <f t="shared" si="2"/>
        <v>0</v>
      </c>
      <c r="BH33" s="43">
        <f t="shared" si="2"/>
        <v>0</v>
      </c>
      <c r="BI33" s="43">
        <f t="shared" si="2"/>
        <v>0</v>
      </c>
      <c r="BJ33" s="43">
        <f t="shared" si="2"/>
        <v>0</v>
      </c>
      <c r="BK33" s="43">
        <f t="shared" si="2"/>
        <v>0</v>
      </c>
      <c r="BL33" s="43">
        <f t="shared" si="2"/>
        <v>0</v>
      </c>
      <c r="BM33" s="43">
        <f t="shared" si="2"/>
        <v>0</v>
      </c>
      <c r="BN33" s="43">
        <f t="shared" si="2"/>
        <v>0</v>
      </c>
      <c r="BO33" s="43">
        <f t="shared" ref="BO33:CK33" si="3">SUM(BO22:BO29)</f>
        <v>0</v>
      </c>
      <c r="BP33" s="43">
        <f t="shared" si="3"/>
        <v>0</v>
      </c>
      <c r="BQ33" s="43">
        <f t="shared" si="3"/>
        <v>0</v>
      </c>
      <c r="BR33" s="43">
        <f t="shared" si="3"/>
        <v>0</v>
      </c>
      <c r="BS33" s="43">
        <f t="shared" si="3"/>
        <v>0</v>
      </c>
      <c r="BT33" s="43">
        <f t="shared" si="3"/>
        <v>0</v>
      </c>
      <c r="BU33" s="43">
        <f t="shared" si="3"/>
        <v>0</v>
      </c>
      <c r="BV33" s="43">
        <f t="shared" si="3"/>
        <v>0</v>
      </c>
      <c r="BW33" s="43">
        <f t="shared" si="3"/>
        <v>0</v>
      </c>
      <c r="BX33" s="43">
        <f t="shared" si="3"/>
        <v>0</v>
      </c>
      <c r="BY33" s="43">
        <f t="shared" si="3"/>
        <v>0</v>
      </c>
      <c r="BZ33" s="43">
        <f t="shared" si="3"/>
        <v>0</v>
      </c>
      <c r="CA33" s="43">
        <f t="shared" si="3"/>
        <v>0</v>
      </c>
      <c r="CB33" s="43">
        <f t="shared" si="3"/>
        <v>0</v>
      </c>
      <c r="CC33" s="43">
        <f t="shared" si="3"/>
        <v>0</v>
      </c>
      <c r="CD33" s="43">
        <f t="shared" si="3"/>
        <v>0</v>
      </c>
      <c r="CE33" s="43">
        <f t="shared" si="3"/>
        <v>0</v>
      </c>
      <c r="CF33" s="43">
        <f t="shared" si="3"/>
        <v>0</v>
      </c>
      <c r="CG33" s="43">
        <f t="shared" si="3"/>
        <v>0</v>
      </c>
      <c r="CH33" s="43">
        <f t="shared" si="3"/>
        <v>0</v>
      </c>
      <c r="CI33" s="43">
        <f t="shared" si="3"/>
        <v>0</v>
      </c>
      <c r="CJ33" s="43">
        <f t="shared" si="3"/>
        <v>0</v>
      </c>
      <c r="CK33" s="43">
        <f t="shared" si="3"/>
        <v>0</v>
      </c>
    </row>
    <row r="34" spans="1:90" s="15" customFormat="1">
      <c r="A34" s="20" t="s">
        <v>82</v>
      </c>
      <c r="B34" s="42"/>
      <c r="C34" s="42"/>
      <c r="D34" s="42"/>
      <c r="E34" s="42"/>
      <c r="F34" s="42"/>
      <c r="G34" s="42"/>
      <c r="H34" s="42"/>
      <c r="I34" s="42"/>
      <c r="J34" s="42"/>
      <c r="K34" s="42"/>
      <c r="L34" s="40"/>
      <c r="M34" s="19"/>
      <c r="N34" s="19"/>
    </row>
    <row r="35" spans="1:90">
      <c r="A35" t="s">
        <v>21</v>
      </c>
      <c r="B35" s="48">
        <v>0</v>
      </c>
      <c r="C35" s="48">
        <v>144207720.66999999</v>
      </c>
      <c r="D35" s="48">
        <v>86160503.260000005</v>
      </c>
      <c r="E35" s="48">
        <v>139607475.65000001</v>
      </c>
      <c r="F35" s="48">
        <v>117737093.53</v>
      </c>
      <c r="G35" s="48">
        <v>126046051.81999999</v>
      </c>
      <c r="H35" s="48">
        <v>131198852.88</v>
      </c>
      <c r="I35" s="48">
        <v>168988748.69</v>
      </c>
      <c r="J35" s="48">
        <v>118918000.34999999</v>
      </c>
      <c r="K35" s="48">
        <v>133510152.45999999</v>
      </c>
      <c r="L35" s="48">
        <v>103410657.12</v>
      </c>
      <c r="M35" s="48">
        <v>97681698.900000006</v>
      </c>
      <c r="N35" s="48">
        <v>104637492.75</v>
      </c>
      <c r="O35" s="48">
        <v>82444078.019999996</v>
      </c>
      <c r="P35" s="48">
        <v>112896176.29000001</v>
      </c>
      <c r="Q35" s="48">
        <v>91926244.420000002</v>
      </c>
      <c r="R35" s="48">
        <v>73093992.590000004</v>
      </c>
      <c r="S35" s="48">
        <v>86440053.989999995</v>
      </c>
      <c r="T35" s="48">
        <v>96083194.010000005</v>
      </c>
      <c r="U35" s="48">
        <v>121053355.06999999</v>
      </c>
      <c r="V35" s="48">
        <v>123508058.38</v>
      </c>
      <c r="W35" s="48">
        <v>172355535.68000001</v>
      </c>
      <c r="X35" s="48">
        <v>144426629.13</v>
      </c>
      <c r="Y35" s="48">
        <v>116047852.98</v>
      </c>
      <c r="Z35" s="48">
        <v>72445951.730000004</v>
      </c>
      <c r="AA35" s="48">
        <v>49358710.490000002</v>
      </c>
      <c r="AB35" s="48">
        <v>57737426.840000004</v>
      </c>
      <c r="AC35" s="48">
        <v>97362149.739999995</v>
      </c>
      <c r="AD35" s="48">
        <v>69886833.709999993</v>
      </c>
      <c r="AE35" s="48">
        <v>31695395.699999999</v>
      </c>
      <c r="AF35" s="48">
        <v>22586763.600000001</v>
      </c>
      <c r="AG35" s="48">
        <v>56339056.899999999</v>
      </c>
      <c r="AH35" s="48">
        <v>100088283.98999999</v>
      </c>
      <c r="AI35" s="48">
        <v>84553554.469999999</v>
      </c>
      <c r="AJ35" s="48">
        <v>80308195.379999995</v>
      </c>
      <c r="AK35" s="48">
        <v>77691820.530000001</v>
      </c>
      <c r="AL35" s="48">
        <v>73595266.819999993</v>
      </c>
      <c r="AM35" s="48">
        <v>57805133.68</v>
      </c>
      <c r="AN35" s="48">
        <v>72787276.469999999</v>
      </c>
      <c r="AO35" s="48">
        <v>59989592.829999998</v>
      </c>
      <c r="AP35" s="48">
        <v>31530903.57</v>
      </c>
      <c r="AQ35" s="48">
        <v>0</v>
      </c>
      <c r="AR35" s="48"/>
      <c r="AS35" s="48"/>
      <c r="AT35" s="48"/>
      <c r="AU35" s="48"/>
      <c r="AV35" s="48"/>
      <c r="AW35" s="48"/>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c r="BX35" s="48"/>
      <c r="BY35" s="48"/>
      <c r="BZ35" s="48"/>
      <c r="CA35" s="48"/>
      <c r="CB35" s="48"/>
      <c r="CC35" s="48"/>
      <c r="CD35" s="48"/>
      <c r="CE35" s="48"/>
      <c r="CF35" s="48"/>
      <c r="CG35" s="48"/>
      <c r="CH35" s="48"/>
      <c r="CI35" s="48"/>
      <c r="CJ35" s="48"/>
      <c r="CK35" s="48"/>
      <c r="CL35" s="48"/>
    </row>
    <row r="36" spans="1:90">
      <c r="A36" t="s">
        <v>22</v>
      </c>
      <c r="B36" s="48">
        <v>0</v>
      </c>
      <c r="C36" s="48">
        <v>242039958.81</v>
      </c>
      <c r="D36" s="48">
        <v>278414680</v>
      </c>
      <c r="E36" s="48">
        <v>292538152.42000002</v>
      </c>
      <c r="F36" s="48">
        <v>209147333.61000001</v>
      </c>
      <c r="G36" s="48">
        <v>181790069.53999999</v>
      </c>
      <c r="H36" s="48">
        <v>205942220.93000001</v>
      </c>
      <c r="I36" s="48">
        <v>279666747.16000003</v>
      </c>
      <c r="J36" s="48">
        <v>210257561.25</v>
      </c>
      <c r="K36" s="48">
        <v>150727203.41</v>
      </c>
      <c r="L36" s="48">
        <v>179715811.97</v>
      </c>
      <c r="M36" s="48">
        <v>217127911.93000001</v>
      </c>
      <c r="N36" s="48">
        <v>187680321.91999999</v>
      </c>
      <c r="O36" s="48">
        <v>182580668.16</v>
      </c>
      <c r="P36" s="48">
        <v>161502246.16999999</v>
      </c>
      <c r="Q36" s="48">
        <v>241613139.94999999</v>
      </c>
      <c r="R36" s="48">
        <v>185965616.81</v>
      </c>
      <c r="S36" s="48">
        <v>151050737.25999999</v>
      </c>
      <c r="T36" s="48">
        <v>151938127.19</v>
      </c>
      <c r="U36" s="48">
        <v>227680188.74000001</v>
      </c>
      <c r="V36" s="48">
        <v>177383988</v>
      </c>
      <c r="W36" s="48">
        <v>189469285.66</v>
      </c>
      <c r="X36" s="48">
        <v>189886575.55000001</v>
      </c>
      <c r="Y36" s="48">
        <v>243040637.16999999</v>
      </c>
      <c r="Z36" s="48">
        <v>141480509.31</v>
      </c>
      <c r="AA36" s="48">
        <v>115328384.67</v>
      </c>
      <c r="AB36" s="48">
        <v>121542923.54000001</v>
      </c>
      <c r="AC36" s="48">
        <v>157495524.13999999</v>
      </c>
      <c r="AD36" s="48">
        <v>145490838.06999999</v>
      </c>
      <c r="AE36" s="48">
        <v>89134017.799999997</v>
      </c>
      <c r="AF36" s="48">
        <v>69851034.310000002</v>
      </c>
      <c r="AG36" s="48">
        <v>99699237.340000004</v>
      </c>
      <c r="AH36" s="48">
        <v>89027125.629999995</v>
      </c>
      <c r="AI36" s="48">
        <v>96133923.510000005</v>
      </c>
      <c r="AJ36" s="48">
        <v>67836021.019999996</v>
      </c>
      <c r="AK36" s="48">
        <v>73253954.890000001</v>
      </c>
      <c r="AL36" s="48">
        <v>78958621.010000005</v>
      </c>
      <c r="AM36" s="48">
        <v>61853798.100000001</v>
      </c>
      <c r="AN36" s="48">
        <v>91594203.269999996</v>
      </c>
      <c r="AO36" s="48">
        <v>55670815.899999999</v>
      </c>
      <c r="AP36" s="48">
        <v>62050887.399999999</v>
      </c>
      <c r="AQ36" s="48">
        <v>0</v>
      </c>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c r="BX36" s="48"/>
      <c r="BY36" s="48"/>
      <c r="BZ36" s="48"/>
      <c r="CA36" s="48"/>
      <c r="CB36" s="48"/>
      <c r="CC36" s="48"/>
      <c r="CD36" s="48"/>
      <c r="CE36" s="48"/>
      <c r="CF36" s="48"/>
      <c r="CG36" s="48"/>
      <c r="CH36" s="48"/>
      <c r="CI36" s="48"/>
      <c r="CJ36" s="48"/>
      <c r="CK36" s="48"/>
      <c r="CL36" s="48"/>
    </row>
    <row r="37" spans="1:90">
      <c r="A37" t="s">
        <v>23</v>
      </c>
      <c r="B37" s="48">
        <v>51090230.18</v>
      </c>
      <c r="C37" s="48">
        <v>37755071.880000003</v>
      </c>
      <c r="D37" s="48">
        <v>37902545.549999997</v>
      </c>
      <c r="E37" s="48">
        <v>29272808.27</v>
      </c>
      <c r="F37" s="48">
        <v>32111125.77</v>
      </c>
      <c r="G37" s="48">
        <v>33148614.379999999</v>
      </c>
      <c r="H37" s="48">
        <v>26476289.059999999</v>
      </c>
      <c r="I37" s="48">
        <v>34683740.270000003</v>
      </c>
      <c r="J37" s="48">
        <v>17876083.59</v>
      </c>
      <c r="K37" s="48">
        <v>18695077.949999999</v>
      </c>
      <c r="L37" s="48">
        <v>25289700.280000001</v>
      </c>
      <c r="M37" s="48">
        <v>14506204.859999999</v>
      </c>
      <c r="N37" s="48">
        <v>16002328.609999999</v>
      </c>
      <c r="O37" s="48">
        <v>16798812.010000002</v>
      </c>
      <c r="P37" s="48">
        <v>15026379.15</v>
      </c>
      <c r="Q37" s="48">
        <v>25960291.260000002</v>
      </c>
      <c r="R37" s="48">
        <v>24598508.559999999</v>
      </c>
      <c r="S37" s="48">
        <v>20797150.210000001</v>
      </c>
      <c r="T37" s="48">
        <v>23758485.789999999</v>
      </c>
      <c r="U37" s="48">
        <v>28555680.109999999</v>
      </c>
      <c r="V37" s="48">
        <v>23667830.280000001</v>
      </c>
      <c r="W37" s="48">
        <v>24553871.16</v>
      </c>
      <c r="X37" s="48">
        <v>17900827.530000001</v>
      </c>
      <c r="Y37" s="48">
        <v>25745209.620000001</v>
      </c>
      <c r="Z37" s="48">
        <v>15070674.35</v>
      </c>
      <c r="AA37" s="48">
        <v>13586618.560000001</v>
      </c>
      <c r="AB37" s="48">
        <v>18670507.879999999</v>
      </c>
      <c r="AC37" s="48">
        <v>11991947.74</v>
      </c>
      <c r="AD37" s="48">
        <v>13367825.91</v>
      </c>
      <c r="AE37" s="48">
        <v>14508854.6</v>
      </c>
      <c r="AF37" s="48">
        <v>16323090.99</v>
      </c>
      <c r="AG37" s="48">
        <v>21114797.870000001</v>
      </c>
      <c r="AH37" s="48">
        <v>18044422.850000001</v>
      </c>
      <c r="AI37" s="48">
        <v>22953203.93</v>
      </c>
      <c r="AJ37" s="48">
        <v>25666999.170000002</v>
      </c>
      <c r="AK37" s="48">
        <v>18310188.550000001</v>
      </c>
      <c r="AL37" s="48">
        <v>14702907.449999999</v>
      </c>
      <c r="AM37" s="48">
        <v>23730569.43</v>
      </c>
      <c r="AN37" s="48">
        <v>15777667.49</v>
      </c>
      <c r="AO37" s="48">
        <v>12315466.17</v>
      </c>
      <c r="AP37" s="48">
        <v>17214909.559999999</v>
      </c>
      <c r="AQ37" s="48">
        <v>0</v>
      </c>
      <c r="AR37" s="48"/>
      <c r="AS37" s="48"/>
      <c r="AT37" s="48"/>
      <c r="AU37" s="48"/>
      <c r="AV37" s="48"/>
      <c r="AW37" s="48"/>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c r="BX37" s="48"/>
      <c r="BY37" s="48"/>
      <c r="BZ37" s="48"/>
      <c r="CA37" s="48"/>
      <c r="CB37" s="48"/>
      <c r="CC37" s="48"/>
      <c r="CD37" s="48"/>
      <c r="CE37" s="48"/>
      <c r="CF37" s="48"/>
      <c r="CG37" s="48"/>
      <c r="CH37" s="48"/>
      <c r="CI37" s="48"/>
      <c r="CJ37" s="48"/>
      <c r="CK37" s="48"/>
      <c r="CL37" s="48"/>
    </row>
    <row r="38" spans="1:90">
      <c r="A38" t="s">
        <v>24</v>
      </c>
      <c r="B38" s="48">
        <v>0</v>
      </c>
      <c r="C38" s="48">
        <v>0</v>
      </c>
      <c r="D38" s="48">
        <v>0</v>
      </c>
      <c r="E38" s="48">
        <v>0</v>
      </c>
      <c r="F38" s="48">
        <v>0</v>
      </c>
      <c r="G38" s="48">
        <v>0</v>
      </c>
      <c r="H38" s="48">
        <v>0</v>
      </c>
      <c r="I38" s="48">
        <v>0</v>
      </c>
      <c r="J38" s="48">
        <v>0</v>
      </c>
      <c r="K38" s="48">
        <v>0</v>
      </c>
      <c r="L38" s="48">
        <v>0</v>
      </c>
      <c r="M38" s="48">
        <v>0</v>
      </c>
      <c r="N38" s="48">
        <v>0</v>
      </c>
      <c r="O38" s="48">
        <v>0</v>
      </c>
      <c r="P38" s="48">
        <v>0</v>
      </c>
      <c r="Q38" s="48">
        <v>0</v>
      </c>
      <c r="R38" s="48">
        <v>0</v>
      </c>
      <c r="S38" s="48">
        <v>0</v>
      </c>
      <c r="T38" s="48">
        <v>0</v>
      </c>
      <c r="U38" s="48">
        <v>0</v>
      </c>
      <c r="V38" s="48">
        <v>0</v>
      </c>
      <c r="W38" s="48">
        <v>0</v>
      </c>
      <c r="X38" s="48">
        <v>0</v>
      </c>
      <c r="Y38" s="48">
        <v>0</v>
      </c>
      <c r="Z38" s="48">
        <v>0</v>
      </c>
      <c r="AA38" s="48">
        <v>0</v>
      </c>
      <c r="AB38" s="48">
        <v>0</v>
      </c>
      <c r="AC38" s="48">
        <v>0</v>
      </c>
      <c r="AD38" s="48">
        <v>0</v>
      </c>
      <c r="AE38" s="48">
        <v>0</v>
      </c>
      <c r="AF38" s="48">
        <v>0</v>
      </c>
      <c r="AG38" s="48">
        <v>0</v>
      </c>
      <c r="AH38" s="48">
        <v>0</v>
      </c>
      <c r="AI38" s="48">
        <v>0</v>
      </c>
      <c r="AJ38" s="48">
        <v>0</v>
      </c>
      <c r="AK38" s="48">
        <v>0</v>
      </c>
      <c r="AL38" s="48">
        <v>0</v>
      </c>
      <c r="AM38" s="48">
        <v>0</v>
      </c>
      <c r="AN38" s="48">
        <v>0</v>
      </c>
      <c r="AO38" s="48">
        <v>0</v>
      </c>
      <c r="AP38" s="48">
        <v>0</v>
      </c>
      <c r="AQ38" s="48">
        <v>0</v>
      </c>
      <c r="AR38" s="48"/>
      <c r="AS38" s="48"/>
      <c r="AT38" s="48"/>
      <c r="AU38" s="48"/>
      <c r="AV38" s="48"/>
      <c r="AW38" s="48"/>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c r="BX38" s="48"/>
      <c r="BY38" s="48"/>
      <c r="BZ38" s="48"/>
      <c r="CA38" s="48"/>
      <c r="CB38" s="48"/>
      <c r="CC38" s="48"/>
      <c r="CD38" s="48"/>
      <c r="CE38" s="48"/>
      <c r="CF38" s="48"/>
      <c r="CG38" s="48"/>
      <c r="CH38" s="48"/>
      <c r="CI38" s="48"/>
      <c r="CJ38" s="48"/>
      <c r="CK38" s="48"/>
      <c r="CL38" s="48"/>
    </row>
    <row r="39" spans="1:90">
      <c r="A39" t="s">
        <v>25</v>
      </c>
      <c r="B39" s="48">
        <v>40765715.840000004</v>
      </c>
      <c r="C39" s="48">
        <v>36880918.57</v>
      </c>
      <c r="D39" s="48">
        <v>40473455.409999996</v>
      </c>
      <c r="E39" s="48">
        <v>46155607.780000001</v>
      </c>
      <c r="F39" s="48">
        <v>48059809.539999999</v>
      </c>
      <c r="G39" s="48">
        <v>48668413.590000004</v>
      </c>
      <c r="H39" s="48">
        <v>44186099.490000002</v>
      </c>
      <c r="I39" s="48">
        <v>58556178.700000003</v>
      </c>
      <c r="J39" s="48">
        <v>38672468.060000002</v>
      </c>
      <c r="K39" s="48">
        <v>38862484.119999997</v>
      </c>
      <c r="L39" s="48">
        <v>50860884.090000004</v>
      </c>
      <c r="M39" s="48">
        <v>56642381.539999999</v>
      </c>
      <c r="N39" s="48">
        <v>28929000.809999999</v>
      </c>
      <c r="O39" s="48">
        <v>31286405.52</v>
      </c>
      <c r="P39" s="48">
        <v>33704680.469999999</v>
      </c>
      <c r="Q39" s="48">
        <v>39812731.780000001</v>
      </c>
      <c r="R39" s="48">
        <v>34320020.840000004</v>
      </c>
      <c r="S39" s="48">
        <v>39028732.030000001</v>
      </c>
      <c r="T39" s="48">
        <v>35143678.5</v>
      </c>
      <c r="U39" s="48">
        <v>41523477.950000003</v>
      </c>
      <c r="V39" s="48">
        <v>30945225.66</v>
      </c>
      <c r="W39" s="48">
        <v>30357155.719999999</v>
      </c>
      <c r="X39" s="48">
        <v>20158015.02</v>
      </c>
      <c r="Y39" s="48">
        <v>25981597.629999999</v>
      </c>
      <c r="Z39" s="48">
        <v>19460742.079999998</v>
      </c>
      <c r="AA39" s="48">
        <v>19125585.120000001</v>
      </c>
      <c r="AB39" s="48">
        <v>19049983.41</v>
      </c>
      <c r="AC39" s="48">
        <v>25131330.870000001</v>
      </c>
      <c r="AD39" s="48">
        <v>19936762.469999999</v>
      </c>
      <c r="AE39" s="48">
        <v>16060633.140000001</v>
      </c>
      <c r="AF39" s="48">
        <v>17003400.34</v>
      </c>
      <c r="AG39" s="48">
        <v>23707557.989999998</v>
      </c>
      <c r="AH39" s="48">
        <v>9353917.5899999999</v>
      </c>
      <c r="AI39" s="48">
        <v>8268630.54</v>
      </c>
      <c r="AJ39" s="48">
        <v>8749809.9600000009</v>
      </c>
      <c r="AK39" s="48">
        <v>12067371.98</v>
      </c>
      <c r="AL39" s="48">
        <v>6830474.3300000001</v>
      </c>
      <c r="AM39" s="48">
        <v>6936747.7199999997</v>
      </c>
      <c r="AN39" s="48">
        <v>11055956.99</v>
      </c>
      <c r="AO39" s="48">
        <v>6780801.5599999996</v>
      </c>
      <c r="AP39" s="48">
        <v>7456143.6600000001</v>
      </c>
      <c r="AQ39" s="48">
        <v>0</v>
      </c>
      <c r="AR39" s="48"/>
      <c r="AS39" s="48"/>
      <c r="AT39" s="48"/>
      <c r="AU39" s="48"/>
      <c r="AV39" s="48"/>
      <c r="AW39" s="48"/>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c r="BX39" s="48"/>
      <c r="BY39" s="48"/>
      <c r="BZ39" s="48"/>
      <c r="CA39" s="48"/>
      <c r="CB39" s="48"/>
      <c r="CC39" s="48"/>
      <c r="CD39" s="48"/>
      <c r="CE39" s="48"/>
      <c r="CF39" s="48"/>
      <c r="CG39" s="48"/>
      <c r="CH39" s="48"/>
      <c r="CI39" s="48"/>
      <c r="CJ39" s="48"/>
      <c r="CK39" s="48"/>
      <c r="CL39" s="48"/>
    </row>
    <row r="40" spans="1:90">
      <c r="A40" t="s">
        <v>26</v>
      </c>
      <c r="B40" s="48">
        <v>54081137.609999999</v>
      </c>
      <c r="C40" s="48">
        <v>48365371.850000001</v>
      </c>
      <c r="D40" s="48">
        <v>91263131.549999997</v>
      </c>
      <c r="E40" s="48">
        <v>115758666.70999999</v>
      </c>
      <c r="F40" s="48">
        <v>87246727.109999999</v>
      </c>
      <c r="G40" s="48">
        <v>58438537.460000001</v>
      </c>
      <c r="H40" s="48">
        <v>108166502.65000001</v>
      </c>
      <c r="I40" s="48">
        <v>127230236.39</v>
      </c>
      <c r="J40" s="48">
        <v>54768952.140000001</v>
      </c>
      <c r="K40" s="48">
        <v>46526730.640000001</v>
      </c>
      <c r="L40" s="48">
        <v>60660858.280000001</v>
      </c>
      <c r="M40" s="48">
        <v>108028128.77</v>
      </c>
      <c r="N40" s="48">
        <v>57478208.469999999</v>
      </c>
      <c r="O40" s="48">
        <v>42137511.450000003</v>
      </c>
      <c r="P40" s="48">
        <v>82677924.609999999</v>
      </c>
      <c r="Q40" s="48">
        <v>96511348.079999998</v>
      </c>
      <c r="R40" s="48">
        <v>68849741.719999999</v>
      </c>
      <c r="S40" s="48">
        <v>43987596.119999997</v>
      </c>
      <c r="T40" s="48">
        <v>93860840.569999993</v>
      </c>
      <c r="U40" s="48">
        <v>79152183.980000004</v>
      </c>
      <c r="V40" s="48">
        <v>62159158.439999998</v>
      </c>
      <c r="W40" s="48">
        <v>40086514.32</v>
      </c>
      <c r="X40" s="48">
        <v>65624454.869999997</v>
      </c>
      <c r="Y40" s="48">
        <v>79045634.450000003</v>
      </c>
      <c r="Z40" s="48">
        <v>54904258.119999997</v>
      </c>
      <c r="AA40" s="48">
        <v>25072493.890000001</v>
      </c>
      <c r="AB40" s="48">
        <v>70479186.670000002</v>
      </c>
      <c r="AC40" s="48">
        <v>66128485.329999998</v>
      </c>
      <c r="AD40" s="48">
        <v>29333367.699999999</v>
      </c>
      <c r="AE40" s="48">
        <v>25640915.52</v>
      </c>
      <c r="AF40" s="48">
        <v>42315008.479999997</v>
      </c>
      <c r="AG40" s="48">
        <v>25716693.530000001</v>
      </c>
      <c r="AH40" s="48">
        <v>8170384.5999999996</v>
      </c>
      <c r="AI40" s="48">
        <v>4725063.24</v>
      </c>
      <c r="AJ40" s="48">
        <v>16434913.369999999</v>
      </c>
      <c r="AK40" s="48">
        <v>14429306.390000001</v>
      </c>
      <c r="AL40" s="48">
        <v>10927463.119999999</v>
      </c>
      <c r="AM40" s="48">
        <v>4753734.62</v>
      </c>
      <c r="AN40" s="48">
        <v>6568099.1600000001</v>
      </c>
      <c r="AO40" s="48">
        <v>17515967.57</v>
      </c>
      <c r="AP40" s="48">
        <v>9861668.9600000009</v>
      </c>
      <c r="AQ40" s="48">
        <v>0</v>
      </c>
      <c r="AR40" s="48"/>
      <c r="AS40" s="48"/>
      <c r="AT40" s="48"/>
      <c r="AU40" s="48"/>
      <c r="AV40" s="48"/>
      <c r="AW40" s="48"/>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c r="BX40" s="48"/>
      <c r="BY40" s="48"/>
      <c r="BZ40" s="48"/>
      <c r="CA40" s="48"/>
      <c r="CB40" s="48"/>
      <c r="CC40" s="48"/>
      <c r="CD40" s="48"/>
      <c r="CE40" s="48"/>
      <c r="CF40" s="48"/>
      <c r="CG40" s="48"/>
      <c r="CH40" s="48"/>
      <c r="CI40" s="48"/>
      <c r="CJ40" s="48"/>
      <c r="CK40" s="48"/>
      <c r="CL40" s="48"/>
    </row>
    <row r="41" spans="1:90">
      <c r="A41" t="s">
        <v>27</v>
      </c>
      <c r="B41" s="48">
        <v>205635427.44999999</v>
      </c>
      <c r="C41" s="48">
        <v>214244606.72</v>
      </c>
      <c r="D41" s="48">
        <v>240922731.66999999</v>
      </c>
      <c r="E41" s="48">
        <v>223195585.74000001</v>
      </c>
      <c r="F41" s="48">
        <v>265040240.13999999</v>
      </c>
      <c r="G41" s="48">
        <v>250509172.58000001</v>
      </c>
      <c r="H41" s="48">
        <v>156594047.19999999</v>
      </c>
      <c r="I41" s="48">
        <v>155524849.72999999</v>
      </c>
      <c r="J41" s="48">
        <v>153226507.96000001</v>
      </c>
      <c r="K41" s="48">
        <v>167524862.50999999</v>
      </c>
      <c r="L41" s="48">
        <v>89307545.379999995</v>
      </c>
      <c r="M41" s="48">
        <v>85979468.019999996</v>
      </c>
      <c r="N41" s="48">
        <v>100029153.77</v>
      </c>
      <c r="O41" s="48">
        <v>99630130.280000001</v>
      </c>
      <c r="P41" s="48">
        <v>101273289.34</v>
      </c>
      <c r="Q41" s="48">
        <v>94786180.230000004</v>
      </c>
      <c r="R41" s="48">
        <v>44484760.130000003</v>
      </c>
      <c r="S41" s="48">
        <v>43238512.939999998</v>
      </c>
      <c r="T41" s="48">
        <v>45170192.93</v>
      </c>
      <c r="U41" s="48">
        <v>49307778.979999997</v>
      </c>
      <c r="V41" s="48">
        <v>32448648.75</v>
      </c>
      <c r="W41" s="48">
        <v>26897567.16</v>
      </c>
      <c r="X41" s="48">
        <v>31338081.399999999</v>
      </c>
      <c r="Y41" s="48">
        <v>34674318.359999999</v>
      </c>
      <c r="Z41" s="48">
        <v>28920490.059999999</v>
      </c>
      <c r="AA41" s="48">
        <v>25826213.140000001</v>
      </c>
      <c r="AB41" s="48">
        <v>24858091</v>
      </c>
      <c r="AC41" s="48">
        <v>26013950.739999998</v>
      </c>
      <c r="AD41" s="48">
        <v>37271035.82</v>
      </c>
      <c r="AE41" s="48">
        <v>43168458.93</v>
      </c>
      <c r="AF41" s="48">
        <v>32034634.75</v>
      </c>
      <c r="AG41" s="48">
        <v>28050924.559999999</v>
      </c>
      <c r="AH41" s="48">
        <v>27960474.34</v>
      </c>
      <c r="AI41" s="48">
        <v>29698410.899999999</v>
      </c>
      <c r="AJ41" s="48">
        <v>34753120.020000003</v>
      </c>
      <c r="AK41" s="48">
        <v>28951753.949999999</v>
      </c>
      <c r="AL41" s="48">
        <v>24060579.98</v>
      </c>
      <c r="AM41" s="48">
        <v>13925439.210000001</v>
      </c>
      <c r="AN41" s="48">
        <v>12922651.960000001</v>
      </c>
      <c r="AO41" s="48">
        <v>17171592.350000001</v>
      </c>
      <c r="AP41" s="48">
        <v>18095351.82</v>
      </c>
      <c r="AQ41" s="48">
        <v>0</v>
      </c>
      <c r="AR41" s="48"/>
      <c r="AS41" s="48"/>
      <c r="AT41" s="48"/>
      <c r="AU41" s="48"/>
      <c r="AV41" s="48"/>
      <c r="AW41" s="48"/>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c r="BX41" s="48"/>
      <c r="BY41" s="48"/>
      <c r="BZ41" s="48"/>
      <c r="CA41" s="48"/>
      <c r="CB41" s="48"/>
      <c r="CC41" s="48"/>
      <c r="CD41" s="48"/>
      <c r="CE41" s="48"/>
      <c r="CF41" s="48"/>
      <c r="CG41" s="48"/>
      <c r="CH41" s="48"/>
      <c r="CI41" s="48"/>
      <c r="CJ41" s="48"/>
      <c r="CK41" s="48"/>
      <c r="CL41" s="48"/>
    </row>
    <row r="42" spans="1:90" s="47" customFormat="1">
      <c r="A42" s="47" t="s">
        <v>28</v>
      </c>
      <c r="B42" s="48">
        <v>0</v>
      </c>
      <c r="C42" s="48">
        <v>0</v>
      </c>
      <c r="D42" s="48">
        <v>0</v>
      </c>
      <c r="E42" s="48">
        <v>0</v>
      </c>
      <c r="F42" s="48">
        <v>0</v>
      </c>
      <c r="G42" s="48">
        <v>0</v>
      </c>
      <c r="H42" s="48">
        <v>0</v>
      </c>
      <c r="I42" s="48">
        <v>0</v>
      </c>
      <c r="J42" s="48">
        <v>0</v>
      </c>
      <c r="K42" s="48">
        <v>0</v>
      </c>
      <c r="L42" s="48">
        <v>0</v>
      </c>
      <c r="M42" s="48">
        <v>0</v>
      </c>
      <c r="N42" s="48">
        <v>0</v>
      </c>
      <c r="O42" s="48">
        <v>0</v>
      </c>
      <c r="P42" s="48">
        <v>0</v>
      </c>
      <c r="Q42" s="48">
        <v>0</v>
      </c>
      <c r="R42" s="48">
        <v>0</v>
      </c>
      <c r="S42" s="48">
        <v>0</v>
      </c>
      <c r="T42" s="48">
        <v>0</v>
      </c>
      <c r="U42" s="48">
        <v>0</v>
      </c>
      <c r="V42" s="48">
        <v>0</v>
      </c>
      <c r="W42" s="48">
        <v>0</v>
      </c>
      <c r="X42" s="48">
        <v>0</v>
      </c>
      <c r="Y42" s="48">
        <v>0</v>
      </c>
      <c r="Z42" s="48">
        <v>0</v>
      </c>
      <c r="AA42" s="48">
        <v>0</v>
      </c>
      <c r="AB42" s="48">
        <v>0</v>
      </c>
      <c r="AC42" s="48">
        <v>0</v>
      </c>
      <c r="AD42" s="48">
        <v>0</v>
      </c>
      <c r="AE42" s="48">
        <v>0</v>
      </c>
      <c r="AF42" s="48">
        <v>0</v>
      </c>
      <c r="AG42" s="48">
        <v>0</v>
      </c>
      <c r="AH42" s="48">
        <v>0</v>
      </c>
      <c r="AI42" s="48">
        <v>0</v>
      </c>
      <c r="AJ42" s="48">
        <v>0</v>
      </c>
      <c r="AK42" s="48">
        <v>0</v>
      </c>
      <c r="AL42" s="48">
        <v>0</v>
      </c>
      <c r="AM42" s="48">
        <v>0</v>
      </c>
      <c r="AN42" s="48">
        <v>0</v>
      </c>
      <c r="AO42" s="48">
        <v>0</v>
      </c>
      <c r="AP42" s="48">
        <v>0</v>
      </c>
      <c r="AQ42" s="48">
        <v>0</v>
      </c>
      <c r="AR42" s="48"/>
      <c r="AS42" s="48"/>
      <c r="AT42" s="48"/>
      <c r="AU42" s="48"/>
      <c r="AV42" s="48"/>
      <c r="AW42" s="48"/>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c r="BX42" s="48"/>
      <c r="BY42" s="48"/>
      <c r="BZ42" s="48"/>
      <c r="CA42" s="48"/>
      <c r="CB42" s="48"/>
      <c r="CC42" s="48"/>
      <c r="CD42" s="48"/>
      <c r="CE42" s="48"/>
      <c r="CF42" s="48"/>
      <c r="CG42" s="48"/>
      <c r="CH42" s="48"/>
      <c r="CI42" s="48"/>
      <c r="CJ42" s="48"/>
      <c r="CK42" s="48"/>
      <c r="CL42" s="48"/>
    </row>
    <row r="43" spans="1:90">
      <c r="A43" t="s">
        <v>29</v>
      </c>
      <c r="B43" s="48">
        <v>18397902.27</v>
      </c>
      <c r="C43" s="48">
        <v>19366792.91</v>
      </c>
      <c r="D43" s="48">
        <v>20281680.329999998</v>
      </c>
      <c r="E43" s="48">
        <v>19861432.280000001</v>
      </c>
      <c r="F43" s="48">
        <v>19484524.600000001</v>
      </c>
      <c r="G43" s="48">
        <v>19770180.98</v>
      </c>
      <c r="H43" s="48">
        <v>26979414.469999999</v>
      </c>
      <c r="I43" s="48">
        <v>24626654.670000002</v>
      </c>
      <c r="J43" s="48">
        <v>27473820.870000001</v>
      </c>
      <c r="K43" s="48">
        <v>27759477.25</v>
      </c>
      <c r="L43" s="48">
        <v>28352759.149999999</v>
      </c>
      <c r="M43" s="48">
        <v>28612780.07</v>
      </c>
      <c r="N43" s="48">
        <v>24225679.449999999</v>
      </c>
      <c r="O43" s="48">
        <v>24034429.449999999</v>
      </c>
      <c r="P43" s="48">
        <v>21692111.07</v>
      </c>
      <c r="Q43" s="48">
        <v>18900861.07</v>
      </c>
      <c r="R43" s="48">
        <v>0</v>
      </c>
      <c r="S43" s="48">
        <v>0</v>
      </c>
      <c r="T43" s="48">
        <v>0</v>
      </c>
      <c r="U43" s="48">
        <v>0</v>
      </c>
      <c r="V43" s="48">
        <v>0</v>
      </c>
      <c r="W43" s="48">
        <v>0</v>
      </c>
      <c r="X43" s="48">
        <v>0</v>
      </c>
      <c r="Y43" s="48">
        <v>0</v>
      </c>
      <c r="Z43" s="48">
        <v>0</v>
      </c>
      <c r="AA43" s="48">
        <v>0</v>
      </c>
      <c r="AB43" s="48">
        <v>0</v>
      </c>
      <c r="AC43" s="48">
        <v>0</v>
      </c>
      <c r="AD43" s="48">
        <v>0</v>
      </c>
      <c r="AE43" s="48">
        <v>0</v>
      </c>
      <c r="AF43" s="48">
        <v>0</v>
      </c>
      <c r="AG43" s="48">
        <v>0</v>
      </c>
      <c r="AH43" s="48">
        <v>0</v>
      </c>
      <c r="AI43" s="48">
        <v>0</v>
      </c>
      <c r="AJ43" s="48">
        <v>0</v>
      </c>
      <c r="AK43" s="48">
        <v>0</v>
      </c>
      <c r="AL43" s="48">
        <v>0</v>
      </c>
      <c r="AM43" s="48">
        <v>0</v>
      </c>
      <c r="AN43" s="48">
        <v>0</v>
      </c>
      <c r="AO43" s="48">
        <v>0</v>
      </c>
      <c r="AP43" s="48">
        <v>0</v>
      </c>
      <c r="AQ43" s="48">
        <v>0</v>
      </c>
      <c r="AR43" s="48"/>
      <c r="AS43" s="48"/>
      <c r="AT43" s="48"/>
      <c r="AU43" s="48"/>
      <c r="AV43" s="48"/>
      <c r="AW43" s="48"/>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c r="BX43" s="48"/>
      <c r="BY43" s="48"/>
      <c r="BZ43" s="48"/>
      <c r="CA43" s="48"/>
      <c r="CB43" s="48"/>
      <c r="CC43" s="48"/>
      <c r="CD43" s="48"/>
      <c r="CE43" s="48"/>
      <c r="CF43" s="48"/>
      <c r="CG43" s="48"/>
      <c r="CH43" s="48"/>
      <c r="CI43" s="48"/>
      <c r="CJ43" s="48"/>
      <c r="CK43" s="48"/>
      <c r="CL43" s="48"/>
    </row>
    <row r="44" spans="1:90">
      <c r="A44" t="s">
        <v>30</v>
      </c>
      <c r="B44" s="48">
        <v>0</v>
      </c>
      <c r="C44" s="48">
        <v>0</v>
      </c>
      <c r="D44" s="48">
        <v>0</v>
      </c>
      <c r="E44" s="48">
        <v>0</v>
      </c>
      <c r="F44" s="48">
        <v>0</v>
      </c>
      <c r="G44" s="48">
        <v>0</v>
      </c>
      <c r="H44" s="48">
        <v>0</v>
      </c>
      <c r="I44" s="48">
        <v>0</v>
      </c>
      <c r="J44" s="48">
        <v>0</v>
      </c>
      <c r="K44" s="48">
        <v>0</v>
      </c>
      <c r="L44" s="48">
        <v>0</v>
      </c>
      <c r="M44" s="48">
        <v>0</v>
      </c>
      <c r="N44" s="48">
        <v>0</v>
      </c>
      <c r="O44" s="48">
        <v>0</v>
      </c>
      <c r="P44" s="48">
        <v>0</v>
      </c>
      <c r="Q44" s="48">
        <v>0</v>
      </c>
      <c r="R44" s="48">
        <v>0</v>
      </c>
      <c r="S44" s="48">
        <v>0</v>
      </c>
      <c r="T44" s="48">
        <v>0</v>
      </c>
      <c r="U44" s="48">
        <v>0</v>
      </c>
      <c r="V44" s="48">
        <v>0</v>
      </c>
      <c r="W44" s="48">
        <v>0</v>
      </c>
      <c r="X44" s="48">
        <v>0</v>
      </c>
      <c r="Y44" s="48">
        <v>0</v>
      </c>
      <c r="Z44" s="48">
        <v>0</v>
      </c>
      <c r="AA44" s="48">
        <v>0</v>
      </c>
      <c r="AB44" s="48">
        <v>0</v>
      </c>
      <c r="AC44" s="48">
        <v>0</v>
      </c>
      <c r="AD44" s="48">
        <v>0</v>
      </c>
      <c r="AE44" s="48">
        <v>0</v>
      </c>
      <c r="AF44" s="48">
        <v>0</v>
      </c>
      <c r="AG44" s="48">
        <v>0</v>
      </c>
      <c r="AH44" s="48">
        <v>0</v>
      </c>
      <c r="AI44" s="48">
        <v>0</v>
      </c>
      <c r="AJ44" s="48">
        <v>0</v>
      </c>
      <c r="AK44" s="48">
        <v>0</v>
      </c>
      <c r="AL44" s="48">
        <v>1335190</v>
      </c>
      <c r="AM44" s="48">
        <v>752690</v>
      </c>
      <c r="AN44" s="48">
        <v>752690</v>
      </c>
      <c r="AO44" s="48">
        <v>160000</v>
      </c>
      <c r="AP44" s="48">
        <v>0</v>
      </c>
      <c r="AQ44" s="48">
        <v>0</v>
      </c>
      <c r="AR44" s="48"/>
      <c r="AS44" s="48"/>
      <c r="AT44" s="48"/>
      <c r="AU44" s="48"/>
      <c r="AV44" s="48"/>
      <c r="AW44" s="48"/>
      <c r="AX44" s="48"/>
      <c r="AY44" s="48"/>
      <c r="AZ44" s="48"/>
      <c r="BA44" s="48"/>
      <c r="BB44" s="48"/>
      <c r="BC44" s="48"/>
      <c r="BD44" s="48"/>
      <c r="BE44" s="48"/>
      <c r="BF44" s="48"/>
      <c r="BG44" s="48"/>
      <c r="BH44" s="48"/>
      <c r="BI44" s="48"/>
      <c r="BJ44" s="48"/>
      <c r="BK44" s="48"/>
      <c r="BL44" s="48"/>
      <c r="BM44" s="48"/>
      <c r="BN44" s="48"/>
      <c r="BO44" s="48"/>
      <c r="BP44" s="48"/>
      <c r="BQ44" s="48"/>
      <c r="BR44" s="48"/>
      <c r="BS44" s="48"/>
      <c r="BT44" s="48"/>
      <c r="BU44" s="48"/>
      <c r="BV44" s="48"/>
      <c r="BW44" s="48"/>
      <c r="BX44" s="48"/>
      <c r="BY44" s="48"/>
      <c r="BZ44" s="48"/>
      <c r="CA44" s="48"/>
      <c r="CB44" s="48"/>
      <c r="CC44" s="48"/>
      <c r="CD44" s="48"/>
      <c r="CE44" s="48"/>
      <c r="CF44" s="48"/>
      <c r="CG44" s="48"/>
      <c r="CH44" s="48"/>
      <c r="CI44" s="48"/>
      <c r="CJ44" s="48"/>
      <c r="CK44" s="48"/>
      <c r="CL44" s="48"/>
    </row>
    <row r="45" spans="1:90">
      <c r="A45" t="s">
        <v>31</v>
      </c>
      <c r="B45" s="48">
        <v>2076133.95</v>
      </c>
      <c r="C45" s="48">
        <v>2090452.76</v>
      </c>
      <c r="D45" s="48">
        <v>2121541.2000000002</v>
      </c>
      <c r="E45" s="48">
        <v>3601791.92</v>
      </c>
      <c r="F45" s="48">
        <v>1151967.18</v>
      </c>
      <c r="G45" s="48">
        <v>1151967.18</v>
      </c>
      <c r="H45" s="48">
        <v>1151967.18</v>
      </c>
      <c r="I45" s="48">
        <v>3010551.25</v>
      </c>
      <c r="J45" s="48">
        <v>1317902</v>
      </c>
      <c r="K45" s="48">
        <v>1483836.84</v>
      </c>
      <c r="L45" s="48">
        <v>1342146.1599999999</v>
      </c>
      <c r="M45" s="48">
        <v>1508081</v>
      </c>
      <c r="N45" s="48">
        <v>2408424.98</v>
      </c>
      <c r="O45" s="48">
        <v>1808424.98</v>
      </c>
      <c r="P45" s="48">
        <v>1808424.98</v>
      </c>
      <c r="Q45" s="48">
        <v>1808424.98</v>
      </c>
      <c r="R45" s="48">
        <v>1698266.47</v>
      </c>
      <c r="S45" s="48">
        <v>1698266.47</v>
      </c>
      <c r="T45" s="48">
        <v>1687863.25</v>
      </c>
      <c r="U45" s="48">
        <v>1698266.47</v>
      </c>
      <c r="V45" s="48">
        <v>0</v>
      </c>
      <c r="W45" s="48">
        <v>0</v>
      </c>
      <c r="X45" s="48">
        <v>0</v>
      </c>
      <c r="Y45" s="48">
        <v>0</v>
      </c>
      <c r="Z45" s="48">
        <v>0</v>
      </c>
      <c r="AA45" s="48">
        <v>0</v>
      </c>
      <c r="AB45" s="48">
        <v>0</v>
      </c>
      <c r="AC45" s="48">
        <v>0</v>
      </c>
      <c r="AD45" s="48">
        <v>0</v>
      </c>
      <c r="AE45" s="48">
        <v>0</v>
      </c>
      <c r="AF45" s="48">
        <v>0</v>
      </c>
      <c r="AG45" s="48">
        <v>0</v>
      </c>
      <c r="AH45" s="48">
        <v>0</v>
      </c>
      <c r="AI45" s="48">
        <v>0</v>
      </c>
      <c r="AJ45" s="48">
        <v>0</v>
      </c>
      <c r="AK45" s="48">
        <v>0</v>
      </c>
      <c r="AL45" s="48">
        <v>0</v>
      </c>
      <c r="AM45" s="48">
        <v>0</v>
      </c>
      <c r="AN45" s="48">
        <v>0</v>
      </c>
      <c r="AO45" s="48">
        <v>0</v>
      </c>
      <c r="AP45" s="48">
        <v>0</v>
      </c>
      <c r="AQ45" s="48">
        <v>0</v>
      </c>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c r="CL45" s="48"/>
    </row>
    <row r="46" spans="1:90" hidden="1">
      <c r="B46" s="33"/>
      <c r="C46" s="33"/>
      <c r="D46" s="33"/>
      <c r="E46" s="33"/>
      <c r="F46" s="33"/>
      <c r="G46" s="33"/>
      <c r="H46" s="33"/>
      <c r="I46" s="33"/>
      <c r="J46" s="33"/>
      <c r="K46" s="33"/>
      <c r="L46" s="30"/>
    </row>
    <row r="47" spans="1:90" hidden="1">
      <c r="B47" s="33"/>
      <c r="C47" s="33"/>
      <c r="D47" s="33"/>
      <c r="E47" s="33"/>
      <c r="F47" s="33"/>
      <c r="G47" s="33"/>
      <c r="H47" s="33"/>
      <c r="I47" s="33"/>
      <c r="J47" s="33"/>
      <c r="K47" s="33"/>
      <c r="L47" s="30"/>
    </row>
    <row r="48" spans="1:90" hidden="1">
      <c r="B48" s="33"/>
      <c r="C48" s="33"/>
      <c r="D48" s="33"/>
      <c r="E48" s="33"/>
      <c r="F48" s="33"/>
      <c r="G48" s="33"/>
      <c r="H48" s="33"/>
      <c r="I48" s="33"/>
      <c r="J48" s="33"/>
      <c r="K48" s="33"/>
      <c r="L48" s="30"/>
    </row>
    <row r="49" spans="1:90" s="14" customFormat="1">
      <c r="A49" s="14" t="s">
        <v>32</v>
      </c>
      <c r="B49" s="43">
        <f>SUM(B35:B41)+SUM(B43:B45)</f>
        <v>372046547.29999995</v>
      </c>
      <c r="C49" s="43">
        <f>SUM(C35:C41)+SUM(C43:C45)</f>
        <v>744950894.16999996</v>
      </c>
      <c r="D49" s="43">
        <f>SUM(D35:D41)+SUM(D43:D45)</f>
        <v>797540268.97000003</v>
      </c>
      <c r="E49" s="43">
        <f>SUM(E35:E45)</f>
        <v>869991520.76999998</v>
      </c>
      <c r="F49" s="43">
        <f t="shared" ref="F49:BQ49" si="4">SUM(F35:F45)</f>
        <v>779978821.48000002</v>
      </c>
      <c r="G49" s="43">
        <f t="shared" si="4"/>
        <v>719523007.52999997</v>
      </c>
      <c r="H49" s="43">
        <f t="shared" si="4"/>
        <v>700695393.86000001</v>
      </c>
      <c r="I49" s="43">
        <f t="shared" si="4"/>
        <v>852287706.86000001</v>
      </c>
      <c r="J49" s="43">
        <f t="shared" si="4"/>
        <v>622511296.22000003</v>
      </c>
      <c r="K49" s="43">
        <f t="shared" si="4"/>
        <v>585089825.17999995</v>
      </c>
      <c r="L49" s="43">
        <f t="shared" si="4"/>
        <v>538940362.42999995</v>
      </c>
      <c r="M49" s="43">
        <f t="shared" si="4"/>
        <v>610086655.09000015</v>
      </c>
      <c r="N49" s="43">
        <f t="shared" si="4"/>
        <v>521390610.75999993</v>
      </c>
      <c r="O49" s="43">
        <f t="shared" si="4"/>
        <v>480720459.86999995</v>
      </c>
      <c r="P49" s="43">
        <f t="shared" si="4"/>
        <v>530581232.07999998</v>
      </c>
      <c r="Q49" s="43">
        <f t="shared" si="4"/>
        <v>611319221.76999998</v>
      </c>
      <c r="R49" s="43">
        <f t="shared" si="4"/>
        <v>433010907.12</v>
      </c>
      <c r="S49" s="43">
        <f t="shared" si="4"/>
        <v>386241049.02000004</v>
      </c>
      <c r="T49" s="43">
        <f t="shared" si="4"/>
        <v>447642382.24000001</v>
      </c>
      <c r="U49" s="43">
        <f t="shared" si="4"/>
        <v>548970931.30000007</v>
      </c>
      <c r="V49" s="43">
        <f t="shared" si="4"/>
        <v>450112909.50999999</v>
      </c>
      <c r="W49" s="43">
        <f t="shared" si="4"/>
        <v>483719929.70000005</v>
      </c>
      <c r="X49" s="43">
        <f t="shared" si="4"/>
        <v>469334583.5</v>
      </c>
      <c r="Y49" s="43">
        <f t="shared" si="4"/>
        <v>524535250.20999998</v>
      </c>
      <c r="Z49" s="43">
        <f t="shared" si="4"/>
        <v>332282625.65000004</v>
      </c>
      <c r="AA49" s="43">
        <f t="shared" si="4"/>
        <v>248298005.87</v>
      </c>
      <c r="AB49" s="43">
        <f t="shared" si="4"/>
        <v>312338119.33999997</v>
      </c>
      <c r="AC49" s="43">
        <f t="shared" si="4"/>
        <v>384123388.56</v>
      </c>
      <c r="AD49" s="43">
        <f t="shared" si="4"/>
        <v>315286663.67999995</v>
      </c>
      <c r="AE49" s="43">
        <f t="shared" si="4"/>
        <v>220208275.69000003</v>
      </c>
      <c r="AF49" s="43">
        <f t="shared" si="4"/>
        <v>200113932.47</v>
      </c>
      <c r="AG49" s="43">
        <f t="shared" si="4"/>
        <v>254628268.19000003</v>
      </c>
      <c r="AH49" s="43">
        <f t="shared" si="4"/>
        <v>252644609</v>
      </c>
      <c r="AI49" s="43">
        <f t="shared" si="4"/>
        <v>246332786.59000003</v>
      </c>
      <c r="AJ49" s="43">
        <f t="shared" si="4"/>
        <v>233749058.92000002</v>
      </c>
      <c r="AK49" s="43">
        <f t="shared" si="4"/>
        <v>224704396.29000002</v>
      </c>
      <c r="AL49" s="43">
        <f t="shared" si="4"/>
        <v>210410502.70999998</v>
      </c>
      <c r="AM49" s="43">
        <f t="shared" si="4"/>
        <v>169758112.76000002</v>
      </c>
      <c r="AN49" s="43">
        <f t="shared" si="4"/>
        <v>211458545.34000003</v>
      </c>
      <c r="AO49" s="43">
        <f t="shared" si="4"/>
        <v>169604236.37999997</v>
      </c>
      <c r="AP49" s="43">
        <f t="shared" si="4"/>
        <v>146209864.97</v>
      </c>
      <c r="AQ49" s="43">
        <f t="shared" si="4"/>
        <v>0</v>
      </c>
      <c r="AR49" s="43">
        <f t="shared" si="4"/>
        <v>0</v>
      </c>
      <c r="AS49" s="43">
        <f t="shared" si="4"/>
        <v>0</v>
      </c>
      <c r="AT49" s="43">
        <f t="shared" si="4"/>
        <v>0</v>
      </c>
      <c r="AU49" s="43">
        <f t="shared" si="4"/>
        <v>0</v>
      </c>
      <c r="AV49" s="43">
        <f t="shared" si="4"/>
        <v>0</v>
      </c>
      <c r="AW49" s="43">
        <f t="shared" si="4"/>
        <v>0</v>
      </c>
      <c r="AX49" s="43">
        <f t="shared" si="4"/>
        <v>0</v>
      </c>
      <c r="AY49" s="43">
        <f t="shared" si="4"/>
        <v>0</v>
      </c>
      <c r="AZ49" s="43">
        <f t="shared" si="4"/>
        <v>0</v>
      </c>
      <c r="BA49" s="43">
        <f t="shared" si="4"/>
        <v>0</v>
      </c>
      <c r="BB49" s="43">
        <f t="shared" si="4"/>
        <v>0</v>
      </c>
      <c r="BC49" s="43">
        <f t="shared" si="4"/>
        <v>0</v>
      </c>
      <c r="BD49" s="43">
        <f t="shared" si="4"/>
        <v>0</v>
      </c>
      <c r="BE49" s="43">
        <f t="shared" si="4"/>
        <v>0</v>
      </c>
      <c r="BF49" s="43">
        <f t="shared" si="4"/>
        <v>0</v>
      </c>
      <c r="BG49" s="43">
        <f t="shared" si="4"/>
        <v>0</v>
      </c>
      <c r="BH49" s="43">
        <f t="shared" si="4"/>
        <v>0</v>
      </c>
      <c r="BI49" s="43">
        <f t="shared" si="4"/>
        <v>0</v>
      </c>
      <c r="BJ49" s="43">
        <f t="shared" si="4"/>
        <v>0</v>
      </c>
      <c r="BK49" s="43">
        <f t="shared" si="4"/>
        <v>0</v>
      </c>
      <c r="BL49" s="43">
        <f t="shared" si="4"/>
        <v>0</v>
      </c>
      <c r="BM49" s="43">
        <f t="shared" si="4"/>
        <v>0</v>
      </c>
      <c r="BN49" s="43">
        <f t="shared" si="4"/>
        <v>0</v>
      </c>
      <c r="BO49" s="43">
        <f t="shared" si="4"/>
        <v>0</v>
      </c>
      <c r="BP49" s="43">
        <f t="shared" si="4"/>
        <v>0</v>
      </c>
      <c r="BQ49" s="43">
        <f t="shared" si="4"/>
        <v>0</v>
      </c>
      <c r="BR49" s="43">
        <f t="shared" ref="BR49:CK49" si="5">SUM(BR35:BR45)</f>
        <v>0</v>
      </c>
      <c r="BS49" s="43">
        <f t="shared" si="5"/>
        <v>0</v>
      </c>
      <c r="BT49" s="43">
        <f t="shared" si="5"/>
        <v>0</v>
      </c>
      <c r="BU49" s="43">
        <f t="shared" si="5"/>
        <v>0</v>
      </c>
      <c r="BV49" s="43">
        <f t="shared" si="5"/>
        <v>0</v>
      </c>
      <c r="BW49" s="43">
        <f t="shared" si="5"/>
        <v>0</v>
      </c>
      <c r="BX49" s="43">
        <f t="shared" si="5"/>
        <v>0</v>
      </c>
      <c r="BY49" s="43">
        <f t="shared" si="5"/>
        <v>0</v>
      </c>
      <c r="BZ49" s="43">
        <f t="shared" si="5"/>
        <v>0</v>
      </c>
      <c r="CA49" s="43">
        <f t="shared" si="5"/>
        <v>0</v>
      </c>
      <c r="CB49" s="43">
        <f t="shared" si="5"/>
        <v>0</v>
      </c>
      <c r="CC49" s="43">
        <f t="shared" si="5"/>
        <v>0</v>
      </c>
      <c r="CD49" s="43">
        <f t="shared" si="5"/>
        <v>0</v>
      </c>
      <c r="CE49" s="43">
        <f t="shared" si="5"/>
        <v>0</v>
      </c>
      <c r="CF49" s="43">
        <f t="shared" si="5"/>
        <v>0</v>
      </c>
      <c r="CG49" s="43">
        <f t="shared" si="5"/>
        <v>0</v>
      </c>
      <c r="CH49" s="43">
        <f t="shared" si="5"/>
        <v>0</v>
      </c>
      <c r="CI49" s="43">
        <f t="shared" si="5"/>
        <v>0</v>
      </c>
      <c r="CJ49" s="43">
        <f t="shared" si="5"/>
        <v>0</v>
      </c>
      <c r="CK49" s="43">
        <f t="shared" si="5"/>
        <v>0</v>
      </c>
    </row>
    <row r="50" spans="1:90" s="21" customFormat="1">
      <c r="A50" s="21" t="s">
        <v>81</v>
      </c>
      <c r="B50" s="44">
        <f>B33-B49</f>
        <v>1919161839.9400003</v>
      </c>
      <c r="C50" s="44">
        <f t="shared" ref="C50:BN50" si="6">C33-C49</f>
        <v>1346127454.0100002</v>
      </c>
      <c r="D50" s="44">
        <f t="shared" si="6"/>
        <v>1273248170.6199999</v>
      </c>
      <c r="E50" s="44">
        <f t="shared" si="6"/>
        <v>1019359342.77</v>
      </c>
      <c r="F50" s="44">
        <f t="shared" si="6"/>
        <v>832380086.96000004</v>
      </c>
      <c r="G50" s="44">
        <f t="shared" si="6"/>
        <v>1051578488.79</v>
      </c>
      <c r="H50" s="44">
        <f t="shared" si="6"/>
        <v>887439335.81999981</v>
      </c>
      <c r="I50" s="44">
        <f t="shared" si="6"/>
        <v>660996160.13999999</v>
      </c>
      <c r="J50" s="44">
        <f t="shared" si="6"/>
        <v>822767964.97000003</v>
      </c>
      <c r="K50" s="44">
        <f t="shared" si="6"/>
        <v>765383230.66000021</v>
      </c>
      <c r="L50" s="44">
        <f t="shared" si="6"/>
        <v>640223137.68999994</v>
      </c>
      <c r="M50" s="44">
        <f t="shared" si="6"/>
        <v>386525963.11999989</v>
      </c>
      <c r="N50" s="44">
        <f t="shared" si="6"/>
        <v>512819312.0800001</v>
      </c>
      <c r="O50" s="44">
        <f t="shared" si="6"/>
        <v>693038148.51999998</v>
      </c>
      <c r="P50" s="44">
        <f t="shared" si="6"/>
        <v>525332145.76999992</v>
      </c>
      <c r="Q50" s="44">
        <f t="shared" si="6"/>
        <v>405527471.01999998</v>
      </c>
      <c r="R50" s="44">
        <f t="shared" si="6"/>
        <v>609878065.87</v>
      </c>
      <c r="S50" s="44">
        <f t="shared" si="6"/>
        <v>621077633.18000007</v>
      </c>
      <c r="T50" s="44">
        <f t="shared" si="6"/>
        <v>463470781.43999994</v>
      </c>
      <c r="U50" s="44">
        <f t="shared" si="6"/>
        <v>427689519.43999994</v>
      </c>
      <c r="V50" s="44">
        <f t="shared" si="6"/>
        <v>542624943.00999999</v>
      </c>
      <c r="W50" s="44">
        <f t="shared" si="6"/>
        <v>522165789.11999989</v>
      </c>
      <c r="X50" s="44">
        <f t="shared" si="6"/>
        <v>403976638.93999994</v>
      </c>
      <c r="Y50" s="44">
        <f t="shared" si="6"/>
        <v>257468295.17000002</v>
      </c>
      <c r="Z50" s="44">
        <f t="shared" si="6"/>
        <v>252131513.39999992</v>
      </c>
      <c r="AA50" s="44">
        <f t="shared" si="6"/>
        <v>377330992.53000009</v>
      </c>
      <c r="AB50" s="44">
        <f t="shared" si="6"/>
        <v>363581719.30000001</v>
      </c>
      <c r="AC50" s="44">
        <f t="shared" si="6"/>
        <v>296555534.18000013</v>
      </c>
      <c r="AD50" s="44">
        <f t="shared" si="6"/>
        <v>339614478.26000011</v>
      </c>
      <c r="AE50" s="44">
        <f t="shared" si="6"/>
        <v>284453211.50999999</v>
      </c>
      <c r="AF50" s="44">
        <f t="shared" si="6"/>
        <v>261569156.52000001</v>
      </c>
      <c r="AG50" s="44">
        <f t="shared" si="6"/>
        <v>253325423.25999996</v>
      </c>
      <c r="AH50" s="44">
        <f t="shared" si="6"/>
        <v>260853074.94999999</v>
      </c>
      <c r="AI50" s="44">
        <f t="shared" si="6"/>
        <v>168459628.32999992</v>
      </c>
      <c r="AJ50" s="44">
        <f t="shared" si="6"/>
        <v>53954488.209999979</v>
      </c>
      <c r="AK50" s="44">
        <f t="shared" si="6"/>
        <v>15067759.359999985</v>
      </c>
      <c r="AL50" s="44">
        <f t="shared" si="6"/>
        <v>41918088.459999979</v>
      </c>
      <c r="AM50" s="44">
        <f t="shared" si="6"/>
        <v>58662516.229999989</v>
      </c>
      <c r="AN50" s="44">
        <f t="shared" si="6"/>
        <v>46438378.349999964</v>
      </c>
      <c r="AO50" s="44">
        <f t="shared" si="6"/>
        <v>23875538.120000035</v>
      </c>
      <c r="AP50" s="44">
        <f t="shared" si="6"/>
        <v>24020537.819999993</v>
      </c>
      <c r="AQ50" s="44">
        <f t="shared" si="6"/>
        <v>0</v>
      </c>
      <c r="AR50" s="44">
        <f t="shared" si="6"/>
        <v>0</v>
      </c>
      <c r="AS50" s="44">
        <f t="shared" si="6"/>
        <v>0</v>
      </c>
      <c r="AT50" s="44">
        <f t="shared" si="6"/>
        <v>0</v>
      </c>
      <c r="AU50" s="44">
        <f t="shared" si="6"/>
        <v>0</v>
      </c>
      <c r="AV50" s="44">
        <f t="shared" si="6"/>
        <v>0</v>
      </c>
      <c r="AW50" s="44">
        <f t="shared" si="6"/>
        <v>0</v>
      </c>
      <c r="AX50" s="44">
        <f t="shared" si="6"/>
        <v>0</v>
      </c>
      <c r="AY50" s="44">
        <f t="shared" si="6"/>
        <v>0</v>
      </c>
      <c r="AZ50" s="44">
        <f t="shared" si="6"/>
        <v>0</v>
      </c>
      <c r="BA50" s="44">
        <f t="shared" si="6"/>
        <v>0</v>
      </c>
      <c r="BB50" s="44">
        <f t="shared" si="6"/>
        <v>0</v>
      </c>
      <c r="BC50" s="44">
        <f t="shared" si="6"/>
        <v>0</v>
      </c>
      <c r="BD50" s="44">
        <f t="shared" si="6"/>
        <v>0</v>
      </c>
      <c r="BE50" s="44">
        <f t="shared" si="6"/>
        <v>0</v>
      </c>
      <c r="BF50" s="44">
        <f t="shared" si="6"/>
        <v>0</v>
      </c>
      <c r="BG50" s="44">
        <f t="shared" si="6"/>
        <v>0</v>
      </c>
      <c r="BH50" s="44">
        <f t="shared" si="6"/>
        <v>0</v>
      </c>
      <c r="BI50" s="44">
        <f t="shared" si="6"/>
        <v>0</v>
      </c>
      <c r="BJ50" s="44">
        <f t="shared" si="6"/>
        <v>0</v>
      </c>
      <c r="BK50" s="44">
        <f t="shared" si="6"/>
        <v>0</v>
      </c>
      <c r="BL50" s="44">
        <f t="shared" si="6"/>
        <v>0</v>
      </c>
      <c r="BM50" s="44">
        <f t="shared" si="6"/>
        <v>0</v>
      </c>
      <c r="BN50" s="44">
        <f t="shared" si="6"/>
        <v>0</v>
      </c>
      <c r="BO50" s="44">
        <f t="shared" ref="BO50:CK50" si="7">BO33-BO49</f>
        <v>0</v>
      </c>
      <c r="BP50" s="44">
        <f t="shared" si="7"/>
        <v>0</v>
      </c>
      <c r="BQ50" s="44">
        <f t="shared" si="7"/>
        <v>0</v>
      </c>
      <c r="BR50" s="44">
        <f t="shared" si="7"/>
        <v>0</v>
      </c>
      <c r="BS50" s="44">
        <f t="shared" si="7"/>
        <v>0</v>
      </c>
      <c r="BT50" s="44">
        <f t="shared" si="7"/>
        <v>0</v>
      </c>
      <c r="BU50" s="44">
        <f t="shared" si="7"/>
        <v>0</v>
      </c>
      <c r="BV50" s="44">
        <f t="shared" si="7"/>
        <v>0</v>
      </c>
      <c r="BW50" s="44">
        <f t="shared" si="7"/>
        <v>0</v>
      </c>
      <c r="BX50" s="44">
        <f t="shared" si="7"/>
        <v>0</v>
      </c>
      <c r="BY50" s="44">
        <f t="shared" si="7"/>
        <v>0</v>
      </c>
      <c r="BZ50" s="44">
        <f t="shared" si="7"/>
        <v>0</v>
      </c>
      <c r="CA50" s="44">
        <f t="shared" si="7"/>
        <v>0</v>
      </c>
      <c r="CB50" s="44">
        <f t="shared" si="7"/>
        <v>0</v>
      </c>
      <c r="CC50" s="44">
        <f t="shared" si="7"/>
        <v>0</v>
      </c>
      <c r="CD50" s="44">
        <f t="shared" si="7"/>
        <v>0</v>
      </c>
      <c r="CE50" s="44">
        <f t="shared" si="7"/>
        <v>0</v>
      </c>
      <c r="CF50" s="44">
        <f t="shared" si="7"/>
        <v>0</v>
      </c>
      <c r="CG50" s="44">
        <f t="shared" si="7"/>
        <v>0</v>
      </c>
      <c r="CH50" s="44">
        <f t="shared" si="7"/>
        <v>0</v>
      </c>
      <c r="CI50" s="44">
        <f t="shared" si="7"/>
        <v>0</v>
      </c>
      <c r="CJ50" s="44">
        <f t="shared" si="7"/>
        <v>0</v>
      </c>
      <c r="CK50" s="44">
        <f t="shared" si="7"/>
        <v>0</v>
      </c>
    </row>
    <row r="51" spans="1:90">
      <c r="A51" t="s">
        <v>33</v>
      </c>
      <c r="B51" s="33"/>
      <c r="C51" s="33"/>
      <c r="D51" s="33"/>
      <c r="E51" s="33"/>
      <c r="F51" s="33"/>
      <c r="G51" s="33"/>
      <c r="H51" s="33"/>
      <c r="I51" s="33"/>
      <c r="J51" s="33"/>
      <c r="K51" s="33"/>
      <c r="L51" s="30"/>
      <c r="M51" s="18"/>
      <c r="N51" s="18"/>
    </row>
    <row r="52" spans="1:90">
      <c r="A52" t="s">
        <v>34</v>
      </c>
      <c r="B52" s="48">
        <v>948398242.05999994</v>
      </c>
      <c r="C52" s="48">
        <v>954187061.10000002</v>
      </c>
      <c r="D52" s="48">
        <v>961714772.54999995</v>
      </c>
      <c r="E52" s="48">
        <v>815342082.17999995</v>
      </c>
      <c r="F52" s="48">
        <v>752305153.73000002</v>
      </c>
      <c r="G52" s="48">
        <v>524905043.54000002</v>
      </c>
      <c r="H52" s="48">
        <v>520223481.81999999</v>
      </c>
      <c r="I52" s="48">
        <v>530026346.56</v>
      </c>
      <c r="J52" s="48">
        <v>524914809.54000002</v>
      </c>
      <c r="K52" s="48">
        <v>530954187.06</v>
      </c>
      <c r="L52" s="48">
        <v>488197977.81999999</v>
      </c>
      <c r="M52" s="48">
        <v>495341526.29000002</v>
      </c>
      <c r="N52" s="48">
        <v>502895584.88999999</v>
      </c>
      <c r="O52" s="48">
        <v>507014767.98000002</v>
      </c>
      <c r="P52" s="48">
        <v>429746459.43000001</v>
      </c>
      <c r="Q52" s="48">
        <v>432445879.74000001</v>
      </c>
      <c r="R52" s="48">
        <v>427121260.16000003</v>
      </c>
      <c r="S52" s="48">
        <v>434578462.27999997</v>
      </c>
      <c r="T52" s="48">
        <v>439934618.01999998</v>
      </c>
      <c r="U52" s="48">
        <v>447360604.94999999</v>
      </c>
      <c r="V52" s="48">
        <v>368987688.86000001</v>
      </c>
      <c r="W52" s="48">
        <v>373320283.14999998</v>
      </c>
      <c r="X52" s="48">
        <v>380173787.20999998</v>
      </c>
      <c r="Y52" s="48">
        <v>385006852.82999998</v>
      </c>
      <c r="Z52" s="48">
        <v>361422262.94999999</v>
      </c>
      <c r="AA52" s="48">
        <v>354053486.66000003</v>
      </c>
      <c r="AB52" s="48">
        <v>330957271.04000002</v>
      </c>
      <c r="AC52" s="48">
        <v>323011952.06</v>
      </c>
      <c r="AD52" s="48">
        <v>221264991.80000001</v>
      </c>
      <c r="AE52" s="48">
        <v>181481015.44999999</v>
      </c>
      <c r="AF52" s="48">
        <v>183714584.72999999</v>
      </c>
      <c r="AG52" s="48">
        <v>185109440.22</v>
      </c>
      <c r="AH52" s="48">
        <v>145142431.74000001</v>
      </c>
      <c r="AI52" s="48">
        <v>123089184.36</v>
      </c>
      <c r="AJ52" s="48">
        <v>97590101.459999993</v>
      </c>
      <c r="AK52" s="48">
        <v>94362953.319999993</v>
      </c>
      <c r="AL52" s="48">
        <v>88722090.650000006</v>
      </c>
      <c r="AM52" s="48">
        <v>89361471.689999998</v>
      </c>
      <c r="AN52" s="48">
        <v>93861048.629999995</v>
      </c>
      <c r="AO52" s="48">
        <v>92933592.739999995</v>
      </c>
      <c r="AP52" s="48">
        <v>38100674.619999997</v>
      </c>
      <c r="AQ52" s="48">
        <v>0</v>
      </c>
      <c r="AR52" s="48"/>
      <c r="AS52" s="48"/>
      <c r="AT52" s="48"/>
      <c r="AU52" s="48"/>
      <c r="AV52" s="48"/>
      <c r="AW52" s="48"/>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c r="CD52" s="48"/>
      <c r="CE52" s="48"/>
      <c r="CF52" s="48"/>
      <c r="CG52" s="48"/>
      <c r="CH52" s="48"/>
      <c r="CI52" s="48"/>
      <c r="CJ52" s="48"/>
      <c r="CK52" s="48"/>
      <c r="CL52" s="48"/>
    </row>
    <row r="53" spans="1:90">
      <c r="A53" t="s">
        <v>35</v>
      </c>
      <c r="B53" s="48">
        <v>277770971.56</v>
      </c>
      <c r="C53" s="48">
        <v>262862082.59</v>
      </c>
      <c r="D53" s="48">
        <v>255994137.94</v>
      </c>
      <c r="E53" s="48">
        <v>389201610.39999998</v>
      </c>
      <c r="F53" s="48">
        <v>405292752.61000001</v>
      </c>
      <c r="G53" s="48">
        <v>396515296.94</v>
      </c>
      <c r="H53" s="48">
        <v>388917745.18000001</v>
      </c>
      <c r="I53" s="48">
        <v>373980658.19999999</v>
      </c>
      <c r="J53" s="48">
        <v>256395757.41999999</v>
      </c>
      <c r="K53" s="48">
        <v>247397047.40000001</v>
      </c>
      <c r="L53" s="48">
        <v>238743564.03999999</v>
      </c>
      <c r="M53" s="48">
        <v>224244704.59</v>
      </c>
      <c r="N53" s="48">
        <v>220879459.59</v>
      </c>
      <c r="O53" s="48">
        <v>218306906.38999999</v>
      </c>
      <c r="P53" s="48">
        <v>278273642.06</v>
      </c>
      <c r="Q53" s="48">
        <v>242053707.75999999</v>
      </c>
      <c r="R53" s="48">
        <v>207596260.99000001</v>
      </c>
      <c r="S53" s="48">
        <v>189056196.19</v>
      </c>
      <c r="T53" s="48">
        <v>156985284.19</v>
      </c>
      <c r="U53" s="48">
        <v>136921886.69</v>
      </c>
      <c r="V53" s="48">
        <v>189331616.44999999</v>
      </c>
      <c r="W53" s="48">
        <v>178064542.44999999</v>
      </c>
      <c r="X53" s="48">
        <v>159637830.02000001</v>
      </c>
      <c r="Y53" s="48">
        <v>141588427.96000001</v>
      </c>
      <c r="Z53" s="48">
        <v>112997842.91</v>
      </c>
      <c r="AA53" s="48">
        <v>110211473.90000001</v>
      </c>
      <c r="AB53" s="48">
        <v>102946258.45</v>
      </c>
      <c r="AC53" s="48">
        <v>81276149.810000002</v>
      </c>
      <c r="AD53" s="48">
        <v>91787975.109999999</v>
      </c>
      <c r="AE53" s="48">
        <v>66537928.200000003</v>
      </c>
      <c r="AF53" s="48">
        <v>50158098.979999997</v>
      </c>
      <c r="AG53" s="48">
        <v>29529180.379999999</v>
      </c>
      <c r="AH53" s="48">
        <v>26168678.559999999</v>
      </c>
      <c r="AI53" s="48">
        <v>18554416.75</v>
      </c>
      <c r="AJ53" s="48">
        <v>28497359.23</v>
      </c>
      <c r="AK53" s="48">
        <v>16508136.619999999</v>
      </c>
      <c r="AL53" s="48">
        <v>6282040.3499999996</v>
      </c>
      <c r="AM53" s="48">
        <v>1881891.24</v>
      </c>
      <c r="AN53" s="48">
        <v>1739457.9</v>
      </c>
      <c r="AO53" s="48">
        <v>5611323.8200000003</v>
      </c>
      <c r="AP53" s="48">
        <v>23148816.52</v>
      </c>
      <c r="AQ53" s="48">
        <v>0</v>
      </c>
      <c r="AR53" s="48"/>
      <c r="AS53" s="48"/>
      <c r="AT53" s="48"/>
      <c r="AU53" s="48"/>
      <c r="AV53" s="48"/>
      <c r="AW53" s="48"/>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c r="CD53" s="48"/>
      <c r="CE53" s="48"/>
      <c r="CF53" s="48"/>
      <c r="CG53" s="48"/>
      <c r="CH53" s="48"/>
      <c r="CI53" s="48"/>
      <c r="CJ53" s="48"/>
      <c r="CK53" s="48"/>
      <c r="CL53" s="48"/>
    </row>
    <row r="54" spans="1:90">
      <c r="A54" t="s">
        <v>36</v>
      </c>
      <c r="B54" s="48">
        <v>0</v>
      </c>
      <c r="C54" s="48">
        <v>0</v>
      </c>
      <c r="D54" s="48">
        <v>0</v>
      </c>
      <c r="E54" s="48">
        <v>0</v>
      </c>
      <c r="F54" s="48">
        <v>0</v>
      </c>
      <c r="G54" s="48">
        <v>0</v>
      </c>
      <c r="H54" s="48">
        <v>0</v>
      </c>
      <c r="I54" s="48">
        <v>0</v>
      </c>
      <c r="J54" s="48">
        <v>0</v>
      </c>
      <c r="K54" s="48">
        <v>0</v>
      </c>
      <c r="L54" s="48">
        <v>0</v>
      </c>
      <c r="M54" s="48">
        <v>0</v>
      </c>
      <c r="N54" s="48">
        <v>0</v>
      </c>
      <c r="O54" s="48">
        <v>0</v>
      </c>
      <c r="P54" s="48">
        <v>0</v>
      </c>
      <c r="Q54" s="48">
        <v>0</v>
      </c>
      <c r="R54" s="48">
        <v>0</v>
      </c>
      <c r="S54" s="48">
        <v>0</v>
      </c>
      <c r="T54" s="48">
        <v>0</v>
      </c>
      <c r="U54" s="48">
        <v>0</v>
      </c>
      <c r="V54" s="48">
        <v>0</v>
      </c>
      <c r="W54" s="48">
        <v>0</v>
      </c>
      <c r="X54" s="48">
        <v>0</v>
      </c>
      <c r="Y54" s="48">
        <v>0</v>
      </c>
      <c r="Z54" s="48">
        <v>0</v>
      </c>
      <c r="AA54" s="48">
        <v>0</v>
      </c>
      <c r="AB54" s="48">
        <v>0</v>
      </c>
      <c r="AC54" s="48">
        <v>0</v>
      </c>
      <c r="AD54" s="48">
        <v>0</v>
      </c>
      <c r="AE54" s="48">
        <v>0</v>
      </c>
      <c r="AF54" s="48">
        <v>0</v>
      </c>
      <c r="AG54" s="48">
        <v>0</v>
      </c>
      <c r="AH54" s="48">
        <v>0</v>
      </c>
      <c r="AI54" s="48">
        <v>0</v>
      </c>
      <c r="AJ54" s="48">
        <v>0</v>
      </c>
      <c r="AK54" s="48">
        <v>0</v>
      </c>
      <c r="AL54" s="48">
        <v>0</v>
      </c>
      <c r="AM54" s="48">
        <v>0</v>
      </c>
      <c r="AN54" s="48">
        <v>0</v>
      </c>
      <c r="AO54" s="48">
        <v>0</v>
      </c>
      <c r="AP54" s="48">
        <v>0</v>
      </c>
      <c r="AQ54" s="48">
        <v>0</v>
      </c>
      <c r="AR54" s="48"/>
      <c r="AS54" s="48"/>
      <c r="AT54" s="48"/>
      <c r="AU54" s="48"/>
      <c r="AV54" s="48"/>
      <c r="AW54" s="48"/>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c r="CD54" s="48"/>
      <c r="CE54" s="48"/>
      <c r="CF54" s="48"/>
      <c r="CG54" s="48"/>
      <c r="CH54" s="48"/>
      <c r="CI54" s="48"/>
      <c r="CJ54" s="48"/>
      <c r="CK54" s="48"/>
      <c r="CL54" s="48"/>
    </row>
    <row r="55" spans="1:90">
      <c r="A55" t="s">
        <v>37</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c r="AS55" s="48"/>
      <c r="AT55" s="48"/>
      <c r="AU55" s="48"/>
      <c r="AV55" s="48"/>
      <c r="AW55" s="48"/>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c r="CD55" s="48"/>
      <c r="CE55" s="48"/>
      <c r="CF55" s="48"/>
      <c r="CG55" s="48"/>
      <c r="CH55" s="48"/>
      <c r="CI55" s="48"/>
      <c r="CJ55" s="48"/>
      <c r="CK55" s="48"/>
      <c r="CL55" s="48"/>
    </row>
    <row r="56" spans="1:90">
      <c r="A56" t="s">
        <v>38</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c r="AS56" s="48"/>
      <c r="AT56" s="48"/>
      <c r="AU56" s="48"/>
      <c r="AV56" s="48"/>
      <c r="AW56" s="4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c r="CD56" s="48"/>
      <c r="CE56" s="48"/>
      <c r="CF56" s="48"/>
      <c r="CG56" s="48"/>
      <c r="CH56" s="48"/>
      <c r="CI56" s="48"/>
      <c r="CJ56" s="48"/>
      <c r="CK56" s="48"/>
      <c r="CL56" s="48"/>
    </row>
    <row r="57" spans="1:90">
      <c r="A57" t="s">
        <v>39</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c r="AS57" s="48"/>
      <c r="AT57" s="48"/>
      <c r="AU57" s="48"/>
      <c r="AV57" s="48"/>
      <c r="AW57" s="48"/>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c r="CD57" s="48"/>
      <c r="CE57" s="48"/>
      <c r="CF57" s="48"/>
      <c r="CG57" s="48"/>
      <c r="CH57" s="48"/>
      <c r="CI57" s="48"/>
      <c r="CJ57" s="48"/>
      <c r="CK57" s="48"/>
      <c r="CL57" s="48"/>
    </row>
    <row r="58" spans="1:90">
      <c r="A58" t="s">
        <v>40</v>
      </c>
      <c r="B58" s="48">
        <v>100500779.45</v>
      </c>
      <c r="C58" s="48">
        <v>101265940.59</v>
      </c>
      <c r="D58" s="48">
        <v>102364508.72</v>
      </c>
      <c r="E58" s="48">
        <v>103596982.42</v>
      </c>
      <c r="F58" s="48">
        <v>104264691.48999999</v>
      </c>
      <c r="G58" s="48">
        <v>69420406.549999997</v>
      </c>
      <c r="H58" s="48">
        <v>71094904.989999995</v>
      </c>
      <c r="I58" s="48">
        <v>70346217.299999997</v>
      </c>
      <c r="J58" s="48">
        <v>68471038.280000001</v>
      </c>
      <c r="K58" s="48">
        <v>68894593.049999997</v>
      </c>
      <c r="L58" s="48">
        <v>69318116.480000004</v>
      </c>
      <c r="M58" s="48">
        <v>69741702.560000002</v>
      </c>
      <c r="N58" s="48">
        <v>70170694.620000005</v>
      </c>
      <c r="O58" s="48">
        <v>70594280.700000003</v>
      </c>
      <c r="P58" s="48">
        <v>71487143.75</v>
      </c>
      <c r="Q58" s="48">
        <v>72385391.950000003</v>
      </c>
      <c r="R58" s="48">
        <v>73283640.120000005</v>
      </c>
      <c r="S58" s="48">
        <v>74181888.319999993</v>
      </c>
      <c r="T58" s="48">
        <v>75080136.489999995</v>
      </c>
      <c r="U58" s="48">
        <v>75978384.689999998</v>
      </c>
      <c r="V58" s="48">
        <v>76669662.090000004</v>
      </c>
      <c r="W58" s="48">
        <v>65863574.020000003</v>
      </c>
      <c r="X58" s="48">
        <v>62430396.539999999</v>
      </c>
      <c r="Y58" s="48">
        <v>63029162.780000001</v>
      </c>
      <c r="Z58" s="48">
        <v>63224387.859999999</v>
      </c>
      <c r="AA58" s="48">
        <v>54996608.920000002</v>
      </c>
      <c r="AB58" s="48">
        <v>53347688.490000002</v>
      </c>
      <c r="AC58" s="48">
        <v>53657849.079999998</v>
      </c>
      <c r="AD58" s="48">
        <v>47807376.609999999</v>
      </c>
      <c r="AE58" s="48">
        <v>48081850.600000001</v>
      </c>
      <c r="AF58" s="48">
        <v>48356324.579999998</v>
      </c>
      <c r="AG58" s="48">
        <v>48630798.57</v>
      </c>
      <c r="AH58" s="48">
        <v>48905272.549999997</v>
      </c>
      <c r="AI58" s="48">
        <v>49179746.539999999</v>
      </c>
      <c r="AJ58" s="48">
        <v>49454220.520000003</v>
      </c>
      <c r="AK58" s="48">
        <v>49728694.509999998</v>
      </c>
      <c r="AL58" s="48">
        <v>50049472.159999996</v>
      </c>
      <c r="AM58" s="48">
        <v>50462857.149999999</v>
      </c>
      <c r="AN58" s="48">
        <v>51289627.119999997</v>
      </c>
      <c r="AO58" s="48">
        <v>53215241.009999998</v>
      </c>
      <c r="AP58" s="48">
        <v>45987784.289999999</v>
      </c>
      <c r="AQ58" s="48">
        <v>0</v>
      </c>
      <c r="AR58" s="48"/>
      <c r="AS58" s="48"/>
      <c r="AT58" s="48"/>
      <c r="AU58" s="48"/>
      <c r="AV58" s="48"/>
      <c r="AW58" s="48"/>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c r="CD58" s="48"/>
      <c r="CE58" s="48"/>
      <c r="CF58" s="48"/>
      <c r="CG58" s="48"/>
      <c r="CH58" s="48"/>
      <c r="CI58" s="48"/>
      <c r="CJ58" s="48"/>
      <c r="CK58" s="48"/>
      <c r="CL58" s="48"/>
    </row>
    <row r="59" spans="1:90">
      <c r="A59" t="s">
        <v>41</v>
      </c>
      <c r="B59" s="48">
        <v>0</v>
      </c>
      <c r="C59" s="48">
        <v>0</v>
      </c>
      <c r="D59" s="48">
        <v>0</v>
      </c>
      <c r="E59" s="48">
        <v>0</v>
      </c>
      <c r="F59" s="48">
        <v>0</v>
      </c>
      <c r="G59" s="48">
        <v>0</v>
      </c>
      <c r="H59" s="48">
        <v>0</v>
      </c>
      <c r="I59" s="48">
        <v>0</v>
      </c>
      <c r="J59" s="48">
        <v>0</v>
      </c>
      <c r="K59" s="48">
        <v>0</v>
      </c>
      <c r="L59" s="48">
        <v>0</v>
      </c>
      <c r="M59" s="48">
        <v>0</v>
      </c>
      <c r="N59" s="48">
        <v>0</v>
      </c>
      <c r="O59" s="48">
        <v>0</v>
      </c>
      <c r="P59" s="48">
        <v>0</v>
      </c>
      <c r="Q59" s="48">
        <v>0</v>
      </c>
      <c r="R59" s="48">
        <v>0</v>
      </c>
      <c r="S59" s="48">
        <v>0</v>
      </c>
      <c r="T59" s="48">
        <v>0</v>
      </c>
      <c r="U59" s="48">
        <v>0</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c r="AR59" s="48"/>
      <c r="AS59" s="48"/>
      <c r="AT59" s="48"/>
      <c r="AU59" s="48"/>
      <c r="AV59" s="48"/>
      <c r="AW59" s="48"/>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c r="CD59" s="48"/>
      <c r="CE59" s="48"/>
      <c r="CF59" s="48"/>
      <c r="CG59" s="48"/>
      <c r="CH59" s="48"/>
      <c r="CI59" s="48"/>
      <c r="CJ59" s="48"/>
      <c r="CK59" s="48"/>
      <c r="CL59" s="48"/>
    </row>
    <row r="60" spans="1:90">
      <c r="A60" t="s">
        <v>42</v>
      </c>
      <c r="B60" s="48">
        <v>0</v>
      </c>
      <c r="C60" s="48">
        <v>0</v>
      </c>
      <c r="D60" s="48">
        <v>0</v>
      </c>
      <c r="E60" s="48">
        <v>0</v>
      </c>
      <c r="F60" s="48">
        <v>0</v>
      </c>
      <c r="G60" s="48">
        <v>0</v>
      </c>
      <c r="H60" s="48">
        <v>0</v>
      </c>
      <c r="I60" s="48">
        <v>0</v>
      </c>
      <c r="J60" s="48">
        <v>0</v>
      </c>
      <c r="K60" s="48">
        <v>0</v>
      </c>
      <c r="L60" s="48">
        <v>0</v>
      </c>
      <c r="M60" s="48">
        <v>0</v>
      </c>
      <c r="N60" s="48">
        <v>0</v>
      </c>
      <c r="O60" s="48">
        <v>0</v>
      </c>
      <c r="P60" s="48">
        <v>0</v>
      </c>
      <c r="Q60" s="48">
        <v>0</v>
      </c>
      <c r="R60" s="48">
        <v>0</v>
      </c>
      <c r="S60" s="48">
        <v>0</v>
      </c>
      <c r="T60" s="48">
        <v>0</v>
      </c>
      <c r="U60" s="48">
        <v>0</v>
      </c>
      <c r="V60" s="48">
        <v>0</v>
      </c>
      <c r="W60" s="48">
        <v>0</v>
      </c>
      <c r="X60" s="48">
        <v>0</v>
      </c>
      <c r="Y60" s="48">
        <v>0</v>
      </c>
      <c r="Z60" s="48">
        <v>0</v>
      </c>
      <c r="AA60" s="48">
        <v>0</v>
      </c>
      <c r="AB60" s="48">
        <v>0</v>
      </c>
      <c r="AC60" s="48">
        <v>0</v>
      </c>
      <c r="AD60" s="48">
        <v>0</v>
      </c>
      <c r="AE60" s="48">
        <v>0</v>
      </c>
      <c r="AF60" s="48">
        <v>0</v>
      </c>
      <c r="AG60" s="48">
        <v>0</v>
      </c>
      <c r="AH60" s="48">
        <v>0</v>
      </c>
      <c r="AI60" s="48">
        <v>0</v>
      </c>
      <c r="AJ60" s="48">
        <v>0</v>
      </c>
      <c r="AK60" s="48">
        <v>0</v>
      </c>
      <c r="AL60" s="48">
        <v>0</v>
      </c>
      <c r="AM60" s="48">
        <v>0</v>
      </c>
      <c r="AN60" s="48">
        <v>0</v>
      </c>
      <c r="AO60" s="48">
        <v>0</v>
      </c>
      <c r="AP60" s="48">
        <v>0</v>
      </c>
      <c r="AQ60" s="48">
        <v>0</v>
      </c>
      <c r="AR60" s="48"/>
      <c r="AS60" s="48"/>
      <c r="AT60" s="48"/>
      <c r="AU60" s="48"/>
      <c r="AV60" s="48"/>
      <c r="AW60" s="48"/>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c r="CD60" s="48"/>
      <c r="CE60" s="48"/>
      <c r="CF60" s="48"/>
      <c r="CG60" s="48"/>
      <c r="CH60" s="48"/>
      <c r="CI60" s="48"/>
      <c r="CJ60" s="48"/>
      <c r="CK60" s="48"/>
      <c r="CL60" s="48"/>
    </row>
    <row r="61" spans="1:90">
      <c r="A61" t="s">
        <v>43</v>
      </c>
      <c r="B61" s="48">
        <v>62061647.689999998</v>
      </c>
      <c r="C61" s="48">
        <v>51392178.82</v>
      </c>
      <c r="D61" s="48">
        <v>35348010.710000001</v>
      </c>
      <c r="E61" s="48">
        <v>21377520.760000002</v>
      </c>
      <c r="F61" s="48">
        <v>14713395.25</v>
      </c>
      <c r="G61" s="48">
        <v>15443378.59</v>
      </c>
      <c r="H61" s="48">
        <v>13778737.1</v>
      </c>
      <c r="I61" s="48">
        <v>9965520.4700000007</v>
      </c>
      <c r="J61" s="48">
        <v>10722683.26</v>
      </c>
      <c r="K61" s="48">
        <v>10850558.91</v>
      </c>
      <c r="L61" s="48">
        <v>11738291.16</v>
      </c>
      <c r="M61" s="48">
        <v>12627069.359999999</v>
      </c>
      <c r="N61" s="48">
        <v>9689460.1999999993</v>
      </c>
      <c r="O61" s="48">
        <v>10470201.289999999</v>
      </c>
      <c r="P61" s="48">
        <v>11250942.380000001</v>
      </c>
      <c r="Q61" s="48">
        <v>12104426.630000001</v>
      </c>
      <c r="R61" s="48">
        <v>1653244.19</v>
      </c>
      <c r="S61" s="48">
        <v>1959728.42</v>
      </c>
      <c r="T61" s="48">
        <v>2266212.65</v>
      </c>
      <c r="U61" s="48">
        <v>2515231.2000000002</v>
      </c>
      <c r="V61" s="48">
        <v>0</v>
      </c>
      <c r="W61" s="48">
        <v>0</v>
      </c>
      <c r="X61" s="48">
        <v>0</v>
      </c>
      <c r="Y61" s="48">
        <v>0</v>
      </c>
      <c r="Z61" s="48">
        <v>0</v>
      </c>
      <c r="AA61" s="48">
        <v>181400</v>
      </c>
      <c r="AB61" s="48">
        <v>181400</v>
      </c>
      <c r="AC61" s="48">
        <v>0</v>
      </c>
      <c r="AD61" s="48">
        <v>0</v>
      </c>
      <c r="AE61" s="48">
        <v>366196.22</v>
      </c>
      <c r="AF61" s="48">
        <v>695710.67</v>
      </c>
      <c r="AG61" s="48">
        <v>1022345.12</v>
      </c>
      <c r="AH61" s="48">
        <v>1348979.57</v>
      </c>
      <c r="AI61" s="48">
        <v>1675614.02</v>
      </c>
      <c r="AJ61" s="48">
        <v>2003328.47</v>
      </c>
      <c r="AK61" s="48">
        <v>2279042.92</v>
      </c>
      <c r="AL61" s="48">
        <v>2599974.7599999998</v>
      </c>
      <c r="AM61" s="48">
        <v>2808564.49</v>
      </c>
      <c r="AN61" s="48">
        <v>3534397.72</v>
      </c>
      <c r="AO61" s="48">
        <v>65099.14</v>
      </c>
      <c r="AP61" s="48">
        <v>130198.06</v>
      </c>
      <c r="AQ61" s="48">
        <v>0</v>
      </c>
      <c r="AR61" s="48"/>
      <c r="AS61" s="48"/>
      <c r="AT61" s="48"/>
      <c r="AU61" s="48"/>
      <c r="AV61" s="48"/>
      <c r="AW61" s="48"/>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c r="CD61" s="48"/>
      <c r="CE61" s="48"/>
      <c r="CF61" s="48"/>
      <c r="CG61" s="48"/>
      <c r="CH61" s="48"/>
      <c r="CI61" s="48"/>
      <c r="CJ61" s="48"/>
      <c r="CK61" s="48"/>
      <c r="CL61" s="48"/>
    </row>
    <row r="62" spans="1:90">
      <c r="A62" t="s">
        <v>44</v>
      </c>
      <c r="B62" s="48">
        <v>74944812.359999999</v>
      </c>
      <c r="C62" s="48">
        <v>68015394.980000004</v>
      </c>
      <c r="D62" s="48">
        <v>64415199.590000004</v>
      </c>
      <c r="E62" s="48">
        <v>60929956.850000001</v>
      </c>
      <c r="F62" s="48">
        <v>79791594.640000001</v>
      </c>
      <c r="G62" s="48">
        <v>74926297.939999998</v>
      </c>
      <c r="H62" s="48">
        <v>72069932.819999993</v>
      </c>
      <c r="I62" s="48">
        <v>65008725.140000001</v>
      </c>
      <c r="J62" s="48">
        <v>63173604.369999997</v>
      </c>
      <c r="K62" s="48">
        <v>54333750.590000004</v>
      </c>
      <c r="L62" s="48">
        <v>56443614.509999998</v>
      </c>
      <c r="M62" s="48">
        <v>55171490.509999998</v>
      </c>
      <c r="N62" s="48">
        <v>47435807.119999997</v>
      </c>
      <c r="O62" s="48">
        <v>44258408.490000002</v>
      </c>
      <c r="P62" s="48">
        <v>42529761.68</v>
      </c>
      <c r="Q62" s="48">
        <v>41491222.090000004</v>
      </c>
      <c r="R62" s="48">
        <v>39609575.710000001</v>
      </c>
      <c r="S62" s="48">
        <v>35723307.079999998</v>
      </c>
      <c r="T62" s="48">
        <v>36428662.810000002</v>
      </c>
      <c r="U62" s="48">
        <v>36485899.289999999</v>
      </c>
      <c r="V62" s="48">
        <v>33511015.77</v>
      </c>
      <c r="W62" s="48">
        <v>28992341.02</v>
      </c>
      <c r="X62" s="48">
        <v>30102528.27</v>
      </c>
      <c r="Y62" s="48">
        <v>29405107.949999999</v>
      </c>
      <c r="Z62" s="48">
        <v>27959243.760000002</v>
      </c>
      <c r="AA62" s="48">
        <v>24228410.539999999</v>
      </c>
      <c r="AB62" s="48">
        <v>21873118.079999998</v>
      </c>
      <c r="AC62" s="48">
        <v>20328532.859999999</v>
      </c>
      <c r="AD62" s="48">
        <v>15537915.17</v>
      </c>
      <c r="AE62" s="48">
        <v>13224054.550000001</v>
      </c>
      <c r="AF62" s="48">
        <v>12565783.220000001</v>
      </c>
      <c r="AG62" s="48">
        <v>11990100.5</v>
      </c>
      <c r="AH62" s="48">
        <v>11425478.33</v>
      </c>
      <c r="AI62" s="48">
        <v>9307119.0999999996</v>
      </c>
      <c r="AJ62" s="48">
        <v>10140689.9</v>
      </c>
      <c r="AK62" s="48">
        <v>10878593.960000001</v>
      </c>
      <c r="AL62" s="48">
        <v>11225877.890000001</v>
      </c>
      <c r="AM62" s="48">
        <v>9299648.7200000007</v>
      </c>
      <c r="AN62" s="48">
        <v>11121816.619999999</v>
      </c>
      <c r="AO62" s="48">
        <v>6890381.3300000001</v>
      </c>
      <c r="AP62" s="48">
        <v>852535.13</v>
      </c>
      <c r="AQ62" s="48">
        <v>0</v>
      </c>
      <c r="AR62" s="48"/>
      <c r="AS62" s="48"/>
      <c r="AT62" s="48"/>
      <c r="AU62" s="48"/>
      <c r="AV62" s="48"/>
      <c r="AW62" s="48"/>
      <c r="AX62" s="48"/>
      <c r="AY62" s="48"/>
      <c r="AZ62" s="48"/>
      <c r="BA62" s="48"/>
      <c r="BB62" s="48"/>
      <c r="BC62" s="48"/>
      <c r="BD62" s="48"/>
      <c r="BE62" s="48"/>
      <c r="BF62" s="48"/>
      <c r="BG62" s="48"/>
      <c r="BH62" s="48"/>
      <c r="BI62" s="48"/>
      <c r="BJ62" s="48"/>
      <c r="BK62" s="48"/>
      <c r="BL62" s="48"/>
      <c r="BM62" s="48"/>
      <c r="BN62" s="48"/>
      <c r="BO62" s="48"/>
      <c r="BP62" s="48"/>
      <c r="BQ62" s="48"/>
      <c r="BR62" s="48"/>
      <c r="BS62" s="48"/>
      <c r="BT62" s="48"/>
      <c r="BU62" s="48"/>
      <c r="BV62" s="48"/>
      <c r="BW62" s="48"/>
      <c r="BX62" s="48"/>
      <c r="BY62" s="48"/>
      <c r="BZ62" s="48"/>
      <c r="CA62" s="48"/>
      <c r="CB62" s="48"/>
      <c r="CC62" s="48"/>
      <c r="CD62" s="48"/>
      <c r="CE62" s="48"/>
      <c r="CF62" s="48"/>
      <c r="CG62" s="48"/>
      <c r="CH62" s="48"/>
      <c r="CI62" s="48"/>
      <c r="CJ62" s="48"/>
      <c r="CK62" s="48"/>
      <c r="CL62" s="48"/>
    </row>
    <row r="63" spans="1:90">
      <c r="A63" t="s">
        <v>45</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49105.59</v>
      </c>
      <c r="AM63" s="48">
        <v>49105.59</v>
      </c>
      <c r="AN63" s="48">
        <v>49105.59</v>
      </c>
      <c r="AO63" s="48">
        <v>49105.59</v>
      </c>
      <c r="AP63" s="48">
        <v>49105.59</v>
      </c>
      <c r="AQ63" s="48">
        <v>0</v>
      </c>
      <c r="AR63" s="48"/>
      <c r="AS63" s="48"/>
      <c r="AT63" s="48"/>
      <c r="AU63" s="48"/>
      <c r="AV63" s="48"/>
      <c r="AW63" s="48"/>
      <c r="AX63" s="48"/>
      <c r="AY63" s="48"/>
      <c r="AZ63" s="48"/>
      <c r="BA63" s="48"/>
      <c r="BB63" s="48"/>
      <c r="BC63" s="48"/>
      <c r="BD63" s="48"/>
      <c r="BE63" s="48"/>
      <c r="BF63" s="48"/>
      <c r="BG63" s="48"/>
      <c r="BH63" s="48"/>
      <c r="BI63" s="48"/>
      <c r="BJ63" s="48"/>
      <c r="BK63" s="48"/>
      <c r="BL63" s="48"/>
      <c r="BM63" s="48"/>
      <c r="BN63" s="48"/>
      <c r="BO63" s="48"/>
      <c r="BP63" s="48"/>
      <c r="BQ63" s="48"/>
      <c r="BR63" s="48"/>
      <c r="BS63" s="48"/>
      <c r="BT63" s="48"/>
      <c r="BU63" s="48"/>
      <c r="BV63" s="48"/>
      <c r="BW63" s="48"/>
      <c r="BX63" s="48"/>
      <c r="BY63" s="48"/>
      <c r="BZ63" s="48"/>
      <c r="CA63" s="48"/>
      <c r="CB63" s="48"/>
      <c r="CC63" s="48"/>
      <c r="CD63" s="48"/>
      <c r="CE63" s="48"/>
      <c r="CF63" s="48"/>
      <c r="CG63" s="48"/>
      <c r="CH63" s="48"/>
      <c r="CI63" s="48"/>
      <c r="CJ63" s="48"/>
      <c r="CK63" s="48"/>
      <c r="CL63" s="48"/>
    </row>
    <row r="64" spans="1:90">
      <c r="A64" t="s">
        <v>46</v>
      </c>
      <c r="B64" s="48">
        <v>3393713.63</v>
      </c>
      <c r="C64" s="48">
        <v>5132383.6100000003</v>
      </c>
      <c r="D64" s="48">
        <v>5552816.1100000003</v>
      </c>
      <c r="E64" s="48">
        <v>20499650.030000001</v>
      </c>
      <c r="F64" s="48">
        <v>10785657.949999999</v>
      </c>
      <c r="G64" s="48">
        <v>188355568.63</v>
      </c>
      <c r="H64" s="48">
        <v>187217745.62</v>
      </c>
      <c r="I64" s="48">
        <v>187672410.5</v>
      </c>
      <c r="J64" s="48">
        <v>110942262.51000001</v>
      </c>
      <c r="K64" s="48">
        <v>78063901.480000004</v>
      </c>
      <c r="L64" s="48">
        <v>96036414.069999993</v>
      </c>
      <c r="M64" s="48">
        <v>100799280.45</v>
      </c>
      <c r="N64" s="48">
        <v>22924309.620000001</v>
      </c>
      <c r="O64" s="48">
        <v>2413500</v>
      </c>
      <c r="P64" s="48">
        <v>5806823.8099999996</v>
      </c>
      <c r="Q64" s="48">
        <v>7250666.4900000002</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0</v>
      </c>
      <c r="AN64" s="48">
        <v>0</v>
      </c>
      <c r="AO64" s="48">
        <v>0</v>
      </c>
      <c r="AP64" s="48">
        <v>0</v>
      </c>
      <c r="AQ64" s="48">
        <v>0</v>
      </c>
      <c r="AR64" s="48"/>
      <c r="AS64" s="48"/>
      <c r="AT64" s="48"/>
      <c r="AU64" s="48"/>
      <c r="AV64" s="48"/>
      <c r="AW64" s="48"/>
      <c r="AX64" s="48"/>
      <c r="AY64" s="48"/>
      <c r="AZ64" s="48"/>
      <c r="BA64" s="48"/>
      <c r="BB64" s="48"/>
      <c r="BC64" s="48"/>
      <c r="BD64" s="48"/>
      <c r="BE64" s="48"/>
      <c r="BF64" s="48"/>
      <c r="BG64" s="48"/>
      <c r="BH64" s="48"/>
      <c r="BI64" s="48"/>
      <c r="BJ64" s="48"/>
      <c r="BK64" s="48"/>
      <c r="BL64" s="48"/>
      <c r="BM64" s="48"/>
      <c r="BN64" s="48"/>
      <c r="BO64" s="48"/>
      <c r="BP64" s="48"/>
      <c r="BQ64" s="48"/>
      <c r="BR64" s="48"/>
      <c r="BS64" s="48"/>
      <c r="BT64" s="48"/>
      <c r="BU64" s="48"/>
      <c r="BV64" s="48"/>
      <c r="BW64" s="48"/>
      <c r="BX64" s="48"/>
      <c r="BY64" s="48"/>
      <c r="BZ64" s="48"/>
      <c r="CA64" s="48"/>
      <c r="CB64" s="48"/>
      <c r="CC64" s="48"/>
      <c r="CD64" s="48"/>
      <c r="CE64" s="48"/>
      <c r="CF64" s="48"/>
      <c r="CG64" s="48"/>
      <c r="CH64" s="48"/>
      <c r="CI64" s="48"/>
      <c r="CJ64" s="48"/>
      <c r="CK64" s="48"/>
      <c r="CL64" s="48"/>
    </row>
    <row r="65" spans="1:90" hidden="1">
      <c r="B65" s="33"/>
      <c r="C65" s="33"/>
      <c r="D65" s="33"/>
      <c r="E65" s="33"/>
      <c r="F65" s="33"/>
      <c r="G65" s="33"/>
      <c r="H65" s="33"/>
      <c r="I65" s="33"/>
      <c r="J65" s="33"/>
      <c r="K65" s="33"/>
      <c r="L65" s="30"/>
    </row>
    <row r="66" spans="1:90" hidden="1">
      <c r="B66" s="33"/>
      <c r="C66" s="33"/>
      <c r="D66" s="33"/>
      <c r="E66" s="33"/>
      <c r="F66" s="33"/>
      <c r="G66" s="33"/>
      <c r="H66" s="33"/>
      <c r="I66" s="33"/>
      <c r="J66" s="33"/>
      <c r="K66" s="33"/>
      <c r="L66" s="30"/>
    </row>
    <row r="67" spans="1:90" hidden="1">
      <c r="B67" s="33"/>
      <c r="C67" s="33"/>
      <c r="D67" s="33"/>
      <c r="E67" s="33"/>
      <c r="F67" s="33"/>
      <c r="G67" s="33"/>
      <c r="H67" s="33"/>
      <c r="I67" s="33"/>
      <c r="J67" s="33"/>
      <c r="K67" s="33"/>
      <c r="L67" s="30"/>
    </row>
    <row r="68" spans="1:90" s="16" customFormat="1">
      <c r="A68" s="16" t="s">
        <v>47</v>
      </c>
      <c r="B68" s="44">
        <f>SUM(B52:B64)-2*B63</f>
        <v>1467070166.75</v>
      </c>
      <c r="C68" s="44">
        <f t="shared" ref="C68:BN68" si="8">SUM(C52:C64)-2*C63</f>
        <v>1442855041.6899998</v>
      </c>
      <c r="D68" s="44">
        <f t="shared" si="8"/>
        <v>1425389445.6199999</v>
      </c>
      <c r="E68" s="44">
        <f t="shared" si="8"/>
        <v>1410947802.6399999</v>
      </c>
      <c r="F68" s="44">
        <f t="shared" si="8"/>
        <v>1367153245.6700003</v>
      </c>
      <c r="G68" s="44">
        <f t="shared" si="8"/>
        <v>1269565992.1900001</v>
      </c>
      <c r="H68" s="44">
        <f t="shared" si="8"/>
        <v>1253302547.5300002</v>
      </c>
      <c r="I68" s="44">
        <f t="shared" si="8"/>
        <v>1236999878.1700001</v>
      </c>
      <c r="J68" s="44">
        <f t="shared" si="8"/>
        <v>1034620155.38</v>
      </c>
      <c r="K68" s="44">
        <f t="shared" si="8"/>
        <v>990494038.49000001</v>
      </c>
      <c r="L68" s="44">
        <f t="shared" si="8"/>
        <v>960477978.07999992</v>
      </c>
      <c r="M68" s="44">
        <f t="shared" si="8"/>
        <v>957925773.76000011</v>
      </c>
      <c r="N68" s="44">
        <f t="shared" si="8"/>
        <v>873995316.04000008</v>
      </c>
      <c r="O68" s="44">
        <f t="shared" si="8"/>
        <v>853058064.85000002</v>
      </c>
      <c r="P68" s="44">
        <f t="shared" si="8"/>
        <v>839094773.1099999</v>
      </c>
      <c r="Q68" s="44">
        <f t="shared" si="8"/>
        <v>807731294.66000009</v>
      </c>
      <c r="R68" s="44">
        <f t="shared" si="8"/>
        <v>749263981.1700002</v>
      </c>
      <c r="S68" s="44">
        <f t="shared" si="8"/>
        <v>735499582.28999996</v>
      </c>
      <c r="T68" s="44">
        <f t="shared" si="8"/>
        <v>710694914.16000009</v>
      </c>
      <c r="U68" s="44">
        <f t="shared" si="8"/>
        <v>699262006.81999993</v>
      </c>
      <c r="V68" s="44">
        <f t="shared" si="8"/>
        <v>668499983.16999996</v>
      </c>
      <c r="W68" s="44">
        <f t="shared" si="8"/>
        <v>646240740.63999987</v>
      </c>
      <c r="X68" s="44">
        <f t="shared" si="8"/>
        <v>632344542.03999996</v>
      </c>
      <c r="Y68" s="44">
        <f t="shared" si="8"/>
        <v>619029551.51999998</v>
      </c>
      <c r="Z68" s="44">
        <f t="shared" si="8"/>
        <v>565603737.48000002</v>
      </c>
      <c r="AA68" s="44">
        <f t="shared" si="8"/>
        <v>543671380.0200001</v>
      </c>
      <c r="AB68" s="44">
        <f t="shared" si="8"/>
        <v>509305736.06</v>
      </c>
      <c r="AC68" s="44">
        <f t="shared" si="8"/>
        <v>478274483.81</v>
      </c>
      <c r="AD68" s="44">
        <f t="shared" si="8"/>
        <v>376398258.69000006</v>
      </c>
      <c r="AE68" s="44">
        <f t="shared" si="8"/>
        <v>309691045.02000004</v>
      </c>
      <c r="AF68" s="44">
        <f t="shared" si="8"/>
        <v>295490502.18000001</v>
      </c>
      <c r="AG68" s="44">
        <f t="shared" si="8"/>
        <v>276281864.78999996</v>
      </c>
      <c r="AH68" s="44">
        <f t="shared" si="8"/>
        <v>232990840.75000003</v>
      </c>
      <c r="AI68" s="44">
        <f t="shared" si="8"/>
        <v>201806080.77000001</v>
      </c>
      <c r="AJ68" s="44">
        <f t="shared" si="8"/>
        <v>187685699.58000001</v>
      </c>
      <c r="AK68" s="44">
        <f t="shared" si="8"/>
        <v>173757421.32999998</v>
      </c>
      <c r="AL68" s="44">
        <f t="shared" si="8"/>
        <v>158830350.22</v>
      </c>
      <c r="AM68" s="44">
        <f t="shared" si="8"/>
        <v>153765327.69999999</v>
      </c>
      <c r="AN68" s="44">
        <f t="shared" si="8"/>
        <v>161497242.40000001</v>
      </c>
      <c r="AO68" s="44">
        <f t="shared" si="8"/>
        <v>158666532.44999999</v>
      </c>
      <c r="AP68" s="44">
        <f t="shared" si="8"/>
        <v>108170903.03</v>
      </c>
      <c r="AQ68" s="44">
        <f t="shared" si="8"/>
        <v>0</v>
      </c>
      <c r="AR68" s="44">
        <f t="shared" si="8"/>
        <v>0</v>
      </c>
      <c r="AS68" s="44">
        <f t="shared" si="8"/>
        <v>0</v>
      </c>
      <c r="AT68" s="44">
        <f t="shared" si="8"/>
        <v>0</v>
      </c>
      <c r="AU68" s="44">
        <f t="shared" si="8"/>
        <v>0</v>
      </c>
      <c r="AV68" s="44">
        <f t="shared" si="8"/>
        <v>0</v>
      </c>
      <c r="AW68" s="44">
        <f t="shared" si="8"/>
        <v>0</v>
      </c>
      <c r="AX68" s="44">
        <f t="shared" si="8"/>
        <v>0</v>
      </c>
      <c r="AY68" s="44">
        <f t="shared" si="8"/>
        <v>0</v>
      </c>
      <c r="AZ68" s="44">
        <f t="shared" si="8"/>
        <v>0</v>
      </c>
      <c r="BA68" s="44">
        <f t="shared" si="8"/>
        <v>0</v>
      </c>
      <c r="BB68" s="44">
        <f t="shared" si="8"/>
        <v>0</v>
      </c>
      <c r="BC68" s="44">
        <f t="shared" si="8"/>
        <v>0</v>
      </c>
      <c r="BD68" s="44">
        <f t="shared" si="8"/>
        <v>0</v>
      </c>
      <c r="BE68" s="44">
        <f t="shared" si="8"/>
        <v>0</v>
      </c>
      <c r="BF68" s="44">
        <f t="shared" si="8"/>
        <v>0</v>
      </c>
      <c r="BG68" s="44">
        <f t="shared" si="8"/>
        <v>0</v>
      </c>
      <c r="BH68" s="44">
        <f t="shared" si="8"/>
        <v>0</v>
      </c>
      <c r="BI68" s="44">
        <f t="shared" si="8"/>
        <v>0</v>
      </c>
      <c r="BJ68" s="44">
        <f t="shared" si="8"/>
        <v>0</v>
      </c>
      <c r="BK68" s="44">
        <f t="shared" si="8"/>
        <v>0</v>
      </c>
      <c r="BL68" s="44">
        <f t="shared" si="8"/>
        <v>0</v>
      </c>
      <c r="BM68" s="44">
        <f t="shared" si="8"/>
        <v>0</v>
      </c>
      <c r="BN68" s="44">
        <f t="shared" si="8"/>
        <v>0</v>
      </c>
      <c r="BO68" s="44">
        <f t="shared" ref="BO68:CK68" si="9">SUM(BO52:BO64)-2*BO63</f>
        <v>0</v>
      </c>
      <c r="BP68" s="44">
        <f t="shared" si="9"/>
        <v>0</v>
      </c>
      <c r="BQ68" s="44">
        <f t="shared" si="9"/>
        <v>0</v>
      </c>
      <c r="BR68" s="44">
        <f t="shared" si="9"/>
        <v>0</v>
      </c>
      <c r="BS68" s="44">
        <f t="shared" si="9"/>
        <v>0</v>
      </c>
      <c r="BT68" s="44">
        <f t="shared" si="9"/>
        <v>0</v>
      </c>
      <c r="BU68" s="44">
        <f t="shared" si="9"/>
        <v>0</v>
      </c>
      <c r="BV68" s="44">
        <f t="shared" si="9"/>
        <v>0</v>
      </c>
      <c r="BW68" s="44">
        <f t="shared" si="9"/>
        <v>0</v>
      </c>
      <c r="BX68" s="44">
        <f t="shared" si="9"/>
        <v>0</v>
      </c>
      <c r="BY68" s="44">
        <f t="shared" si="9"/>
        <v>0</v>
      </c>
      <c r="BZ68" s="44">
        <f t="shared" si="9"/>
        <v>0</v>
      </c>
      <c r="CA68" s="44">
        <f t="shared" si="9"/>
        <v>0</v>
      </c>
      <c r="CB68" s="44">
        <f t="shared" si="9"/>
        <v>0</v>
      </c>
      <c r="CC68" s="44">
        <f t="shared" si="9"/>
        <v>0</v>
      </c>
      <c r="CD68" s="44">
        <f t="shared" si="9"/>
        <v>0</v>
      </c>
      <c r="CE68" s="44">
        <f t="shared" si="9"/>
        <v>0</v>
      </c>
      <c r="CF68" s="44">
        <f t="shared" si="9"/>
        <v>0</v>
      </c>
      <c r="CG68" s="44">
        <f t="shared" si="9"/>
        <v>0</v>
      </c>
      <c r="CH68" s="44">
        <f t="shared" si="9"/>
        <v>0</v>
      </c>
      <c r="CI68" s="44">
        <f t="shared" si="9"/>
        <v>0</v>
      </c>
      <c r="CJ68" s="44">
        <f t="shared" si="9"/>
        <v>0</v>
      </c>
      <c r="CK68" s="44">
        <f t="shared" si="9"/>
        <v>0</v>
      </c>
    </row>
    <row r="69" spans="1:90" s="6" customFormat="1">
      <c r="A69" s="17" t="s">
        <v>48</v>
      </c>
      <c r="B69" s="41">
        <f>B50+B68</f>
        <v>3386232006.6900005</v>
      </c>
      <c r="C69" s="41">
        <f t="shared" ref="C69:BN69" si="10">C50+C68</f>
        <v>2788982495.6999998</v>
      </c>
      <c r="D69" s="41">
        <f t="shared" si="10"/>
        <v>2698637616.2399998</v>
      </c>
      <c r="E69" s="41">
        <f t="shared" si="10"/>
        <v>2430307145.4099998</v>
      </c>
      <c r="F69" s="41">
        <f t="shared" si="10"/>
        <v>2199533332.6300001</v>
      </c>
      <c r="G69" s="41">
        <f t="shared" si="10"/>
        <v>2321144480.98</v>
      </c>
      <c r="H69" s="41">
        <f t="shared" si="10"/>
        <v>2140741883.3499999</v>
      </c>
      <c r="I69" s="41">
        <f t="shared" si="10"/>
        <v>1897996038.3099999</v>
      </c>
      <c r="J69" s="41">
        <f t="shared" si="10"/>
        <v>1857388120.3499999</v>
      </c>
      <c r="K69" s="41">
        <f t="shared" si="10"/>
        <v>1755877269.1500001</v>
      </c>
      <c r="L69" s="41">
        <f t="shared" si="10"/>
        <v>1600701115.77</v>
      </c>
      <c r="M69" s="41">
        <f t="shared" si="10"/>
        <v>1344451736.8800001</v>
      </c>
      <c r="N69" s="41">
        <f t="shared" si="10"/>
        <v>1386814628.1200001</v>
      </c>
      <c r="O69" s="41">
        <f t="shared" si="10"/>
        <v>1546096213.3699999</v>
      </c>
      <c r="P69" s="41">
        <f t="shared" si="10"/>
        <v>1364426918.8799999</v>
      </c>
      <c r="Q69" s="41">
        <f t="shared" si="10"/>
        <v>1213258765.6800001</v>
      </c>
      <c r="R69" s="41">
        <f t="shared" si="10"/>
        <v>1359142047.0400002</v>
      </c>
      <c r="S69" s="41">
        <f t="shared" si="10"/>
        <v>1356577215.47</v>
      </c>
      <c r="T69" s="41">
        <f t="shared" si="10"/>
        <v>1174165695.5999999</v>
      </c>
      <c r="U69" s="41">
        <f t="shared" si="10"/>
        <v>1126951526.2599998</v>
      </c>
      <c r="V69" s="41">
        <f t="shared" si="10"/>
        <v>1211124926.1799998</v>
      </c>
      <c r="W69" s="41">
        <f t="shared" si="10"/>
        <v>1168406529.7599998</v>
      </c>
      <c r="X69" s="41">
        <f t="shared" si="10"/>
        <v>1036321180.9799999</v>
      </c>
      <c r="Y69" s="41">
        <f t="shared" si="10"/>
        <v>876497846.69000006</v>
      </c>
      <c r="Z69" s="41">
        <f t="shared" si="10"/>
        <v>817735250.87999988</v>
      </c>
      <c r="AA69" s="41">
        <f t="shared" si="10"/>
        <v>921002372.55000019</v>
      </c>
      <c r="AB69" s="41">
        <f t="shared" si="10"/>
        <v>872887455.36000001</v>
      </c>
      <c r="AC69" s="41">
        <f t="shared" si="10"/>
        <v>774830017.99000013</v>
      </c>
      <c r="AD69" s="41">
        <f t="shared" si="10"/>
        <v>716012736.95000017</v>
      </c>
      <c r="AE69" s="41">
        <f t="shared" si="10"/>
        <v>594144256.52999997</v>
      </c>
      <c r="AF69" s="41">
        <f t="shared" si="10"/>
        <v>557059658.70000005</v>
      </c>
      <c r="AG69" s="41">
        <f t="shared" si="10"/>
        <v>529607288.04999995</v>
      </c>
      <c r="AH69" s="41">
        <f t="shared" si="10"/>
        <v>493843915.70000005</v>
      </c>
      <c r="AI69" s="41">
        <f t="shared" si="10"/>
        <v>370265709.0999999</v>
      </c>
      <c r="AJ69" s="41">
        <f t="shared" si="10"/>
        <v>241640187.78999999</v>
      </c>
      <c r="AK69" s="41">
        <f t="shared" si="10"/>
        <v>188825180.68999997</v>
      </c>
      <c r="AL69" s="41">
        <f t="shared" si="10"/>
        <v>200748438.67999998</v>
      </c>
      <c r="AM69" s="41">
        <f t="shared" si="10"/>
        <v>212427843.92999998</v>
      </c>
      <c r="AN69" s="41">
        <f t="shared" si="10"/>
        <v>207935620.74999997</v>
      </c>
      <c r="AO69" s="41">
        <f t="shared" si="10"/>
        <v>182542070.57000002</v>
      </c>
      <c r="AP69" s="41">
        <f t="shared" si="10"/>
        <v>132191440.84999999</v>
      </c>
      <c r="AQ69" s="41">
        <f t="shared" si="10"/>
        <v>0</v>
      </c>
      <c r="AR69" s="41">
        <f t="shared" si="10"/>
        <v>0</v>
      </c>
      <c r="AS69" s="41">
        <f t="shared" si="10"/>
        <v>0</v>
      </c>
      <c r="AT69" s="41">
        <f t="shared" si="10"/>
        <v>0</v>
      </c>
      <c r="AU69" s="41">
        <f t="shared" si="10"/>
        <v>0</v>
      </c>
      <c r="AV69" s="41">
        <f t="shared" si="10"/>
        <v>0</v>
      </c>
      <c r="AW69" s="41">
        <f t="shared" si="10"/>
        <v>0</v>
      </c>
      <c r="AX69" s="41">
        <f t="shared" si="10"/>
        <v>0</v>
      </c>
      <c r="AY69" s="41">
        <f t="shared" si="10"/>
        <v>0</v>
      </c>
      <c r="AZ69" s="41">
        <f t="shared" si="10"/>
        <v>0</v>
      </c>
      <c r="BA69" s="41">
        <f t="shared" si="10"/>
        <v>0</v>
      </c>
      <c r="BB69" s="41">
        <f t="shared" si="10"/>
        <v>0</v>
      </c>
      <c r="BC69" s="41">
        <f t="shared" si="10"/>
        <v>0</v>
      </c>
      <c r="BD69" s="41">
        <f t="shared" si="10"/>
        <v>0</v>
      </c>
      <c r="BE69" s="41">
        <f t="shared" si="10"/>
        <v>0</v>
      </c>
      <c r="BF69" s="41">
        <f t="shared" si="10"/>
        <v>0</v>
      </c>
      <c r="BG69" s="41">
        <f t="shared" si="10"/>
        <v>0</v>
      </c>
      <c r="BH69" s="41">
        <f t="shared" si="10"/>
        <v>0</v>
      </c>
      <c r="BI69" s="41">
        <f t="shared" si="10"/>
        <v>0</v>
      </c>
      <c r="BJ69" s="41">
        <f t="shared" si="10"/>
        <v>0</v>
      </c>
      <c r="BK69" s="41">
        <f t="shared" si="10"/>
        <v>0</v>
      </c>
      <c r="BL69" s="41">
        <f t="shared" si="10"/>
        <v>0</v>
      </c>
      <c r="BM69" s="41">
        <f t="shared" si="10"/>
        <v>0</v>
      </c>
      <c r="BN69" s="41">
        <f t="shared" si="10"/>
        <v>0</v>
      </c>
      <c r="BO69" s="41">
        <f t="shared" ref="BO69:CL69" si="11">BO50+BO68</f>
        <v>0</v>
      </c>
      <c r="BP69" s="41">
        <f t="shared" si="11"/>
        <v>0</v>
      </c>
      <c r="BQ69" s="41">
        <f t="shared" si="11"/>
        <v>0</v>
      </c>
      <c r="BR69" s="41">
        <f t="shared" si="11"/>
        <v>0</v>
      </c>
      <c r="BS69" s="41">
        <f t="shared" si="11"/>
        <v>0</v>
      </c>
      <c r="BT69" s="41">
        <f t="shared" si="11"/>
        <v>0</v>
      </c>
      <c r="BU69" s="41">
        <f t="shared" si="11"/>
        <v>0</v>
      </c>
      <c r="BV69" s="41">
        <f t="shared" si="11"/>
        <v>0</v>
      </c>
      <c r="BW69" s="41">
        <f t="shared" si="11"/>
        <v>0</v>
      </c>
      <c r="BX69" s="41">
        <f t="shared" si="11"/>
        <v>0</v>
      </c>
      <c r="BY69" s="41">
        <f t="shared" si="11"/>
        <v>0</v>
      </c>
      <c r="BZ69" s="41">
        <f t="shared" si="11"/>
        <v>0</v>
      </c>
      <c r="CA69" s="41">
        <f t="shared" si="11"/>
        <v>0</v>
      </c>
      <c r="CB69" s="41">
        <f t="shared" si="11"/>
        <v>0</v>
      </c>
      <c r="CC69" s="41">
        <f t="shared" si="11"/>
        <v>0</v>
      </c>
      <c r="CD69" s="41">
        <f t="shared" si="11"/>
        <v>0</v>
      </c>
      <c r="CE69" s="41">
        <f t="shared" si="11"/>
        <v>0</v>
      </c>
      <c r="CF69" s="41">
        <f t="shared" si="11"/>
        <v>0</v>
      </c>
      <c r="CG69" s="41">
        <f t="shared" si="11"/>
        <v>0</v>
      </c>
      <c r="CH69" s="41">
        <f t="shared" si="11"/>
        <v>0</v>
      </c>
      <c r="CI69" s="41">
        <f t="shared" si="11"/>
        <v>0</v>
      </c>
      <c r="CJ69" s="41">
        <f t="shared" si="11"/>
        <v>0</v>
      </c>
      <c r="CK69" s="41">
        <f t="shared" si="11"/>
        <v>0</v>
      </c>
      <c r="CL69" s="41">
        <f t="shared" si="11"/>
        <v>0</v>
      </c>
    </row>
    <row r="70" spans="1:90" s="13" customFormat="1">
      <c r="A70" s="12" t="s">
        <v>49</v>
      </c>
      <c r="B70" s="45">
        <f>B17+B19+B69</f>
        <v>3938111883.4700003</v>
      </c>
      <c r="C70" s="45">
        <f t="shared" ref="C70:BN70" si="12">C17+C19+C69</f>
        <v>3496510069.7699995</v>
      </c>
      <c r="D70" s="45">
        <f t="shared" si="12"/>
        <v>3573487728.6899996</v>
      </c>
      <c r="E70" s="45">
        <f t="shared" si="12"/>
        <v>3142600621.71</v>
      </c>
      <c r="F70" s="45">
        <f t="shared" si="12"/>
        <v>2878602667.3699999</v>
      </c>
      <c r="G70" s="45">
        <f t="shared" si="12"/>
        <v>2826319730.0599999</v>
      </c>
      <c r="H70" s="45">
        <f t="shared" si="12"/>
        <v>2818837247.4099998</v>
      </c>
      <c r="I70" s="45">
        <f t="shared" si="12"/>
        <v>2675938555.8599997</v>
      </c>
      <c r="J70" s="45">
        <f t="shared" si="12"/>
        <v>2481069353.3800001</v>
      </c>
      <c r="K70" s="45">
        <f t="shared" si="12"/>
        <v>2412665046.25</v>
      </c>
      <c r="L70" s="45">
        <f t="shared" si="12"/>
        <v>2396074303.0099998</v>
      </c>
      <c r="M70" s="45">
        <f t="shared" si="12"/>
        <v>2317738642.3800001</v>
      </c>
      <c r="N70" s="45">
        <f t="shared" si="12"/>
        <v>2421025785.71</v>
      </c>
      <c r="O70" s="45">
        <f t="shared" si="12"/>
        <v>2341178198.3400002</v>
      </c>
      <c r="P70" s="45">
        <f t="shared" si="12"/>
        <v>2273863141.6999998</v>
      </c>
      <c r="Q70" s="45">
        <f t="shared" si="12"/>
        <v>2178237444.5100002</v>
      </c>
      <c r="R70" s="45">
        <f t="shared" si="12"/>
        <v>2114883689.3400002</v>
      </c>
      <c r="S70" s="45">
        <f t="shared" si="12"/>
        <v>2021693966.1800001</v>
      </c>
      <c r="T70" s="45">
        <f t="shared" si="12"/>
        <v>1937396091.1999998</v>
      </c>
      <c r="U70" s="45">
        <f t="shared" si="12"/>
        <v>1833442434.9799998</v>
      </c>
      <c r="V70" s="45">
        <f t="shared" si="12"/>
        <v>1712305039.8399999</v>
      </c>
      <c r="W70" s="45">
        <f t="shared" si="12"/>
        <v>1670648053.1299996</v>
      </c>
      <c r="X70" s="45">
        <f t="shared" si="12"/>
        <v>1638567680.2799997</v>
      </c>
      <c r="Y70" s="45">
        <f t="shared" si="12"/>
        <v>1549878078.1500001</v>
      </c>
      <c r="Z70" s="45">
        <f t="shared" si="12"/>
        <v>1461224977.1499999</v>
      </c>
      <c r="AA70" s="45">
        <f t="shared" si="12"/>
        <v>1409038993.3400002</v>
      </c>
      <c r="AB70" s="45">
        <f t="shared" si="12"/>
        <v>1383220839.3899999</v>
      </c>
      <c r="AC70" s="45">
        <f t="shared" si="12"/>
        <v>1309009725.8400002</v>
      </c>
      <c r="AD70" s="45">
        <f t="shared" si="12"/>
        <v>1239758866.7800002</v>
      </c>
      <c r="AE70" s="45">
        <f t="shared" si="12"/>
        <v>1235535716.5799999</v>
      </c>
      <c r="AF70" s="45">
        <f t="shared" si="12"/>
        <v>1222382470.0700002</v>
      </c>
      <c r="AG70" s="45">
        <f t="shared" si="12"/>
        <v>1196125960.6500001</v>
      </c>
      <c r="AH70" s="45">
        <f t="shared" si="12"/>
        <v>1122582438.8600001</v>
      </c>
      <c r="AI70" s="45">
        <f t="shared" si="12"/>
        <v>1090054243.6499999</v>
      </c>
      <c r="AJ70" s="45">
        <f t="shared" si="12"/>
        <v>1078573513.4300001</v>
      </c>
      <c r="AK70" s="45">
        <f t="shared" si="12"/>
        <v>1042268233.27</v>
      </c>
      <c r="AL70" s="45">
        <f t="shared" si="12"/>
        <v>279944455.62</v>
      </c>
      <c r="AM70" s="45">
        <f t="shared" si="12"/>
        <v>275897792.94999999</v>
      </c>
      <c r="AN70" s="45">
        <f t="shared" si="12"/>
        <v>286412844.55999994</v>
      </c>
      <c r="AO70" s="45">
        <f t="shared" si="12"/>
        <v>261539132.41000003</v>
      </c>
      <c r="AP70" s="45">
        <f t="shared" si="12"/>
        <v>176441126.05000001</v>
      </c>
      <c r="AQ70" s="45">
        <f t="shared" si="12"/>
        <v>0</v>
      </c>
      <c r="AR70" s="45">
        <f t="shared" si="12"/>
        <v>0</v>
      </c>
      <c r="AS70" s="45">
        <f t="shared" si="12"/>
        <v>0</v>
      </c>
      <c r="AT70" s="45">
        <f t="shared" si="12"/>
        <v>0</v>
      </c>
      <c r="AU70" s="45">
        <f t="shared" si="12"/>
        <v>0</v>
      </c>
      <c r="AV70" s="45">
        <f t="shared" si="12"/>
        <v>0</v>
      </c>
      <c r="AW70" s="45">
        <f t="shared" si="12"/>
        <v>0</v>
      </c>
      <c r="AX70" s="45">
        <f t="shared" si="12"/>
        <v>0</v>
      </c>
      <c r="AY70" s="45">
        <f t="shared" si="12"/>
        <v>0</v>
      </c>
      <c r="AZ70" s="45">
        <f t="shared" si="12"/>
        <v>0</v>
      </c>
      <c r="BA70" s="45">
        <f t="shared" si="12"/>
        <v>0</v>
      </c>
      <c r="BB70" s="45">
        <f t="shared" si="12"/>
        <v>0</v>
      </c>
      <c r="BC70" s="45">
        <f t="shared" si="12"/>
        <v>0</v>
      </c>
      <c r="BD70" s="45">
        <f t="shared" si="12"/>
        <v>0</v>
      </c>
      <c r="BE70" s="45">
        <f t="shared" si="12"/>
        <v>0</v>
      </c>
      <c r="BF70" s="45">
        <f t="shared" si="12"/>
        <v>0</v>
      </c>
      <c r="BG70" s="45">
        <f t="shared" si="12"/>
        <v>0</v>
      </c>
      <c r="BH70" s="45">
        <f t="shared" si="12"/>
        <v>0</v>
      </c>
      <c r="BI70" s="45">
        <f t="shared" si="12"/>
        <v>0</v>
      </c>
      <c r="BJ70" s="45">
        <f t="shared" si="12"/>
        <v>0</v>
      </c>
      <c r="BK70" s="45">
        <f t="shared" si="12"/>
        <v>0</v>
      </c>
      <c r="BL70" s="45">
        <f t="shared" si="12"/>
        <v>0</v>
      </c>
      <c r="BM70" s="45">
        <f t="shared" si="12"/>
        <v>0</v>
      </c>
      <c r="BN70" s="45">
        <f t="shared" si="12"/>
        <v>0</v>
      </c>
      <c r="BO70" s="45">
        <f t="shared" ref="BO70:CL70" si="13">BO17+BO19+BO69</f>
        <v>0</v>
      </c>
      <c r="BP70" s="45">
        <f t="shared" si="13"/>
        <v>0</v>
      </c>
      <c r="BQ70" s="45">
        <f t="shared" si="13"/>
        <v>0</v>
      </c>
      <c r="BR70" s="45">
        <f t="shared" si="13"/>
        <v>0</v>
      </c>
      <c r="BS70" s="45">
        <f t="shared" si="13"/>
        <v>0</v>
      </c>
      <c r="BT70" s="45">
        <f t="shared" si="13"/>
        <v>0</v>
      </c>
      <c r="BU70" s="45">
        <f t="shared" si="13"/>
        <v>0</v>
      </c>
      <c r="BV70" s="45">
        <f t="shared" si="13"/>
        <v>0</v>
      </c>
      <c r="BW70" s="45">
        <f t="shared" si="13"/>
        <v>0</v>
      </c>
      <c r="BX70" s="45">
        <f t="shared" si="13"/>
        <v>0</v>
      </c>
      <c r="BY70" s="45">
        <f t="shared" si="13"/>
        <v>0</v>
      </c>
      <c r="BZ70" s="45">
        <f t="shared" si="13"/>
        <v>0</v>
      </c>
      <c r="CA70" s="45">
        <f t="shared" si="13"/>
        <v>0</v>
      </c>
      <c r="CB70" s="45">
        <f t="shared" si="13"/>
        <v>0</v>
      </c>
      <c r="CC70" s="45">
        <f t="shared" si="13"/>
        <v>0</v>
      </c>
      <c r="CD70" s="45">
        <f t="shared" si="13"/>
        <v>0</v>
      </c>
      <c r="CE70" s="45">
        <f t="shared" si="13"/>
        <v>0</v>
      </c>
      <c r="CF70" s="45">
        <f t="shared" si="13"/>
        <v>0</v>
      </c>
      <c r="CG70" s="45">
        <f t="shared" si="13"/>
        <v>0</v>
      </c>
      <c r="CH70" s="45">
        <f t="shared" si="13"/>
        <v>0</v>
      </c>
      <c r="CI70" s="45">
        <f t="shared" si="13"/>
        <v>0</v>
      </c>
      <c r="CJ70" s="45">
        <f t="shared" si="13"/>
        <v>0</v>
      </c>
      <c r="CK70" s="45">
        <f t="shared" si="13"/>
        <v>0</v>
      </c>
      <c r="CL70" s="45">
        <f t="shared" si="13"/>
        <v>0</v>
      </c>
    </row>
    <row r="71" spans="1:90">
      <c r="A71" s="2" t="s">
        <v>50</v>
      </c>
      <c r="B71" s="33"/>
      <c r="C71" s="33"/>
      <c r="D71" s="33"/>
      <c r="E71" s="33"/>
      <c r="F71" s="33"/>
      <c r="G71" s="33"/>
      <c r="H71" s="33"/>
      <c r="I71" s="33"/>
      <c r="J71" s="33"/>
      <c r="K71" s="33"/>
      <c r="L71" s="30"/>
      <c r="M71" s="18"/>
      <c r="N71" s="18"/>
    </row>
    <row r="72" spans="1:90" s="2" customFormat="1">
      <c r="A72" s="2" t="s">
        <v>51</v>
      </c>
      <c r="B72" s="35"/>
      <c r="C72" s="35"/>
      <c r="D72" s="35"/>
      <c r="E72" s="35">
        <f>SUM(E73:E77)</f>
        <v>0</v>
      </c>
      <c r="F72" s="35">
        <f t="shared" ref="F72:BQ72" si="14">SUM(F73:F77)</f>
        <v>0</v>
      </c>
      <c r="G72" s="35">
        <f t="shared" si="14"/>
        <v>0</v>
      </c>
      <c r="H72" s="35">
        <f t="shared" si="14"/>
        <v>0</v>
      </c>
      <c r="I72" s="35">
        <f t="shared" si="14"/>
        <v>0</v>
      </c>
      <c r="J72" s="35">
        <f t="shared" si="14"/>
        <v>0</v>
      </c>
      <c r="K72" s="35">
        <f t="shared" si="14"/>
        <v>0</v>
      </c>
      <c r="L72" s="35">
        <f t="shared" si="14"/>
        <v>0</v>
      </c>
      <c r="M72" s="35">
        <f t="shared" si="14"/>
        <v>0</v>
      </c>
      <c r="N72" s="35">
        <f t="shared" si="14"/>
        <v>0</v>
      </c>
      <c r="O72" s="35">
        <f t="shared" si="14"/>
        <v>0</v>
      </c>
      <c r="P72" s="35">
        <f t="shared" si="14"/>
        <v>0</v>
      </c>
      <c r="Q72" s="35">
        <f t="shared" si="14"/>
        <v>0</v>
      </c>
      <c r="R72" s="35">
        <f t="shared" si="14"/>
        <v>0</v>
      </c>
      <c r="S72" s="35">
        <f t="shared" si="14"/>
        <v>0</v>
      </c>
      <c r="T72" s="35">
        <f t="shared" si="14"/>
        <v>0</v>
      </c>
      <c r="U72" s="35">
        <f t="shared" si="14"/>
        <v>0</v>
      </c>
      <c r="V72" s="35">
        <f t="shared" si="14"/>
        <v>0</v>
      </c>
      <c r="W72" s="35">
        <f t="shared" si="14"/>
        <v>0</v>
      </c>
      <c r="X72" s="35">
        <f t="shared" si="14"/>
        <v>0</v>
      </c>
      <c r="Y72" s="35">
        <f t="shared" si="14"/>
        <v>0</v>
      </c>
      <c r="Z72" s="35">
        <f t="shared" si="14"/>
        <v>0</v>
      </c>
      <c r="AA72" s="35">
        <f t="shared" si="14"/>
        <v>0</v>
      </c>
      <c r="AB72" s="35">
        <f t="shared" si="14"/>
        <v>0</v>
      </c>
      <c r="AC72" s="35">
        <f t="shared" si="14"/>
        <v>0</v>
      </c>
      <c r="AD72" s="35">
        <f t="shared" si="14"/>
        <v>0</v>
      </c>
      <c r="AE72" s="35">
        <f t="shared" si="14"/>
        <v>0</v>
      </c>
      <c r="AF72" s="35">
        <f t="shared" si="14"/>
        <v>0</v>
      </c>
      <c r="AG72" s="35">
        <f t="shared" si="14"/>
        <v>30000000</v>
      </c>
      <c r="AH72" s="35">
        <f t="shared" si="14"/>
        <v>30000000</v>
      </c>
      <c r="AI72" s="35">
        <f t="shared" si="14"/>
        <v>0</v>
      </c>
      <c r="AJ72" s="35">
        <f t="shared" si="14"/>
        <v>0</v>
      </c>
      <c r="AK72" s="35">
        <f t="shared" si="14"/>
        <v>0</v>
      </c>
      <c r="AL72" s="35">
        <f t="shared" si="14"/>
        <v>8000000</v>
      </c>
      <c r="AM72" s="35">
        <f t="shared" si="14"/>
        <v>12000000</v>
      </c>
      <c r="AN72" s="35">
        <f t="shared" si="14"/>
        <v>37000000</v>
      </c>
      <c r="AO72" s="35">
        <f t="shared" si="14"/>
        <v>50500000</v>
      </c>
      <c r="AP72" s="35">
        <f t="shared" si="14"/>
        <v>53000000</v>
      </c>
      <c r="AQ72" s="35">
        <f t="shared" si="14"/>
        <v>0</v>
      </c>
      <c r="AR72" s="35">
        <f t="shared" si="14"/>
        <v>0</v>
      </c>
      <c r="AS72" s="35">
        <f t="shared" si="14"/>
        <v>0</v>
      </c>
      <c r="AT72" s="35">
        <f t="shared" si="14"/>
        <v>0</v>
      </c>
      <c r="AU72" s="35">
        <f t="shared" si="14"/>
        <v>0</v>
      </c>
      <c r="AV72" s="35">
        <f t="shared" si="14"/>
        <v>0</v>
      </c>
      <c r="AW72" s="35">
        <f t="shared" si="14"/>
        <v>0</v>
      </c>
      <c r="AX72" s="35">
        <f t="shared" si="14"/>
        <v>0</v>
      </c>
      <c r="AY72" s="35">
        <f t="shared" si="14"/>
        <v>0</v>
      </c>
      <c r="AZ72" s="35">
        <f t="shared" si="14"/>
        <v>0</v>
      </c>
      <c r="BA72" s="35">
        <f t="shared" si="14"/>
        <v>0</v>
      </c>
      <c r="BB72" s="35">
        <f t="shared" si="14"/>
        <v>0</v>
      </c>
      <c r="BC72" s="35">
        <f t="shared" si="14"/>
        <v>0</v>
      </c>
      <c r="BD72" s="35">
        <f t="shared" si="14"/>
        <v>0</v>
      </c>
      <c r="BE72" s="35">
        <f t="shared" si="14"/>
        <v>0</v>
      </c>
      <c r="BF72" s="35">
        <f t="shared" si="14"/>
        <v>0</v>
      </c>
      <c r="BG72" s="35">
        <f t="shared" si="14"/>
        <v>0</v>
      </c>
      <c r="BH72" s="35">
        <f t="shared" si="14"/>
        <v>0</v>
      </c>
      <c r="BI72" s="35">
        <f t="shared" si="14"/>
        <v>0</v>
      </c>
      <c r="BJ72" s="35">
        <f t="shared" si="14"/>
        <v>0</v>
      </c>
      <c r="BK72" s="35">
        <f t="shared" si="14"/>
        <v>0</v>
      </c>
      <c r="BL72" s="35">
        <f t="shared" si="14"/>
        <v>0</v>
      </c>
      <c r="BM72" s="35">
        <f t="shared" si="14"/>
        <v>0</v>
      </c>
      <c r="BN72" s="35">
        <f t="shared" si="14"/>
        <v>0</v>
      </c>
      <c r="BO72" s="35">
        <f t="shared" si="14"/>
        <v>0</v>
      </c>
      <c r="BP72" s="35">
        <f t="shared" si="14"/>
        <v>0</v>
      </c>
      <c r="BQ72" s="35">
        <f t="shared" si="14"/>
        <v>0</v>
      </c>
      <c r="BR72" s="35">
        <f t="shared" ref="BR72:CL72" si="15">SUM(BR73:BR77)</f>
        <v>0</v>
      </c>
      <c r="BS72" s="35">
        <f t="shared" si="15"/>
        <v>0</v>
      </c>
      <c r="BT72" s="35">
        <f t="shared" si="15"/>
        <v>0</v>
      </c>
      <c r="BU72" s="35">
        <f t="shared" si="15"/>
        <v>0</v>
      </c>
      <c r="BV72" s="35">
        <f t="shared" si="15"/>
        <v>0</v>
      </c>
      <c r="BW72" s="35">
        <f t="shared" si="15"/>
        <v>0</v>
      </c>
      <c r="BX72" s="35">
        <f t="shared" si="15"/>
        <v>0</v>
      </c>
      <c r="BY72" s="35">
        <f t="shared" si="15"/>
        <v>0</v>
      </c>
      <c r="BZ72" s="35">
        <f t="shared" si="15"/>
        <v>0</v>
      </c>
      <c r="CA72" s="35">
        <f t="shared" si="15"/>
        <v>0</v>
      </c>
      <c r="CB72" s="35">
        <f t="shared" si="15"/>
        <v>0</v>
      </c>
      <c r="CC72" s="35">
        <f t="shared" si="15"/>
        <v>0</v>
      </c>
      <c r="CD72" s="35">
        <f t="shared" si="15"/>
        <v>0</v>
      </c>
      <c r="CE72" s="35">
        <f t="shared" si="15"/>
        <v>0</v>
      </c>
      <c r="CF72" s="35">
        <f t="shared" si="15"/>
        <v>0</v>
      </c>
      <c r="CG72" s="35">
        <f t="shared" si="15"/>
        <v>0</v>
      </c>
      <c r="CH72" s="35">
        <f t="shared" si="15"/>
        <v>0</v>
      </c>
      <c r="CI72" s="35">
        <f t="shared" si="15"/>
        <v>0</v>
      </c>
      <c r="CJ72" s="35">
        <f t="shared" si="15"/>
        <v>0</v>
      </c>
      <c r="CK72" s="35">
        <f t="shared" si="15"/>
        <v>0</v>
      </c>
      <c r="CL72" s="35">
        <f t="shared" si="15"/>
        <v>0</v>
      </c>
    </row>
    <row r="73" spans="1:90">
      <c r="A73" s="4" t="s">
        <v>52</v>
      </c>
      <c r="B73" s="48">
        <v>180000000</v>
      </c>
      <c r="C73" s="48">
        <v>326770000</v>
      </c>
      <c r="D73" s="48">
        <v>326770000</v>
      </c>
      <c r="E73" s="48">
        <v>0</v>
      </c>
      <c r="F73" s="48">
        <v>0</v>
      </c>
      <c r="G73" s="48">
        <v>0</v>
      </c>
      <c r="H73" s="48">
        <v>0</v>
      </c>
      <c r="I73" s="48">
        <v>0</v>
      </c>
      <c r="J73" s="48">
        <v>0</v>
      </c>
      <c r="K73" s="48">
        <v>0</v>
      </c>
      <c r="L73" s="48">
        <v>0</v>
      </c>
      <c r="M73" s="48">
        <v>0</v>
      </c>
      <c r="N73" s="48">
        <v>0</v>
      </c>
      <c r="O73" s="48">
        <v>0</v>
      </c>
      <c r="P73" s="48">
        <v>0</v>
      </c>
      <c r="Q73" s="48">
        <v>0</v>
      </c>
      <c r="R73" s="48">
        <v>0</v>
      </c>
      <c r="S73" s="48">
        <v>0</v>
      </c>
      <c r="T73" s="48">
        <v>0</v>
      </c>
      <c r="U73" s="48">
        <v>0</v>
      </c>
      <c r="V73" s="48">
        <v>0</v>
      </c>
      <c r="W73" s="48">
        <v>0</v>
      </c>
      <c r="X73" s="48">
        <v>0</v>
      </c>
      <c r="Y73" s="48">
        <v>0</v>
      </c>
      <c r="Z73" s="48">
        <v>0</v>
      </c>
      <c r="AA73" s="48">
        <v>0</v>
      </c>
      <c r="AB73" s="48">
        <v>0</v>
      </c>
      <c r="AC73" s="48">
        <v>0</v>
      </c>
      <c r="AD73" s="48">
        <v>0</v>
      </c>
      <c r="AE73" s="48">
        <v>0</v>
      </c>
      <c r="AF73" s="48">
        <v>0</v>
      </c>
      <c r="AG73" s="48">
        <v>30000000</v>
      </c>
      <c r="AH73" s="48">
        <v>30000000</v>
      </c>
      <c r="AI73" s="48">
        <v>0</v>
      </c>
      <c r="AJ73" s="48">
        <v>0</v>
      </c>
      <c r="AK73" s="48">
        <v>0</v>
      </c>
      <c r="AL73" s="48">
        <v>0</v>
      </c>
      <c r="AM73" s="48">
        <v>0</v>
      </c>
      <c r="AN73" s="48">
        <v>25000000</v>
      </c>
      <c r="AO73" s="48">
        <v>41500000</v>
      </c>
      <c r="AP73" s="48">
        <v>50000000</v>
      </c>
      <c r="AQ73" s="48">
        <v>0</v>
      </c>
      <c r="AR73" s="48"/>
      <c r="AS73" s="48"/>
      <c r="AT73" s="48"/>
      <c r="AU73" s="48"/>
      <c r="AV73" s="48"/>
      <c r="AW73" s="48"/>
      <c r="AX73" s="48"/>
      <c r="AY73" s="48"/>
      <c r="AZ73" s="48"/>
      <c r="BA73" s="48"/>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c r="CD73" s="48"/>
      <c r="CE73" s="48"/>
      <c r="CF73" s="48"/>
      <c r="CG73" s="48"/>
      <c r="CH73" s="48"/>
      <c r="CI73" s="48"/>
      <c r="CJ73" s="48"/>
      <c r="CK73" s="48"/>
      <c r="CL73" s="48"/>
    </row>
    <row r="74" spans="1:90">
      <c r="A74" s="4" t="s">
        <v>77</v>
      </c>
      <c r="B74" s="48">
        <v>0</v>
      </c>
      <c r="C74" s="48">
        <v>0</v>
      </c>
      <c r="D74" s="48">
        <v>0</v>
      </c>
      <c r="E74" s="48">
        <v>0</v>
      </c>
      <c r="F74" s="48">
        <v>0</v>
      </c>
      <c r="G74" s="48">
        <v>0</v>
      </c>
      <c r="H74" s="48">
        <v>0</v>
      </c>
      <c r="I74" s="48">
        <v>0</v>
      </c>
      <c r="J74" s="48">
        <v>0</v>
      </c>
      <c r="K74" s="48">
        <v>0</v>
      </c>
      <c r="L74" s="48">
        <v>0</v>
      </c>
      <c r="M74" s="48">
        <v>0</v>
      </c>
      <c r="N74" s="48">
        <v>0</v>
      </c>
      <c r="O74" s="48">
        <v>0</v>
      </c>
      <c r="P74" s="48">
        <v>0</v>
      </c>
      <c r="Q74" s="48">
        <v>0</v>
      </c>
      <c r="R74" s="48">
        <v>0</v>
      </c>
      <c r="S74" s="48">
        <v>0</v>
      </c>
      <c r="T74" s="48">
        <v>0</v>
      </c>
      <c r="U74" s="48">
        <v>0</v>
      </c>
      <c r="V74" s="48">
        <v>0</v>
      </c>
      <c r="W74" s="48">
        <v>0</v>
      </c>
      <c r="X74" s="48">
        <v>0</v>
      </c>
      <c r="Y74" s="48">
        <v>0</v>
      </c>
      <c r="Z74" s="48">
        <v>0</v>
      </c>
      <c r="AA74" s="48">
        <v>0</v>
      </c>
      <c r="AB74" s="48">
        <v>0</v>
      </c>
      <c r="AC74" s="48">
        <v>0</v>
      </c>
      <c r="AD74" s="48">
        <v>0</v>
      </c>
      <c r="AE74" s="48">
        <v>0</v>
      </c>
      <c r="AF74" s="48">
        <v>0</v>
      </c>
      <c r="AG74" s="48">
        <v>0</v>
      </c>
      <c r="AH74" s="48">
        <v>0</v>
      </c>
      <c r="AI74" s="48">
        <v>0</v>
      </c>
      <c r="AJ74" s="48">
        <v>0</v>
      </c>
      <c r="AK74" s="48">
        <v>0</v>
      </c>
      <c r="AL74" s="48">
        <v>0</v>
      </c>
      <c r="AM74" s="48">
        <v>0</v>
      </c>
      <c r="AN74" s="48">
        <v>0</v>
      </c>
      <c r="AO74" s="48">
        <v>0</v>
      </c>
      <c r="AP74" s="48">
        <v>0</v>
      </c>
      <c r="AQ74" s="48">
        <v>0</v>
      </c>
      <c r="AR74" s="48"/>
      <c r="AS74" s="48"/>
      <c r="AT74" s="48"/>
      <c r="AU74" s="48"/>
      <c r="AV74" s="48"/>
      <c r="AW74" s="48"/>
      <c r="AX74" s="48"/>
      <c r="AY74" s="48"/>
      <c r="AZ74" s="48"/>
      <c r="BA74" s="48"/>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c r="CD74" s="48"/>
      <c r="CE74" s="48"/>
      <c r="CF74" s="48"/>
      <c r="CG74" s="48"/>
      <c r="CH74" s="48"/>
      <c r="CI74" s="48"/>
      <c r="CJ74" s="48"/>
      <c r="CK74" s="48"/>
      <c r="CL74" s="48"/>
    </row>
    <row r="75" spans="1:90">
      <c r="A75" s="4" t="s">
        <v>53</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c r="AS75" s="48"/>
      <c r="AT75" s="48"/>
      <c r="AU75" s="48"/>
      <c r="AV75" s="48"/>
      <c r="AW75" s="48"/>
      <c r="AX75" s="48"/>
      <c r="AY75" s="48"/>
      <c r="AZ75" s="48"/>
      <c r="BA75" s="48"/>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c r="CD75" s="48"/>
      <c r="CE75" s="48"/>
      <c r="CF75" s="48"/>
      <c r="CG75" s="48"/>
      <c r="CH75" s="48"/>
      <c r="CI75" s="48"/>
      <c r="CJ75" s="48"/>
      <c r="CK75" s="48"/>
      <c r="CL75" s="48"/>
    </row>
    <row r="76" spans="1:90">
      <c r="A76" s="4" t="s">
        <v>54</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8000000</v>
      </c>
      <c r="AM76" s="48">
        <v>12000000</v>
      </c>
      <c r="AN76" s="48">
        <v>12000000</v>
      </c>
      <c r="AO76" s="48">
        <v>9000000</v>
      </c>
      <c r="AP76" s="48">
        <v>3000000</v>
      </c>
      <c r="AQ76" s="48">
        <v>0</v>
      </c>
      <c r="AR76" s="48"/>
      <c r="AS76" s="48"/>
      <c r="AT76" s="48"/>
      <c r="AU76" s="48"/>
      <c r="AV76" s="48"/>
      <c r="AW76" s="48"/>
      <c r="AX76" s="48"/>
      <c r="AY76" s="48"/>
      <c r="AZ76" s="48"/>
      <c r="BA76" s="48"/>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c r="CD76" s="48"/>
      <c r="CE76" s="48"/>
      <c r="CF76" s="48"/>
      <c r="CG76" s="48"/>
      <c r="CH76" s="48"/>
      <c r="CI76" s="48"/>
      <c r="CJ76" s="48"/>
      <c r="CK76" s="48"/>
      <c r="CL76" s="48"/>
    </row>
    <row r="77" spans="1:90">
      <c r="A77" s="4" t="s">
        <v>55</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c r="AS77" s="48"/>
      <c r="AT77" s="48"/>
      <c r="AU77" s="48"/>
      <c r="AV77" s="48"/>
      <c r="AW77" s="48"/>
      <c r="AX77" s="48"/>
      <c r="AY77" s="48"/>
      <c r="AZ77" s="48"/>
      <c r="BA77" s="48"/>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c r="CD77" s="48"/>
      <c r="CE77" s="48"/>
      <c r="CF77" s="48"/>
      <c r="CG77" s="48"/>
      <c r="CH77" s="48"/>
      <c r="CI77" s="48"/>
      <c r="CJ77" s="48"/>
      <c r="CK77" s="48"/>
      <c r="CL77" s="48"/>
    </row>
    <row r="78" spans="1:90" hidden="1">
      <c r="A78" s="4"/>
      <c r="B78" s="33"/>
      <c r="C78" s="33"/>
      <c r="D78" s="33"/>
      <c r="E78" s="33"/>
      <c r="F78" s="33"/>
      <c r="G78" s="33"/>
      <c r="H78" s="33"/>
      <c r="I78" s="33"/>
      <c r="J78" s="33"/>
      <c r="K78" s="33"/>
      <c r="L78" s="30"/>
    </row>
    <row r="79" spans="1:90" hidden="1">
      <c r="A79" s="4"/>
      <c r="B79" s="33"/>
      <c r="C79" s="33"/>
      <c r="D79" s="33"/>
      <c r="E79" s="33"/>
      <c r="F79" s="33"/>
      <c r="G79" s="33"/>
      <c r="H79" s="33"/>
      <c r="I79" s="33"/>
      <c r="J79" s="33"/>
      <c r="K79" s="33"/>
      <c r="L79" s="30"/>
    </row>
    <row r="80" spans="1:90" hidden="1">
      <c r="A80" s="4"/>
      <c r="B80" s="33"/>
      <c r="C80" s="33"/>
      <c r="D80" s="33"/>
      <c r="E80" s="33"/>
      <c r="F80" s="33"/>
      <c r="G80" s="33"/>
      <c r="H80" s="33"/>
      <c r="I80" s="33"/>
      <c r="J80" s="33"/>
      <c r="K80" s="33"/>
      <c r="L80" s="30"/>
    </row>
    <row r="81" spans="1:90" s="2" customFormat="1">
      <c r="A81" s="2" t="s">
        <v>56</v>
      </c>
      <c r="B81" s="35"/>
      <c r="C81" s="35"/>
      <c r="D81" s="35"/>
      <c r="E81" s="35">
        <f>SUM(E82:E85)</f>
        <v>0</v>
      </c>
      <c r="F81" s="35">
        <f t="shared" ref="F81:BQ81" si="16">SUM(F82:F85)</f>
        <v>0</v>
      </c>
      <c r="G81" s="35">
        <f t="shared" si="16"/>
        <v>0</v>
      </c>
      <c r="H81" s="35">
        <f t="shared" si="16"/>
        <v>0</v>
      </c>
      <c r="I81" s="35">
        <f t="shared" si="16"/>
        <v>0</v>
      </c>
      <c r="J81" s="35">
        <f t="shared" si="16"/>
        <v>0</v>
      </c>
      <c r="K81" s="35">
        <f t="shared" si="16"/>
        <v>0</v>
      </c>
      <c r="L81" s="35">
        <f t="shared" si="16"/>
        <v>0</v>
      </c>
      <c r="M81" s="35">
        <f t="shared" si="16"/>
        <v>0</v>
      </c>
      <c r="N81" s="35">
        <f t="shared" si="16"/>
        <v>0</v>
      </c>
      <c r="O81" s="35">
        <f t="shared" si="16"/>
        <v>0</v>
      </c>
      <c r="P81" s="35">
        <f t="shared" si="16"/>
        <v>0</v>
      </c>
      <c r="Q81" s="35">
        <f t="shared" si="16"/>
        <v>0</v>
      </c>
      <c r="R81" s="35">
        <f t="shared" si="16"/>
        <v>15762074.5</v>
      </c>
      <c r="S81" s="35">
        <f t="shared" si="16"/>
        <v>15959574.5</v>
      </c>
      <c r="T81" s="35">
        <f t="shared" si="16"/>
        <v>16613909.34</v>
      </c>
      <c r="U81" s="35">
        <f t="shared" si="16"/>
        <v>16353506.119999999</v>
      </c>
      <c r="V81" s="35">
        <f t="shared" si="16"/>
        <v>2990750</v>
      </c>
      <c r="W81" s="35">
        <f t="shared" si="16"/>
        <v>18190750</v>
      </c>
      <c r="X81" s="35">
        <f t="shared" si="16"/>
        <v>18190750</v>
      </c>
      <c r="Y81" s="35">
        <f t="shared" si="16"/>
        <v>18190750</v>
      </c>
      <c r="Z81" s="35">
        <f t="shared" si="16"/>
        <v>18006473.920000002</v>
      </c>
      <c r="AA81" s="35">
        <f t="shared" si="16"/>
        <v>18200000</v>
      </c>
      <c r="AB81" s="35">
        <f t="shared" si="16"/>
        <v>18200000</v>
      </c>
      <c r="AC81" s="35">
        <f t="shared" si="16"/>
        <v>18200000</v>
      </c>
      <c r="AD81" s="35">
        <f t="shared" si="16"/>
        <v>15200000</v>
      </c>
      <c r="AE81" s="35">
        <f t="shared" si="16"/>
        <v>15200000</v>
      </c>
      <c r="AF81" s="35">
        <f t="shared" si="16"/>
        <v>14373100</v>
      </c>
      <c r="AG81" s="35">
        <f t="shared" si="16"/>
        <v>15900000</v>
      </c>
      <c r="AH81" s="35">
        <f t="shared" si="16"/>
        <v>0</v>
      </c>
      <c r="AI81" s="35">
        <f t="shared" si="16"/>
        <v>0</v>
      </c>
      <c r="AJ81" s="35">
        <f t="shared" si="16"/>
        <v>0</v>
      </c>
      <c r="AK81" s="35">
        <f t="shared" si="16"/>
        <v>0</v>
      </c>
      <c r="AL81" s="35">
        <f t="shared" si="16"/>
        <v>0</v>
      </c>
      <c r="AM81" s="35">
        <f t="shared" si="16"/>
        <v>9000000</v>
      </c>
      <c r="AN81" s="35">
        <f t="shared" si="16"/>
        <v>28222222.23</v>
      </c>
      <c r="AO81" s="35">
        <f t="shared" si="16"/>
        <v>40222222.229999997</v>
      </c>
      <c r="AP81" s="35">
        <f t="shared" si="16"/>
        <v>8000000</v>
      </c>
      <c r="AQ81" s="35">
        <f t="shared" si="16"/>
        <v>0</v>
      </c>
      <c r="AR81" s="35">
        <f t="shared" si="16"/>
        <v>0</v>
      </c>
      <c r="AS81" s="35">
        <f t="shared" si="16"/>
        <v>0</v>
      </c>
      <c r="AT81" s="35">
        <f t="shared" si="16"/>
        <v>0</v>
      </c>
      <c r="AU81" s="35">
        <f t="shared" si="16"/>
        <v>0</v>
      </c>
      <c r="AV81" s="35">
        <f t="shared" si="16"/>
        <v>0</v>
      </c>
      <c r="AW81" s="35">
        <f t="shared" si="16"/>
        <v>0</v>
      </c>
      <c r="AX81" s="35">
        <f t="shared" si="16"/>
        <v>0</v>
      </c>
      <c r="AY81" s="35">
        <f t="shared" si="16"/>
        <v>0</v>
      </c>
      <c r="AZ81" s="35">
        <f t="shared" si="16"/>
        <v>0</v>
      </c>
      <c r="BA81" s="35">
        <f t="shared" si="16"/>
        <v>0</v>
      </c>
      <c r="BB81" s="35">
        <f t="shared" si="16"/>
        <v>0</v>
      </c>
      <c r="BC81" s="35">
        <f t="shared" si="16"/>
        <v>0</v>
      </c>
      <c r="BD81" s="35">
        <f t="shared" si="16"/>
        <v>0</v>
      </c>
      <c r="BE81" s="35">
        <f t="shared" si="16"/>
        <v>0</v>
      </c>
      <c r="BF81" s="35">
        <f t="shared" si="16"/>
        <v>0</v>
      </c>
      <c r="BG81" s="35">
        <f t="shared" si="16"/>
        <v>0</v>
      </c>
      <c r="BH81" s="35">
        <f t="shared" si="16"/>
        <v>0</v>
      </c>
      <c r="BI81" s="35">
        <f t="shared" si="16"/>
        <v>0</v>
      </c>
      <c r="BJ81" s="35">
        <f t="shared" si="16"/>
        <v>0</v>
      </c>
      <c r="BK81" s="35">
        <f t="shared" si="16"/>
        <v>0</v>
      </c>
      <c r="BL81" s="35">
        <f t="shared" si="16"/>
        <v>0</v>
      </c>
      <c r="BM81" s="35">
        <f t="shared" si="16"/>
        <v>0</v>
      </c>
      <c r="BN81" s="35">
        <f t="shared" si="16"/>
        <v>0</v>
      </c>
      <c r="BO81" s="35">
        <f t="shared" si="16"/>
        <v>0</v>
      </c>
      <c r="BP81" s="35">
        <f t="shared" si="16"/>
        <v>0</v>
      </c>
      <c r="BQ81" s="35">
        <f t="shared" si="16"/>
        <v>0</v>
      </c>
      <c r="BR81" s="35">
        <f t="shared" ref="BR81:CG81" si="17">SUM(BR82:BR85)</f>
        <v>0</v>
      </c>
      <c r="BS81" s="35">
        <f t="shared" si="17"/>
        <v>0</v>
      </c>
      <c r="BT81" s="35">
        <f t="shared" si="17"/>
        <v>0</v>
      </c>
      <c r="BU81" s="35">
        <f t="shared" si="17"/>
        <v>0</v>
      </c>
      <c r="BV81" s="35">
        <f t="shared" si="17"/>
        <v>0</v>
      </c>
      <c r="BW81" s="35">
        <f t="shared" si="17"/>
        <v>0</v>
      </c>
      <c r="BX81" s="35">
        <f t="shared" si="17"/>
        <v>0</v>
      </c>
      <c r="BY81" s="35">
        <f t="shared" si="17"/>
        <v>0</v>
      </c>
      <c r="BZ81" s="35">
        <f t="shared" si="17"/>
        <v>0</v>
      </c>
      <c r="CA81" s="35">
        <f t="shared" si="17"/>
        <v>0</v>
      </c>
      <c r="CB81" s="35">
        <f t="shared" si="17"/>
        <v>0</v>
      </c>
      <c r="CC81" s="35">
        <f t="shared" si="17"/>
        <v>0</v>
      </c>
      <c r="CD81" s="35">
        <f t="shared" si="17"/>
        <v>0</v>
      </c>
      <c r="CE81" s="35">
        <f t="shared" si="17"/>
        <v>0</v>
      </c>
      <c r="CF81" s="35">
        <f t="shared" si="17"/>
        <v>0</v>
      </c>
      <c r="CG81" s="35">
        <f t="shared" si="17"/>
        <v>0</v>
      </c>
      <c r="CH81" s="35">
        <f>SUM(CH82:CH85)</f>
        <v>0</v>
      </c>
      <c r="CI81" s="35">
        <f>SUM(CI82:CI85)</f>
        <v>0</v>
      </c>
      <c r="CJ81" s="35">
        <f>SUM(CJ82:CJ85)</f>
        <v>0</v>
      </c>
      <c r="CK81" s="35">
        <f>SUM(CK82:CK85)</f>
        <v>0</v>
      </c>
    </row>
    <row r="82" spans="1:90">
      <c r="A82" s="4" t="s">
        <v>57</v>
      </c>
      <c r="B82" s="48">
        <v>0</v>
      </c>
      <c r="C82" s="48">
        <v>0</v>
      </c>
      <c r="D82" s="48">
        <v>0</v>
      </c>
      <c r="E82" s="48">
        <v>0</v>
      </c>
      <c r="F82" s="48">
        <v>0</v>
      </c>
      <c r="G82" s="48">
        <v>0</v>
      </c>
      <c r="H82" s="48">
        <v>0</v>
      </c>
      <c r="I82" s="48">
        <v>0</v>
      </c>
      <c r="J82" s="48">
        <v>0</v>
      </c>
      <c r="K82" s="48">
        <v>0</v>
      </c>
      <c r="L82" s="48">
        <v>0</v>
      </c>
      <c r="M82" s="48">
        <v>0</v>
      </c>
      <c r="N82" s="48">
        <v>0</v>
      </c>
      <c r="O82" s="48">
        <v>0</v>
      </c>
      <c r="P82" s="48">
        <v>0</v>
      </c>
      <c r="Q82" s="48">
        <v>0</v>
      </c>
      <c r="R82" s="48">
        <v>0</v>
      </c>
      <c r="S82" s="48">
        <v>0</v>
      </c>
      <c r="T82" s="48">
        <v>0</v>
      </c>
      <c r="U82" s="48">
        <v>0</v>
      </c>
      <c r="V82" s="48">
        <v>0</v>
      </c>
      <c r="W82" s="48">
        <v>0</v>
      </c>
      <c r="X82" s="48">
        <v>0</v>
      </c>
      <c r="Y82" s="48">
        <v>0</v>
      </c>
      <c r="Z82" s="48">
        <v>0</v>
      </c>
      <c r="AA82" s="48">
        <v>0</v>
      </c>
      <c r="AB82" s="48">
        <v>0</v>
      </c>
      <c r="AC82" s="48">
        <v>0</v>
      </c>
      <c r="AD82" s="48">
        <v>0</v>
      </c>
      <c r="AE82" s="48">
        <v>0</v>
      </c>
      <c r="AF82" s="48">
        <v>0</v>
      </c>
      <c r="AG82" s="48">
        <v>0</v>
      </c>
      <c r="AH82" s="48">
        <v>0</v>
      </c>
      <c r="AI82" s="48">
        <v>0</v>
      </c>
      <c r="AJ82" s="48">
        <v>0</v>
      </c>
      <c r="AK82" s="48">
        <v>0</v>
      </c>
      <c r="AL82" s="48">
        <v>0</v>
      </c>
      <c r="AM82" s="48">
        <v>9000000</v>
      </c>
      <c r="AN82" s="48">
        <v>28222222.23</v>
      </c>
      <c r="AO82" s="48">
        <v>40222222.229999997</v>
      </c>
      <c r="AP82" s="48">
        <v>8000000</v>
      </c>
      <c r="AQ82" s="48">
        <v>0</v>
      </c>
      <c r="AR82" s="48"/>
      <c r="AS82" s="48"/>
      <c r="AT82" s="48"/>
      <c r="AU82" s="48"/>
      <c r="AV82" s="48"/>
      <c r="AW82" s="48"/>
      <c r="AX82" s="48"/>
      <c r="AY82" s="48"/>
      <c r="AZ82" s="48"/>
      <c r="BA82" s="48"/>
      <c r="BB82" s="48"/>
      <c r="BC82" s="48"/>
      <c r="BD82" s="48"/>
      <c r="BE82" s="48"/>
      <c r="BF82" s="48"/>
      <c r="BG82" s="48"/>
      <c r="BH82" s="48"/>
      <c r="BI82" s="48"/>
      <c r="BJ82" s="48"/>
      <c r="BK82" s="48"/>
      <c r="BL82" s="48"/>
      <c r="BM82" s="48"/>
      <c r="BN82" s="48"/>
      <c r="BO82" s="48"/>
      <c r="BP82" s="48"/>
      <c r="BQ82" s="48"/>
      <c r="BR82" s="48"/>
      <c r="BS82" s="48"/>
      <c r="BT82" s="48"/>
      <c r="BU82" s="48"/>
      <c r="BV82" s="48"/>
      <c r="BW82" s="48"/>
      <c r="BX82" s="48"/>
      <c r="BY82" s="48"/>
      <c r="BZ82" s="48"/>
      <c r="CA82" s="48"/>
      <c r="CB82" s="48"/>
      <c r="CC82" s="48"/>
      <c r="CD82" s="48"/>
      <c r="CE82" s="48"/>
      <c r="CF82" s="48"/>
      <c r="CG82" s="48"/>
      <c r="CH82" s="48"/>
      <c r="CI82" s="48"/>
      <c r="CJ82" s="48"/>
      <c r="CK82" s="48"/>
      <c r="CL82" s="48"/>
    </row>
    <row r="83" spans="1:90">
      <c r="A83" s="4" t="s">
        <v>58</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0</v>
      </c>
      <c r="AQ83" s="48">
        <v>0</v>
      </c>
      <c r="AR83" s="48"/>
      <c r="AS83" s="48"/>
      <c r="AT83" s="48"/>
      <c r="AU83" s="48"/>
      <c r="AV83" s="48"/>
      <c r="AW83" s="48"/>
      <c r="AX83" s="48"/>
      <c r="AY83" s="48"/>
      <c r="AZ83" s="48"/>
      <c r="BA83" s="48"/>
      <c r="BB83" s="48"/>
      <c r="BC83" s="48"/>
      <c r="BD83" s="48"/>
      <c r="BE83" s="48"/>
      <c r="BF83" s="48"/>
      <c r="BG83" s="48"/>
      <c r="BH83" s="48"/>
      <c r="BI83" s="48"/>
      <c r="BJ83" s="48"/>
      <c r="BK83" s="48"/>
      <c r="BL83" s="48"/>
      <c r="BM83" s="48"/>
      <c r="BN83" s="48"/>
      <c r="BO83" s="48"/>
      <c r="BP83" s="48"/>
      <c r="BQ83" s="48"/>
      <c r="BR83" s="48"/>
      <c r="BS83" s="48"/>
      <c r="BT83" s="48"/>
      <c r="BU83" s="48"/>
      <c r="BV83" s="48"/>
      <c r="BW83" s="48"/>
      <c r="BX83" s="48"/>
      <c r="BY83" s="48"/>
      <c r="BZ83" s="48"/>
      <c r="CA83" s="48"/>
      <c r="CB83" s="48"/>
      <c r="CC83" s="48"/>
      <c r="CD83" s="48"/>
      <c r="CE83" s="48"/>
      <c r="CF83" s="48"/>
      <c r="CG83" s="48"/>
      <c r="CH83" s="48"/>
      <c r="CI83" s="48"/>
      <c r="CJ83" s="48"/>
      <c r="CK83" s="48"/>
      <c r="CL83" s="48"/>
    </row>
    <row r="84" spans="1:90">
      <c r="A84" s="4" t="s">
        <v>59</v>
      </c>
      <c r="B84" s="48">
        <v>0</v>
      </c>
      <c r="C84" s="48">
        <v>0</v>
      </c>
      <c r="D84" s="48">
        <v>0</v>
      </c>
      <c r="E84" s="48">
        <v>0</v>
      </c>
      <c r="F84" s="48">
        <v>0</v>
      </c>
      <c r="G84" s="48">
        <v>0</v>
      </c>
      <c r="H84" s="48">
        <v>0</v>
      </c>
      <c r="I84" s="48">
        <v>0</v>
      </c>
      <c r="J84" s="48">
        <v>0</v>
      </c>
      <c r="K84" s="48">
        <v>0</v>
      </c>
      <c r="L84" s="48">
        <v>0</v>
      </c>
      <c r="M84" s="48">
        <v>0</v>
      </c>
      <c r="N84" s="48">
        <v>0</v>
      </c>
      <c r="O84" s="48">
        <v>0</v>
      </c>
      <c r="P84" s="48">
        <v>0</v>
      </c>
      <c r="Q84" s="48">
        <v>0</v>
      </c>
      <c r="R84" s="48">
        <v>0</v>
      </c>
      <c r="S84" s="48">
        <v>0</v>
      </c>
      <c r="T84" s="48">
        <v>0</v>
      </c>
      <c r="U84" s="48">
        <v>0</v>
      </c>
      <c r="V84" s="48">
        <v>0</v>
      </c>
      <c r="W84" s="48">
        <v>0</v>
      </c>
      <c r="X84" s="48">
        <v>0</v>
      </c>
      <c r="Y84" s="48">
        <v>0</v>
      </c>
      <c r="Z84" s="48">
        <v>0</v>
      </c>
      <c r="AA84" s="48">
        <v>0</v>
      </c>
      <c r="AB84" s="48">
        <v>0</v>
      </c>
      <c r="AC84" s="48">
        <v>0</v>
      </c>
      <c r="AD84" s="48">
        <v>0</v>
      </c>
      <c r="AE84" s="48">
        <v>0</v>
      </c>
      <c r="AF84" s="48">
        <v>0</v>
      </c>
      <c r="AG84" s="48">
        <v>0</v>
      </c>
      <c r="AH84" s="48">
        <v>0</v>
      </c>
      <c r="AI84" s="48">
        <v>0</v>
      </c>
      <c r="AJ84" s="48">
        <v>0</v>
      </c>
      <c r="AK84" s="48">
        <v>0</v>
      </c>
      <c r="AL84" s="48">
        <v>0</v>
      </c>
      <c r="AM84" s="48">
        <v>0</v>
      </c>
      <c r="AN84" s="48">
        <v>0</v>
      </c>
      <c r="AO84" s="48">
        <v>0</v>
      </c>
      <c r="AP84" s="48">
        <v>0</v>
      </c>
      <c r="AQ84" s="48">
        <v>0</v>
      </c>
      <c r="AR84" s="48"/>
      <c r="AS84" s="48"/>
      <c r="AT84" s="48"/>
      <c r="AU84" s="48"/>
      <c r="AV84" s="48"/>
      <c r="AW84" s="48"/>
      <c r="AX84" s="48"/>
      <c r="AY84" s="48"/>
      <c r="AZ84" s="48"/>
      <c r="BA84" s="48"/>
      <c r="BB84" s="48"/>
      <c r="BC84" s="48"/>
      <c r="BD84" s="48"/>
      <c r="BE84" s="48"/>
      <c r="BF84" s="48"/>
      <c r="BG84" s="48"/>
      <c r="BH84" s="48"/>
      <c r="BI84" s="48"/>
      <c r="BJ84" s="48"/>
      <c r="BK84" s="48"/>
      <c r="BL84" s="48"/>
      <c r="BM84" s="48"/>
      <c r="BN84" s="48"/>
      <c r="BO84" s="48"/>
      <c r="BP84" s="48"/>
      <c r="BQ84" s="48"/>
      <c r="BR84" s="48"/>
      <c r="BS84" s="48"/>
      <c r="BT84" s="48"/>
      <c r="BU84" s="48"/>
      <c r="BV84" s="48"/>
      <c r="BW84" s="48"/>
      <c r="BX84" s="48"/>
      <c r="BY84" s="48"/>
      <c r="BZ84" s="48"/>
      <c r="CA84" s="48"/>
      <c r="CB84" s="48"/>
      <c r="CC84" s="48"/>
      <c r="CD84" s="48"/>
      <c r="CE84" s="48"/>
      <c r="CF84" s="48"/>
      <c r="CG84" s="48"/>
      <c r="CH84" s="48"/>
      <c r="CI84" s="48"/>
      <c r="CJ84" s="48"/>
      <c r="CK84" s="48"/>
      <c r="CL84" s="48"/>
    </row>
    <row r="85" spans="1:90">
      <c r="A85" s="4" t="s">
        <v>83</v>
      </c>
      <c r="B85" s="48">
        <v>0</v>
      </c>
      <c r="C85" s="48">
        <v>0</v>
      </c>
      <c r="D85" s="48">
        <v>0</v>
      </c>
      <c r="E85" s="48">
        <v>0</v>
      </c>
      <c r="F85" s="48">
        <v>0</v>
      </c>
      <c r="G85" s="48">
        <v>0</v>
      </c>
      <c r="H85" s="48">
        <v>0</v>
      </c>
      <c r="I85" s="48">
        <v>0</v>
      </c>
      <c r="J85" s="48">
        <v>0</v>
      </c>
      <c r="K85" s="48">
        <v>0</v>
      </c>
      <c r="L85" s="48">
        <v>0</v>
      </c>
      <c r="M85" s="48">
        <v>0</v>
      </c>
      <c r="N85" s="48">
        <v>0</v>
      </c>
      <c r="O85" s="48">
        <v>0</v>
      </c>
      <c r="P85" s="48">
        <v>0</v>
      </c>
      <c r="Q85" s="48">
        <v>0</v>
      </c>
      <c r="R85" s="48">
        <v>15762074.5</v>
      </c>
      <c r="S85" s="48">
        <v>15959574.5</v>
      </c>
      <c r="T85" s="48">
        <v>16613909.34</v>
      </c>
      <c r="U85" s="48">
        <v>16353506.119999999</v>
      </c>
      <c r="V85" s="48">
        <v>2990750</v>
      </c>
      <c r="W85" s="48">
        <v>18190750</v>
      </c>
      <c r="X85" s="48">
        <v>18190750</v>
      </c>
      <c r="Y85" s="48">
        <v>18190750</v>
      </c>
      <c r="Z85" s="48">
        <v>18006473.920000002</v>
      </c>
      <c r="AA85" s="48">
        <v>18200000</v>
      </c>
      <c r="AB85" s="48">
        <v>18200000</v>
      </c>
      <c r="AC85" s="48">
        <v>18200000</v>
      </c>
      <c r="AD85" s="48">
        <v>15200000</v>
      </c>
      <c r="AE85" s="48">
        <v>15200000</v>
      </c>
      <c r="AF85" s="48">
        <v>14373100</v>
      </c>
      <c r="AG85" s="48">
        <v>15900000</v>
      </c>
      <c r="AH85" s="48">
        <v>0</v>
      </c>
      <c r="AI85" s="48">
        <v>0</v>
      </c>
      <c r="AJ85" s="48">
        <v>0</v>
      </c>
      <c r="AK85" s="48">
        <v>0</v>
      </c>
      <c r="AL85" s="48">
        <v>0</v>
      </c>
      <c r="AM85" s="48">
        <v>0</v>
      </c>
      <c r="AN85" s="48">
        <v>0</v>
      </c>
      <c r="AO85" s="48">
        <v>0</v>
      </c>
      <c r="AP85" s="48">
        <v>0</v>
      </c>
      <c r="AQ85" s="48">
        <v>0</v>
      </c>
      <c r="AR85" s="48"/>
      <c r="AS85" s="48"/>
      <c r="AT85" s="48"/>
      <c r="AU85" s="48"/>
      <c r="AV85" s="48"/>
      <c r="AW85" s="48"/>
      <c r="AX85" s="48"/>
      <c r="AY85" s="48"/>
      <c r="AZ85" s="48"/>
      <c r="BA85" s="48"/>
      <c r="BB85" s="48"/>
      <c r="BC85" s="48"/>
      <c r="BD85" s="48"/>
      <c r="BE85" s="48"/>
      <c r="BF85" s="48"/>
      <c r="BG85" s="48"/>
      <c r="BH85" s="48"/>
      <c r="BI85" s="48"/>
      <c r="BJ85" s="48"/>
      <c r="BK85" s="48"/>
      <c r="BL85" s="48"/>
      <c r="BM85" s="48"/>
      <c r="BN85" s="48"/>
      <c r="BO85" s="48"/>
      <c r="BP85" s="48"/>
      <c r="BQ85" s="48"/>
      <c r="BR85" s="48"/>
      <c r="BS85" s="48"/>
      <c r="BT85" s="48"/>
      <c r="BU85" s="48"/>
      <c r="BV85" s="48"/>
      <c r="BW85" s="48"/>
      <c r="BX85" s="48"/>
      <c r="BY85" s="48"/>
      <c r="BZ85" s="48"/>
      <c r="CA85" s="48"/>
      <c r="CB85" s="48"/>
      <c r="CC85" s="48"/>
      <c r="CD85" s="48"/>
      <c r="CE85" s="48"/>
      <c r="CF85" s="48"/>
      <c r="CG85" s="48"/>
      <c r="CH85" s="48"/>
      <c r="CI85" s="48"/>
      <c r="CJ85" s="48"/>
      <c r="CK85" s="48"/>
      <c r="CL85" s="48"/>
    </row>
    <row r="86" spans="1:90" hidden="1">
      <c r="A86" s="4"/>
      <c r="B86" s="33"/>
      <c r="C86" s="33"/>
      <c r="D86" s="33"/>
      <c r="E86" s="33"/>
      <c r="F86" s="33"/>
      <c r="G86" s="33"/>
      <c r="H86" s="33"/>
      <c r="I86" s="33"/>
      <c r="J86" s="33"/>
      <c r="K86" s="33"/>
      <c r="L86" s="30"/>
    </row>
    <row r="87" spans="1:90" hidden="1">
      <c r="A87" s="4"/>
      <c r="B87" s="33"/>
      <c r="C87" s="33"/>
      <c r="D87" s="33"/>
      <c r="E87" s="33"/>
      <c r="F87" s="33"/>
      <c r="G87" s="33"/>
      <c r="H87" s="33"/>
      <c r="I87" s="33"/>
      <c r="J87" s="33"/>
      <c r="K87" s="33"/>
      <c r="L87" s="30"/>
    </row>
    <row r="88" spans="1:90" hidden="1">
      <c r="A88" s="4"/>
      <c r="B88" s="33"/>
      <c r="C88" s="33"/>
      <c r="D88" s="33"/>
      <c r="E88" s="33"/>
      <c r="F88" s="33"/>
      <c r="G88" s="33"/>
      <c r="H88" s="33"/>
      <c r="I88" s="33"/>
      <c r="J88" s="33"/>
      <c r="K88" s="33"/>
      <c r="L88" s="30"/>
    </row>
    <row r="89" spans="1:90" s="6" customFormat="1">
      <c r="A89" s="8" t="s">
        <v>60</v>
      </c>
      <c r="B89" s="41">
        <f>SUM(B73:B85)</f>
        <v>180000000</v>
      </c>
      <c r="C89" s="41">
        <f>SUM(C73:C85)</f>
        <v>326770000</v>
      </c>
      <c r="D89" s="41">
        <f>SUM(D73:D85)</f>
        <v>326770000</v>
      </c>
      <c r="E89" s="41">
        <f>E72+E81</f>
        <v>0</v>
      </c>
      <c r="F89" s="41">
        <f t="shared" ref="F89:BQ89" si="18">F72+F81</f>
        <v>0</v>
      </c>
      <c r="G89" s="41">
        <f t="shared" si="18"/>
        <v>0</v>
      </c>
      <c r="H89" s="41">
        <f t="shared" si="18"/>
        <v>0</v>
      </c>
      <c r="I89" s="41">
        <f t="shared" si="18"/>
        <v>0</v>
      </c>
      <c r="J89" s="41">
        <f t="shared" si="18"/>
        <v>0</v>
      </c>
      <c r="K89" s="41">
        <f t="shared" si="18"/>
        <v>0</v>
      </c>
      <c r="L89" s="41">
        <f t="shared" si="18"/>
        <v>0</v>
      </c>
      <c r="M89" s="41">
        <f t="shared" si="18"/>
        <v>0</v>
      </c>
      <c r="N89" s="41">
        <f t="shared" si="18"/>
        <v>0</v>
      </c>
      <c r="O89" s="41">
        <f t="shared" si="18"/>
        <v>0</v>
      </c>
      <c r="P89" s="41">
        <f t="shared" si="18"/>
        <v>0</v>
      </c>
      <c r="Q89" s="41">
        <f t="shared" si="18"/>
        <v>0</v>
      </c>
      <c r="R89" s="41">
        <f t="shared" si="18"/>
        <v>15762074.5</v>
      </c>
      <c r="S89" s="41">
        <f t="shared" si="18"/>
        <v>15959574.5</v>
      </c>
      <c r="T89" s="41">
        <f t="shared" si="18"/>
        <v>16613909.34</v>
      </c>
      <c r="U89" s="41">
        <f t="shared" si="18"/>
        <v>16353506.119999999</v>
      </c>
      <c r="V89" s="41">
        <f t="shared" si="18"/>
        <v>2990750</v>
      </c>
      <c r="W89" s="41">
        <f t="shared" si="18"/>
        <v>18190750</v>
      </c>
      <c r="X89" s="41">
        <f t="shared" si="18"/>
        <v>18190750</v>
      </c>
      <c r="Y89" s="41">
        <f t="shared" si="18"/>
        <v>18190750</v>
      </c>
      <c r="Z89" s="41">
        <f t="shared" si="18"/>
        <v>18006473.920000002</v>
      </c>
      <c r="AA89" s="41">
        <f t="shared" si="18"/>
        <v>18200000</v>
      </c>
      <c r="AB89" s="41">
        <f t="shared" si="18"/>
        <v>18200000</v>
      </c>
      <c r="AC89" s="41">
        <f t="shared" si="18"/>
        <v>18200000</v>
      </c>
      <c r="AD89" s="41">
        <f t="shared" si="18"/>
        <v>15200000</v>
      </c>
      <c r="AE89" s="41">
        <f t="shared" si="18"/>
        <v>15200000</v>
      </c>
      <c r="AF89" s="41">
        <f t="shared" si="18"/>
        <v>14373100</v>
      </c>
      <c r="AG89" s="41">
        <f t="shared" si="18"/>
        <v>45900000</v>
      </c>
      <c r="AH89" s="41">
        <f t="shared" si="18"/>
        <v>30000000</v>
      </c>
      <c r="AI89" s="41">
        <f t="shared" si="18"/>
        <v>0</v>
      </c>
      <c r="AJ89" s="41">
        <f t="shared" si="18"/>
        <v>0</v>
      </c>
      <c r="AK89" s="41">
        <f t="shared" si="18"/>
        <v>0</v>
      </c>
      <c r="AL89" s="41">
        <f t="shared" si="18"/>
        <v>8000000</v>
      </c>
      <c r="AM89" s="41">
        <f t="shared" si="18"/>
        <v>21000000</v>
      </c>
      <c r="AN89" s="41">
        <f t="shared" si="18"/>
        <v>65222222.230000004</v>
      </c>
      <c r="AO89" s="41">
        <f t="shared" si="18"/>
        <v>90722222.229999989</v>
      </c>
      <c r="AP89" s="41">
        <f t="shared" si="18"/>
        <v>61000000</v>
      </c>
      <c r="AQ89" s="41">
        <f t="shared" si="18"/>
        <v>0</v>
      </c>
      <c r="AR89" s="41">
        <f t="shared" si="18"/>
        <v>0</v>
      </c>
      <c r="AS89" s="41">
        <f t="shared" si="18"/>
        <v>0</v>
      </c>
      <c r="AT89" s="41">
        <f t="shared" si="18"/>
        <v>0</v>
      </c>
      <c r="AU89" s="41">
        <f t="shared" si="18"/>
        <v>0</v>
      </c>
      <c r="AV89" s="41">
        <f t="shared" si="18"/>
        <v>0</v>
      </c>
      <c r="AW89" s="41">
        <f t="shared" si="18"/>
        <v>0</v>
      </c>
      <c r="AX89" s="41">
        <f t="shared" si="18"/>
        <v>0</v>
      </c>
      <c r="AY89" s="41">
        <f t="shared" si="18"/>
        <v>0</v>
      </c>
      <c r="AZ89" s="41">
        <f t="shared" si="18"/>
        <v>0</v>
      </c>
      <c r="BA89" s="41">
        <f t="shared" si="18"/>
        <v>0</v>
      </c>
      <c r="BB89" s="41">
        <f t="shared" si="18"/>
        <v>0</v>
      </c>
      <c r="BC89" s="41">
        <f t="shared" si="18"/>
        <v>0</v>
      </c>
      <c r="BD89" s="41">
        <f t="shared" si="18"/>
        <v>0</v>
      </c>
      <c r="BE89" s="41">
        <f t="shared" si="18"/>
        <v>0</v>
      </c>
      <c r="BF89" s="41">
        <f t="shared" si="18"/>
        <v>0</v>
      </c>
      <c r="BG89" s="41">
        <f t="shared" si="18"/>
        <v>0</v>
      </c>
      <c r="BH89" s="41">
        <f t="shared" si="18"/>
        <v>0</v>
      </c>
      <c r="BI89" s="41">
        <f t="shared" si="18"/>
        <v>0</v>
      </c>
      <c r="BJ89" s="41">
        <f t="shared" si="18"/>
        <v>0</v>
      </c>
      <c r="BK89" s="41">
        <f t="shared" si="18"/>
        <v>0</v>
      </c>
      <c r="BL89" s="41">
        <f t="shared" si="18"/>
        <v>0</v>
      </c>
      <c r="BM89" s="41">
        <f t="shared" si="18"/>
        <v>0</v>
      </c>
      <c r="BN89" s="41">
        <f t="shared" si="18"/>
        <v>0</v>
      </c>
      <c r="BO89" s="41">
        <f t="shared" si="18"/>
        <v>0</v>
      </c>
      <c r="BP89" s="41">
        <f t="shared" si="18"/>
        <v>0</v>
      </c>
      <c r="BQ89" s="41">
        <f t="shared" si="18"/>
        <v>0</v>
      </c>
      <c r="BR89" s="41">
        <f t="shared" ref="BR89:CK89" si="19">BR72+BR81</f>
        <v>0</v>
      </c>
      <c r="BS89" s="41">
        <f t="shared" si="19"/>
        <v>0</v>
      </c>
      <c r="BT89" s="41">
        <f t="shared" si="19"/>
        <v>0</v>
      </c>
      <c r="BU89" s="41">
        <f t="shared" si="19"/>
        <v>0</v>
      </c>
      <c r="BV89" s="41">
        <f t="shared" si="19"/>
        <v>0</v>
      </c>
      <c r="BW89" s="41">
        <f t="shared" si="19"/>
        <v>0</v>
      </c>
      <c r="BX89" s="41">
        <f t="shared" si="19"/>
        <v>0</v>
      </c>
      <c r="BY89" s="41">
        <f t="shared" si="19"/>
        <v>0</v>
      </c>
      <c r="BZ89" s="41">
        <f t="shared" si="19"/>
        <v>0</v>
      </c>
      <c r="CA89" s="41">
        <f t="shared" si="19"/>
        <v>0</v>
      </c>
      <c r="CB89" s="41">
        <f t="shared" si="19"/>
        <v>0</v>
      </c>
      <c r="CC89" s="41">
        <f t="shared" si="19"/>
        <v>0</v>
      </c>
      <c r="CD89" s="41">
        <f t="shared" si="19"/>
        <v>0</v>
      </c>
      <c r="CE89" s="41">
        <f t="shared" si="19"/>
        <v>0</v>
      </c>
      <c r="CF89" s="41">
        <f t="shared" si="19"/>
        <v>0</v>
      </c>
      <c r="CG89" s="41">
        <f t="shared" si="19"/>
        <v>0</v>
      </c>
      <c r="CH89" s="41">
        <f t="shared" si="19"/>
        <v>0</v>
      </c>
      <c r="CI89" s="41">
        <f t="shared" si="19"/>
        <v>0</v>
      </c>
      <c r="CJ89" s="41">
        <f t="shared" si="19"/>
        <v>0</v>
      </c>
      <c r="CK89" s="41">
        <f t="shared" si="19"/>
        <v>0</v>
      </c>
    </row>
    <row r="90" spans="1:90">
      <c r="A90" s="2" t="s">
        <v>61</v>
      </c>
      <c r="B90" s="33"/>
      <c r="C90" s="33"/>
      <c r="D90" s="33"/>
      <c r="E90" s="33"/>
      <c r="F90" s="33"/>
      <c r="G90" s="33"/>
      <c r="H90" s="33"/>
      <c r="I90" s="33"/>
      <c r="J90" s="33"/>
      <c r="K90" s="33"/>
      <c r="L90" s="30"/>
      <c r="M90" s="18"/>
      <c r="N90" s="18"/>
    </row>
    <row r="91" spans="1:90">
      <c r="A91" s="4" t="s">
        <v>62</v>
      </c>
      <c r="B91" s="48">
        <v>868600082</v>
      </c>
      <c r="C91" s="48">
        <v>869505192</v>
      </c>
      <c r="D91" s="48">
        <v>869760152</v>
      </c>
      <c r="E91" s="48">
        <v>870035403</v>
      </c>
      <c r="F91" s="48">
        <v>867758241</v>
      </c>
      <c r="G91" s="48">
        <v>868787855</v>
      </c>
      <c r="H91" s="48">
        <v>866891349</v>
      </c>
      <c r="I91" s="48">
        <v>850297323</v>
      </c>
      <c r="J91" s="48">
        <v>851195867</v>
      </c>
      <c r="K91" s="48">
        <v>851213117</v>
      </c>
      <c r="L91" s="48">
        <v>834024789</v>
      </c>
      <c r="M91" s="48">
        <v>860406505</v>
      </c>
      <c r="N91" s="48">
        <v>860923801</v>
      </c>
      <c r="O91" s="48">
        <v>858369728</v>
      </c>
      <c r="P91" s="48">
        <v>429241857</v>
      </c>
      <c r="Q91" s="48">
        <v>428007030</v>
      </c>
      <c r="R91" s="48">
        <v>427343950</v>
      </c>
      <c r="S91" s="48">
        <v>426783428</v>
      </c>
      <c r="T91" s="48">
        <v>322492921</v>
      </c>
      <c r="U91" s="48">
        <v>322297621</v>
      </c>
      <c r="V91" s="48">
        <v>321537080</v>
      </c>
      <c r="W91" s="48">
        <v>321359995</v>
      </c>
      <c r="X91" s="48">
        <v>160680000</v>
      </c>
      <c r="Y91" s="48">
        <v>160680000</v>
      </c>
      <c r="Z91" s="48">
        <v>160680000</v>
      </c>
      <c r="AA91" s="48">
        <v>160680000</v>
      </c>
      <c r="AB91" s="48">
        <v>133900000</v>
      </c>
      <c r="AC91" s="48">
        <v>133900000</v>
      </c>
      <c r="AD91" s="48">
        <v>133900000</v>
      </c>
      <c r="AE91" s="48">
        <v>133900000</v>
      </c>
      <c r="AF91" s="48">
        <v>133900000</v>
      </c>
      <c r="AG91" s="48">
        <v>133900000</v>
      </c>
      <c r="AH91" s="48">
        <v>133900000</v>
      </c>
      <c r="AI91" s="48">
        <v>103000000</v>
      </c>
      <c r="AJ91" s="48">
        <v>103000000</v>
      </c>
      <c r="AK91" s="48">
        <v>103000000</v>
      </c>
      <c r="AL91" s="48">
        <v>77000000</v>
      </c>
      <c r="AM91" s="48">
        <v>77000000</v>
      </c>
      <c r="AN91" s="48">
        <v>77000000</v>
      </c>
      <c r="AO91" s="48">
        <v>77000000</v>
      </c>
      <c r="AP91" s="48">
        <v>70000000</v>
      </c>
      <c r="AQ91" s="48">
        <v>0</v>
      </c>
      <c r="AR91" s="48"/>
      <c r="AS91" s="48"/>
      <c r="AT91" s="48"/>
      <c r="AU91" s="48"/>
      <c r="AV91" s="48"/>
      <c r="AW91" s="48"/>
      <c r="AX91" s="48"/>
      <c r="AY91" s="48"/>
      <c r="AZ91" s="48"/>
      <c r="BA91" s="48"/>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c r="CD91" s="48"/>
      <c r="CE91" s="48"/>
      <c r="CF91" s="48"/>
      <c r="CG91" s="48"/>
      <c r="CH91" s="48"/>
      <c r="CI91" s="48"/>
      <c r="CJ91" s="48"/>
      <c r="CK91" s="48"/>
      <c r="CL91" s="48"/>
    </row>
    <row r="92" spans="1:90">
      <c r="A92" s="4" t="s">
        <v>63</v>
      </c>
      <c r="B92" s="48">
        <v>240746120.05000001</v>
      </c>
      <c r="C92" s="48">
        <v>239049707.43000001</v>
      </c>
      <c r="D92" s="48">
        <v>218317840.05000001</v>
      </c>
      <c r="E92" s="48">
        <v>206248678.34</v>
      </c>
      <c r="F92" s="48">
        <v>159440658.19999999</v>
      </c>
      <c r="G92" s="48">
        <v>148851506.78999999</v>
      </c>
      <c r="H92" s="48">
        <v>141928473.34999999</v>
      </c>
      <c r="I92" s="48">
        <v>81671632.790000007</v>
      </c>
      <c r="J92" s="48">
        <v>80661281.829999998</v>
      </c>
      <c r="K92" s="48">
        <v>79463879.159999996</v>
      </c>
      <c r="L92" s="48">
        <v>13628889.43</v>
      </c>
      <c r="M92" s="48">
        <v>141476589.36000001</v>
      </c>
      <c r="N92" s="48">
        <v>111154850.45</v>
      </c>
      <c r="O92" s="48">
        <v>100463859.37</v>
      </c>
      <c r="P92" s="48">
        <v>526168295.02999997</v>
      </c>
      <c r="Q92" s="48">
        <v>518868686.75</v>
      </c>
      <c r="R92" s="48">
        <v>520893820.35000002</v>
      </c>
      <c r="S92" s="48">
        <v>513221898.41000003</v>
      </c>
      <c r="T92" s="48">
        <v>560860428.21000004</v>
      </c>
      <c r="U92" s="48">
        <v>556009354.21000004</v>
      </c>
      <c r="V92" s="48">
        <v>547211121.89999998</v>
      </c>
      <c r="W92" s="48">
        <v>541822222.07000005</v>
      </c>
      <c r="X92" s="48">
        <v>698604358.35000002</v>
      </c>
      <c r="Y92" s="48">
        <v>694706499.63</v>
      </c>
      <c r="Z92" s="48">
        <v>686887899.63</v>
      </c>
      <c r="AA92" s="48">
        <v>684827899.63</v>
      </c>
      <c r="AB92" s="48">
        <v>709547899.63</v>
      </c>
      <c r="AC92" s="48">
        <v>707487899.63</v>
      </c>
      <c r="AD92" s="48">
        <v>707234299.63</v>
      </c>
      <c r="AE92" s="48">
        <v>704694199.63</v>
      </c>
      <c r="AF92" s="48">
        <v>701307399.63</v>
      </c>
      <c r="AG92" s="48">
        <v>701307399.63</v>
      </c>
      <c r="AH92" s="48">
        <v>701307399.63</v>
      </c>
      <c r="AI92" s="48">
        <v>732207399.63</v>
      </c>
      <c r="AJ92" s="48">
        <v>732207399.63</v>
      </c>
      <c r="AK92" s="48">
        <v>732207399.63</v>
      </c>
      <c r="AL92" s="48">
        <v>23235070.239999998</v>
      </c>
      <c r="AM92" s="48">
        <v>23235070.239999998</v>
      </c>
      <c r="AN92" s="48">
        <v>23235070.239999998</v>
      </c>
      <c r="AO92" s="48">
        <v>23235070.239999998</v>
      </c>
      <c r="AP92" s="48">
        <v>20154558.850000001</v>
      </c>
      <c r="AQ92" s="48">
        <v>0</v>
      </c>
      <c r="AR92" s="48"/>
      <c r="AS92" s="48"/>
      <c r="AT92" s="48"/>
      <c r="AU92" s="48"/>
      <c r="AV92" s="48"/>
      <c r="AW92" s="48"/>
      <c r="AX92" s="48"/>
      <c r="AY92" s="48"/>
      <c r="AZ92" s="48"/>
      <c r="BA92" s="48"/>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c r="CD92" s="48"/>
      <c r="CE92" s="48"/>
      <c r="CF92" s="48"/>
      <c r="CG92" s="48"/>
      <c r="CH92" s="48"/>
      <c r="CI92" s="48"/>
      <c r="CJ92" s="48"/>
      <c r="CK92" s="48"/>
      <c r="CL92" s="48"/>
    </row>
    <row r="93" spans="1:90">
      <c r="A93" s="4" t="s">
        <v>64</v>
      </c>
      <c r="B93" s="48">
        <v>139129600.41999999</v>
      </c>
      <c r="C93" s="48">
        <v>164170829.91999999</v>
      </c>
      <c r="D93" s="48">
        <v>185683838.62</v>
      </c>
      <c r="E93" s="48">
        <v>181275038.62</v>
      </c>
      <c r="F93" s="48">
        <v>168706003.86000001</v>
      </c>
      <c r="G93" s="48">
        <v>187703324.69</v>
      </c>
      <c r="H93" s="48">
        <v>110021940.37</v>
      </c>
      <c r="I93" s="48">
        <v>107905977.69</v>
      </c>
      <c r="J93" s="48">
        <v>115009629.89</v>
      </c>
      <c r="K93" s="48">
        <v>126480635.76000001</v>
      </c>
      <c r="L93" s="48">
        <v>43088535.759999998</v>
      </c>
      <c r="M93" s="48">
        <v>339878236.67000002</v>
      </c>
      <c r="N93" s="48">
        <v>58636998.460000001</v>
      </c>
      <c r="O93" s="48">
        <v>58636998.460000001</v>
      </c>
      <c r="P93" s="48">
        <v>58636998.460000001</v>
      </c>
      <c r="Q93" s="48">
        <v>50102563.18</v>
      </c>
      <c r="R93" s="48">
        <v>0</v>
      </c>
      <c r="S93" s="48">
        <v>0</v>
      </c>
      <c r="T93" s="48">
        <v>0</v>
      </c>
      <c r="U93" s="48">
        <v>0</v>
      </c>
      <c r="V93" s="48">
        <v>0</v>
      </c>
      <c r="W93" s="48">
        <v>0</v>
      </c>
      <c r="X93" s="48">
        <v>0</v>
      </c>
      <c r="Y93" s="48">
        <v>0</v>
      </c>
      <c r="Z93" s="48">
        <v>0</v>
      </c>
      <c r="AA93" s="48">
        <v>0</v>
      </c>
      <c r="AB93" s="48">
        <v>0</v>
      </c>
      <c r="AC93" s="48">
        <v>0</v>
      </c>
      <c r="AD93" s="48">
        <v>0</v>
      </c>
      <c r="AE93" s="48">
        <v>0</v>
      </c>
      <c r="AF93" s="48">
        <v>0</v>
      </c>
      <c r="AG93" s="48">
        <v>0</v>
      </c>
      <c r="AH93" s="48">
        <v>0</v>
      </c>
      <c r="AI93" s="48">
        <v>0</v>
      </c>
      <c r="AJ93" s="48">
        <v>0</v>
      </c>
      <c r="AK93" s="48">
        <v>0</v>
      </c>
      <c r="AL93" s="48">
        <v>0</v>
      </c>
      <c r="AM93" s="48">
        <v>0</v>
      </c>
      <c r="AN93" s="48">
        <v>0</v>
      </c>
      <c r="AO93" s="48">
        <v>0</v>
      </c>
      <c r="AP93" s="48">
        <v>0</v>
      </c>
      <c r="AQ93" s="48">
        <v>0</v>
      </c>
      <c r="AR93" s="48">
        <v>0</v>
      </c>
      <c r="AS93" s="48">
        <v>0</v>
      </c>
      <c r="AT93" s="48">
        <v>0</v>
      </c>
      <c r="AU93" s="48">
        <v>0</v>
      </c>
      <c r="AV93" s="48">
        <v>0</v>
      </c>
      <c r="AW93" s="48">
        <v>0</v>
      </c>
      <c r="AX93" s="48">
        <v>0</v>
      </c>
      <c r="AY93" s="48">
        <v>0</v>
      </c>
      <c r="AZ93" s="48">
        <v>0</v>
      </c>
      <c r="BA93" s="48">
        <v>0</v>
      </c>
      <c r="BB93" s="48">
        <v>0</v>
      </c>
      <c r="BC93" s="48">
        <v>0</v>
      </c>
      <c r="BD93" s="48">
        <v>0</v>
      </c>
      <c r="BE93" s="48">
        <v>0</v>
      </c>
      <c r="BF93" s="48">
        <v>0</v>
      </c>
      <c r="BG93" s="48">
        <v>0</v>
      </c>
      <c r="BH93" s="48">
        <v>0</v>
      </c>
      <c r="BI93" s="48">
        <v>0</v>
      </c>
      <c r="BJ93" s="48">
        <v>0</v>
      </c>
      <c r="BK93" s="48">
        <v>0</v>
      </c>
      <c r="BL93" s="48">
        <v>0</v>
      </c>
      <c r="BM93" s="48">
        <v>0</v>
      </c>
      <c r="BN93" s="48">
        <v>0</v>
      </c>
      <c r="BO93" s="48">
        <v>0</v>
      </c>
      <c r="BP93" s="48">
        <v>0</v>
      </c>
      <c r="BQ93" s="48">
        <v>0</v>
      </c>
      <c r="BR93" s="48">
        <v>0</v>
      </c>
      <c r="BS93" s="48">
        <v>0</v>
      </c>
      <c r="BT93" s="48">
        <v>0</v>
      </c>
      <c r="BU93" s="48">
        <v>0</v>
      </c>
      <c r="BV93" s="48">
        <v>0</v>
      </c>
      <c r="BW93" s="48">
        <v>0</v>
      </c>
      <c r="BX93" s="48">
        <v>0</v>
      </c>
      <c r="BY93" s="48">
        <v>0</v>
      </c>
      <c r="BZ93" s="48">
        <v>0</v>
      </c>
      <c r="CA93" s="48">
        <v>0</v>
      </c>
      <c r="CB93" s="48">
        <v>0</v>
      </c>
      <c r="CC93" s="48">
        <v>0</v>
      </c>
      <c r="CD93" s="48">
        <v>0</v>
      </c>
      <c r="CE93" s="48">
        <v>0</v>
      </c>
      <c r="CF93" s="48">
        <v>0</v>
      </c>
      <c r="CG93" s="48">
        <v>0</v>
      </c>
      <c r="CH93" s="48">
        <v>0</v>
      </c>
      <c r="CI93" s="48">
        <v>0</v>
      </c>
      <c r="CJ93" s="48">
        <v>0</v>
      </c>
      <c r="CK93" s="48">
        <v>0</v>
      </c>
      <c r="CL93" s="48">
        <v>0</v>
      </c>
    </row>
    <row r="94" spans="1:90">
      <c r="A94" s="4" t="s">
        <v>65</v>
      </c>
      <c r="B94" s="48">
        <v>0</v>
      </c>
      <c r="C94" s="48">
        <v>0</v>
      </c>
      <c r="D94" s="48">
        <v>0</v>
      </c>
      <c r="E94" s="48">
        <v>0</v>
      </c>
      <c r="F94" s="48">
        <v>0</v>
      </c>
      <c r="G94" s="48">
        <v>0</v>
      </c>
      <c r="H94" s="48">
        <v>0</v>
      </c>
      <c r="I94" s="48">
        <v>0</v>
      </c>
      <c r="J94" s="48">
        <v>0</v>
      </c>
      <c r="K94" s="48">
        <v>0</v>
      </c>
      <c r="L94" s="48">
        <v>0</v>
      </c>
      <c r="M94" s="48">
        <v>0</v>
      </c>
      <c r="N94" s="48">
        <v>0</v>
      </c>
      <c r="O94" s="48">
        <v>0</v>
      </c>
      <c r="P94" s="48">
        <v>0</v>
      </c>
      <c r="Q94" s="48">
        <v>0</v>
      </c>
      <c r="R94" s="48">
        <v>0</v>
      </c>
      <c r="S94" s="48">
        <v>0</v>
      </c>
      <c r="T94" s="48">
        <v>0</v>
      </c>
      <c r="U94" s="48">
        <v>0</v>
      </c>
      <c r="V94" s="48">
        <v>0</v>
      </c>
      <c r="W94" s="48">
        <v>0</v>
      </c>
      <c r="X94" s="48">
        <v>0</v>
      </c>
      <c r="Y94" s="48">
        <v>0</v>
      </c>
      <c r="Z94" s="48">
        <v>0</v>
      </c>
      <c r="AA94" s="48">
        <v>0</v>
      </c>
      <c r="AB94" s="48">
        <v>0</v>
      </c>
      <c r="AC94" s="48">
        <v>0</v>
      </c>
      <c r="AD94" s="48">
        <v>0</v>
      </c>
      <c r="AE94" s="48">
        <v>0</v>
      </c>
      <c r="AF94" s="48">
        <v>0</v>
      </c>
      <c r="AG94" s="48">
        <v>0</v>
      </c>
      <c r="AH94" s="48">
        <v>0</v>
      </c>
      <c r="AI94" s="48">
        <v>0</v>
      </c>
      <c r="AJ94" s="48">
        <v>0</v>
      </c>
      <c r="AK94" s="48">
        <v>0</v>
      </c>
      <c r="AL94" s="48">
        <v>0</v>
      </c>
      <c r="AM94" s="48">
        <v>0</v>
      </c>
      <c r="AN94" s="48">
        <v>0</v>
      </c>
      <c r="AO94" s="48">
        <v>0</v>
      </c>
      <c r="AP94" s="48">
        <v>0</v>
      </c>
      <c r="AQ94" s="48">
        <v>0</v>
      </c>
      <c r="AR94" s="48">
        <v>0</v>
      </c>
      <c r="AS94" s="48">
        <v>0</v>
      </c>
      <c r="AT94" s="48">
        <v>0</v>
      </c>
      <c r="AU94" s="48">
        <v>0</v>
      </c>
      <c r="AV94" s="48">
        <v>0</v>
      </c>
      <c r="AW94" s="48">
        <v>0</v>
      </c>
      <c r="AX94" s="48">
        <v>0</v>
      </c>
      <c r="AY94" s="48">
        <v>0</v>
      </c>
      <c r="AZ94" s="48">
        <v>0</v>
      </c>
      <c r="BA94" s="48">
        <v>0</v>
      </c>
      <c r="BB94" s="48">
        <v>0</v>
      </c>
      <c r="BC94" s="48">
        <v>0</v>
      </c>
      <c r="BD94" s="48">
        <v>0</v>
      </c>
      <c r="BE94" s="48">
        <v>0</v>
      </c>
      <c r="BF94" s="48">
        <v>0</v>
      </c>
      <c r="BG94" s="48">
        <v>0</v>
      </c>
      <c r="BH94" s="48">
        <v>0</v>
      </c>
      <c r="BI94" s="48">
        <v>0</v>
      </c>
      <c r="BJ94" s="48">
        <v>0</v>
      </c>
      <c r="BK94" s="48">
        <v>0</v>
      </c>
      <c r="BL94" s="48">
        <v>0</v>
      </c>
      <c r="BM94" s="48">
        <v>0</v>
      </c>
      <c r="BN94" s="48">
        <v>0</v>
      </c>
      <c r="BO94" s="48">
        <v>0</v>
      </c>
      <c r="BP94" s="48">
        <v>0</v>
      </c>
      <c r="BQ94" s="48">
        <v>0</v>
      </c>
      <c r="BR94" s="48">
        <v>0</v>
      </c>
      <c r="BS94" s="48">
        <v>0</v>
      </c>
      <c r="BT94" s="48">
        <v>0</v>
      </c>
      <c r="BU94" s="48">
        <v>0</v>
      </c>
      <c r="BV94" s="48">
        <v>0</v>
      </c>
      <c r="BW94" s="48">
        <v>0</v>
      </c>
      <c r="BX94" s="48">
        <v>0</v>
      </c>
      <c r="BY94" s="48">
        <v>0</v>
      </c>
      <c r="BZ94" s="48">
        <v>0</v>
      </c>
      <c r="CA94" s="48">
        <v>0</v>
      </c>
      <c r="CB94" s="48">
        <v>0</v>
      </c>
      <c r="CC94" s="48">
        <v>0</v>
      </c>
      <c r="CD94" s="48">
        <v>0</v>
      </c>
      <c r="CE94" s="48">
        <v>0</v>
      </c>
      <c r="CF94" s="48">
        <v>0</v>
      </c>
      <c r="CG94" s="48">
        <v>0</v>
      </c>
      <c r="CH94" s="48">
        <v>0</v>
      </c>
      <c r="CI94" s="48">
        <v>0</v>
      </c>
      <c r="CJ94" s="48">
        <v>0</v>
      </c>
      <c r="CK94" s="48">
        <v>0</v>
      </c>
      <c r="CL94" s="48">
        <v>0</v>
      </c>
    </row>
    <row r="95" spans="1:90">
      <c r="A95" s="4" t="s">
        <v>66</v>
      </c>
      <c r="B95" s="48">
        <v>0</v>
      </c>
      <c r="C95" s="48">
        <v>0</v>
      </c>
      <c r="D95" s="48">
        <v>0</v>
      </c>
      <c r="E95" s="48">
        <v>0</v>
      </c>
      <c r="F95" s="48">
        <v>0</v>
      </c>
      <c r="G95" s="48">
        <v>0</v>
      </c>
      <c r="H95" s="48">
        <v>0</v>
      </c>
      <c r="I95" s="48">
        <v>0</v>
      </c>
      <c r="J95" s="48">
        <v>0</v>
      </c>
      <c r="K95" s="48">
        <v>0</v>
      </c>
      <c r="L95" s="48">
        <v>0</v>
      </c>
      <c r="M95" s="48">
        <v>0</v>
      </c>
      <c r="N95" s="48">
        <v>0</v>
      </c>
      <c r="O95" s="48">
        <v>0</v>
      </c>
      <c r="P95" s="48">
        <v>0</v>
      </c>
      <c r="Q95" s="48">
        <v>0</v>
      </c>
      <c r="R95" s="48">
        <v>0</v>
      </c>
      <c r="S95" s="48">
        <v>0</v>
      </c>
      <c r="T95" s="48">
        <v>0</v>
      </c>
      <c r="U95" s="48">
        <v>0</v>
      </c>
      <c r="V95" s="48">
        <v>0</v>
      </c>
      <c r="W95" s="48">
        <v>0</v>
      </c>
      <c r="X95" s="48">
        <v>0</v>
      </c>
      <c r="Y95" s="48">
        <v>0</v>
      </c>
      <c r="Z95" s="48">
        <v>0</v>
      </c>
      <c r="AA95" s="48">
        <v>0</v>
      </c>
      <c r="AB95" s="48">
        <v>0</v>
      </c>
      <c r="AC95" s="48">
        <v>0</v>
      </c>
      <c r="AD95" s="48">
        <v>0</v>
      </c>
      <c r="AE95" s="48">
        <v>0</v>
      </c>
      <c r="AF95" s="48">
        <v>0</v>
      </c>
      <c r="AG95" s="48">
        <v>0</v>
      </c>
      <c r="AH95" s="48">
        <v>0</v>
      </c>
      <c r="AI95" s="48">
        <v>0</v>
      </c>
      <c r="AJ95" s="48">
        <v>0</v>
      </c>
      <c r="AK95" s="48">
        <v>0</v>
      </c>
      <c r="AL95" s="48">
        <v>0</v>
      </c>
      <c r="AM95" s="48">
        <v>0</v>
      </c>
      <c r="AN95" s="48">
        <v>0</v>
      </c>
      <c r="AO95" s="48">
        <v>0</v>
      </c>
      <c r="AP95" s="48">
        <v>0</v>
      </c>
      <c r="AQ95" s="48">
        <v>0</v>
      </c>
      <c r="AR95" s="48">
        <v>0</v>
      </c>
      <c r="AS95" s="48">
        <v>0</v>
      </c>
      <c r="AT95" s="48">
        <v>0</v>
      </c>
      <c r="AU95" s="48">
        <v>0</v>
      </c>
      <c r="AV95" s="48">
        <v>0</v>
      </c>
      <c r="AW95" s="48">
        <v>0</v>
      </c>
      <c r="AX95" s="48">
        <v>0</v>
      </c>
      <c r="AY95" s="48">
        <v>0</v>
      </c>
      <c r="AZ95" s="48">
        <v>0</v>
      </c>
      <c r="BA95" s="48">
        <v>0</v>
      </c>
      <c r="BB95" s="48">
        <v>0</v>
      </c>
      <c r="BC95" s="48">
        <v>0</v>
      </c>
      <c r="BD95" s="48">
        <v>0</v>
      </c>
      <c r="BE95" s="48">
        <v>0</v>
      </c>
      <c r="BF95" s="48">
        <v>0</v>
      </c>
      <c r="BG95" s="48">
        <v>0</v>
      </c>
      <c r="BH95" s="48">
        <v>0</v>
      </c>
      <c r="BI95" s="48">
        <v>0</v>
      </c>
      <c r="BJ95" s="48">
        <v>0</v>
      </c>
      <c r="BK95" s="48">
        <v>0</v>
      </c>
      <c r="BL95" s="48">
        <v>0</v>
      </c>
      <c r="BM95" s="48">
        <v>0</v>
      </c>
      <c r="BN95" s="48">
        <v>0</v>
      </c>
      <c r="BO95" s="48">
        <v>0</v>
      </c>
      <c r="BP95" s="48">
        <v>0</v>
      </c>
      <c r="BQ95" s="48">
        <v>0</v>
      </c>
      <c r="BR95" s="48">
        <v>0</v>
      </c>
      <c r="BS95" s="48">
        <v>0</v>
      </c>
      <c r="BT95" s="48">
        <v>0</v>
      </c>
      <c r="BU95" s="48">
        <v>0</v>
      </c>
      <c r="BV95" s="48">
        <v>0</v>
      </c>
      <c r="BW95" s="48">
        <v>0</v>
      </c>
      <c r="BX95" s="48">
        <v>0</v>
      </c>
      <c r="BY95" s="48">
        <v>0</v>
      </c>
      <c r="BZ95" s="48">
        <v>0</v>
      </c>
      <c r="CA95" s="48">
        <v>0</v>
      </c>
      <c r="CB95" s="48">
        <v>0</v>
      </c>
      <c r="CC95" s="48">
        <v>0</v>
      </c>
      <c r="CD95" s="48">
        <v>0</v>
      </c>
      <c r="CE95" s="48">
        <v>0</v>
      </c>
      <c r="CF95" s="48">
        <v>0</v>
      </c>
      <c r="CG95" s="48">
        <v>0</v>
      </c>
      <c r="CH95" s="48">
        <v>0</v>
      </c>
      <c r="CI95" s="48">
        <v>0</v>
      </c>
      <c r="CJ95" s="48">
        <v>0</v>
      </c>
      <c r="CK95" s="48">
        <v>0</v>
      </c>
      <c r="CL95" s="48">
        <v>0</v>
      </c>
    </row>
    <row r="96" spans="1:90">
      <c r="A96" s="4" t="s">
        <v>67</v>
      </c>
      <c r="B96" s="48">
        <v>59580558.670000002</v>
      </c>
      <c r="C96" s="48">
        <v>59580558.670000002</v>
      </c>
      <c r="D96" s="48">
        <v>59580558.670000002</v>
      </c>
      <c r="E96" s="48">
        <v>59580558.670000002</v>
      </c>
      <c r="F96" s="48">
        <v>27861049.010000002</v>
      </c>
      <c r="G96" s="48">
        <v>27861049.010000002</v>
      </c>
      <c r="H96" s="48">
        <v>27861049.010000002</v>
      </c>
      <c r="I96" s="48">
        <v>27861049.010000002</v>
      </c>
      <c r="J96" s="48">
        <v>0</v>
      </c>
      <c r="K96" s="48">
        <v>0</v>
      </c>
      <c r="L96" s="48">
        <v>0</v>
      </c>
      <c r="M96" s="48">
        <v>132198985.88</v>
      </c>
      <c r="N96" s="48">
        <v>111020655.7</v>
      </c>
      <c r="O96" s="48">
        <v>111020655.7</v>
      </c>
      <c r="P96" s="48">
        <v>111020655.7</v>
      </c>
      <c r="Q96" s="48">
        <v>111020655.7</v>
      </c>
      <c r="R96" s="48">
        <v>90367143.269999996</v>
      </c>
      <c r="S96" s="48">
        <v>90367143.269999996</v>
      </c>
      <c r="T96" s="48">
        <v>90367143.269999996</v>
      </c>
      <c r="U96" s="48">
        <v>90367143.269999996</v>
      </c>
      <c r="V96" s="48">
        <v>67804012.400000006</v>
      </c>
      <c r="W96" s="48">
        <v>67804012.400000006</v>
      </c>
      <c r="X96" s="48">
        <v>67804012.400000006</v>
      </c>
      <c r="Y96" s="48">
        <v>67804012.400000006</v>
      </c>
      <c r="Z96" s="48">
        <v>47943388.189999998</v>
      </c>
      <c r="AA96" s="48">
        <v>47943388.189999998</v>
      </c>
      <c r="AB96" s="48">
        <v>47943388.189999998</v>
      </c>
      <c r="AC96" s="48">
        <v>47943388.189999998</v>
      </c>
      <c r="AD96" s="48">
        <v>32013903.239999998</v>
      </c>
      <c r="AE96" s="48">
        <v>32013903.239999998</v>
      </c>
      <c r="AF96" s="48">
        <v>32013903.239999998</v>
      </c>
      <c r="AG96" s="48">
        <v>32013903.239999998</v>
      </c>
      <c r="AH96" s="48">
        <v>23593870.16</v>
      </c>
      <c r="AI96" s="48">
        <v>23593870.16</v>
      </c>
      <c r="AJ96" s="48">
        <v>23593870.16</v>
      </c>
      <c r="AK96" s="48">
        <v>23593870.16</v>
      </c>
      <c r="AL96" s="48">
        <v>15920743.880000001</v>
      </c>
      <c r="AM96" s="48">
        <v>15920743.880000001</v>
      </c>
      <c r="AN96" s="48">
        <v>15920743.880000001</v>
      </c>
      <c r="AO96" s="48">
        <v>7766524.1500000004</v>
      </c>
      <c r="AP96" s="48">
        <v>2226072.6</v>
      </c>
      <c r="AQ96" s="48">
        <v>0</v>
      </c>
      <c r="AR96" s="48">
        <v>747153162.12</v>
      </c>
      <c r="AS96" s="48">
        <v>747153162.12</v>
      </c>
      <c r="AT96" s="48">
        <v>396808306.86000001</v>
      </c>
      <c r="AU96" s="48">
        <v>826758649.22000003</v>
      </c>
      <c r="AV96" s="48">
        <v>826864618.09000003</v>
      </c>
      <c r="AW96" s="48">
        <v>838333509.35000002</v>
      </c>
      <c r="AX96" s="48">
        <v>748346692.34000003</v>
      </c>
      <c r="AY96" s="48">
        <v>748346692.34000003</v>
      </c>
      <c r="AZ96" s="48">
        <v>748197550.34000003</v>
      </c>
      <c r="BA96" s="48">
        <v>748197550.34000003</v>
      </c>
      <c r="BB96" s="48">
        <v>668527882.49000001</v>
      </c>
      <c r="BC96" s="48">
        <v>668527882.49000001</v>
      </c>
      <c r="BD96" s="48">
        <v>665605093.65999997</v>
      </c>
      <c r="BE96" s="48">
        <v>666815227.25</v>
      </c>
      <c r="BF96" s="48">
        <v>567984565.92999995</v>
      </c>
      <c r="BG96" s="48">
        <v>567984565.92999995</v>
      </c>
      <c r="BH96" s="48">
        <v>567984565.94000006</v>
      </c>
      <c r="BI96" s="48">
        <v>567244885.92999995</v>
      </c>
      <c r="BJ96" s="48">
        <v>419337334.51999998</v>
      </c>
      <c r="BK96" s="48">
        <v>418925284.51999998</v>
      </c>
      <c r="BL96" s="48">
        <v>417678847.70999998</v>
      </c>
      <c r="BM96" s="48">
        <v>417678847.70999998</v>
      </c>
      <c r="BN96" s="48">
        <v>284703861.92000002</v>
      </c>
      <c r="BO96" s="48">
        <v>284703861.92000002</v>
      </c>
      <c r="BP96" s="48">
        <v>284703861.92000002</v>
      </c>
      <c r="BQ96" s="48">
        <v>284703861.92000002</v>
      </c>
      <c r="BR96" s="48">
        <v>176995325.03999999</v>
      </c>
      <c r="BS96" s="48">
        <v>175028150.86000001</v>
      </c>
      <c r="BT96" s="48">
        <v>166077140.02000001</v>
      </c>
      <c r="BU96" s="48">
        <v>163213138.47</v>
      </c>
      <c r="BV96" s="48">
        <v>163539774.94999999</v>
      </c>
      <c r="BW96" s="48">
        <v>143804245.41</v>
      </c>
      <c r="BX96" s="48">
        <v>143505737.25</v>
      </c>
      <c r="BY96" s="48">
        <v>144024016.50999999</v>
      </c>
      <c r="BZ96" s="48">
        <v>132232212.09999999</v>
      </c>
      <c r="CA96" s="48">
        <v>130443089.94</v>
      </c>
      <c r="CB96" s="48">
        <v>137978409.43000001</v>
      </c>
      <c r="CC96" s="48">
        <v>127164283.31</v>
      </c>
      <c r="CD96" s="48">
        <v>69601738.090000004</v>
      </c>
      <c r="CE96" s="48">
        <v>34778000</v>
      </c>
      <c r="CF96" s="48">
        <v>10546287.800000001</v>
      </c>
      <c r="CG96" s="48">
        <v>1136843.69</v>
      </c>
      <c r="CH96" s="48">
        <v>0</v>
      </c>
      <c r="CI96" s="48">
        <v>0</v>
      </c>
      <c r="CJ96" s="48">
        <v>0</v>
      </c>
      <c r="CK96" s="48">
        <v>0</v>
      </c>
      <c r="CL96" s="48">
        <v>0</v>
      </c>
    </row>
    <row r="97" spans="1:90">
      <c r="A97" s="4" t="s">
        <v>68</v>
      </c>
      <c r="B97" s="48">
        <v>0</v>
      </c>
      <c r="C97" s="48">
        <v>0</v>
      </c>
      <c r="D97" s="48">
        <v>0</v>
      </c>
      <c r="E97" s="48">
        <v>0</v>
      </c>
      <c r="F97" s="48">
        <v>0</v>
      </c>
      <c r="G97" s="48">
        <v>0</v>
      </c>
      <c r="H97" s="48">
        <v>0</v>
      </c>
      <c r="I97" s="48">
        <v>0</v>
      </c>
      <c r="J97" s="48">
        <v>0</v>
      </c>
      <c r="K97" s="48">
        <v>0</v>
      </c>
      <c r="L97" s="48">
        <v>0</v>
      </c>
      <c r="M97" s="48">
        <v>0</v>
      </c>
      <c r="N97" s="48">
        <v>0</v>
      </c>
      <c r="O97" s="48">
        <v>0</v>
      </c>
      <c r="P97" s="48">
        <v>0</v>
      </c>
      <c r="Q97" s="48">
        <v>0</v>
      </c>
      <c r="R97" s="48">
        <v>0</v>
      </c>
      <c r="S97" s="48">
        <v>0</v>
      </c>
      <c r="T97" s="48">
        <v>0</v>
      </c>
      <c r="U97" s="48">
        <v>0</v>
      </c>
      <c r="V97" s="48">
        <v>0</v>
      </c>
      <c r="W97" s="48">
        <v>0</v>
      </c>
      <c r="X97" s="48">
        <v>0</v>
      </c>
      <c r="Y97" s="48">
        <v>0</v>
      </c>
      <c r="Z97" s="48">
        <v>0</v>
      </c>
      <c r="AA97" s="48">
        <v>0</v>
      </c>
      <c r="AB97" s="48">
        <v>0</v>
      </c>
      <c r="AC97" s="48">
        <v>0</v>
      </c>
      <c r="AD97" s="48">
        <v>0</v>
      </c>
      <c r="AE97" s="48">
        <v>0</v>
      </c>
      <c r="AF97" s="48">
        <v>0</v>
      </c>
      <c r="AG97" s="48">
        <v>0</v>
      </c>
      <c r="AH97" s="48">
        <v>0</v>
      </c>
      <c r="AI97" s="48">
        <v>0</v>
      </c>
      <c r="AJ97" s="48">
        <v>0</v>
      </c>
      <c r="AK97" s="48">
        <v>0</v>
      </c>
      <c r="AL97" s="48">
        <v>0</v>
      </c>
      <c r="AM97" s="48">
        <v>0</v>
      </c>
      <c r="AN97" s="48">
        <v>0</v>
      </c>
      <c r="AO97" s="48">
        <v>0</v>
      </c>
      <c r="AP97" s="48">
        <v>0</v>
      </c>
      <c r="AQ97" s="48">
        <v>0</v>
      </c>
      <c r="AR97" s="48">
        <v>0</v>
      </c>
      <c r="AS97" s="48">
        <v>0</v>
      </c>
      <c r="AT97" s="48">
        <v>0</v>
      </c>
      <c r="AU97" s="48">
        <v>0</v>
      </c>
      <c r="AV97" s="48">
        <v>0</v>
      </c>
      <c r="AW97" s="48">
        <v>0</v>
      </c>
      <c r="AX97" s="48">
        <v>0</v>
      </c>
      <c r="AY97" s="48">
        <v>0</v>
      </c>
      <c r="AZ97" s="48">
        <v>0</v>
      </c>
      <c r="BA97" s="48">
        <v>0</v>
      </c>
      <c r="BB97" s="48">
        <v>0</v>
      </c>
      <c r="BC97" s="48">
        <v>0</v>
      </c>
      <c r="BD97" s="48">
        <v>0</v>
      </c>
      <c r="BE97" s="48">
        <v>0</v>
      </c>
      <c r="BF97" s="48">
        <v>0</v>
      </c>
      <c r="BG97" s="48">
        <v>0</v>
      </c>
      <c r="BH97" s="48">
        <v>0</v>
      </c>
      <c r="BI97" s="48">
        <v>0</v>
      </c>
      <c r="BJ97" s="48">
        <v>0</v>
      </c>
      <c r="BK97" s="48">
        <v>0</v>
      </c>
      <c r="BL97" s="48">
        <v>0</v>
      </c>
      <c r="BM97" s="48">
        <v>0</v>
      </c>
      <c r="BN97" s="48">
        <v>0</v>
      </c>
      <c r="BO97" s="48">
        <v>0</v>
      </c>
      <c r="BP97" s="48">
        <v>0</v>
      </c>
      <c r="BQ97" s="48">
        <v>0</v>
      </c>
      <c r="BR97" s="48">
        <v>0</v>
      </c>
      <c r="BS97" s="48">
        <v>0</v>
      </c>
      <c r="BT97" s="48">
        <v>0</v>
      </c>
      <c r="BU97" s="48">
        <v>0</v>
      </c>
      <c r="BV97" s="48">
        <v>0</v>
      </c>
      <c r="BW97" s="48">
        <v>0</v>
      </c>
      <c r="BX97" s="48">
        <v>0</v>
      </c>
      <c r="BY97" s="48">
        <v>0</v>
      </c>
      <c r="BZ97" s="48">
        <v>0</v>
      </c>
      <c r="CA97" s="48">
        <v>0</v>
      </c>
      <c r="CB97" s="48">
        <v>0</v>
      </c>
      <c r="CC97" s="48">
        <v>0</v>
      </c>
      <c r="CD97" s="48">
        <v>0</v>
      </c>
      <c r="CE97" s="48">
        <v>0</v>
      </c>
      <c r="CF97" s="48">
        <v>0</v>
      </c>
      <c r="CG97" s="48">
        <v>0</v>
      </c>
      <c r="CH97" s="48">
        <v>0</v>
      </c>
      <c r="CI97" s="48">
        <v>0</v>
      </c>
      <c r="CJ97" s="48">
        <v>0</v>
      </c>
      <c r="CK97" s="48">
        <v>0</v>
      </c>
      <c r="CL97" s="48">
        <v>0</v>
      </c>
    </row>
    <row r="98" spans="1:90">
      <c r="A98" s="4" t="s">
        <v>69</v>
      </c>
      <c r="B98" s="48">
        <v>2266836349.8800001</v>
      </c>
      <c r="C98" s="48">
        <v>2163616183.8099999</v>
      </c>
      <c r="D98" s="48">
        <v>2283625028.6500001</v>
      </c>
      <c r="E98" s="48">
        <v>2186763092.6700001</v>
      </c>
      <c r="F98" s="48">
        <v>1965575783.8199999</v>
      </c>
      <c r="G98" s="48">
        <v>1967288093.53</v>
      </c>
      <c r="H98" s="48">
        <v>1888548242.4000001</v>
      </c>
      <c r="I98" s="48">
        <v>1808701675.73</v>
      </c>
      <c r="J98" s="48">
        <v>1641045767.46</v>
      </c>
      <c r="K98" s="48">
        <v>1567590268.3</v>
      </c>
      <c r="L98" s="48">
        <v>1568915133.1700001</v>
      </c>
      <c r="M98" s="48">
        <v>1493977574.28</v>
      </c>
      <c r="N98" s="48">
        <v>1364371358.46</v>
      </c>
      <c r="O98" s="48">
        <v>1296844322.51</v>
      </c>
      <c r="P98" s="48">
        <v>1257869443.3</v>
      </c>
      <c r="Q98" s="48">
        <v>1156854706.1400001</v>
      </c>
      <c r="R98" s="48">
        <v>1044880372.12</v>
      </c>
      <c r="S98" s="48">
        <v>958518343.21000004</v>
      </c>
      <c r="T98" s="48">
        <v>933756540.13</v>
      </c>
      <c r="U98" s="48">
        <v>833185425.54999995</v>
      </c>
      <c r="V98" s="48">
        <v>751466143.83000004</v>
      </c>
      <c r="W98" s="48">
        <v>676865380.86000001</v>
      </c>
      <c r="X98" s="48">
        <v>676867352.96000004</v>
      </c>
      <c r="Y98" s="48">
        <v>589007082.14999998</v>
      </c>
      <c r="Z98" s="48">
        <v>511483610.64999998</v>
      </c>
      <c r="AA98" s="48">
        <v>457908546.32999998</v>
      </c>
      <c r="AB98" s="48">
        <v>425503175.08999997</v>
      </c>
      <c r="AC98" s="48">
        <v>348584044.75999999</v>
      </c>
      <c r="AD98" s="48">
        <v>286463479.23000002</v>
      </c>
      <c r="AE98" s="48">
        <v>336974205.31</v>
      </c>
      <c r="AF98" s="48">
        <v>310574812.04000002</v>
      </c>
      <c r="AG98" s="48">
        <v>251304736.50999999</v>
      </c>
      <c r="AH98" s="48">
        <v>200975255.56999999</v>
      </c>
      <c r="AI98" s="48">
        <v>231252973.86000001</v>
      </c>
      <c r="AJ98" s="48">
        <v>219772243.63999999</v>
      </c>
      <c r="AK98" s="48">
        <v>183466963.47999999</v>
      </c>
      <c r="AL98" s="48">
        <v>155788641.5</v>
      </c>
      <c r="AM98" s="48">
        <v>138741978.83000001</v>
      </c>
      <c r="AN98" s="48">
        <v>105034808.20999999</v>
      </c>
      <c r="AO98" s="48">
        <v>62815315.789999999</v>
      </c>
      <c r="AP98" s="48">
        <v>19792179.25</v>
      </c>
      <c r="AQ98" s="48">
        <v>0</v>
      </c>
      <c r="AR98" s="48">
        <v>980521327.10000002</v>
      </c>
      <c r="AS98" s="48">
        <v>848115182.62</v>
      </c>
      <c r="AT98" s="48">
        <v>1118613055.72</v>
      </c>
      <c r="AU98" s="48">
        <v>525357157.43000001</v>
      </c>
      <c r="AV98" s="48">
        <v>403461761.73000002</v>
      </c>
      <c r="AW98" s="48">
        <v>371544386</v>
      </c>
      <c r="AX98" s="48">
        <v>363429189.26999998</v>
      </c>
      <c r="AY98" s="48">
        <v>244467864.97999999</v>
      </c>
      <c r="AZ98" s="48">
        <v>254618309.40000001</v>
      </c>
      <c r="BA98" s="48">
        <v>192812684.94999999</v>
      </c>
      <c r="BB98" s="48">
        <v>292526515.91000003</v>
      </c>
      <c r="BC98" s="48">
        <v>281230052.56999999</v>
      </c>
      <c r="BD98" s="48">
        <v>406650004.85000002</v>
      </c>
      <c r="BE98" s="48">
        <v>334116866.01999998</v>
      </c>
      <c r="BF98" s="48">
        <v>445681844.19</v>
      </c>
      <c r="BG98" s="48">
        <v>455559933.64999998</v>
      </c>
      <c r="BH98" s="48">
        <v>344656493.63999999</v>
      </c>
      <c r="BI98" s="48">
        <v>264614110.94</v>
      </c>
      <c r="BJ98" s="48">
        <v>363358290.55000001</v>
      </c>
      <c r="BK98" s="48">
        <v>278089580.66000003</v>
      </c>
      <c r="BL98" s="48">
        <v>133770782.09999999</v>
      </c>
      <c r="BM98" s="48">
        <v>119842474.04000001</v>
      </c>
      <c r="BN98" s="48">
        <v>257284974.88</v>
      </c>
      <c r="BO98" s="48">
        <v>170190260.5</v>
      </c>
      <c r="BP98" s="48">
        <v>105853126.12</v>
      </c>
      <c r="BQ98" s="48">
        <v>36818416.619999997</v>
      </c>
      <c r="BR98" s="48">
        <v>164751884.61000001</v>
      </c>
      <c r="BS98" s="48">
        <v>24363807.969999999</v>
      </c>
      <c r="BT98" s="48">
        <v>241854991.44</v>
      </c>
      <c r="BU98" s="48">
        <v>99358862.480000004</v>
      </c>
      <c r="BV98" s="48">
        <v>189774679.28999999</v>
      </c>
      <c r="BW98" s="48">
        <v>110559227.73</v>
      </c>
      <c r="BX98" s="48">
        <v>92578090.409999996</v>
      </c>
      <c r="BY98" s="48">
        <v>105677677.75</v>
      </c>
      <c r="BZ98" s="48">
        <v>51885677.789999999</v>
      </c>
      <c r="CA98" s="48">
        <v>42717718.460000001</v>
      </c>
      <c r="CB98" s="48">
        <v>75980140.25</v>
      </c>
      <c r="CC98" s="48">
        <v>35630191.829999998</v>
      </c>
      <c r="CD98" s="48">
        <v>91994293.900000006</v>
      </c>
      <c r="CE98" s="48">
        <v>129889000</v>
      </c>
      <c r="CF98" s="48">
        <v>81321459.170000002</v>
      </c>
      <c r="CG98" s="48">
        <v>12975517.09</v>
      </c>
      <c r="CH98" s="48">
        <v>0</v>
      </c>
      <c r="CI98" s="48">
        <v>0</v>
      </c>
      <c r="CJ98" s="48">
        <v>0</v>
      </c>
      <c r="CK98" s="48">
        <v>0</v>
      </c>
      <c r="CL98" s="48">
        <v>0</v>
      </c>
    </row>
    <row r="99" spans="1:90">
      <c r="A99" s="4" t="s">
        <v>70</v>
      </c>
      <c r="B99" s="48">
        <v>0</v>
      </c>
      <c r="C99" s="48">
        <v>2159257.7799999998</v>
      </c>
      <c r="D99" s="48">
        <v>1117987.94</v>
      </c>
      <c r="E99" s="48">
        <v>1247927.6499999999</v>
      </c>
      <c r="F99" s="48">
        <v>26672939.199999999</v>
      </c>
      <c r="G99" s="48">
        <v>1234550.42</v>
      </c>
      <c r="H99" s="48">
        <v>3630074.02</v>
      </c>
      <c r="I99" s="48">
        <v>15312853.02</v>
      </c>
      <c r="J99" s="48">
        <v>23176066.98</v>
      </c>
      <c r="K99" s="48">
        <v>40878417.549999997</v>
      </c>
      <c r="L99" s="48">
        <v>22594027.170000002</v>
      </c>
      <c r="M99" s="48">
        <v>29557224.530000001</v>
      </c>
      <c r="N99" s="48">
        <v>32192118.559999999</v>
      </c>
      <c r="O99" s="48">
        <v>33116631.219999999</v>
      </c>
      <c r="P99" s="48">
        <v>8199889.1299999999</v>
      </c>
      <c r="Q99" s="48">
        <v>13588929.1</v>
      </c>
      <c r="R99" s="48">
        <v>15636329.1</v>
      </c>
      <c r="S99" s="48">
        <v>16843578.789999999</v>
      </c>
      <c r="T99" s="48">
        <v>13305149.25</v>
      </c>
      <c r="U99" s="48">
        <v>15229384.83</v>
      </c>
      <c r="V99" s="48">
        <v>21295931.710000001</v>
      </c>
      <c r="W99" s="48">
        <v>44605692.799999997</v>
      </c>
      <c r="X99" s="48">
        <v>16421206.57</v>
      </c>
      <c r="Y99" s="48">
        <v>19489733.969999999</v>
      </c>
      <c r="Z99" s="48">
        <v>36223604.759999998</v>
      </c>
      <c r="AA99" s="48">
        <v>39479159.189999998</v>
      </c>
      <c r="AB99" s="48">
        <v>48126376.479999997</v>
      </c>
      <c r="AC99" s="48">
        <v>52894393.259999998</v>
      </c>
      <c r="AD99" s="48">
        <v>64947184.68</v>
      </c>
      <c r="AE99" s="48">
        <v>12753408.4</v>
      </c>
      <c r="AF99" s="48">
        <v>30213255.16</v>
      </c>
      <c r="AG99" s="48">
        <v>31699921.27</v>
      </c>
      <c r="AH99" s="48">
        <v>32805913.5</v>
      </c>
      <c r="AI99" s="48">
        <v>0</v>
      </c>
      <c r="AJ99" s="48">
        <v>0</v>
      </c>
      <c r="AK99" s="48">
        <v>0</v>
      </c>
      <c r="AL99" s="48">
        <v>0</v>
      </c>
      <c r="AM99" s="48">
        <v>0</v>
      </c>
      <c r="AN99" s="48">
        <v>0</v>
      </c>
      <c r="AO99" s="48">
        <v>0</v>
      </c>
      <c r="AP99" s="48">
        <v>0</v>
      </c>
      <c r="AQ99" s="48">
        <v>0</v>
      </c>
      <c r="AR99" s="48">
        <v>43213634.93</v>
      </c>
      <c r="AS99" s="48">
        <v>44288109.770000003</v>
      </c>
      <c r="AT99" s="48">
        <v>54341932.829999998</v>
      </c>
      <c r="AU99" s="48">
        <v>319264432.52999997</v>
      </c>
      <c r="AV99" s="48">
        <v>33902616.829999998</v>
      </c>
      <c r="AW99" s="48">
        <v>33902616.829999998</v>
      </c>
      <c r="AX99" s="48">
        <v>179475468.03</v>
      </c>
      <c r="AY99" s="48">
        <v>299373482.26999998</v>
      </c>
      <c r="AZ99" s="48">
        <v>15082286.01</v>
      </c>
      <c r="BA99" s="48">
        <v>10591636.66</v>
      </c>
      <c r="BB99" s="48">
        <v>27228651.460000001</v>
      </c>
      <c r="BC99" s="48">
        <v>215651038.53999999</v>
      </c>
      <c r="BD99" s="48">
        <v>25537143.440000001</v>
      </c>
      <c r="BE99" s="48">
        <v>19472806.489999998</v>
      </c>
      <c r="BF99" s="48">
        <v>19698608.93</v>
      </c>
      <c r="BG99" s="48">
        <v>232494010.44</v>
      </c>
      <c r="BH99" s="48">
        <v>19179643.98</v>
      </c>
      <c r="BI99" s="48">
        <v>16065471.57</v>
      </c>
      <c r="BJ99" s="48">
        <v>43569214.75</v>
      </c>
      <c r="BK99" s="48">
        <v>246368290.06999999</v>
      </c>
      <c r="BL99" s="48">
        <v>91578714.030000001</v>
      </c>
      <c r="BM99" s="48">
        <v>27851089.530000001</v>
      </c>
      <c r="BN99" s="48">
        <v>39662609.43</v>
      </c>
      <c r="BO99" s="48">
        <v>283532691.08999997</v>
      </c>
      <c r="BP99" s="48">
        <v>82394943.739999995</v>
      </c>
      <c r="BQ99" s="48">
        <v>94133175.359999999</v>
      </c>
      <c r="BR99" s="48">
        <v>262523853.59999999</v>
      </c>
      <c r="BS99" s="48">
        <v>175655544.66</v>
      </c>
      <c r="BT99" s="48">
        <v>172517845.40000001</v>
      </c>
      <c r="BU99" s="48">
        <v>67785291.349999994</v>
      </c>
      <c r="BV99" s="48">
        <v>51135992.259999998</v>
      </c>
      <c r="BW99" s="48">
        <v>13917863.050000001</v>
      </c>
      <c r="BX99" s="48">
        <v>0</v>
      </c>
      <c r="BY99" s="48">
        <v>0</v>
      </c>
      <c r="BZ99" s="48">
        <v>0</v>
      </c>
      <c r="CA99" s="48">
        <v>12394176.439999999</v>
      </c>
      <c r="CB99" s="48">
        <v>0</v>
      </c>
      <c r="CC99" s="48">
        <v>116006110.2</v>
      </c>
      <c r="CD99" s="48">
        <v>0</v>
      </c>
      <c r="CE99" s="48">
        <v>0</v>
      </c>
      <c r="CF99" s="48">
        <v>0</v>
      </c>
      <c r="CG99" s="48">
        <v>0</v>
      </c>
      <c r="CH99" s="48">
        <v>0</v>
      </c>
      <c r="CI99" s="48">
        <v>0</v>
      </c>
      <c r="CJ99" s="48">
        <v>0</v>
      </c>
      <c r="CK99" s="48">
        <v>0</v>
      </c>
      <c r="CL99" s="48">
        <v>0</v>
      </c>
    </row>
    <row r="100" spans="1:90">
      <c r="A100" s="4" t="s">
        <v>291</v>
      </c>
      <c r="B100" s="48"/>
      <c r="C100" s="48"/>
      <c r="D100" s="48"/>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c r="CI100" s="33"/>
      <c r="CJ100" s="33"/>
      <c r="CK100" s="33"/>
      <c r="CL100" s="48"/>
    </row>
    <row r="101" spans="1:90">
      <c r="A101" s="4" t="s">
        <v>71</v>
      </c>
      <c r="B101" s="48">
        <v>0</v>
      </c>
      <c r="C101" s="48">
        <v>0</v>
      </c>
      <c r="D101" s="48">
        <v>0</v>
      </c>
      <c r="E101" s="48">
        <v>0</v>
      </c>
      <c r="F101" s="48">
        <v>0</v>
      </c>
      <c r="G101" s="48">
        <v>0</v>
      </c>
      <c r="H101" s="48">
        <v>0</v>
      </c>
      <c r="I101" s="48">
        <v>0</v>
      </c>
      <c r="J101" s="48">
        <v>0</v>
      </c>
      <c r="K101" s="48">
        <v>0</v>
      </c>
      <c r="L101" s="48">
        <v>0</v>
      </c>
      <c r="M101" s="48">
        <v>0</v>
      </c>
      <c r="N101" s="48">
        <v>0</v>
      </c>
      <c r="O101" s="48">
        <v>0</v>
      </c>
      <c r="P101" s="48">
        <v>0</v>
      </c>
      <c r="Q101" s="48">
        <v>0</v>
      </c>
      <c r="R101" s="48">
        <v>0</v>
      </c>
      <c r="S101" s="48">
        <v>0</v>
      </c>
      <c r="T101" s="48">
        <v>0</v>
      </c>
      <c r="U101" s="48">
        <v>0</v>
      </c>
      <c r="V101" s="48">
        <v>0</v>
      </c>
      <c r="W101" s="48">
        <v>0</v>
      </c>
      <c r="X101" s="48">
        <v>0</v>
      </c>
      <c r="Y101" s="48">
        <v>0</v>
      </c>
      <c r="Z101" s="48">
        <v>0</v>
      </c>
      <c r="AA101" s="48">
        <v>0</v>
      </c>
      <c r="AB101" s="48">
        <v>0</v>
      </c>
      <c r="AC101" s="48">
        <v>0</v>
      </c>
      <c r="AD101" s="48">
        <v>0</v>
      </c>
      <c r="AE101" s="48">
        <v>0</v>
      </c>
      <c r="AF101" s="48">
        <v>0</v>
      </c>
      <c r="AG101" s="48">
        <v>0</v>
      </c>
      <c r="AH101" s="48">
        <v>0</v>
      </c>
      <c r="AI101" s="48">
        <v>0</v>
      </c>
      <c r="AJ101" s="48">
        <v>0</v>
      </c>
      <c r="AK101" s="48">
        <v>0</v>
      </c>
      <c r="AL101" s="48">
        <v>0</v>
      </c>
      <c r="AM101" s="48">
        <v>0</v>
      </c>
      <c r="AN101" s="48">
        <v>0</v>
      </c>
      <c r="AO101" s="48">
        <v>0</v>
      </c>
      <c r="AP101" s="48">
        <v>0</v>
      </c>
      <c r="AQ101" s="48">
        <v>0</v>
      </c>
      <c r="AR101" s="48">
        <v>0</v>
      </c>
      <c r="AS101" s="48">
        <v>0</v>
      </c>
      <c r="AT101" s="48">
        <v>0</v>
      </c>
      <c r="AU101" s="48">
        <v>0</v>
      </c>
      <c r="AV101" s="48">
        <v>0</v>
      </c>
      <c r="AW101" s="48">
        <v>0</v>
      </c>
      <c r="AX101" s="48">
        <v>0</v>
      </c>
      <c r="AY101" s="48">
        <v>0</v>
      </c>
      <c r="AZ101" s="48">
        <v>0</v>
      </c>
      <c r="BA101" s="48">
        <v>0</v>
      </c>
      <c r="BB101" s="48">
        <v>0</v>
      </c>
      <c r="BC101" s="48">
        <v>0</v>
      </c>
      <c r="BD101" s="48">
        <v>0</v>
      </c>
      <c r="BE101" s="48">
        <v>0</v>
      </c>
      <c r="BF101" s="48">
        <v>0</v>
      </c>
      <c r="BG101" s="48">
        <v>0</v>
      </c>
      <c r="BH101" s="48">
        <v>0</v>
      </c>
      <c r="BI101" s="48">
        <v>0</v>
      </c>
      <c r="BJ101" s="48">
        <v>0</v>
      </c>
      <c r="BK101" s="48">
        <v>0</v>
      </c>
      <c r="BL101" s="48">
        <v>0</v>
      </c>
      <c r="BM101" s="48">
        <v>0</v>
      </c>
      <c r="BN101" s="48">
        <v>0</v>
      </c>
      <c r="BO101" s="48">
        <v>0</v>
      </c>
      <c r="BP101" s="48">
        <v>0</v>
      </c>
      <c r="BQ101" s="48">
        <v>0</v>
      </c>
      <c r="BR101" s="48">
        <v>0</v>
      </c>
      <c r="BS101" s="48">
        <v>0</v>
      </c>
      <c r="BT101" s="48">
        <v>0</v>
      </c>
      <c r="BU101" s="48">
        <v>0</v>
      </c>
      <c r="BV101" s="48">
        <v>0</v>
      </c>
      <c r="BW101" s="48"/>
      <c r="BX101" s="48"/>
      <c r="BY101" s="48"/>
      <c r="BZ101" s="48"/>
      <c r="CA101" s="48"/>
      <c r="CB101" s="48"/>
      <c r="CC101" s="48"/>
      <c r="CD101" s="48"/>
      <c r="CE101" s="48"/>
      <c r="CF101" s="48"/>
      <c r="CG101" s="48"/>
      <c r="CH101" s="48"/>
      <c r="CI101" s="48"/>
      <c r="CJ101" s="48"/>
      <c r="CK101" s="48"/>
      <c r="CL101" s="48"/>
    </row>
    <row r="102" spans="1:90">
      <c r="A102" s="4" t="s">
        <v>72</v>
      </c>
      <c r="B102" s="48">
        <v>3296633510.1799998</v>
      </c>
      <c r="C102" s="48">
        <v>3167580811.9899998</v>
      </c>
      <c r="D102" s="48">
        <v>3245599740.75</v>
      </c>
      <c r="E102" s="48">
        <v>3141352694.0599999</v>
      </c>
      <c r="F102" s="48">
        <v>2851929728.1700001</v>
      </c>
      <c r="G102" s="48">
        <v>2825085179.6399999</v>
      </c>
      <c r="H102" s="48">
        <v>2815207173.3899999</v>
      </c>
      <c r="I102" s="48">
        <v>2660625702.8400002</v>
      </c>
      <c r="J102" s="48">
        <v>2457893286.4000001</v>
      </c>
      <c r="K102" s="48">
        <v>2371786628.6999998</v>
      </c>
      <c r="L102" s="48">
        <v>2373480275.8400002</v>
      </c>
      <c r="M102" s="48">
        <v>2288181417.8499999</v>
      </c>
      <c r="N102" s="48">
        <v>2388833667.1500001</v>
      </c>
      <c r="O102" s="48">
        <v>2308061567.1199999</v>
      </c>
      <c r="P102" s="48">
        <v>2265663252.5700002</v>
      </c>
      <c r="Q102" s="48">
        <v>2164648515.4099998</v>
      </c>
      <c r="R102" s="48">
        <v>2083485285.74</v>
      </c>
      <c r="S102" s="48">
        <v>1988890812.8900001</v>
      </c>
      <c r="T102" s="48">
        <v>1907477032.6099999</v>
      </c>
      <c r="U102" s="48">
        <v>1801859544.03</v>
      </c>
      <c r="V102" s="48">
        <v>1688018358.1300001</v>
      </c>
      <c r="W102" s="48">
        <v>1607851610.3299999</v>
      </c>
      <c r="X102" s="48">
        <v>1603955723.71</v>
      </c>
      <c r="Y102" s="48">
        <v>1512197594.1800001</v>
      </c>
      <c r="Z102" s="48">
        <v>1406994898.47</v>
      </c>
      <c r="AA102" s="48">
        <v>1351359834.1500001</v>
      </c>
      <c r="AB102" s="48">
        <v>1316894462.9100001</v>
      </c>
      <c r="AC102" s="48">
        <v>1237915332.5799999</v>
      </c>
      <c r="AD102" s="48">
        <v>1159611682.0999999</v>
      </c>
      <c r="AE102" s="48">
        <v>1207582308.1800001</v>
      </c>
      <c r="AF102" s="48">
        <v>1177796114.9100001</v>
      </c>
      <c r="AG102" s="48">
        <v>1118526039.3800001</v>
      </c>
      <c r="AH102" s="48">
        <v>1059776525.36</v>
      </c>
      <c r="AI102" s="48">
        <v>1090054243.6500001</v>
      </c>
      <c r="AJ102" s="48">
        <v>1078573513.4300001</v>
      </c>
      <c r="AK102" s="48">
        <v>1042268233.27</v>
      </c>
      <c r="AL102" s="48">
        <v>271944455.62</v>
      </c>
      <c r="AM102" s="48">
        <v>254897792.94999999</v>
      </c>
      <c r="AN102" s="48">
        <v>221190622.33000001</v>
      </c>
      <c r="AO102" s="48">
        <v>170816910.18000001</v>
      </c>
      <c r="AP102" s="48">
        <v>112172810.7</v>
      </c>
      <c r="AQ102" s="48">
        <v>0</v>
      </c>
      <c r="AR102" s="48">
        <v>4190628054.0300002</v>
      </c>
      <c r="AS102" s="48">
        <v>4064286599.1199999</v>
      </c>
      <c r="AT102" s="48">
        <v>3989341897.48</v>
      </c>
      <c r="AU102" s="48">
        <v>3813591525.6199999</v>
      </c>
      <c r="AV102" s="48">
        <v>3659883322.9499998</v>
      </c>
      <c r="AW102" s="48">
        <v>3638341267.0599999</v>
      </c>
      <c r="AX102" s="48">
        <v>3539015570.1799998</v>
      </c>
      <c r="AY102" s="48">
        <v>3421458575.0700002</v>
      </c>
      <c r="AZ102" s="48">
        <v>3431964940.5599999</v>
      </c>
      <c r="BA102" s="48">
        <v>3370999396.0100002</v>
      </c>
      <c r="BB102" s="48">
        <v>3396914722.2199998</v>
      </c>
      <c r="BC102" s="48">
        <v>3385596561.1399999</v>
      </c>
      <c r="BD102" s="48">
        <v>3507956785.8600001</v>
      </c>
      <c r="BE102" s="48">
        <v>3436633780.6199999</v>
      </c>
      <c r="BF102" s="48">
        <v>3437811344.4899998</v>
      </c>
      <c r="BG102" s="48">
        <v>3446282917.3200002</v>
      </c>
      <c r="BH102" s="48">
        <v>3334183281.0999999</v>
      </c>
      <c r="BI102" s="48">
        <v>3253401218.4899998</v>
      </c>
      <c r="BJ102" s="48">
        <v>3188136701.4200001</v>
      </c>
      <c r="BK102" s="48">
        <v>3102411840.3600001</v>
      </c>
      <c r="BL102" s="48">
        <v>2956796260.9899998</v>
      </c>
      <c r="BM102" s="48">
        <v>2939782965.54</v>
      </c>
      <c r="BN102" s="48">
        <v>2938700204.0999999</v>
      </c>
      <c r="BO102" s="48">
        <v>2850988639.3499999</v>
      </c>
      <c r="BP102" s="48">
        <v>2784318534.5599999</v>
      </c>
      <c r="BQ102" s="48">
        <v>2714715040.6300001</v>
      </c>
      <c r="BR102" s="48">
        <v>2728596644.7199998</v>
      </c>
      <c r="BS102" s="48">
        <v>2591080115.2800002</v>
      </c>
      <c r="BT102" s="48">
        <v>2791716742.6399999</v>
      </c>
      <c r="BU102" s="48">
        <v>2645724841.4299998</v>
      </c>
      <c r="BV102" s="48">
        <v>1347281958.8599999</v>
      </c>
      <c r="BW102" s="48">
        <v>1248311269.76</v>
      </c>
      <c r="BX102" s="48">
        <v>1229599139.29</v>
      </c>
      <c r="BY102" s="48">
        <v>1243135953.28</v>
      </c>
      <c r="BZ102" s="48">
        <v>1174616352.97</v>
      </c>
      <c r="CA102" s="48">
        <v>1161133968.48</v>
      </c>
      <c r="CB102" s="48">
        <v>1183711862.5699999</v>
      </c>
      <c r="CC102" s="48">
        <v>1077817608.03</v>
      </c>
      <c r="CD102" s="48">
        <v>1076619164.8800001</v>
      </c>
      <c r="CE102" s="48">
        <v>1079642000</v>
      </c>
      <c r="CF102" s="48">
        <v>1003922431.86</v>
      </c>
      <c r="CG102" s="48">
        <v>492362941.67000002</v>
      </c>
      <c r="CH102" s="48">
        <v>203800000</v>
      </c>
      <c r="CI102" s="48">
        <v>162870000</v>
      </c>
      <c r="CJ102" s="48">
        <v>92660000</v>
      </c>
      <c r="CK102" s="48">
        <v>75420000</v>
      </c>
      <c r="CL102" s="48">
        <v>0</v>
      </c>
    </row>
    <row r="103" spans="1:90">
      <c r="A103" s="4" t="s">
        <v>73</v>
      </c>
      <c r="B103" s="48">
        <v>0</v>
      </c>
      <c r="C103" s="48">
        <v>0</v>
      </c>
      <c r="D103" s="48">
        <v>0</v>
      </c>
      <c r="E103" s="48">
        <v>0</v>
      </c>
      <c r="F103" s="48">
        <v>0</v>
      </c>
      <c r="G103" s="48">
        <v>0</v>
      </c>
      <c r="H103" s="48">
        <v>0</v>
      </c>
      <c r="I103" s="48">
        <v>0</v>
      </c>
      <c r="J103" s="48">
        <v>0</v>
      </c>
      <c r="K103" s="48">
        <v>0</v>
      </c>
      <c r="L103" s="48">
        <v>0</v>
      </c>
      <c r="M103" s="48">
        <v>0</v>
      </c>
      <c r="N103" s="48">
        <v>0</v>
      </c>
      <c r="O103" s="48">
        <v>0</v>
      </c>
      <c r="P103" s="48">
        <v>0</v>
      </c>
      <c r="Q103" s="48">
        <v>0</v>
      </c>
      <c r="R103" s="48">
        <v>0</v>
      </c>
      <c r="S103" s="48">
        <v>0</v>
      </c>
      <c r="T103" s="48">
        <v>0</v>
      </c>
      <c r="U103" s="48">
        <v>0</v>
      </c>
      <c r="V103" s="48">
        <v>0</v>
      </c>
      <c r="W103" s="48">
        <v>0</v>
      </c>
      <c r="X103" s="48">
        <v>0</v>
      </c>
      <c r="Y103" s="48">
        <v>0</v>
      </c>
      <c r="Z103" s="48">
        <v>0</v>
      </c>
      <c r="AA103" s="48">
        <v>0</v>
      </c>
      <c r="AB103" s="48">
        <v>0</v>
      </c>
      <c r="AC103" s="48">
        <v>0</v>
      </c>
      <c r="AD103" s="48">
        <v>0</v>
      </c>
      <c r="AE103" s="48">
        <v>0</v>
      </c>
      <c r="AF103" s="48">
        <v>0</v>
      </c>
      <c r="AG103" s="48">
        <v>0</v>
      </c>
      <c r="AH103" s="48">
        <v>0</v>
      </c>
      <c r="AI103" s="48">
        <v>0</v>
      </c>
      <c r="AJ103" s="48">
        <v>0</v>
      </c>
      <c r="AK103" s="48">
        <v>0</v>
      </c>
      <c r="AL103" s="48">
        <v>0</v>
      </c>
      <c r="AM103" s="48">
        <v>0</v>
      </c>
      <c r="AN103" s="48">
        <v>0</v>
      </c>
      <c r="AO103" s="48">
        <v>0</v>
      </c>
      <c r="AP103" s="48">
        <v>3268315.35</v>
      </c>
      <c r="AQ103" s="48">
        <v>0</v>
      </c>
      <c r="AR103" s="48">
        <v>1665777839.47</v>
      </c>
      <c r="AS103" s="48">
        <v>1594466336.1900001</v>
      </c>
      <c r="AT103" s="48">
        <v>1568055288.3199999</v>
      </c>
      <c r="AU103" s="48">
        <v>1480593596.3399999</v>
      </c>
      <c r="AV103" s="48">
        <v>1616917142.97</v>
      </c>
      <c r="AW103" s="48">
        <v>1543511977.0999999</v>
      </c>
      <c r="AX103" s="48">
        <v>1472896083.49</v>
      </c>
      <c r="AY103" s="48">
        <v>1398817616.9100001</v>
      </c>
      <c r="AZ103" s="48">
        <v>1578373162.75</v>
      </c>
      <c r="BA103" s="48">
        <v>1524310184.53</v>
      </c>
      <c r="BB103" s="48">
        <v>1491655606.1900001</v>
      </c>
      <c r="BC103" s="48">
        <v>1422004901.4200001</v>
      </c>
      <c r="BD103" s="48">
        <v>1560864241.5899999</v>
      </c>
      <c r="BE103" s="48">
        <v>1490119769.49</v>
      </c>
      <c r="BF103" s="48">
        <v>1370488198.45</v>
      </c>
      <c r="BG103" s="48">
        <v>1305115860.6900001</v>
      </c>
      <c r="BH103" s="48">
        <v>1471670374.79</v>
      </c>
      <c r="BI103" s="48">
        <v>1394732453.79</v>
      </c>
      <c r="BJ103" s="48">
        <v>1300805778.96</v>
      </c>
      <c r="BK103" s="48">
        <v>1190501693.0799999</v>
      </c>
      <c r="BL103" s="48">
        <v>1333793293.0699999</v>
      </c>
      <c r="BM103" s="48">
        <v>1265998167.1800001</v>
      </c>
      <c r="BN103" s="48">
        <v>1186619907.7</v>
      </c>
      <c r="BO103" s="48">
        <v>1103039324.54</v>
      </c>
      <c r="BP103" s="48">
        <v>1204158783.23</v>
      </c>
      <c r="BQ103" s="48">
        <v>1161214127.53</v>
      </c>
      <c r="BR103" s="48">
        <v>1066774809.54</v>
      </c>
      <c r="BS103" s="48">
        <v>1008461505.29</v>
      </c>
      <c r="BT103" s="48">
        <v>938966019.15999997</v>
      </c>
      <c r="BU103" s="48">
        <v>952340253.22000003</v>
      </c>
      <c r="BV103" s="48">
        <v>843905400.62</v>
      </c>
      <c r="BW103" s="48">
        <v>860297515.53999996</v>
      </c>
      <c r="BX103" s="48">
        <v>0</v>
      </c>
      <c r="BY103" s="48">
        <v>0</v>
      </c>
      <c r="BZ103" s="48">
        <v>0</v>
      </c>
      <c r="CA103" s="48">
        <v>0</v>
      </c>
      <c r="CB103" s="48">
        <v>0</v>
      </c>
      <c r="CC103" s="48">
        <v>0</v>
      </c>
      <c r="CD103" s="48">
        <v>-21919.05</v>
      </c>
      <c r="CE103" s="48">
        <v>96000</v>
      </c>
      <c r="CF103" s="48">
        <v>305920.90000000002</v>
      </c>
      <c r="CG103" s="48">
        <v>326958.7</v>
      </c>
      <c r="CH103" s="48">
        <v>0</v>
      </c>
      <c r="CI103" s="48">
        <v>0</v>
      </c>
      <c r="CJ103" s="48">
        <v>0</v>
      </c>
      <c r="CK103" s="48">
        <v>0</v>
      </c>
      <c r="CL103" s="48">
        <v>0</v>
      </c>
    </row>
    <row r="104" spans="1:90" hidden="1">
      <c r="A104" s="4"/>
      <c r="B104" s="33"/>
      <c r="C104" s="33"/>
      <c r="D104" s="33"/>
      <c r="E104" s="33"/>
      <c r="F104" s="33"/>
      <c r="G104" s="33"/>
      <c r="H104" s="33"/>
      <c r="I104" s="33"/>
      <c r="J104" s="33"/>
      <c r="K104" s="33"/>
      <c r="L104" s="30"/>
    </row>
    <row r="105" spans="1:90" hidden="1">
      <c r="A105" s="4"/>
      <c r="B105" s="33"/>
      <c r="C105" s="33"/>
      <c r="D105" s="33"/>
      <c r="E105" s="33"/>
      <c r="F105" s="33"/>
      <c r="G105" s="33"/>
      <c r="H105" s="33"/>
      <c r="I105" s="33"/>
      <c r="J105" s="33"/>
      <c r="K105" s="33"/>
      <c r="L105" s="30"/>
    </row>
    <row r="106" spans="1:90" hidden="1">
      <c r="A106" s="4"/>
      <c r="B106" s="33"/>
      <c r="C106" s="33"/>
      <c r="D106" s="33"/>
      <c r="E106" s="33"/>
      <c r="F106" s="33"/>
      <c r="G106" s="33"/>
      <c r="H106" s="33"/>
      <c r="I106" s="33"/>
      <c r="J106" s="33"/>
      <c r="K106" s="33"/>
      <c r="L106" s="30"/>
    </row>
    <row r="107" spans="1:90" s="6" customFormat="1">
      <c r="A107" s="8" t="s">
        <v>74</v>
      </c>
      <c r="B107" s="41">
        <f>B102+B103</f>
        <v>3296633510.1799998</v>
      </c>
      <c r="C107" s="41">
        <f>C102+C103</f>
        <v>3167580811.9899998</v>
      </c>
      <c r="D107" s="41">
        <f>D102+D103</f>
        <v>3245599740.75</v>
      </c>
      <c r="E107" s="41">
        <f>E102+E103</f>
        <v>3141352694.0599999</v>
      </c>
      <c r="F107" s="41">
        <f t="shared" ref="F107:BQ107" si="20">F102+F103</f>
        <v>2851929728.1700001</v>
      </c>
      <c r="G107" s="41">
        <f t="shared" si="20"/>
        <v>2825085179.6399999</v>
      </c>
      <c r="H107" s="41">
        <f t="shared" si="20"/>
        <v>2815207173.3899999</v>
      </c>
      <c r="I107" s="41">
        <f t="shared" si="20"/>
        <v>2660625702.8400002</v>
      </c>
      <c r="J107" s="41">
        <f t="shared" si="20"/>
        <v>2457893286.4000001</v>
      </c>
      <c r="K107" s="41">
        <f t="shared" si="20"/>
        <v>2371786628.6999998</v>
      </c>
      <c r="L107" s="41">
        <f t="shared" si="20"/>
        <v>2373480275.8400002</v>
      </c>
      <c r="M107" s="41">
        <f t="shared" si="20"/>
        <v>2288181417.8499999</v>
      </c>
      <c r="N107" s="41">
        <f t="shared" si="20"/>
        <v>2388833667.1500001</v>
      </c>
      <c r="O107" s="41">
        <f t="shared" si="20"/>
        <v>2308061567.1199999</v>
      </c>
      <c r="P107" s="41">
        <f t="shared" si="20"/>
        <v>2265663252.5700002</v>
      </c>
      <c r="Q107" s="41">
        <f t="shared" si="20"/>
        <v>2164648515.4099998</v>
      </c>
      <c r="R107" s="41">
        <f t="shared" si="20"/>
        <v>2083485285.74</v>
      </c>
      <c r="S107" s="41">
        <f t="shared" si="20"/>
        <v>1988890812.8900001</v>
      </c>
      <c r="T107" s="41">
        <f t="shared" si="20"/>
        <v>1907477032.6099999</v>
      </c>
      <c r="U107" s="41">
        <f t="shared" si="20"/>
        <v>1801859544.03</v>
      </c>
      <c r="V107" s="41">
        <f t="shared" si="20"/>
        <v>1688018358.1300001</v>
      </c>
      <c r="W107" s="41">
        <f t="shared" si="20"/>
        <v>1607851610.3299999</v>
      </c>
      <c r="X107" s="41">
        <f t="shared" si="20"/>
        <v>1603955723.71</v>
      </c>
      <c r="Y107" s="41">
        <f t="shared" si="20"/>
        <v>1512197594.1800001</v>
      </c>
      <c r="Z107" s="41">
        <f t="shared" si="20"/>
        <v>1406994898.47</v>
      </c>
      <c r="AA107" s="41">
        <f t="shared" si="20"/>
        <v>1351359834.1500001</v>
      </c>
      <c r="AB107" s="41">
        <f t="shared" si="20"/>
        <v>1316894462.9100001</v>
      </c>
      <c r="AC107" s="41">
        <f t="shared" si="20"/>
        <v>1237915332.5799999</v>
      </c>
      <c r="AD107" s="41">
        <f t="shared" si="20"/>
        <v>1159611682.0999999</v>
      </c>
      <c r="AE107" s="41">
        <f t="shared" si="20"/>
        <v>1207582308.1800001</v>
      </c>
      <c r="AF107" s="41">
        <f t="shared" si="20"/>
        <v>1177796114.9100001</v>
      </c>
      <c r="AG107" s="41">
        <f t="shared" si="20"/>
        <v>1118526039.3800001</v>
      </c>
      <c r="AH107" s="41">
        <f t="shared" si="20"/>
        <v>1059776525.36</v>
      </c>
      <c r="AI107" s="41">
        <f t="shared" si="20"/>
        <v>1090054243.6500001</v>
      </c>
      <c r="AJ107" s="41">
        <f t="shared" si="20"/>
        <v>1078573513.4300001</v>
      </c>
      <c r="AK107" s="41">
        <f t="shared" si="20"/>
        <v>1042268233.27</v>
      </c>
      <c r="AL107" s="41">
        <f t="shared" si="20"/>
        <v>271944455.62</v>
      </c>
      <c r="AM107" s="41">
        <f t="shared" si="20"/>
        <v>254897792.94999999</v>
      </c>
      <c r="AN107" s="41">
        <f t="shared" si="20"/>
        <v>221190622.33000001</v>
      </c>
      <c r="AO107" s="41">
        <f t="shared" si="20"/>
        <v>170816910.18000001</v>
      </c>
      <c r="AP107" s="41">
        <f t="shared" si="20"/>
        <v>115441126.05</v>
      </c>
      <c r="AQ107" s="41">
        <f t="shared" si="20"/>
        <v>0</v>
      </c>
      <c r="AR107" s="41">
        <f t="shared" si="20"/>
        <v>5856405893.5</v>
      </c>
      <c r="AS107" s="41">
        <f t="shared" si="20"/>
        <v>5658752935.3099995</v>
      </c>
      <c r="AT107" s="41">
        <f t="shared" si="20"/>
        <v>5557397185.8000002</v>
      </c>
      <c r="AU107" s="41">
        <f t="shared" si="20"/>
        <v>5294185121.96</v>
      </c>
      <c r="AV107" s="41">
        <f t="shared" si="20"/>
        <v>5276800465.9200001</v>
      </c>
      <c r="AW107" s="41">
        <f t="shared" si="20"/>
        <v>5181853244.1599998</v>
      </c>
      <c r="AX107" s="41">
        <f t="shared" si="20"/>
        <v>5011911653.6700001</v>
      </c>
      <c r="AY107" s="41">
        <f t="shared" si="20"/>
        <v>4820276191.9800005</v>
      </c>
      <c r="AZ107" s="41">
        <f t="shared" si="20"/>
        <v>5010338103.3099995</v>
      </c>
      <c r="BA107" s="41">
        <f t="shared" si="20"/>
        <v>4895309580.54</v>
      </c>
      <c r="BB107" s="41">
        <f t="shared" si="20"/>
        <v>4888570328.4099998</v>
      </c>
      <c r="BC107" s="41">
        <f t="shared" si="20"/>
        <v>4807601462.5599995</v>
      </c>
      <c r="BD107" s="41">
        <f t="shared" si="20"/>
        <v>5068821027.4499998</v>
      </c>
      <c r="BE107" s="41">
        <f t="shared" si="20"/>
        <v>4926753550.1099997</v>
      </c>
      <c r="BF107" s="41">
        <f t="shared" si="20"/>
        <v>4808299542.9399996</v>
      </c>
      <c r="BG107" s="41">
        <f t="shared" si="20"/>
        <v>4751398778.0100002</v>
      </c>
      <c r="BH107" s="41">
        <f t="shared" si="20"/>
        <v>4805853655.8899994</v>
      </c>
      <c r="BI107" s="41">
        <f t="shared" si="20"/>
        <v>4648133672.2799997</v>
      </c>
      <c r="BJ107" s="41">
        <f t="shared" si="20"/>
        <v>4488942480.3800001</v>
      </c>
      <c r="BK107" s="41">
        <f t="shared" si="20"/>
        <v>4292913533.4400001</v>
      </c>
      <c r="BL107" s="41">
        <f t="shared" si="20"/>
        <v>4290589554.0599995</v>
      </c>
      <c r="BM107" s="41">
        <f t="shared" si="20"/>
        <v>4205781132.7200003</v>
      </c>
      <c r="BN107" s="41">
        <f t="shared" si="20"/>
        <v>4125320111.8000002</v>
      </c>
      <c r="BO107" s="41">
        <f t="shared" si="20"/>
        <v>3954027963.8899999</v>
      </c>
      <c r="BP107" s="41">
        <f t="shared" si="20"/>
        <v>3988477317.79</v>
      </c>
      <c r="BQ107" s="41">
        <f t="shared" si="20"/>
        <v>3875929168.1599998</v>
      </c>
      <c r="BR107" s="41">
        <f t="shared" ref="BR107:CK107" si="21">BR102+BR103</f>
        <v>3795371454.2599998</v>
      </c>
      <c r="BS107" s="41">
        <f t="shared" si="21"/>
        <v>3599541620.5700002</v>
      </c>
      <c r="BT107" s="41">
        <f t="shared" si="21"/>
        <v>3730682761.7999997</v>
      </c>
      <c r="BU107" s="41">
        <f t="shared" si="21"/>
        <v>3598065094.6499996</v>
      </c>
      <c r="BV107" s="41">
        <f t="shared" si="21"/>
        <v>2191187359.48</v>
      </c>
      <c r="BW107" s="41">
        <f t="shared" si="21"/>
        <v>2108608785.3</v>
      </c>
      <c r="BX107" s="41">
        <f t="shared" si="21"/>
        <v>1229599139.29</v>
      </c>
      <c r="BY107" s="41">
        <f t="shared" si="21"/>
        <v>1243135953.28</v>
      </c>
      <c r="BZ107" s="41">
        <f t="shared" si="21"/>
        <v>1174616352.97</v>
      </c>
      <c r="CA107" s="41">
        <f t="shared" si="21"/>
        <v>1161133968.48</v>
      </c>
      <c r="CB107" s="41">
        <f t="shared" si="21"/>
        <v>1183711862.5699999</v>
      </c>
      <c r="CC107" s="41">
        <f t="shared" si="21"/>
        <v>1077817608.03</v>
      </c>
      <c r="CD107" s="41">
        <f t="shared" si="21"/>
        <v>1076597245.8300002</v>
      </c>
      <c r="CE107" s="41">
        <f t="shared" si="21"/>
        <v>1079738000</v>
      </c>
      <c r="CF107" s="41">
        <f t="shared" si="21"/>
        <v>1004228352.76</v>
      </c>
      <c r="CG107" s="41">
        <f t="shared" si="21"/>
        <v>492689900.37</v>
      </c>
      <c r="CH107" s="41">
        <f t="shared" si="21"/>
        <v>203800000</v>
      </c>
      <c r="CI107" s="41">
        <f t="shared" si="21"/>
        <v>162870000</v>
      </c>
      <c r="CJ107" s="41">
        <f t="shared" si="21"/>
        <v>92660000</v>
      </c>
      <c r="CK107" s="41">
        <f t="shared" si="21"/>
        <v>75420000</v>
      </c>
      <c r="CL107" s="41">
        <f>CL102+CL103</f>
        <v>0</v>
      </c>
    </row>
    <row r="108" spans="1:90" s="11" customFormat="1">
      <c r="A108" s="10" t="s">
        <v>75</v>
      </c>
      <c r="B108" s="46">
        <f>SUM(B89+B107)</f>
        <v>3476633510.1799998</v>
      </c>
      <c r="C108" s="46">
        <f t="shared" ref="C108:BN108" si="22">SUM(C89+C107)</f>
        <v>3494350811.9899998</v>
      </c>
      <c r="D108" s="46">
        <f t="shared" si="22"/>
        <v>3572369740.75</v>
      </c>
      <c r="E108" s="46">
        <f>E107-E89</f>
        <v>3141352694.0599999</v>
      </c>
      <c r="F108" s="46">
        <f t="shared" si="22"/>
        <v>2851929728.1700001</v>
      </c>
      <c r="G108" s="46">
        <f t="shared" si="22"/>
        <v>2825085179.6399999</v>
      </c>
      <c r="H108" s="46">
        <f t="shared" si="22"/>
        <v>2815207173.3899999</v>
      </c>
      <c r="I108" s="46">
        <f t="shared" si="22"/>
        <v>2660625702.8400002</v>
      </c>
      <c r="J108" s="46">
        <f t="shared" si="22"/>
        <v>2457893286.4000001</v>
      </c>
      <c r="K108" s="46">
        <f t="shared" si="22"/>
        <v>2371786628.6999998</v>
      </c>
      <c r="L108" s="46">
        <f t="shared" si="22"/>
        <v>2373480275.8400002</v>
      </c>
      <c r="M108" s="46">
        <f t="shared" si="22"/>
        <v>2288181417.8499999</v>
      </c>
      <c r="N108" s="46">
        <f t="shared" si="22"/>
        <v>2388833667.1500001</v>
      </c>
      <c r="O108" s="46">
        <f t="shared" si="22"/>
        <v>2308061567.1199999</v>
      </c>
      <c r="P108" s="46">
        <f t="shared" si="22"/>
        <v>2265663252.5700002</v>
      </c>
      <c r="Q108" s="46">
        <f t="shared" si="22"/>
        <v>2164648515.4099998</v>
      </c>
      <c r="R108" s="46">
        <f t="shared" si="22"/>
        <v>2099247360.24</v>
      </c>
      <c r="S108" s="46">
        <f t="shared" si="22"/>
        <v>2004850387.3900001</v>
      </c>
      <c r="T108" s="46">
        <f t="shared" si="22"/>
        <v>1924090941.9499998</v>
      </c>
      <c r="U108" s="46">
        <f t="shared" si="22"/>
        <v>1818213050.1499999</v>
      </c>
      <c r="V108" s="46">
        <f t="shared" si="22"/>
        <v>1691009108.1300001</v>
      </c>
      <c r="W108" s="46">
        <f t="shared" si="22"/>
        <v>1626042360.3299999</v>
      </c>
      <c r="X108" s="46">
        <f t="shared" si="22"/>
        <v>1622146473.71</v>
      </c>
      <c r="Y108" s="46">
        <f t="shared" si="22"/>
        <v>1530388344.1800001</v>
      </c>
      <c r="Z108" s="46">
        <f t="shared" si="22"/>
        <v>1425001372.3900001</v>
      </c>
      <c r="AA108" s="46">
        <f t="shared" si="22"/>
        <v>1369559834.1500001</v>
      </c>
      <c r="AB108" s="46">
        <f t="shared" si="22"/>
        <v>1335094462.9100001</v>
      </c>
      <c r="AC108" s="46">
        <f t="shared" si="22"/>
        <v>1256115332.5799999</v>
      </c>
      <c r="AD108" s="46">
        <f t="shared" si="22"/>
        <v>1174811682.0999999</v>
      </c>
      <c r="AE108" s="46">
        <f t="shared" si="22"/>
        <v>1222782308.1800001</v>
      </c>
      <c r="AF108" s="46">
        <f t="shared" si="22"/>
        <v>1192169214.9100001</v>
      </c>
      <c r="AG108" s="46">
        <f t="shared" si="22"/>
        <v>1164426039.3800001</v>
      </c>
      <c r="AH108" s="46">
        <f t="shared" si="22"/>
        <v>1089776525.3600001</v>
      </c>
      <c r="AI108" s="46">
        <f t="shared" si="22"/>
        <v>1090054243.6500001</v>
      </c>
      <c r="AJ108" s="46">
        <f t="shared" si="22"/>
        <v>1078573513.4300001</v>
      </c>
      <c r="AK108" s="46">
        <f t="shared" si="22"/>
        <v>1042268233.27</v>
      </c>
      <c r="AL108" s="46">
        <f t="shared" si="22"/>
        <v>279944455.62</v>
      </c>
      <c r="AM108" s="46">
        <f t="shared" si="22"/>
        <v>275897792.94999999</v>
      </c>
      <c r="AN108" s="46">
        <f t="shared" si="22"/>
        <v>286412844.56</v>
      </c>
      <c r="AO108" s="46">
        <f t="shared" si="22"/>
        <v>261539132.41</v>
      </c>
      <c r="AP108" s="46">
        <f t="shared" si="22"/>
        <v>176441126.05000001</v>
      </c>
      <c r="AQ108" s="46">
        <f t="shared" si="22"/>
        <v>0</v>
      </c>
      <c r="AR108" s="46">
        <f t="shared" si="22"/>
        <v>5856405893.5</v>
      </c>
      <c r="AS108" s="46">
        <f t="shared" si="22"/>
        <v>5658752935.3099995</v>
      </c>
      <c r="AT108" s="46">
        <f t="shared" si="22"/>
        <v>5557397185.8000002</v>
      </c>
      <c r="AU108" s="46">
        <f t="shared" si="22"/>
        <v>5294185121.96</v>
      </c>
      <c r="AV108" s="46">
        <f t="shared" si="22"/>
        <v>5276800465.9200001</v>
      </c>
      <c r="AW108" s="46">
        <f t="shared" si="22"/>
        <v>5181853244.1599998</v>
      </c>
      <c r="AX108" s="46">
        <f t="shared" si="22"/>
        <v>5011911653.6700001</v>
      </c>
      <c r="AY108" s="46">
        <f t="shared" si="22"/>
        <v>4820276191.9800005</v>
      </c>
      <c r="AZ108" s="46">
        <f t="shared" si="22"/>
        <v>5010338103.3099995</v>
      </c>
      <c r="BA108" s="46">
        <f t="shared" si="22"/>
        <v>4895309580.54</v>
      </c>
      <c r="BB108" s="46">
        <f t="shared" si="22"/>
        <v>4888570328.4099998</v>
      </c>
      <c r="BC108" s="46">
        <f t="shared" si="22"/>
        <v>4807601462.5599995</v>
      </c>
      <c r="BD108" s="46">
        <f t="shared" si="22"/>
        <v>5068821027.4499998</v>
      </c>
      <c r="BE108" s="46">
        <f t="shared" si="22"/>
        <v>4926753550.1099997</v>
      </c>
      <c r="BF108" s="46">
        <f t="shared" si="22"/>
        <v>4808299542.9399996</v>
      </c>
      <c r="BG108" s="46">
        <f t="shared" si="22"/>
        <v>4751398778.0100002</v>
      </c>
      <c r="BH108" s="46">
        <f t="shared" si="22"/>
        <v>4805853655.8899994</v>
      </c>
      <c r="BI108" s="46">
        <f t="shared" si="22"/>
        <v>4648133672.2799997</v>
      </c>
      <c r="BJ108" s="46">
        <f t="shared" si="22"/>
        <v>4488942480.3800001</v>
      </c>
      <c r="BK108" s="46">
        <f t="shared" si="22"/>
        <v>4292913533.4400001</v>
      </c>
      <c r="BL108" s="46">
        <f t="shared" si="22"/>
        <v>4290589554.0599995</v>
      </c>
      <c r="BM108" s="46">
        <f t="shared" si="22"/>
        <v>4205781132.7200003</v>
      </c>
      <c r="BN108" s="46">
        <f t="shared" si="22"/>
        <v>4125320111.8000002</v>
      </c>
      <c r="BO108" s="46">
        <f t="shared" ref="BO108:CK108" si="23">SUM(BO89+BO107)</f>
        <v>3954027963.8899999</v>
      </c>
      <c r="BP108" s="46">
        <f t="shared" si="23"/>
        <v>3988477317.79</v>
      </c>
      <c r="BQ108" s="46">
        <f t="shared" si="23"/>
        <v>3875929168.1599998</v>
      </c>
      <c r="BR108" s="46">
        <f t="shared" si="23"/>
        <v>3795371454.2599998</v>
      </c>
      <c r="BS108" s="46">
        <f t="shared" si="23"/>
        <v>3599541620.5700002</v>
      </c>
      <c r="BT108" s="46">
        <f t="shared" si="23"/>
        <v>3730682761.7999997</v>
      </c>
      <c r="BU108" s="46">
        <f t="shared" si="23"/>
        <v>3598065094.6499996</v>
      </c>
      <c r="BV108" s="46">
        <f t="shared" si="23"/>
        <v>2191187359.48</v>
      </c>
      <c r="BW108" s="46">
        <f t="shared" si="23"/>
        <v>2108608785.3</v>
      </c>
      <c r="BX108" s="46">
        <f t="shared" si="23"/>
        <v>1229599139.29</v>
      </c>
      <c r="BY108" s="46">
        <f t="shared" si="23"/>
        <v>1243135953.28</v>
      </c>
      <c r="BZ108" s="46">
        <f t="shared" si="23"/>
        <v>1174616352.97</v>
      </c>
      <c r="CA108" s="46">
        <f t="shared" si="23"/>
        <v>1161133968.48</v>
      </c>
      <c r="CB108" s="46">
        <f t="shared" si="23"/>
        <v>1183711862.5699999</v>
      </c>
      <c r="CC108" s="46">
        <f t="shared" si="23"/>
        <v>1077817608.03</v>
      </c>
      <c r="CD108" s="46">
        <f t="shared" si="23"/>
        <v>1076597245.8300002</v>
      </c>
      <c r="CE108" s="46">
        <f t="shared" si="23"/>
        <v>1079738000</v>
      </c>
      <c r="CF108" s="46">
        <f t="shared" si="23"/>
        <v>1004228352.76</v>
      </c>
      <c r="CG108" s="46">
        <f t="shared" si="23"/>
        <v>492689900.37</v>
      </c>
      <c r="CH108" s="46">
        <f t="shared" si="23"/>
        <v>203800000</v>
      </c>
      <c r="CI108" s="46">
        <f t="shared" si="23"/>
        <v>162870000</v>
      </c>
      <c r="CJ108" s="46">
        <f t="shared" si="23"/>
        <v>92660000</v>
      </c>
      <c r="CK108" s="46">
        <f t="shared" si="23"/>
        <v>75420000</v>
      </c>
    </row>
    <row r="110" spans="1:90">
      <c r="E110" s="3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E76" sqref="E76"/>
    </sheetView>
  </sheetViews>
  <sheetFormatPr defaultRowHeight="13.5"/>
  <cols>
    <col min="1" max="1" width="56" style="23" bestFit="1" customWidth="1"/>
    <col min="2" max="3" width="19.5" hidden="1" customWidth="1"/>
    <col min="4" max="4" width="20.75" hidden="1" customWidth="1"/>
    <col min="5" max="5" width="19.5" bestFit="1" customWidth="1"/>
    <col min="6" max="7" width="19.5" hidden="1" customWidth="1"/>
    <col min="8" max="8" width="20.75" hidden="1" customWidth="1"/>
    <col min="9" max="9" width="19.5" bestFit="1" customWidth="1"/>
    <col min="10" max="11" width="19.5" hidden="1" customWidth="1"/>
    <col min="12" max="12" width="20.75" hidden="1" customWidth="1"/>
    <col min="13" max="13" width="19.5" bestFit="1" customWidth="1"/>
    <col min="14" max="16" width="19.5" hidden="1" customWidth="1"/>
    <col min="17" max="17" width="19.5" bestFit="1" customWidth="1"/>
    <col min="18" max="20" width="19.5" hidden="1" customWidth="1"/>
    <col min="21" max="21" width="19.5" bestFit="1" customWidth="1"/>
    <col min="22" max="24" width="19.5" hidden="1" customWidth="1"/>
    <col min="25" max="25" width="19.5" bestFit="1" customWidth="1"/>
    <col min="26" max="28" width="19.5" hidden="1" customWidth="1"/>
    <col min="29" max="29" width="19.5" bestFit="1" customWidth="1"/>
    <col min="30" max="32" width="19.5" hidden="1" customWidth="1"/>
    <col min="33" max="33" width="19.5" bestFit="1" customWidth="1"/>
    <col min="34" max="36" width="19.5" hidden="1" customWidth="1"/>
    <col min="37" max="37" width="19.5" bestFit="1" customWidth="1"/>
    <col min="38" max="40" width="18.25" hidden="1" customWidth="1"/>
    <col min="41" max="41" width="18.25" bestFit="1" customWidth="1"/>
    <col min="42" max="42" width="18.25" hidden="1" customWidth="1"/>
    <col min="43" max="44" width="18.25" bestFit="1" customWidth="1"/>
    <col min="45" max="45" width="9.625" hidden="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2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23" t="s">
        <v>84</v>
      </c>
    </row>
    <row r="3" spans="1:89" s="7" customFormat="1">
      <c r="A3" s="24" t="s">
        <v>85</v>
      </c>
    </row>
    <row r="4" spans="1:89">
      <c r="A4" s="23" t="s">
        <v>390</v>
      </c>
      <c r="B4" s="48">
        <v>1763201102.54</v>
      </c>
      <c r="C4" s="48">
        <v>1145931744.99</v>
      </c>
      <c r="D4" s="48">
        <v>552332735.11000001</v>
      </c>
      <c r="E4" s="48">
        <v>2616208430.02</v>
      </c>
      <c r="F4" s="48">
        <v>1538538792.47</v>
      </c>
      <c r="G4" s="48">
        <v>961289995.45000005</v>
      </c>
      <c r="H4" s="48">
        <v>431372254.86000001</v>
      </c>
      <c r="I4" s="48">
        <v>2311575474.5900002</v>
      </c>
      <c r="J4" s="48">
        <v>1347750467</v>
      </c>
      <c r="K4" s="48">
        <v>881149327.19000006</v>
      </c>
      <c r="L4" s="48">
        <v>431129453.88</v>
      </c>
      <c r="M4" s="48">
        <v>2092608347.29</v>
      </c>
      <c r="N4" s="48">
        <v>1298349056.04</v>
      </c>
      <c r="O4" s="48">
        <v>862619894.12</v>
      </c>
      <c r="P4" s="48">
        <v>462472843.76999998</v>
      </c>
      <c r="Q4" s="48">
        <v>1969766903.8199999</v>
      </c>
      <c r="R4" s="48">
        <v>1299438859.97</v>
      </c>
      <c r="S4" s="48">
        <v>853989106.69000006</v>
      </c>
      <c r="T4" s="48">
        <v>452252432.13999999</v>
      </c>
      <c r="U4" s="48">
        <v>1863895419.51</v>
      </c>
      <c r="V4" s="48">
        <v>1255433504.79</v>
      </c>
      <c r="W4" s="48">
        <v>820683087.59000003</v>
      </c>
      <c r="X4" s="48">
        <v>439128345.19999999</v>
      </c>
      <c r="Y4" s="48">
        <v>1776970381.24</v>
      </c>
      <c r="Z4" s="48">
        <v>1192443012.9400001</v>
      </c>
      <c r="AA4" s="48">
        <v>758478132.33000004</v>
      </c>
      <c r="AB4" s="48">
        <v>404312414</v>
      </c>
      <c r="AC4" s="48">
        <v>1453420015.48</v>
      </c>
      <c r="AD4" s="48">
        <v>944792894.37</v>
      </c>
      <c r="AE4" s="48">
        <v>607588062.33000004</v>
      </c>
      <c r="AF4" s="48">
        <v>332888930.76999998</v>
      </c>
      <c r="AG4" s="48">
        <v>1067301429.12</v>
      </c>
      <c r="AH4" s="48">
        <v>698071299.27999997</v>
      </c>
      <c r="AI4" s="48">
        <v>453223021.43000001</v>
      </c>
      <c r="AJ4" s="48">
        <v>253170727.09</v>
      </c>
      <c r="AK4" s="48">
        <v>791785397.63</v>
      </c>
      <c r="AL4" s="48">
        <v>522453685.52999997</v>
      </c>
      <c r="AM4" s="48">
        <v>323155042.13999999</v>
      </c>
      <c r="AN4" s="48">
        <v>181748831.08000001</v>
      </c>
      <c r="AO4" s="48">
        <v>680763750.52999997</v>
      </c>
      <c r="AP4" s="48">
        <v>468344420.81</v>
      </c>
      <c r="AQ4" s="48">
        <v>590236990.59000003</v>
      </c>
      <c r="AR4" s="48">
        <v>419082605.45999998</v>
      </c>
      <c r="AS4" s="48">
        <v>0</v>
      </c>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row>
    <row r="5" spans="1:89">
      <c r="A5" s="25" t="s">
        <v>391</v>
      </c>
      <c r="B5" s="48">
        <v>871658015.63999999</v>
      </c>
      <c r="C5" s="48">
        <v>565389051.57000005</v>
      </c>
      <c r="D5" s="48">
        <v>271018096.25999999</v>
      </c>
      <c r="E5" s="48">
        <v>1319117997.23</v>
      </c>
      <c r="F5" s="48">
        <v>776346533.23000002</v>
      </c>
      <c r="G5" s="48">
        <v>478577159.86000001</v>
      </c>
      <c r="H5" s="48">
        <v>214613391.94</v>
      </c>
      <c r="I5" s="48">
        <v>1150345166.79</v>
      </c>
      <c r="J5" s="48">
        <v>663671186.95000005</v>
      </c>
      <c r="K5" s="48">
        <v>429896966.41000003</v>
      </c>
      <c r="L5" s="48">
        <v>211828510.16999999</v>
      </c>
      <c r="M5" s="48">
        <v>1024309455.52</v>
      </c>
      <c r="N5" s="48">
        <v>632417690.95000005</v>
      </c>
      <c r="O5" s="48">
        <v>413716380.67000002</v>
      </c>
      <c r="P5" s="48">
        <v>225173357.06</v>
      </c>
      <c r="Q5" s="48">
        <v>958861199.09000003</v>
      </c>
      <c r="R5" s="48">
        <v>630604450.87</v>
      </c>
      <c r="S5" s="48">
        <v>409625571.42000002</v>
      </c>
      <c r="T5" s="48">
        <v>213115587.27000001</v>
      </c>
      <c r="U5" s="48">
        <v>906310286.90999997</v>
      </c>
      <c r="V5" s="48">
        <v>615070206.82000005</v>
      </c>
      <c r="W5" s="48">
        <v>394895420.13999999</v>
      </c>
      <c r="X5" s="48">
        <v>210348888.36000001</v>
      </c>
      <c r="Y5" s="48">
        <v>916028982.89999998</v>
      </c>
      <c r="Z5" s="48">
        <v>628905491.99000001</v>
      </c>
      <c r="AA5" s="48">
        <v>404692572.98000002</v>
      </c>
      <c r="AB5" s="48">
        <v>203424582.31</v>
      </c>
      <c r="AC5" s="48">
        <v>769766859.11000001</v>
      </c>
      <c r="AD5" s="48">
        <v>493964080.81999999</v>
      </c>
      <c r="AE5" s="48">
        <v>313039939.76999998</v>
      </c>
      <c r="AF5" s="48">
        <v>167922259.99000001</v>
      </c>
      <c r="AG5" s="48">
        <v>575141161.89999998</v>
      </c>
      <c r="AH5" s="48">
        <v>378433980.73000002</v>
      </c>
      <c r="AI5" s="48">
        <v>242880521.09999999</v>
      </c>
      <c r="AJ5" s="48">
        <v>135032498.55000001</v>
      </c>
      <c r="AK5" s="48">
        <v>451407014.26999998</v>
      </c>
      <c r="AL5" s="48">
        <v>299938501.99000001</v>
      </c>
      <c r="AM5" s="48">
        <v>184462048.91999999</v>
      </c>
      <c r="AN5" s="48">
        <v>103831102.13</v>
      </c>
      <c r="AO5" s="48">
        <v>374453565.63999999</v>
      </c>
      <c r="AP5" s="48">
        <v>257326813.56</v>
      </c>
      <c r="AQ5" s="48">
        <v>369113439.10000002</v>
      </c>
      <c r="AR5" s="48">
        <v>292783827.00999999</v>
      </c>
      <c r="AS5" s="48">
        <v>0</v>
      </c>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row>
    <row r="6" spans="1:89" s="4" customFormat="1">
      <c r="A6" s="26" t="s">
        <v>392</v>
      </c>
      <c r="B6" s="34">
        <f>B4-B5</f>
        <v>891543086.89999998</v>
      </c>
      <c r="C6" s="34">
        <f t="shared" ref="C6:BN6" si="0">C4-C5</f>
        <v>580542693.41999996</v>
      </c>
      <c r="D6" s="34">
        <f t="shared" si="0"/>
        <v>281314638.85000002</v>
      </c>
      <c r="E6" s="34">
        <f t="shared" si="0"/>
        <v>1297090432.79</v>
      </c>
      <c r="F6" s="34">
        <f t="shared" si="0"/>
        <v>762192259.24000001</v>
      </c>
      <c r="G6" s="34">
        <f t="shared" si="0"/>
        <v>482712835.59000003</v>
      </c>
      <c r="H6" s="34">
        <f t="shared" si="0"/>
        <v>216758862.92000002</v>
      </c>
      <c r="I6" s="34">
        <f t="shared" si="0"/>
        <v>1161230307.8000002</v>
      </c>
      <c r="J6" s="34">
        <f t="shared" si="0"/>
        <v>684079280.04999995</v>
      </c>
      <c r="K6" s="34">
        <f t="shared" si="0"/>
        <v>451252360.78000003</v>
      </c>
      <c r="L6" s="34">
        <f t="shared" si="0"/>
        <v>219300943.71000001</v>
      </c>
      <c r="M6" s="34">
        <f t="shared" si="0"/>
        <v>1068298891.77</v>
      </c>
      <c r="N6" s="34">
        <f t="shared" si="0"/>
        <v>665931365.08999991</v>
      </c>
      <c r="O6" s="34">
        <f t="shared" si="0"/>
        <v>448903513.44999999</v>
      </c>
      <c r="P6" s="34">
        <f t="shared" si="0"/>
        <v>237299486.70999998</v>
      </c>
      <c r="Q6" s="34">
        <f t="shared" si="0"/>
        <v>1010905704.7299999</v>
      </c>
      <c r="R6" s="34">
        <f t="shared" si="0"/>
        <v>668834409.10000002</v>
      </c>
      <c r="S6" s="34">
        <f t="shared" si="0"/>
        <v>444363535.27000004</v>
      </c>
      <c r="T6" s="34">
        <f t="shared" si="0"/>
        <v>239136844.86999997</v>
      </c>
      <c r="U6" s="34">
        <f t="shared" si="0"/>
        <v>957585132.60000002</v>
      </c>
      <c r="V6" s="34">
        <f t="shared" si="0"/>
        <v>640363297.96999991</v>
      </c>
      <c r="W6" s="34">
        <f t="shared" si="0"/>
        <v>425787667.45000005</v>
      </c>
      <c r="X6" s="34">
        <f t="shared" si="0"/>
        <v>228779456.83999997</v>
      </c>
      <c r="Y6" s="34">
        <f t="shared" si="0"/>
        <v>860941398.34000003</v>
      </c>
      <c r="Z6" s="34">
        <f t="shared" si="0"/>
        <v>563537520.95000005</v>
      </c>
      <c r="AA6" s="34">
        <f t="shared" si="0"/>
        <v>353785559.35000002</v>
      </c>
      <c r="AB6" s="34">
        <f t="shared" si="0"/>
        <v>200887831.69</v>
      </c>
      <c r="AC6" s="34">
        <f t="shared" si="0"/>
        <v>683653156.37</v>
      </c>
      <c r="AD6" s="34">
        <f t="shared" si="0"/>
        <v>450828813.55000001</v>
      </c>
      <c r="AE6" s="34">
        <f t="shared" si="0"/>
        <v>294548122.56000006</v>
      </c>
      <c r="AF6" s="34">
        <f t="shared" si="0"/>
        <v>164966670.77999997</v>
      </c>
      <c r="AG6" s="34">
        <f t="shared" si="0"/>
        <v>492160267.22000003</v>
      </c>
      <c r="AH6" s="34">
        <f t="shared" si="0"/>
        <v>319637318.54999995</v>
      </c>
      <c r="AI6" s="34">
        <f t="shared" si="0"/>
        <v>210342500.33000001</v>
      </c>
      <c r="AJ6" s="34">
        <f t="shared" si="0"/>
        <v>118138228.53999999</v>
      </c>
      <c r="AK6" s="34">
        <f t="shared" si="0"/>
        <v>340378383.36000001</v>
      </c>
      <c r="AL6" s="34">
        <f t="shared" si="0"/>
        <v>222515183.53999996</v>
      </c>
      <c r="AM6" s="34">
        <f t="shared" si="0"/>
        <v>138692993.22</v>
      </c>
      <c r="AN6" s="34">
        <f t="shared" si="0"/>
        <v>77917728.950000018</v>
      </c>
      <c r="AO6" s="34">
        <f t="shared" si="0"/>
        <v>306310184.88999999</v>
      </c>
      <c r="AP6" s="34">
        <f t="shared" si="0"/>
        <v>211017607.25</v>
      </c>
      <c r="AQ6" s="34">
        <f t="shared" si="0"/>
        <v>221123551.49000001</v>
      </c>
      <c r="AR6" s="34">
        <f t="shared" si="0"/>
        <v>126298778.44999999</v>
      </c>
      <c r="AS6" s="34">
        <f t="shared" si="0"/>
        <v>0</v>
      </c>
      <c r="AT6" s="34">
        <f t="shared" si="0"/>
        <v>0</v>
      </c>
      <c r="AU6" s="34">
        <f t="shared" si="0"/>
        <v>0</v>
      </c>
      <c r="AV6" s="34">
        <f t="shared" si="0"/>
        <v>0</v>
      </c>
      <c r="AW6" s="34">
        <f t="shared" si="0"/>
        <v>0</v>
      </c>
      <c r="AX6" s="34">
        <f t="shared" si="0"/>
        <v>0</v>
      </c>
      <c r="AY6" s="34">
        <f t="shared" si="0"/>
        <v>0</v>
      </c>
      <c r="AZ6" s="34">
        <f t="shared" si="0"/>
        <v>0</v>
      </c>
      <c r="BA6" s="34">
        <f t="shared" si="0"/>
        <v>0</v>
      </c>
      <c r="BB6" s="34">
        <f t="shared" si="0"/>
        <v>0</v>
      </c>
      <c r="BC6" s="34">
        <f t="shared" si="0"/>
        <v>0</v>
      </c>
      <c r="BD6" s="34">
        <f t="shared" si="0"/>
        <v>0</v>
      </c>
      <c r="BE6" s="34">
        <f t="shared" si="0"/>
        <v>0</v>
      </c>
      <c r="BF6" s="34">
        <f t="shared" si="0"/>
        <v>0</v>
      </c>
      <c r="BG6" s="34">
        <f t="shared" si="0"/>
        <v>0</v>
      </c>
      <c r="BH6" s="34">
        <f t="shared" si="0"/>
        <v>0</v>
      </c>
      <c r="BI6" s="34">
        <f t="shared" si="0"/>
        <v>0</v>
      </c>
      <c r="BJ6" s="34">
        <f t="shared" si="0"/>
        <v>0</v>
      </c>
      <c r="BK6" s="34">
        <f t="shared" si="0"/>
        <v>0</v>
      </c>
      <c r="BL6" s="34">
        <f t="shared" si="0"/>
        <v>0</v>
      </c>
      <c r="BM6" s="34">
        <f t="shared" si="0"/>
        <v>0</v>
      </c>
      <c r="BN6" s="34">
        <f t="shared" si="0"/>
        <v>0</v>
      </c>
      <c r="BO6" s="34">
        <f t="shared" ref="BO6:CK6" si="1">BO4-BO5</f>
        <v>0</v>
      </c>
      <c r="BP6" s="34">
        <f t="shared" si="1"/>
        <v>0</v>
      </c>
      <c r="BQ6" s="34">
        <f t="shared" si="1"/>
        <v>0</v>
      </c>
      <c r="BR6" s="34">
        <f t="shared" si="1"/>
        <v>0</v>
      </c>
      <c r="BS6" s="34">
        <f t="shared" si="1"/>
        <v>0</v>
      </c>
      <c r="BT6" s="34">
        <f t="shared" si="1"/>
        <v>0</v>
      </c>
      <c r="BU6" s="34">
        <f t="shared" si="1"/>
        <v>0</v>
      </c>
      <c r="BV6" s="34">
        <f t="shared" si="1"/>
        <v>0</v>
      </c>
      <c r="BW6" s="34">
        <f t="shared" si="1"/>
        <v>0</v>
      </c>
      <c r="BX6" s="34">
        <f t="shared" si="1"/>
        <v>0</v>
      </c>
      <c r="BY6" s="34">
        <f t="shared" si="1"/>
        <v>0</v>
      </c>
      <c r="BZ6" s="34">
        <f t="shared" si="1"/>
        <v>0</v>
      </c>
      <c r="CA6" s="34">
        <f t="shared" si="1"/>
        <v>0</v>
      </c>
      <c r="CB6" s="34">
        <f t="shared" si="1"/>
        <v>0</v>
      </c>
      <c r="CC6" s="34">
        <f t="shared" si="1"/>
        <v>0</v>
      </c>
      <c r="CD6" s="34">
        <f t="shared" si="1"/>
        <v>0</v>
      </c>
      <c r="CE6" s="34">
        <f t="shared" si="1"/>
        <v>0</v>
      </c>
      <c r="CF6" s="34">
        <f t="shared" si="1"/>
        <v>0</v>
      </c>
      <c r="CG6" s="34">
        <f t="shared" si="1"/>
        <v>0</v>
      </c>
      <c r="CH6" s="34">
        <f t="shared" si="1"/>
        <v>0</v>
      </c>
      <c r="CI6" s="34">
        <f t="shared" si="1"/>
        <v>0</v>
      </c>
      <c r="CJ6" s="34">
        <f t="shared" si="1"/>
        <v>0</v>
      </c>
      <c r="CK6" s="34">
        <f t="shared" si="1"/>
        <v>0</v>
      </c>
    </row>
    <row r="7" spans="1:89" s="31" customFormat="1">
      <c r="A7" s="31" t="s">
        <v>393</v>
      </c>
      <c r="B7" s="35">
        <f>B6/B4*100</f>
        <v>50.563891187209286</v>
      </c>
      <c r="C7" s="35">
        <f t="shared" ref="C7:BN7" si="2">C6/C4*100</f>
        <v>50.661193038601617</v>
      </c>
      <c r="D7" s="35">
        <f t="shared" si="2"/>
        <v>50.932095993545403</v>
      </c>
      <c r="E7" s="35">
        <f t="shared" si="2"/>
        <v>49.57901740191565</v>
      </c>
      <c r="F7" s="35">
        <f t="shared" si="2"/>
        <v>49.540009193811862</v>
      </c>
      <c r="G7" s="35">
        <f t="shared" si="2"/>
        <v>50.215110723588886</v>
      </c>
      <c r="H7" s="35">
        <f t="shared" si="2"/>
        <v>50.248679760442208</v>
      </c>
      <c r="I7" s="35">
        <f t="shared" si="2"/>
        <v>50.235448531308094</v>
      </c>
      <c r="J7" s="35">
        <f t="shared" si="2"/>
        <v>50.757116899592958</v>
      </c>
      <c r="K7" s="35">
        <f t="shared" si="2"/>
        <v>51.211792014760015</v>
      </c>
      <c r="L7" s="35">
        <f t="shared" si="2"/>
        <v>50.866611347560578</v>
      </c>
      <c r="M7" s="35">
        <f t="shared" si="2"/>
        <v>51.051067112175289</v>
      </c>
      <c r="N7" s="35">
        <f t="shared" si="2"/>
        <v>51.290626506950964</v>
      </c>
      <c r="O7" s="35">
        <f t="shared" si="2"/>
        <v>52.03955027120584</v>
      </c>
      <c r="P7" s="35">
        <f t="shared" si="2"/>
        <v>51.31100991261993</v>
      </c>
      <c r="Q7" s="35">
        <f t="shared" si="2"/>
        <v>51.321082853485592</v>
      </c>
      <c r="R7" s="35">
        <f t="shared" si="2"/>
        <v>51.471017968128287</v>
      </c>
      <c r="S7" s="35">
        <f t="shared" si="2"/>
        <v>52.033864576132707</v>
      </c>
      <c r="T7" s="35">
        <f t="shared" si="2"/>
        <v>52.876851040564979</v>
      </c>
      <c r="U7" s="35">
        <f t="shared" si="2"/>
        <v>51.375475392913394</v>
      </c>
      <c r="V7" s="35">
        <f t="shared" si="2"/>
        <v>51.007344915262188</v>
      </c>
      <c r="W7" s="35">
        <f t="shared" si="2"/>
        <v>51.882105759040165</v>
      </c>
      <c r="X7" s="35">
        <f t="shared" si="2"/>
        <v>52.098540060264817</v>
      </c>
      <c r="Y7" s="35">
        <f t="shared" si="2"/>
        <v>48.449957716189992</v>
      </c>
      <c r="Z7" s="35">
        <f t="shared" si="2"/>
        <v>47.259073585460762</v>
      </c>
      <c r="AA7" s="35">
        <f t="shared" si="2"/>
        <v>46.644134388316729</v>
      </c>
      <c r="AB7" s="35">
        <f t="shared" si="2"/>
        <v>49.686288309218227</v>
      </c>
      <c r="AC7" s="35">
        <f t="shared" si="2"/>
        <v>47.03754930361405</v>
      </c>
      <c r="AD7" s="35">
        <f t="shared" si="2"/>
        <v>47.717210431670154</v>
      </c>
      <c r="AE7" s="35">
        <f t="shared" si="2"/>
        <v>48.478260325006481</v>
      </c>
      <c r="AF7" s="35">
        <f t="shared" si="2"/>
        <v>49.556069767299938</v>
      </c>
      <c r="AG7" s="35">
        <f t="shared" si="2"/>
        <v>46.112583923530465</v>
      </c>
      <c r="AH7" s="35">
        <f t="shared" si="2"/>
        <v>45.788634897277419</v>
      </c>
      <c r="AI7" s="35">
        <f t="shared" si="2"/>
        <v>46.410374227313447</v>
      </c>
      <c r="AJ7" s="35">
        <f t="shared" si="2"/>
        <v>46.663462991123325</v>
      </c>
      <c r="AK7" s="35">
        <f t="shared" si="2"/>
        <v>42.988716940073992</v>
      </c>
      <c r="AL7" s="35">
        <f t="shared" si="2"/>
        <v>42.590413218019656</v>
      </c>
      <c r="AM7" s="35">
        <f t="shared" si="2"/>
        <v>42.918406069590034</v>
      </c>
      <c r="AN7" s="35">
        <f t="shared" si="2"/>
        <v>42.871103207097455</v>
      </c>
      <c r="AO7" s="35">
        <f t="shared" si="2"/>
        <v>44.995078638004166</v>
      </c>
      <c r="AP7" s="35">
        <f t="shared" si="2"/>
        <v>45.056073665838866</v>
      </c>
      <c r="AQ7" s="35">
        <f t="shared" si="2"/>
        <v>37.463519741276336</v>
      </c>
      <c r="AR7" s="35">
        <f t="shared" si="2"/>
        <v>30.136965076698889</v>
      </c>
      <c r="AS7" s="35" t="e">
        <f t="shared" si="2"/>
        <v>#DIV/0!</v>
      </c>
      <c r="AT7" s="35" t="e">
        <f t="shared" si="2"/>
        <v>#DIV/0!</v>
      </c>
      <c r="AU7" s="35" t="e">
        <f t="shared" si="2"/>
        <v>#DIV/0!</v>
      </c>
      <c r="AV7" s="35" t="e">
        <f t="shared" si="2"/>
        <v>#DIV/0!</v>
      </c>
      <c r="AW7" s="35" t="e">
        <f t="shared" si="2"/>
        <v>#DIV/0!</v>
      </c>
      <c r="AX7" s="35" t="e">
        <f t="shared" si="2"/>
        <v>#DIV/0!</v>
      </c>
      <c r="AY7" s="35" t="e">
        <f t="shared" si="2"/>
        <v>#DIV/0!</v>
      </c>
      <c r="AZ7" s="35" t="e">
        <f t="shared" si="2"/>
        <v>#DIV/0!</v>
      </c>
      <c r="BA7" s="35" t="e">
        <f t="shared" si="2"/>
        <v>#DIV/0!</v>
      </c>
      <c r="BB7" s="35" t="e">
        <f t="shared" si="2"/>
        <v>#DIV/0!</v>
      </c>
      <c r="BC7" s="35" t="e">
        <f t="shared" si="2"/>
        <v>#DIV/0!</v>
      </c>
      <c r="BD7" s="35" t="e">
        <f t="shared" si="2"/>
        <v>#DIV/0!</v>
      </c>
      <c r="BE7" s="35" t="e">
        <f t="shared" si="2"/>
        <v>#DIV/0!</v>
      </c>
      <c r="BF7" s="35" t="e">
        <f t="shared" si="2"/>
        <v>#DIV/0!</v>
      </c>
      <c r="BG7" s="35" t="e">
        <f t="shared" si="2"/>
        <v>#DIV/0!</v>
      </c>
      <c r="BH7" s="35" t="e">
        <f t="shared" si="2"/>
        <v>#DIV/0!</v>
      </c>
      <c r="BI7" s="35" t="e">
        <f t="shared" si="2"/>
        <v>#DIV/0!</v>
      </c>
      <c r="BJ7" s="35" t="e">
        <f t="shared" si="2"/>
        <v>#DIV/0!</v>
      </c>
      <c r="BK7" s="35" t="e">
        <f t="shared" si="2"/>
        <v>#DIV/0!</v>
      </c>
      <c r="BL7" s="35" t="e">
        <f t="shared" si="2"/>
        <v>#DIV/0!</v>
      </c>
      <c r="BM7" s="35" t="e">
        <f t="shared" si="2"/>
        <v>#DIV/0!</v>
      </c>
      <c r="BN7" s="35" t="e">
        <f t="shared" si="2"/>
        <v>#DIV/0!</v>
      </c>
      <c r="BO7" s="35" t="e">
        <f t="shared" ref="BO7:CJ7" si="3">BO6/BO4*100</f>
        <v>#DIV/0!</v>
      </c>
      <c r="BP7" s="35" t="e">
        <f t="shared" si="3"/>
        <v>#DIV/0!</v>
      </c>
      <c r="BQ7" s="35" t="e">
        <f t="shared" si="3"/>
        <v>#DIV/0!</v>
      </c>
      <c r="BR7" s="35" t="e">
        <f t="shared" si="3"/>
        <v>#DIV/0!</v>
      </c>
      <c r="BS7" s="35" t="e">
        <f t="shared" si="3"/>
        <v>#DIV/0!</v>
      </c>
      <c r="BT7" s="35" t="e">
        <f t="shared" si="3"/>
        <v>#DIV/0!</v>
      </c>
      <c r="BU7" s="35" t="e">
        <f t="shared" si="3"/>
        <v>#DIV/0!</v>
      </c>
      <c r="BV7" s="35" t="e">
        <f t="shared" si="3"/>
        <v>#DIV/0!</v>
      </c>
      <c r="BW7" s="35" t="e">
        <f t="shared" si="3"/>
        <v>#DIV/0!</v>
      </c>
      <c r="BX7" s="35" t="e">
        <f t="shared" si="3"/>
        <v>#DIV/0!</v>
      </c>
      <c r="BY7" s="35" t="e">
        <f t="shared" si="3"/>
        <v>#DIV/0!</v>
      </c>
      <c r="BZ7" s="35" t="e">
        <f t="shared" si="3"/>
        <v>#DIV/0!</v>
      </c>
      <c r="CA7" s="35" t="e">
        <f t="shared" si="3"/>
        <v>#DIV/0!</v>
      </c>
      <c r="CB7" s="35" t="e">
        <f t="shared" si="3"/>
        <v>#DIV/0!</v>
      </c>
      <c r="CC7" s="35" t="e">
        <f t="shared" si="3"/>
        <v>#DIV/0!</v>
      </c>
      <c r="CD7" s="35" t="e">
        <f t="shared" si="3"/>
        <v>#DIV/0!</v>
      </c>
      <c r="CE7" s="35" t="e">
        <f t="shared" si="3"/>
        <v>#DIV/0!</v>
      </c>
      <c r="CF7" s="35" t="e">
        <f t="shared" si="3"/>
        <v>#DIV/0!</v>
      </c>
      <c r="CG7" s="35" t="e">
        <f t="shared" si="3"/>
        <v>#DIV/0!</v>
      </c>
      <c r="CH7" s="35" t="e">
        <f t="shared" si="3"/>
        <v>#DIV/0!</v>
      </c>
      <c r="CI7" s="35" t="e">
        <f t="shared" si="3"/>
        <v>#DIV/0!</v>
      </c>
      <c r="CJ7" s="35" t="e">
        <f t="shared" si="3"/>
        <v>#DIV/0!</v>
      </c>
    </row>
    <row r="8" spans="1:89">
      <c r="A8" s="23" t="s">
        <v>394</v>
      </c>
      <c r="B8" s="48">
        <v>16286021.220000001</v>
      </c>
      <c r="C8" s="48">
        <v>12989748.48</v>
      </c>
      <c r="D8" s="48">
        <v>6696597.7599999998</v>
      </c>
      <c r="E8" s="48">
        <v>33667441.369999997</v>
      </c>
      <c r="F8" s="48">
        <v>19050964.629999999</v>
      </c>
      <c r="G8" s="48">
        <v>11347896.02</v>
      </c>
      <c r="H8" s="48">
        <v>4513846.1900000004</v>
      </c>
      <c r="I8" s="48">
        <v>20735441.370000001</v>
      </c>
      <c r="J8" s="48">
        <v>12050446.67</v>
      </c>
      <c r="K8" s="48">
        <v>9016859.1500000004</v>
      </c>
      <c r="L8" s="48">
        <v>4118994.37</v>
      </c>
      <c r="M8" s="48">
        <v>23120160.399999999</v>
      </c>
      <c r="N8" s="48">
        <v>12180329.449999999</v>
      </c>
      <c r="O8" s="48">
        <v>7217936.29</v>
      </c>
      <c r="P8" s="48">
        <v>4155859.83</v>
      </c>
      <c r="Q8" s="48">
        <v>22426295.600000001</v>
      </c>
      <c r="R8" s="48">
        <v>14699028.92</v>
      </c>
      <c r="S8" s="48">
        <v>9938723.7699999996</v>
      </c>
      <c r="T8" s="48">
        <v>5423434.3300000001</v>
      </c>
      <c r="U8" s="48">
        <v>18195491.25</v>
      </c>
      <c r="V8" s="48">
        <v>11744559.66</v>
      </c>
      <c r="W8" s="48">
        <v>6679147.6600000001</v>
      </c>
      <c r="X8" s="48">
        <v>3729155.7</v>
      </c>
      <c r="Y8" s="48">
        <v>19667899.760000002</v>
      </c>
      <c r="Z8" s="48">
        <v>12722992.02</v>
      </c>
      <c r="AA8" s="48">
        <v>7466106.8700000001</v>
      </c>
      <c r="AB8" s="48">
        <v>4382780.8499999996</v>
      </c>
      <c r="AC8" s="48">
        <v>12991253.609999999</v>
      </c>
      <c r="AD8" s="48">
        <v>9153135.7899999991</v>
      </c>
      <c r="AE8" s="48">
        <v>6294704.7300000004</v>
      </c>
      <c r="AF8" s="48">
        <v>3615504.33</v>
      </c>
      <c r="AG8" s="48">
        <v>3688998.49</v>
      </c>
      <c r="AH8" s="48">
        <v>2322781.2799999998</v>
      </c>
      <c r="AI8" s="48">
        <v>1605209.89</v>
      </c>
      <c r="AJ8" s="48">
        <v>1056150.07</v>
      </c>
      <c r="AK8" s="48">
        <v>3304954.88</v>
      </c>
      <c r="AL8" s="48">
        <v>2289413.9500000002</v>
      </c>
      <c r="AM8" s="48">
        <v>1466128.77</v>
      </c>
      <c r="AN8" s="48">
        <v>922576.46</v>
      </c>
      <c r="AO8" s="48">
        <v>1719118.97</v>
      </c>
      <c r="AP8" s="48">
        <v>1195729.94</v>
      </c>
      <c r="AQ8" s="48">
        <v>2084069.41</v>
      </c>
      <c r="AR8" s="48">
        <v>1204449.57</v>
      </c>
      <c r="AS8" s="48">
        <v>0</v>
      </c>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row>
    <row r="9" spans="1:89">
      <c r="A9" s="23" t="s">
        <v>395</v>
      </c>
      <c r="B9" s="48">
        <v>473656501.60000002</v>
      </c>
      <c r="C9" s="48">
        <v>312198045.56999999</v>
      </c>
      <c r="D9" s="48">
        <v>143830008.46000001</v>
      </c>
      <c r="E9" s="48">
        <v>581949650.57000005</v>
      </c>
      <c r="F9" s="48">
        <v>393266623.56</v>
      </c>
      <c r="G9" s="48">
        <v>255118134.43000001</v>
      </c>
      <c r="H9" s="48">
        <v>112944965.20999999</v>
      </c>
      <c r="I9" s="48">
        <v>536781289.69999999</v>
      </c>
      <c r="J9" s="48">
        <v>335317136.74000001</v>
      </c>
      <c r="K9" s="48">
        <v>213710690.19999999</v>
      </c>
      <c r="L9" s="48">
        <v>97758947.700000003</v>
      </c>
      <c r="M9" s="48">
        <v>491041931.38</v>
      </c>
      <c r="N9" s="48">
        <v>312344719.72000003</v>
      </c>
      <c r="O9" s="48">
        <v>194756674.34999999</v>
      </c>
      <c r="P9" s="48">
        <v>96178218.680000007</v>
      </c>
      <c r="Q9" s="48">
        <v>442693447.52999997</v>
      </c>
      <c r="R9" s="48">
        <v>284599632.86000001</v>
      </c>
      <c r="S9" s="48">
        <v>195834542.71000001</v>
      </c>
      <c r="T9" s="48">
        <v>88016176.329999998</v>
      </c>
      <c r="U9" s="48">
        <v>439227146.56</v>
      </c>
      <c r="V9" s="48">
        <v>301442808.35000002</v>
      </c>
      <c r="W9" s="48">
        <v>195111798.63999999</v>
      </c>
      <c r="X9" s="48">
        <v>85078338.650000006</v>
      </c>
      <c r="Y9" s="48">
        <v>413803577.66000003</v>
      </c>
      <c r="Z9" s="48">
        <v>283123524.36000001</v>
      </c>
      <c r="AA9" s="48">
        <v>170618393.31</v>
      </c>
      <c r="AB9" s="48">
        <v>78539793.730000004</v>
      </c>
      <c r="AC9" s="48">
        <v>340169012.06</v>
      </c>
      <c r="AD9" s="48">
        <v>233425011.93000001</v>
      </c>
      <c r="AE9" s="48">
        <v>150712282.5</v>
      </c>
      <c r="AF9" s="48">
        <v>74504371.730000004</v>
      </c>
      <c r="AG9" s="48">
        <v>268082494.09999999</v>
      </c>
      <c r="AH9" s="48">
        <v>181510605.61000001</v>
      </c>
      <c r="AI9" s="48">
        <v>117079673.52</v>
      </c>
      <c r="AJ9" s="48">
        <v>57242289.609999999</v>
      </c>
      <c r="AK9" s="48">
        <v>188788629.53999999</v>
      </c>
      <c r="AL9" s="48">
        <v>132282338.7</v>
      </c>
      <c r="AM9" s="48">
        <v>79110212.659999996</v>
      </c>
      <c r="AN9" s="48">
        <v>39204501.539999999</v>
      </c>
      <c r="AO9" s="48">
        <v>171925727.18000001</v>
      </c>
      <c r="AP9" s="48">
        <v>116247201.54000001</v>
      </c>
      <c r="AQ9" s="48">
        <v>120843376.58</v>
      </c>
      <c r="AR9" s="48">
        <v>62971907.409999996</v>
      </c>
      <c r="AS9" s="48">
        <v>0</v>
      </c>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row>
    <row r="10" spans="1:89">
      <c r="A10" s="23" t="s">
        <v>396</v>
      </c>
      <c r="B10" s="48">
        <v>110863938.05</v>
      </c>
      <c r="C10" s="48">
        <v>75308848.230000004</v>
      </c>
      <c r="D10" s="48">
        <v>29321470</v>
      </c>
      <c r="E10" s="48">
        <v>126559110.14</v>
      </c>
      <c r="F10" s="48">
        <v>82016754.299999997</v>
      </c>
      <c r="G10" s="48">
        <v>43270541.899999999</v>
      </c>
      <c r="H10" s="48">
        <v>19947799.870000001</v>
      </c>
      <c r="I10" s="48">
        <v>80658096.329999998</v>
      </c>
      <c r="J10" s="48">
        <v>59431122.409999996</v>
      </c>
      <c r="K10" s="48">
        <v>37061621.439999998</v>
      </c>
      <c r="L10" s="48">
        <v>17943622.510000002</v>
      </c>
      <c r="M10" s="48">
        <v>94899743.439999998</v>
      </c>
      <c r="N10" s="48">
        <v>63348789.399999999</v>
      </c>
      <c r="O10" s="48">
        <v>39330804.799999997</v>
      </c>
      <c r="P10" s="48">
        <v>16334024.810000001</v>
      </c>
      <c r="Q10" s="48">
        <v>79730769.569999993</v>
      </c>
      <c r="R10" s="48">
        <v>65338429.770000003</v>
      </c>
      <c r="S10" s="48">
        <v>41594882.100000001</v>
      </c>
      <c r="T10" s="48">
        <v>15198942.51</v>
      </c>
      <c r="U10" s="48">
        <v>102620474.59</v>
      </c>
      <c r="V10" s="48">
        <v>73499285.280000001</v>
      </c>
      <c r="W10" s="48">
        <v>49133728.539999999</v>
      </c>
      <c r="X10" s="48">
        <v>23641232.190000001</v>
      </c>
      <c r="Y10" s="48">
        <v>82408828.530000001</v>
      </c>
      <c r="Z10" s="48">
        <v>55783278.270000003</v>
      </c>
      <c r="AA10" s="48">
        <v>34971674.07</v>
      </c>
      <c r="AB10" s="48">
        <v>15883026.970000001</v>
      </c>
      <c r="AC10" s="48">
        <v>67153285.5</v>
      </c>
      <c r="AD10" s="48">
        <v>47665010.130000003</v>
      </c>
      <c r="AE10" s="48">
        <v>28603162.870000001</v>
      </c>
      <c r="AF10" s="48">
        <v>10264823.18</v>
      </c>
      <c r="AG10" s="48">
        <v>66102719.810000002</v>
      </c>
      <c r="AH10" s="48">
        <v>46381059.090000004</v>
      </c>
      <c r="AI10" s="48">
        <v>30587505.18</v>
      </c>
      <c r="AJ10" s="48">
        <v>13448068.67</v>
      </c>
      <c r="AK10" s="48">
        <v>44445569.060000002</v>
      </c>
      <c r="AL10" s="48">
        <v>25751927.52</v>
      </c>
      <c r="AM10" s="48">
        <v>14667022.720000001</v>
      </c>
      <c r="AN10" s="48">
        <v>7138177.9000000004</v>
      </c>
      <c r="AO10" s="48">
        <v>44352647.75</v>
      </c>
      <c r="AP10" s="48">
        <v>32243544.09</v>
      </c>
      <c r="AQ10" s="48">
        <v>28827438.100000001</v>
      </c>
      <c r="AR10" s="48">
        <v>20909040.25</v>
      </c>
      <c r="AS10" s="48">
        <v>0</v>
      </c>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row>
    <row r="11" spans="1:89">
      <c r="A11" s="23" t="s">
        <v>397</v>
      </c>
      <c r="B11" s="48">
        <v>-4845005.6500000004</v>
      </c>
      <c r="C11" s="48">
        <v>-8223145.4800000004</v>
      </c>
      <c r="D11" s="48">
        <v>-4535057.42</v>
      </c>
      <c r="E11" s="48">
        <v>5835714.0899999999</v>
      </c>
      <c r="F11" s="48">
        <v>-5703370.04</v>
      </c>
      <c r="G11" s="48">
        <v>-5529056.1399999997</v>
      </c>
      <c r="H11" s="48">
        <v>-7656364.29</v>
      </c>
      <c r="I11" s="48">
        <v>11932355.890000001</v>
      </c>
      <c r="J11" s="48">
        <v>1381617.39</v>
      </c>
      <c r="K11" s="48">
        <v>-2437111.77</v>
      </c>
      <c r="L11" s="48">
        <v>-2296734.14</v>
      </c>
      <c r="M11" s="48">
        <v>13811275.76</v>
      </c>
      <c r="N11" s="48">
        <v>2107297.9900000002</v>
      </c>
      <c r="O11" s="48">
        <v>1404650.24</v>
      </c>
      <c r="P11" s="48">
        <v>1291828.02</v>
      </c>
      <c r="Q11" s="48">
        <v>5887024.29</v>
      </c>
      <c r="R11" s="48">
        <v>-713730.54</v>
      </c>
      <c r="S11" s="48">
        <v>-251729.76</v>
      </c>
      <c r="T11" s="48">
        <v>100824.5</v>
      </c>
      <c r="U11" s="48">
        <v>6237787.0700000003</v>
      </c>
      <c r="V11" s="48">
        <v>2576298.34</v>
      </c>
      <c r="W11" s="48">
        <v>-388306.36</v>
      </c>
      <c r="X11" s="48">
        <v>768478.58</v>
      </c>
      <c r="Y11" s="48">
        <v>2800129.39</v>
      </c>
      <c r="Z11" s="48">
        <v>1218248.05</v>
      </c>
      <c r="AA11" s="48">
        <v>375030.61</v>
      </c>
      <c r="AB11" s="48">
        <v>110725.93</v>
      </c>
      <c r="AC11" s="48">
        <v>4115869.72</v>
      </c>
      <c r="AD11" s="48">
        <v>1599794.07</v>
      </c>
      <c r="AE11" s="48">
        <v>984570.84</v>
      </c>
      <c r="AF11" s="48">
        <v>759541.2</v>
      </c>
      <c r="AG11" s="48">
        <v>812983.95</v>
      </c>
      <c r="AH11" s="48">
        <v>1794139.82</v>
      </c>
      <c r="AI11" s="48">
        <v>362927.71</v>
      </c>
      <c r="AJ11" s="48">
        <v>255903.05</v>
      </c>
      <c r="AK11" s="48">
        <v>-1478219.91</v>
      </c>
      <c r="AL11" s="48">
        <v>-1280742.53</v>
      </c>
      <c r="AM11" s="48">
        <v>-1082319.9099999999</v>
      </c>
      <c r="AN11" s="48">
        <v>-1299714.25</v>
      </c>
      <c r="AO11" s="48">
        <v>845517.75</v>
      </c>
      <c r="AP11" s="48">
        <v>25025.17</v>
      </c>
      <c r="AQ11" s="48">
        <v>263948.44</v>
      </c>
      <c r="AR11" s="48">
        <v>1266584.26</v>
      </c>
      <c r="AS11" s="48">
        <v>0</v>
      </c>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c r="CB11" s="48"/>
      <c r="CC11" s="48"/>
      <c r="CD11" s="48"/>
      <c r="CE11" s="48"/>
      <c r="CF11" s="48"/>
      <c r="CG11" s="48"/>
      <c r="CH11" s="48"/>
      <c r="CI11" s="48"/>
      <c r="CJ11" s="48"/>
      <c r="CK11" s="48"/>
    </row>
    <row r="12" spans="1:89" s="9" customFormat="1">
      <c r="A12" s="27" t="s">
        <v>398</v>
      </c>
      <c r="B12" s="36">
        <f>B55</f>
        <v>463</v>
      </c>
      <c r="C12" s="36">
        <f t="shared" ref="C12:BN12" si="4">C55</f>
        <v>603</v>
      </c>
      <c r="D12" s="36">
        <f t="shared" si="4"/>
        <v>653</v>
      </c>
      <c r="E12" s="36">
        <f t="shared" si="4"/>
        <v>2250326.41</v>
      </c>
      <c r="F12" s="36">
        <f t="shared" si="4"/>
        <v>1204</v>
      </c>
      <c r="G12" s="36">
        <f t="shared" si="4"/>
        <v>868</v>
      </c>
      <c r="H12" s="36">
        <f t="shared" si="4"/>
        <v>644</v>
      </c>
      <c r="I12" s="36">
        <f t="shared" si="4"/>
        <v>2225768.7000000002</v>
      </c>
      <c r="J12" s="36">
        <f t="shared" si="4"/>
        <v>0</v>
      </c>
      <c r="K12" s="36">
        <f t="shared" si="4"/>
        <v>0</v>
      </c>
      <c r="L12" s="36">
        <f t="shared" si="4"/>
        <v>0</v>
      </c>
      <c r="M12" s="36">
        <f t="shared" si="4"/>
        <v>1950708.71</v>
      </c>
      <c r="N12" s="36">
        <f t="shared" si="4"/>
        <v>0</v>
      </c>
      <c r="O12" s="36">
        <f t="shared" si="4"/>
        <v>0</v>
      </c>
      <c r="P12" s="36">
        <f t="shared" si="4"/>
        <v>0</v>
      </c>
      <c r="Q12" s="36">
        <f t="shared" si="4"/>
        <v>1695383.58</v>
      </c>
      <c r="R12" s="36">
        <f t="shared" si="4"/>
        <v>0</v>
      </c>
      <c r="S12" s="36">
        <f t="shared" si="4"/>
        <v>0</v>
      </c>
      <c r="T12" s="36">
        <f t="shared" si="4"/>
        <v>0</v>
      </c>
      <c r="U12" s="36">
        <f t="shared" si="4"/>
        <v>1706654.01</v>
      </c>
      <c r="V12" s="36">
        <f t="shared" si="4"/>
        <v>0</v>
      </c>
      <c r="W12" s="36">
        <f t="shared" si="4"/>
        <v>0</v>
      </c>
      <c r="X12" s="36">
        <f t="shared" si="4"/>
        <v>0</v>
      </c>
      <c r="Y12" s="36">
        <f t="shared" si="4"/>
        <v>3173649.89</v>
      </c>
      <c r="Z12" s="36">
        <f t="shared" si="4"/>
        <v>0</v>
      </c>
      <c r="AA12" s="36">
        <f t="shared" si="4"/>
        <v>0</v>
      </c>
      <c r="AB12" s="36">
        <f t="shared" si="4"/>
        <v>0</v>
      </c>
      <c r="AC12" s="36">
        <f t="shared" si="4"/>
        <v>2824637.15</v>
      </c>
      <c r="AD12" s="36">
        <f t="shared" si="4"/>
        <v>0</v>
      </c>
      <c r="AE12" s="36">
        <f t="shared" si="4"/>
        <v>0</v>
      </c>
      <c r="AF12" s="36">
        <f t="shared" si="4"/>
        <v>0</v>
      </c>
      <c r="AG12" s="36">
        <f t="shared" si="4"/>
        <v>2402994.35</v>
      </c>
      <c r="AH12" s="36">
        <f t="shared" si="4"/>
        <v>0</v>
      </c>
      <c r="AI12" s="36">
        <f t="shared" si="4"/>
        <v>0</v>
      </c>
      <c r="AJ12" s="36">
        <f t="shared" si="4"/>
        <v>0</v>
      </c>
      <c r="AK12" s="36">
        <f t="shared" si="4"/>
        <v>1767938</v>
      </c>
      <c r="AL12" s="36">
        <f t="shared" si="4"/>
        <v>0</v>
      </c>
      <c r="AM12" s="36">
        <f t="shared" si="4"/>
        <v>0</v>
      </c>
      <c r="AN12" s="36">
        <f t="shared" si="4"/>
        <v>0</v>
      </c>
      <c r="AO12" s="36">
        <f t="shared" si="4"/>
        <v>1536704.75</v>
      </c>
      <c r="AP12" s="36">
        <f t="shared" si="4"/>
        <v>0</v>
      </c>
      <c r="AQ12" s="36">
        <f t="shared" si="4"/>
        <v>0</v>
      </c>
      <c r="AR12" s="36">
        <f t="shared" si="4"/>
        <v>0</v>
      </c>
      <c r="AS12" s="36">
        <f t="shared" si="4"/>
        <v>0</v>
      </c>
      <c r="AT12" s="36">
        <f t="shared" si="4"/>
        <v>0</v>
      </c>
      <c r="AU12" s="36">
        <f t="shared" si="4"/>
        <v>0</v>
      </c>
      <c r="AV12" s="36">
        <f t="shared" si="4"/>
        <v>0</v>
      </c>
      <c r="AW12" s="36">
        <f t="shared" si="4"/>
        <v>0</v>
      </c>
      <c r="AX12" s="36">
        <f t="shared" si="4"/>
        <v>0</v>
      </c>
      <c r="AY12" s="36">
        <f t="shared" si="4"/>
        <v>0</v>
      </c>
      <c r="AZ12" s="36">
        <f t="shared" si="4"/>
        <v>0</v>
      </c>
      <c r="BA12" s="36">
        <f t="shared" si="4"/>
        <v>0</v>
      </c>
      <c r="BB12" s="36">
        <f t="shared" si="4"/>
        <v>0</v>
      </c>
      <c r="BC12" s="36">
        <f t="shared" si="4"/>
        <v>0</v>
      </c>
      <c r="BD12" s="36">
        <f t="shared" si="4"/>
        <v>0</v>
      </c>
      <c r="BE12" s="36">
        <f t="shared" si="4"/>
        <v>0</v>
      </c>
      <c r="BF12" s="36">
        <f t="shared" si="4"/>
        <v>0</v>
      </c>
      <c r="BG12" s="36">
        <f t="shared" si="4"/>
        <v>0</v>
      </c>
      <c r="BH12" s="36">
        <f t="shared" si="4"/>
        <v>0</v>
      </c>
      <c r="BI12" s="36">
        <f t="shared" si="4"/>
        <v>0</v>
      </c>
      <c r="BJ12" s="36">
        <f t="shared" si="4"/>
        <v>0</v>
      </c>
      <c r="BK12" s="36">
        <f t="shared" si="4"/>
        <v>0</v>
      </c>
      <c r="BL12" s="36">
        <f t="shared" si="4"/>
        <v>0</v>
      </c>
      <c r="BM12" s="36">
        <f t="shared" si="4"/>
        <v>0</v>
      </c>
      <c r="BN12" s="36">
        <f t="shared" si="4"/>
        <v>0</v>
      </c>
      <c r="BO12" s="36">
        <f t="shared" ref="BO12:CJ12" si="5">BO55</f>
        <v>0</v>
      </c>
      <c r="BP12" s="36">
        <f t="shared" si="5"/>
        <v>0</v>
      </c>
      <c r="BQ12" s="36">
        <f t="shared" si="5"/>
        <v>0</v>
      </c>
      <c r="BR12" s="36">
        <f t="shared" si="5"/>
        <v>0</v>
      </c>
      <c r="BS12" s="36">
        <f t="shared" si="5"/>
        <v>0</v>
      </c>
      <c r="BT12" s="36">
        <f t="shared" si="5"/>
        <v>0</v>
      </c>
      <c r="BU12" s="36">
        <f t="shared" si="5"/>
        <v>0</v>
      </c>
      <c r="BV12" s="36">
        <f t="shared" si="5"/>
        <v>0</v>
      </c>
      <c r="BW12" s="36">
        <f t="shared" si="5"/>
        <v>0</v>
      </c>
      <c r="BX12" s="36">
        <f t="shared" si="5"/>
        <v>0</v>
      </c>
      <c r="BY12" s="36">
        <f t="shared" si="5"/>
        <v>0</v>
      </c>
      <c r="BZ12" s="36">
        <f t="shared" si="5"/>
        <v>0</v>
      </c>
      <c r="CA12" s="36">
        <f t="shared" si="5"/>
        <v>0</v>
      </c>
      <c r="CB12" s="36">
        <f t="shared" si="5"/>
        <v>0</v>
      </c>
      <c r="CC12" s="36">
        <f t="shared" si="5"/>
        <v>0</v>
      </c>
      <c r="CD12" s="36">
        <f t="shared" si="5"/>
        <v>0</v>
      </c>
      <c r="CE12" s="36">
        <f t="shared" si="5"/>
        <v>0</v>
      </c>
      <c r="CF12" s="36">
        <f t="shared" si="5"/>
        <v>0</v>
      </c>
      <c r="CG12" s="36">
        <f t="shared" si="5"/>
        <v>0</v>
      </c>
      <c r="CH12" s="36">
        <f t="shared" si="5"/>
        <v>0</v>
      </c>
      <c r="CI12" s="36">
        <f t="shared" si="5"/>
        <v>0</v>
      </c>
      <c r="CJ12" s="36">
        <f t="shared" si="5"/>
        <v>0</v>
      </c>
    </row>
    <row r="13" spans="1:89">
      <c r="A13" s="23" t="s">
        <v>399</v>
      </c>
      <c r="B13" s="48">
        <v>5364872.55</v>
      </c>
      <c r="C13" s="48">
        <v>4472468.13</v>
      </c>
      <c r="D13" s="48">
        <v>2353738.4</v>
      </c>
      <c r="E13" s="48">
        <v>17393695.780000001</v>
      </c>
      <c r="F13" s="48">
        <v>11993209.51</v>
      </c>
      <c r="G13" s="48">
        <v>11199900.99</v>
      </c>
      <c r="H13" s="48">
        <v>1617985.55</v>
      </c>
      <c r="I13" s="48">
        <v>23511269.73</v>
      </c>
      <c r="J13" s="48">
        <v>9604665.6999999993</v>
      </c>
      <c r="K13" s="48">
        <v>7372286.5300000003</v>
      </c>
      <c r="L13" s="48">
        <v>1469477.36</v>
      </c>
      <c r="M13" s="48">
        <v>10985113.359999999</v>
      </c>
      <c r="N13" s="48">
        <v>9835662.6899999995</v>
      </c>
      <c r="O13" s="48">
        <v>3521147.14</v>
      </c>
      <c r="P13" s="48">
        <v>580961.69999999995</v>
      </c>
      <c r="Q13" s="48">
        <v>6988516.8799999999</v>
      </c>
      <c r="R13" s="48">
        <v>4216173.04</v>
      </c>
      <c r="S13" s="48">
        <v>3837072.8</v>
      </c>
      <c r="T13" s="48">
        <v>1674411.42</v>
      </c>
      <c r="U13" s="48">
        <v>12007156.5</v>
      </c>
      <c r="V13" s="48">
        <v>19075853.260000002</v>
      </c>
      <c r="W13" s="48">
        <v>1755012.76</v>
      </c>
      <c r="X13" s="48">
        <v>537237.84</v>
      </c>
      <c r="Y13" s="48">
        <v>4111302.03</v>
      </c>
      <c r="Z13" s="48">
        <v>3741749.08</v>
      </c>
      <c r="AA13" s="48">
        <v>3118160.27</v>
      </c>
      <c r="AB13" s="48">
        <v>658872.21</v>
      </c>
      <c r="AC13" s="48">
        <v>6249088.4900000002</v>
      </c>
      <c r="AD13" s="48">
        <v>2469008.8199999998</v>
      </c>
      <c r="AE13" s="48">
        <v>1333653.25</v>
      </c>
      <c r="AF13" s="48">
        <v>344026.57</v>
      </c>
      <c r="AG13" s="48">
        <v>2221330.5699999998</v>
      </c>
      <c r="AH13" s="48">
        <v>1445626.22</v>
      </c>
      <c r="AI13" s="48">
        <v>1001505.75</v>
      </c>
      <c r="AJ13" s="48">
        <v>210059.76</v>
      </c>
      <c r="AK13" s="48">
        <v>8272138.2199999997</v>
      </c>
      <c r="AL13" s="48">
        <v>4758810.3600000003</v>
      </c>
      <c r="AM13" s="48">
        <v>1946541.69</v>
      </c>
      <c r="AN13" s="48">
        <v>732115.94</v>
      </c>
      <c r="AO13" s="48">
        <v>1128046.01</v>
      </c>
      <c r="AP13" s="48">
        <v>623830.49</v>
      </c>
      <c r="AQ13" s="48">
        <v>396664.4</v>
      </c>
      <c r="AR13" s="48">
        <v>2638859.63</v>
      </c>
      <c r="AS13" s="48">
        <v>0</v>
      </c>
      <c r="AT13" s="48"/>
      <c r="AU13" s="48"/>
      <c r="AV13" s="48"/>
      <c r="AW13" s="48"/>
      <c r="AX13" s="48"/>
      <c r="AY13" s="48"/>
      <c r="AZ13" s="48"/>
      <c r="BA13" s="48"/>
      <c r="BB13" s="48"/>
      <c r="BC13" s="48"/>
      <c r="BD13" s="48"/>
      <c r="BE13" s="48"/>
      <c r="BF13" s="48"/>
      <c r="BG13" s="48"/>
      <c r="BH13" s="48"/>
      <c r="BI13" s="48"/>
      <c r="BJ13" s="48"/>
      <c r="BK13" s="48"/>
      <c r="BL13" s="48"/>
      <c r="BM13" s="48"/>
      <c r="BN13" s="48"/>
      <c r="BO13" s="48"/>
      <c r="BP13" s="48"/>
      <c r="BQ13" s="48"/>
      <c r="BR13" s="48"/>
      <c r="BS13" s="48"/>
      <c r="BT13" s="48"/>
      <c r="BU13" s="48"/>
      <c r="BV13" s="48"/>
      <c r="BW13" s="48"/>
      <c r="BX13" s="48"/>
      <c r="BY13" s="48"/>
      <c r="BZ13" s="48"/>
      <c r="CA13" s="48"/>
      <c r="CB13" s="48"/>
      <c r="CC13" s="48"/>
      <c r="CD13" s="48"/>
      <c r="CE13" s="48"/>
      <c r="CF13" s="48"/>
      <c r="CG13" s="48"/>
      <c r="CH13" s="48"/>
      <c r="CI13" s="48"/>
      <c r="CJ13" s="48"/>
      <c r="CK13" s="48"/>
    </row>
    <row r="14" spans="1:89">
      <c r="A14" s="23" t="s">
        <v>400</v>
      </c>
      <c r="B14" s="48">
        <v>1360900.12</v>
      </c>
      <c r="C14" s="48">
        <v>1132081.8500000001</v>
      </c>
      <c r="D14" s="48">
        <v>25667.64</v>
      </c>
      <c r="E14" s="48">
        <v>2064317.66</v>
      </c>
      <c r="F14" s="48">
        <v>1270702.56</v>
      </c>
      <c r="G14" s="48">
        <v>1193599.6499999999</v>
      </c>
      <c r="H14" s="48">
        <v>752019.38</v>
      </c>
      <c r="I14" s="48">
        <v>3193141.88</v>
      </c>
      <c r="J14" s="48">
        <v>2502530.23</v>
      </c>
      <c r="K14" s="48">
        <v>2035442.07</v>
      </c>
      <c r="L14" s="48">
        <v>64462.79</v>
      </c>
      <c r="M14" s="48">
        <v>586935.01</v>
      </c>
      <c r="N14" s="48">
        <v>468660.45</v>
      </c>
      <c r="O14" s="48">
        <v>335555.93</v>
      </c>
      <c r="P14" s="48">
        <v>143984.23000000001</v>
      </c>
      <c r="Q14" s="48">
        <v>1640531.62</v>
      </c>
      <c r="R14" s="48">
        <v>643968.64</v>
      </c>
      <c r="S14" s="48">
        <v>78699.490000000005</v>
      </c>
      <c r="T14" s="48">
        <v>16261.76</v>
      </c>
      <c r="U14" s="48">
        <v>695051.09</v>
      </c>
      <c r="V14" s="48">
        <v>148509.92000000001</v>
      </c>
      <c r="W14" s="48">
        <v>71429.77</v>
      </c>
      <c r="X14" s="48">
        <v>27986.38</v>
      </c>
      <c r="Y14" s="48">
        <v>1016449.4</v>
      </c>
      <c r="Z14" s="48">
        <v>636941.53</v>
      </c>
      <c r="AA14" s="48">
        <v>419360.91</v>
      </c>
      <c r="AB14" s="48">
        <v>151421.28</v>
      </c>
      <c r="AC14" s="48">
        <v>1334617.55</v>
      </c>
      <c r="AD14" s="48">
        <v>847798.64</v>
      </c>
      <c r="AE14" s="48">
        <v>798207.09</v>
      </c>
      <c r="AF14" s="48">
        <v>182100.56</v>
      </c>
      <c r="AG14" s="48">
        <v>2486887.35</v>
      </c>
      <c r="AH14" s="48">
        <v>2242411.84</v>
      </c>
      <c r="AI14" s="48">
        <v>1212373.3600000001</v>
      </c>
      <c r="AJ14" s="48">
        <v>208272.58</v>
      </c>
      <c r="AK14" s="48">
        <v>866701.53</v>
      </c>
      <c r="AL14" s="48">
        <v>690559.06</v>
      </c>
      <c r="AM14" s="48">
        <v>304511.99</v>
      </c>
      <c r="AN14" s="48">
        <v>242258.27</v>
      </c>
      <c r="AO14" s="48">
        <v>2531488.64</v>
      </c>
      <c r="AP14" s="48">
        <v>2436922.23</v>
      </c>
      <c r="AQ14" s="48">
        <v>402749.5</v>
      </c>
      <c r="AR14" s="48">
        <v>407709.83</v>
      </c>
      <c r="AS14" s="48">
        <v>0</v>
      </c>
      <c r="AT14" s="48"/>
      <c r="AU14" s="48"/>
      <c r="AV14" s="48"/>
      <c r="AW14" s="48"/>
      <c r="AX14" s="48"/>
      <c r="AY14" s="48"/>
      <c r="AZ14" s="48"/>
      <c r="BA14" s="48"/>
      <c r="BB14" s="48"/>
      <c r="BC14" s="48"/>
      <c r="BD14" s="48"/>
      <c r="BE14" s="48"/>
      <c r="BF14" s="48"/>
      <c r="BG14" s="48"/>
      <c r="BH14" s="48"/>
      <c r="BI14" s="48"/>
      <c r="BJ14" s="48"/>
      <c r="BK14" s="48"/>
      <c r="BL14" s="48"/>
      <c r="BM14" s="48"/>
      <c r="BN14" s="48"/>
      <c r="BO14" s="48"/>
      <c r="BP14" s="48"/>
      <c r="BQ14" s="48"/>
      <c r="BR14" s="48"/>
      <c r="BS14" s="48"/>
      <c r="BT14" s="48"/>
      <c r="BU14" s="48"/>
      <c r="BV14" s="48"/>
      <c r="BW14" s="48"/>
      <c r="BX14" s="48"/>
      <c r="BY14" s="48"/>
      <c r="BZ14" s="48"/>
      <c r="CA14" s="48"/>
      <c r="CB14" s="48"/>
      <c r="CC14" s="48"/>
      <c r="CD14" s="48"/>
      <c r="CE14" s="48"/>
      <c r="CF14" s="48"/>
      <c r="CG14" s="48"/>
      <c r="CH14" s="48"/>
      <c r="CI14" s="48"/>
      <c r="CJ14" s="48"/>
      <c r="CK14" s="48"/>
    </row>
    <row r="15" spans="1:89" s="2" customFormat="1">
      <c r="A15" s="26" t="s">
        <v>403</v>
      </c>
      <c r="B15" s="35">
        <f>B6-(B8+B9+B10+B11+B12)+B13-B14</f>
        <v>299585141.10999995</v>
      </c>
      <c r="C15" s="35">
        <f t="shared" ref="C15:BN15" si="6">C6-(C8+C9+C10+C11+C12)+C13-C14</f>
        <v>191608979.89999995</v>
      </c>
      <c r="D15" s="35">
        <f t="shared" si="6"/>
        <v>108329037.81000002</v>
      </c>
      <c r="E15" s="35">
        <f t="shared" si="6"/>
        <v>562157568.32999992</v>
      </c>
      <c r="F15" s="35">
        <f t="shared" si="6"/>
        <v>284282589.74000001</v>
      </c>
      <c r="G15" s="35">
        <f t="shared" si="6"/>
        <v>188510752.72</v>
      </c>
      <c r="H15" s="35">
        <f t="shared" si="6"/>
        <v>87873938.110000044</v>
      </c>
      <c r="I15" s="35">
        <f t="shared" si="6"/>
        <v>529215483.66000021</v>
      </c>
      <c r="J15" s="35">
        <f t="shared" si="6"/>
        <v>283001092.30999988</v>
      </c>
      <c r="K15" s="35">
        <f t="shared" si="6"/>
        <v>199237146.22000006</v>
      </c>
      <c r="L15" s="35">
        <f t="shared" si="6"/>
        <v>103181127.83999999</v>
      </c>
      <c r="M15" s="35">
        <f t="shared" si="6"/>
        <v>453873250.42999995</v>
      </c>
      <c r="N15" s="35">
        <f t="shared" si="6"/>
        <v>285317230.76999992</v>
      </c>
      <c r="O15" s="35">
        <f t="shared" si="6"/>
        <v>209379038.97999996</v>
      </c>
      <c r="P15" s="35">
        <f t="shared" si="6"/>
        <v>119776532.83999997</v>
      </c>
      <c r="Q15" s="35">
        <f t="shared" si="6"/>
        <v>463820769.41999984</v>
      </c>
      <c r="R15" s="35">
        <f t="shared" si="6"/>
        <v>308483252.49000007</v>
      </c>
      <c r="S15" s="35">
        <f t="shared" si="6"/>
        <v>201005489.76000002</v>
      </c>
      <c r="T15" s="35">
        <f t="shared" si="6"/>
        <v>132055616.85999997</v>
      </c>
      <c r="U15" s="35">
        <f t="shared" si="6"/>
        <v>400909684.53000003</v>
      </c>
      <c r="V15" s="35">
        <f t="shared" si="6"/>
        <v>270027689.67999983</v>
      </c>
      <c r="W15" s="35">
        <f t="shared" si="6"/>
        <v>176934881.96000007</v>
      </c>
      <c r="X15" s="35">
        <f t="shared" si="6"/>
        <v>116071503.17999998</v>
      </c>
      <c r="Y15" s="35">
        <f t="shared" si="6"/>
        <v>342182165.74000001</v>
      </c>
      <c r="Z15" s="35">
        <f t="shared" si="6"/>
        <v>213794285.80000007</v>
      </c>
      <c r="AA15" s="35">
        <f t="shared" si="6"/>
        <v>143053153.85000002</v>
      </c>
      <c r="AB15" s="35">
        <f t="shared" si="6"/>
        <v>102478955.13999999</v>
      </c>
      <c r="AC15" s="35">
        <f t="shared" si="6"/>
        <v>261313569.26999998</v>
      </c>
      <c r="AD15" s="35">
        <f t="shared" si="6"/>
        <v>160607071.81</v>
      </c>
      <c r="AE15" s="35">
        <f t="shared" si="6"/>
        <v>108488847.78000006</v>
      </c>
      <c r="AF15" s="35">
        <f t="shared" si="6"/>
        <v>75984356.349999949</v>
      </c>
      <c r="AG15" s="35">
        <f t="shared" si="6"/>
        <v>150804519.74000004</v>
      </c>
      <c r="AH15" s="35">
        <f t="shared" si="6"/>
        <v>86831947.129999936</v>
      </c>
      <c r="AI15" s="35">
        <f t="shared" si="6"/>
        <v>60496316.420000002</v>
      </c>
      <c r="AJ15" s="35">
        <f t="shared" si="6"/>
        <v>46137604.32</v>
      </c>
      <c r="AK15" s="35">
        <f t="shared" si="6"/>
        <v>110954948.48000002</v>
      </c>
      <c r="AL15" s="35">
        <f t="shared" si="6"/>
        <v>67540497.199999943</v>
      </c>
      <c r="AM15" s="35">
        <f t="shared" si="6"/>
        <v>46173978.68</v>
      </c>
      <c r="AN15" s="35">
        <f t="shared" si="6"/>
        <v>32442044.970000021</v>
      </c>
      <c r="AO15" s="35">
        <f t="shared" si="6"/>
        <v>84527025.859999985</v>
      </c>
      <c r="AP15" s="35">
        <f t="shared" si="6"/>
        <v>59493014.770000026</v>
      </c>
      <c r="AQ15" s="35">
        <f t="shared" si="6"/>
        <v>69098633.860000014</v>
      </c>
      <c r="AR15" s="35">
        <f t="shared" si="6"/>
        <v>42177946.759999998</v>
      </c>
      <c r="AS15" s="35">
        <f t="shared" si="6"/>
        <v>0</v>
      </c>
      <c r="AT15" s="35">
        <f t="shared" si="6"/>
        <v>0</v>
      </c>
      <c r="AU15" s="35">
        <f t="shared" si="6"/>
        <v>0</v>
      </c>
      <c r="AV15" s="35">
        <f t="shared" si="6"/>
        <v>0</v>
      </c>
      <c r="AW15" s="35">
        <f t="shared" si="6"/>
        <v>0</v>
      </c>
      <c r="AX15" s="35">
        <f t="shared" si="6"/>
        <v>0</v>
      </c>
      <c r="AY15" s="35">
        <f t="shared" si="6"/>
        <v>0</v>
      </c>
      <c r="AZ15" s="35">
        <f t="shared" si="6"/>
        <v>0</v>
      </c>
      <c r="BA15" s="35">
        <f t="shared" si="6"/>
        <v>0</v>
      </c>
      <c r="BB15" s="35">
        <f t="shared" si="6"/>
        <v>0</v>
      </c>
      <c r="BC15" s="35">
        <f t="shared" si="6"/>
        <v>0</v>
      </c>
      <c r="BD15" s="35">
        <f t="shared" si="6"/>
        <v>0</v>
      </c>
      <c r="BE15" s="35">
        <f t="shared" si="6"/>
        <v>0</v>
      </c>
      <c r="BF15" s="35">
        <f t="shared" si="6"/>
        <v>0</v>
      </c>
      <c r="BG15" s="35">
        <f t="shared" si="6"/>
        <v>0</v>
      </c>
      <c r="BH15" s="35">
        <f t="shared" si="6"/>
        <v>0</v>
      </c>
      <c r="BI15" s="35">
        <f t="shared" si="6"/>
        <v>0</v>
      </c>
      <c r="BJ15" s="35">
        <f t="shared" si="6"/>
        <v>0</v>
      </c>
      <c r="BK15" s="35">
        <f t="shared" si="6"/>
        <v>0</v>
      </c>
      <c r="BL15" s="35">
        <f t="shared" si="6"/>
        <v>0</v>
      </c>
      <c r="BM15" s="35">
        <f t="shared" si="6"/>
        <v>0</v>
      </c>
      <c r="BN15" s="35">
        <f t="shared" si="6"/>
        <v>0</v>
      </c>
      <c r="BO15" s="35">
        <f t="shared" ref="BO15:CJ15" si="7">BO6-(BO8+BO9+BO10+BO11+BO12)+BO13-BO14</f>
        <v>0</v>
      </c>
      <c r="BP15" s="35">
        <f t="shared" si="7"/>
        <v>0</v>
      </c>
      <c r="BQ15" s="35">
        <f t="shared" si="7"/>
        <v>0</v>
      </c>
      <c r="BR15" s="35">
        <f t="shared" si="7"/>
        <v>0</v>
      </c>
      <c r="BS15" s="35">
        <f t="shared" si="7"/>
        <v>0</v>
      </c>
      <c r="BT15" s="35">
        <f t="shared" si="7"/>
        <v>0</v>
      </c>
      <c r="BU15" s="35">
        <f t="shared" si="7"/>
        <v>0</v>
      </c>
      <c r="BV15" s="35">
        <f t="shared" si="7"/>
        <v>0</v>
      </c>
      <c r="BW15" s="35">
        <f t="shared" si="7"/>
        <v>0</v>
      </c>
      <c r="BX15" s="35">
        <f t="shared" si="7"/>
        <v>0</v>
      </c>
      <c r="BY15" s="35">
        <f t="shared" si="7"/>
        <v>0</v>
      </c>
      <c r="BZ15" s="35">
        <f t="shared" si="7"/>
        <v>0</v>
      </c>
      <c r="CA15" s="35">
        <f t="shared" si="7"/>
        <v>0</v>
      </c>
      <c r="CB15" s="35">
        <f t="shared" si="7"/>
        <v>0</v>
      </c>
      <c r="CC15" s="35">
        <f t="shared" si="7"/>
        <v>0</v>
      </c>
      <c r="CD15" s="35">
        <f t="shared" si="7"/>
        <v>0</v>
      </c>
      <c r="CE15" s="35">
        <f t="shared" si="7"/>
        <v>0</v>
      </c>
      <c r="CF15" s="35">
        <f t="shared" si="7"/>
        <v>0</v>
      </c>
      <c r="CG15" s="35">
        <f t="shared" si="7"/>
        <v>0</v>
      </c>
      <c r="CH15" s="35">
        <f t="shared" si="7"/>
        <v>0</v>
      </c>
      <c r="CI15" s="35">
        <f t="shared" si="7"/>
        <v>0</v>
      </c>
      <c r="CJ15" s="35">
        <f t="shared" si="7"/>
        <v>0</v>
      </c>
    </row>
    <row r="16" spans="1:89" s="30" customFormat="1">
      <c r="A16" s="30" t="s">
        <v>401</v>
      </c>
      <c r="B16" s="33">
        <f>B15*B41</f>
        <v>45175441.592567153</v>
      </c>
      <c r="C16" s="33">
        <f t="shared" ref="C16:BN16" si="8">C15*C41</f>
        <v>31127235.038340811</v>
      </c>
      <c r="D16" s="33">
        <f t="shared" si="8"/>
        <v>19157440.408590436</v>
      </c>
      <c r="E16" s="33">
        <f t="shared" si="8"/>
        <v>101815160.35824583</v>
      </c>
      <c r="F16" s="33">
        <f t="shared" si="8"/>
        <v>61971651.049931221</v>
      </c>
      <c r="G16" s="33">
        <f t="shared" si="8"/>
        <v>40878198.712929547</v>
      </c>
      <c r="H16" s="33">
        <f t="shared" si="8"/>
        <v>19278495.538472075</v>
      </c>
      <c r="I16" s="33">
        <f t="shared" si="8"/>
        <v>112429770.53714539</v>
      </c>
      <c r="J16" s="33">
        <f t="shared" si="8"/>
        <v>60160572.619526379</v>
      </c>
      <c r="K16" s="33">
        <f t="shared" si="8"/>
        <v>42485284.564730525</v>
      </c>
      <c r="L16" s="33">
        <f t="shared" si="8"/>
        <v>22770659.658839919</v>
      </c>
      <c r="M16" s="33">
        <f t="shared" si="8"/>
        <v>83533247.358908519</v>
      </c>
      <c r="N16" s="33">
        <f t="shared" si="8"/>
        <v>62119792.919606268</v>
      </c>
      <c r="O16" s="33">
        <f t="shared" si="8"/>
        <v>45642140.647615798</v>
      </c>
      <c r="P16" s="33">
        <f t="shared" si="8"/>
        <v>26841110.316431448</v>
      </c>
      <c r="Q16" s="33">
        <f t="shared" si="8"/>
        <v>108181608.09234983</v>
      </c>
      <c r="R16" s="33">
        <f t="shared" si="8"/>
        <v>72986984.197690561</v>
      </c>
      <c r="S16" s="33">
        <f t="shared" si="8"/>
        <v>47978473.27522552</v>
      </c>
      <c r="T16" s="33">
        <f t="shared" si="8"/>
        <v>32334296.900890786</v>
      </c>
      <c r="U16" s="33">
        <f t="shared" si="8"/>
        <v>102478358.96965092</v>
      </c>
      <c r="V16" s="33">
        <f t="shared" si="8"/>
        <v>67458283.460236803</v>
      </c>
      <c r="W16" s="33">
        <f t="shared" si="8"/>
        <v>44090663.466988541</v>
      </c>
      <c r="X16" s="33">
        <f t="shared" si="8"/>
        <v>28909197.649108838</v>
      </c>
      <c r="Y16" s="33">
        <f t="shared" si="8"/>
        <v>90582503.189677015</v>
      </c>
      <c r="Z16" s="33">
        <f t="shared" si="8"/>
        <v>53501681.065231577</v>
      </c>
      <c r="AA16" s="33">
        <f t="shared" si="8"/>
        <v>35810895.904010735</v>
      </c>
      <c r="AB16" s="33">
        <f t="shared" si="8"/>
        <v>25636385.961290091</v>
      </c>
      <c r="AC16" s="33">
        <f t="shared" si="8"/>
        <v>63334714.305226177</v>
      </c>
      <c r="AD16" s="33">
        <f t="shared" si="8"/>
        <v>37471395.101552501</v>
      </c>
      <c r="AE16" s="33">
        <f t="shared" si="8"/>
        <v>25619259.840304516</v>
      </c>
      <c r="AF16" s="33">
        <f t="shared" si="8"/>
        <v>17748862.992308244</v>
      </c>
      <c r="AG16" s="33">
        <f t="shared" si="8"/>
        <v>31794005.975576803</v>
      </c>
      <c r="AH16" s="33">
        <f t="shared" si="8"/>
        <v>18901324.024315607</v>
      </c>
      <c r="AI16" s="33">
        <f t="shared" si="8"/>
        <v>13300249.369019818</v>
      </c>
      <c r="AJ16" s="33">
        <f t="shared" si="8"/>
        <v>9967462.2785599362</v>
      </c>
      <c r="AK16" s="33">
        <f t="shared" si="8"/>
        <v>23286585.920164332</v>
      </c>
      <c r="AL16" s="33">
        <f t="shared" si="8"/>
        <v>13777751.283430032</v>
      </c>
      <c r="AM16" s="33">
        <f t="shared" si="8"/>
        <v>10036582.762068339</v>
      </c>
      <c r="AN16" s="33">
        <f t="shared" si="8"/>
        <v>6972109.5230401913</v>
      </c>
      <c r="AO16" s="33">
        <f t="shared" si="8"/>
        <v>14711346.217620516</v>
      </c>
      <c r="AP16" s="33">
        <f t="shared" si="8"/>
        <v>9898904.0992906541</v>
      </c>
      <c r="AQ16" s="33">
        <f t="shared" si="8"/>
        <v>5116994.1254209168</v>
      </c>
      <c r="AR16" s="33">
        <f t="shared" si="8"/>
        <v>6294131.2712786635</v>
      </c>
      <c r="AS16" s="33" t="e">
        <f t="shared" si="8"/>
        <v>#DIV/0!</v>
      </c>
      <c r="AT16" s="33">
        <f t="shared" si="8"/>
        <v>0</v>
      </c>
      <c r="AU16" s="33">
        <f t="shared" si="8"/>
        <v>0</v>
      </c>
      <c r="AV16" s="33">
        <f t="shared" si="8"/>
        <v>0</v>
      </c>
      <c r="AW16" s="33">
        <f t="shared" si="8"/>
        <v>0</v>
      </c>
      <c r="AX16" s="33">
        <f t="shared" si="8"/>
        <v>0</v>
      </c>
      <c r="AY16" s="33">
        <f t="shared" si="8"/>
        <v>0</v>
      </c>
      <c r="AZ16" s="33">
        <f t="shared" si="8"/>
        <v>0</v>
      </c>
      <c r="BA16" s="33">
        <f t="shared" si="8"/>
        <v>0</v>
      </c>
      <c r="BB16" s="33">
        <f t="shared" si="8"/>
        <v>0</v>
      </c>
      <c r="BC16" s="33">
        <f t="shared" si="8"/>
        <v>0</v>
      </c>
      <c r="BD16" s="33">
        <f t="shared" si="8"/>
        <v>0</v>
      </c>
      <c r="BE16" s="33">
        <f t="shared" si="8"/>
        <v>0</v>
      </c>
      <c r="BF16" s="33">
        <f t="shared" si="8"/>
        <v>0</v>
      </c>
      <c r="BG16" s="33">
        <f t="shared" si="8"/>
        <v>0</v>
      </c>
      <c r="BH16" s="33">
        <f t="shared" si="8"/>
        <v>0</v>
      </c>
      <c r="BI16" s="33">
        <f t="shared" si="8"/>
        <v>0</v>
      </c>
      <c r="BJ16" s="33">
        <f t="shared" si="8"/>
        <v>0</v>
      </c>
      <c r="BK16" s="33">
        <f t="shared" si="8"/>
        <v>0</v>
      </c>
      <c r="BL16" s="33">
        <f t="shared" si="8"/>
        <v>0</v>
      </c>
      <c r="BM16" s="33">
        <f t="shared" si="8"/>
        <v>0</v>
      </c>
      <c r="BN16" s="33">
        <f t="shared" si="8"/>
        <v>0</v>
      </c>
      <c r="BO16" s="33">
        <f t="shared" ref="BO16:CK16" si="9">BO15*BO41</f>
        <v>0</v>
      </c>
      <c r="BP16" s="33">
        <f t="shared" si="9"/>
        <v>0</v>
      </c>
      <c r="BQ16" s="33">
        <f t="shared" si="9"/>
        <v>0</v>
      </c>
      <c r="BR16" s="33">
        <f t="shared" si="9"/>
        <v>0</v>
      </c>
      <c r="BS16" s="33">
        <f t="shared" si="9"/>
        <v>0</v>
      </c>
      <c r="BT16" s="33">
        <f t="shared" si="9"/>
        <v>0</v>
      </c>
      <c r="BU16" s="33">
        <f t="shared" si="9"/>
        <v>0</v>
      </c>
      <c r="BV16" s="33">
        <f t="shared" si="9"/>
        <v>0</v>
      </c>
      <c r="BW16" s="33">
        <f t="shared" si="9"/>
        <v>0</v>
      </c>
      <c r="BX16" s="33">
        <f t="shared" si="9"/>
        <v>0</v>
      </c>
      <c r="BY16" s="33">
        <f t="shared" si="9"/>
        <v>0</v>
      </c>
      <c r="BZ16" s="33">
        <f t="shared" si="9"/>
        <v>0</v>
      </c>
      <c r="CA16" s="33">
        <f t="shared" si="9"/>
        <v>0</v>
      </c>
      <c r="CB16" s="33">
        <f t="shared" si="9"/>
        <v>0</v>
      </c>
      <c r="CC16" s="33">
        <f t="shared" si="9"/>
        <v>0</v>
      </c>
      <c r="CD16" s="33">
        <f t="shared" si="9"/>
        <v>0</v>
      </c>
      <c r="CE16" s="33">
        <f t="shared" si="9"/>
        <v>0</v>
      </c>
      <c r="CF16" s="33">
        <f t="shared" si="9"/>
        <v>0</v>
      </c>
      <c r="CG16" s="33" t="e">
        <f t="shared" si="9"/>
        <v>#DIV/0!</v>
      </c>
      <c r="CH16" s="33" t="e">
        <f t="shared" si="9"/>
        <v>#DIV/0!</v>
      </c>
      <c r="CI16" s="33" t="e">
        <f t="shared" si="9"/>
        <v>#DIV/0!</v>
      </c>
      <c r="CJ16" s="33" t="e">
        <f t="shared" si="9"/>
        <v>#DIV/0!</v>
      </c>
      <c r="CK16" s="33">
        <f t="shared" si="9"/>
        <v>0</v>
      </c>
    </row>
    <row r="17" spans="1:89" s="32" customFormat="1">
      <c r="A17" s="31" t="s">
        <v>402</v>
      </c>
      <c r="B17" s="34">
        <f>B15-B16</f>
        <v>254409699.51743281</v>
      </c>
      <c r="C17" s="34">
        <f t="shared" ref="C17:BN17" si="10">C15-C16</f>
        <v>160481744.86165914</v>
      </c>
      <c r="D17" s="34">
        <f t="shared" si="10"/>
        <v>89171597.401409581</v>
      </c>
      <c r="E17" s="34">
        <f t="shared" si="10"/>
        <v>460342407.97175407</v>
      </c>
      <c r="F17" s="34">
        <f t="shared" si="10"/>
        <v>222310938.69006878</v>
      </c>
      <c r="G17" s="34">
        <f t="shared" si="10"/>
        <v>147632554.00707045</v>
      </c>
      <c r="H17" s="34">
        <f t="shared" si="10"/>
        <v>68595442.571527973</v>
      </c>
      <c r="I17" s="34">
        <f t="shared" si="10"/>
        <v>416785713.12285483</v>
      </c>
      <c r="J17" s="34">
        <f t="shared" si="10"/>
        <v>222840519.6904735</v>
      </c>
      <c r="K17" s="34">
        <f t="shared" si="10"/>
        <v>156751861.65526953</v>
      </c>
      <c r="L17" s="34">
        <f t="shared" si="10"/>
        <v>80410468.181160063</v>
      </c>
      <c r="M17" s="34">
        <f t="shared" si="10"/>
        <v>370340003.07109141</v>
      </c>
      <c r="N17" s="34">
        <f t="shared" si="10"/>
        <v>223197437.85039365</v>
      </c>
      <c r="O17" s="34">
        <f t="shared" si="10"/>
        <v>163736898.33238417</v>
      </c>
      <c r="P17" s="34">
        <f t="shared" si="10"/>
        <v>92935422.523568526</v>
      </c>
      <c r="Q17" s="34">
        <f t="shared" si="10"/>
        <v>355639161.32765001</v>
      </c>
      <c r="R17" s="34">
        <f t="shared" si="10"/>
        <v>235496268.29230952</v>
      </c>
      <c r="S17" s="34">
        <f t="shared" si="10"/>
        <v>153027016.4847745</v>
      </c>
      <c r="T17" s="34">
        <f t="shared" si="10"/>
        <v>99721319.959109187</v>
      </c>
      <c r="U17" s="34">
        <f t="shared" si="10"/>
        <v>298431325.56034911</v>
      </c>
      <c r="V17" s="34">
        <f t="shared" si="10"/>
        <v>202569406.21976304</v>
      </c>
      <c r="W17" s="34">
        <f t="shared" si="10"/>
        <v>132844218.49301153</v>
      </c>
      <c r="X17" s="34">
        <f t="shared" si="10"/>
        <v>87162305.530891135</v>
      </c>
      <c r="Y17" s="34">
        <f t="shared" si="10"/>
        <v>251599662.55032301</v>
      </c>
      <c r="Z17" s="34">
        <f t="shared" si="10"/>
        <v>160292604.73476851</v>
      </c>
      <c r="AA17" s="34">
        <f t="shared" si="10"/>
        <v>107242257.94598928</v>
      </c>
      <c r="AB17" s="34">
        <f t="shared" si="10"/>
        <v>76842569.178709894</v>
      </c>
      <c r="AC17" s="34">
        <f t="shared" si="10"/>
        <v>197978854.9647738</v>
      </c>
      <c r="AD17" s="34">
        <f t="shared" si="10"/>
        <v>123135676.7084475</v>
      </c>
      <c r="AE17" s="34">
        <f t="shared" si="10"/>
        <v>82869587.939695537</v>
      </c>
      <c r="AF17" s="34">
        <f t="shared" si="10"/>
        <v>58235493.357691705</v>
      </c>
      <c r="AG17" s="34">
        <f t="shared" si="10"/>
        <v>119010513.76442324</v>
      </c>
      <c r="AH17" s="34">
        <f t="shared" si="10"/>
        <v>67930623.105684325</v>
      </c>
      <c r="AI17" s="34">
        <f t="shared" si="10"/>
        <v>47196067.050980181</v>
      </c>
      <c r="AJ17" s="34">
        <f t="shared" si="10"/>
        <v>36170142.041440062</v>
      </c>
      <c r="AK17" s="34">
        <f t="shared" si="10"/>
        <v>87668362.559835687</v>
      </c>
      <c r="AL17" s="34">
        <f t="shared" si="10"/>
        <v>53762745.916569911</v>
      </c>
      <c r="AM17" s="34">
        <f t="shared" si="10"/>
        <v>36137395.917931661</v>
      </c>
      <c r="AN17" s="34">
        <f t="shared" si="10"/>
        <v>25469935.446959831</v>
      </c>
      <c r="AO17" s="34">
        <f t="shared" si="10"/>
        <v>69815679.642379463</v>
      </c>
      <c r="AP17" s="34">
        <f t="shared" si="10"/>
        <v>49594110.670709372</v>
      </c>
      <c r="AQ17" s="34">
        <f t="shared" si="10"/>
        <v>63981639.734579101</v>
      </c>
      <c r="AR17" s="34">
        <f t="shared" si="10"/>
        <v>35883815.488721333</v>
      </c>
      <c r="AS17" s="34" t="e">
        <f t="shared" si="10"/>
        <v>#DIV/0!</v>
      </c>
      <c r="AT17" s="34">
        <f t="shared" si="10"/>
        <v>0</v>
      </c>
      <c r="AU17" s="34">
        <f t="shared" si="10"/>
        <v>0</v>
      </c>
      <c r="AV17" s="34">
        <f t="shared" si="10"/>
        <v>0</v>
      </c>
      <c r="AW17" s="34">
        <f t="shared" si="10"/>
        <v>0</v>
      </c>
      <c r="AX17" s="34">
        <f t="shared" si="10"/>
        <v>0</v>
      </c>
      <c r="AY17" s="34">
        <f t="shared" si="10"/>
        <v>0</v>
      </c>
      <c r="AZ17" s="34">
        <f t="shared" si="10"/>
        <v>0</v>
      </c>
      <c r="BA17" s="34">
        <f t="shared" si="10"/>
        <v>0</v>
      </c>
      <c r="BB17" s="34">
        <f t="shared" si="10"/>
        <v>0</v>
      </c>
      <c r="BC17" s="34">
        <f t="shared" si="10"/>
        <v>0</v>
      </c>
      <c r="BD17" s="34">
        <f t="shared" si="10"/>
        <v>0</v>
      </c>
      <c r="BE17" s="34">
        <f t="shared" si="10"/>
        <v>0</v>
      </c>
      <c r="BF17" s="34">
        <f t="shared" si="10"/>
        <v>0</v>
      </c>
      <c r="BG17" s="34">
        <f t="shared" si="10"/>
        <v>0</v>
      </c>
      <c r="BH17" s="34">
        <f t="shared" si="10"/>
        <v>0</v>
      </c>
      <c r="BI17" s="34">
        <f t="shared" si="10"/>
        <v>0</v>
      </c>
      <c r="BJ17" s="34">
        <f t="shared" si="10"/>
        <v>0</v>
      </c>
      <c r="BK17" s="34">
        <f t="shared" si="10"/>
        <v>0</v>
      </c>
      <c r="BL17" s="34">
        <f t="shared" si="10"/>
        <v>0</v>
      </c>
      <c r="BM17" s="34">
        <f t="shared" si="10"/>
        <v>0</v>
      </c>
      <c r="BN17" s="34">
        <f t="shared" si="10"/>
        <v>0</v>
      </c>
      <c r="BO17" s="34">
        <f t="shared" ref="BO17:CJ17" si="11">BO15-BO16</f>
        <v>0</v>
      </c>
      <c r="BP17" s="34">
        <f t="shared" si="11"/>
        <v>0</v>
      </c>
      <c r="BQ17" s="34">
        <f t="shared" si="11"/>
        <v>0</v>
      </c>
      <c r="BR17" s="34">
        <f t="shared" si="11"/>
        <v>0</v>
      </c>
      <c r="BS17" s="34">
        <f t="shared" si="11"/>
        <v>0</v>
      </c>
      <c r="BT17" s="34">
        <f t="shared" si="11"/>
        <v>0</v>
      </c>
      <c r="BU17" s="34">
        <f t="shared" si="11"/>
        <v>0</v>
      </c>
      <c r="BV17" s="34">
        <f t="shared" si="11"/>
        <v>0</v>
      </c>
      <c r="BW17" s="34">
        <f t="shared" si="11"/>
        <v>0</v>
      </c>
      <c r="BX17" s="34">
        <f t="shared" si="11"/>
        <v>0</v>
      </c>
      <c r="BY17" s="34">
        <f t="shared" si="11"/>
        <v>0</v>
      </c>
      <c r="BZ17" s="34">
        <f t="shared" si="11"/>
        <v>0</v>
      </c>
      <c r="CA17" s="34">
        <f t="shared" si="11"/>
        <v>0</v>
      </c>
      <c r="CB17" s="34">
        <f t="shared" si="11"/>
        <v>0</v>
      </c>
      <c r="CC17" s="34">
        <f t="shared" si="11"/>
        <v>0</v>
      </c>
      <c r="CD17" s="34">
        <f t="shared" si="11"/>
        <v>0</v>
      </c>
      <c r="CE17" s="34">
        <f t="shared" si="11"/>
        <v>0</v>
      </c>
      <c r="CF17" s="34">
        <f t="shared" si="11"/>
        <v>0</v>
      </c>
      <c r="CG17" s="34" t="e">
        <f t="shared" si="11"/>
        <v>#DIV/0!</v>
      </c>
      <c r="CH17" s="34" t="e">
        <f t="shared" si="11"/>
        <v>#DIV/0!</v>
      </c>
      <c r="CI17" s="34" t="e">
        <f t="shared" si="11"/>
        <v>#DIV/0!</v>
      </c>
      <c r="CJ17" s="34" t="e">
        <f t="shared" si="11"/>
        <v>#DIV/0!</v>
      </c>
    </row>
    <row r="18" spans="1:89" s="31" customFormat="1">
      <c r="A18" s="31" t="s">
        <v>404</v>
      </c>
      <c r="B18" s="35">
        <f>B17/B4*100</f>
        <v>14.428853246004664</v>
      </c>
      <c r="C18" s="35">
        <f t="shared" ref="C18:BN18" si="12">C17/C4*100</f>
        <v>14.004476755555768</v>
      </c>
      <c r="D18" s="35">
        <f t="shared" si="12"/>
        <v>16.144543267682764</v>
      </c>
      <c r="E18" s="35">
        <f t="shared" si="12"/>
        <v>17.59578490343122</v>
      </c>
      <c r="F18" s="35">
        <f t="shared" si="12"/>
        <v>14.44948543241906</v>
      </c>
      <c r="G18" s="35">
        <f t="shared" si="12"/>
        <v>15.357754133076206</v>
      </c>
      <c r="H18" s="35">
        <f t="shared" si="12"/>
        <v>15.901681621547572</v>
      </c>
      <c r="I18" s="35">
        <f t="shared" si="12"/>
        <v>18.030374422309499</v>
      </c>
      <c r="J18" s="35">
        <f t="shared" si="12"/>
        <v>16.534256536857388</v>
      </c>
      <c r="K18" s="35">
        <f t="shared" si="12"/>
        <v>17.789477540107061</v>
      </c>
      <c r="L18" s="35">
        <f t="shared" si="12"/>
        <v>18.651119160961201</v>
      </c>
      <c r="M18" s="35">
        <f t="shared" si="12"/>
        <v>17.697530622521626</v>
      </c>
      <c r="N18" s="35">
        <f t="shared" si="12"/>
        <v>17.190865338721153</v>
      </c>
      <c r="O18" s="35">
        <f t="shared" si="12"/>
        <v>18.98134965915898</v>
      </c>
      <c r="P18" s="35">
        <f t="shared" si="12"/>
        <v>20.095325331099392</v>
      </c>
      <c r="Q18" s="35">
        <f t="shared" si="12"/>
        <v>18.054885613011031</v>
      </c>
      <c r="R18" s="35">
        <f t="shared" si="12"/>
        <v>18.122920250187562</v>
      </c>
      <c r="S18" s="35">
        <f t="shared" si="12"/>
        <v>17.919082958551559</v>
      </c>
      <c r="T18" s="35">
        <f t="shared" si="12"/>
        <v>22.049924527158606</v>
      </c>
      <c r="U18" s="35">
        <f t="shared" si="12"/>
        <v>16.011162559689311</v>
      </c>
      <c r="V18" s="35">
        <f t="shared" si="12"/>
        <v>16.135415013768288</v>
      </c>
      <c r="W18" s="35">
        <f t="shared" si="12"/>
        <v>16.187030109651577</v>
      </c>
      <c r="X18" s="35">
        <f t="shared" si="12"/>
        <v>19.848936303848312</v>
      </c>
      <c r="Y18" s="35">
        <f t="shared" si="12"/>
        <v>14.15891143749692</v>
      </c>
      <c r="Z18" s="35">
        <f t="shared" si="12"/>
        <v>13.442370242881696</v>
      </c>
      <c r="AA18" s="35">
        <f t="shared" si="12"/>
        <v>14.139136433181982</v>
      </c>
      <c r="AB18" s="35">
        <f t="shared" si="12"/>
        <v>19.00574073857398</v>
      </c>
      <c r="AC18" s="35">
        <f t="shared" si="12"/>
        <v>13.621585835901001</v>
      </c>
      <c r="AD18" s="35">
        <f t="shared" si="12"/>
        <v>13.033086662930074</v>
      </c>
      <c r="AE18" s="35">
        <f t="shared" si="12"/>
        <v>13.63910732905191</v>
      </c>
      <c r="AF18" s="35">
        <f t="shared" si="12"/>
        <v>17.493971104112152</v>
      </c>
      <c r="AG18" s="35">
        <f t="shared" si="12"/>
        <v>11.150600057056845</v>
      </c>
      <c r="AH18" s="35">
        <f t="shared" si="12"/>
        <v>9.7311869397508346</v>
      </c>
      <c r="AI18" s="35">
        <f t="shared" si="12"/>
        <v>10.413431096696748</v>
      </c>
      <c r="AJ18" s="35">
        <f t="shared" si="12"/>
        <v>14.286857906989336</v>
      </c>
      <c r="AK18" s="35">
        <f t="shared" si="12"/>
        <v>11.072237859178475</v>
      </c>
      <c r="AL18" s="35">
        <f t="shared" si="12"/>
        <v>10.290432894933188</v>
      </c>
      <c r="AM18" s="35">
        <f t="shared" si="12"/>
        <v>11.182680511070568</v>
      </c>
      <c r="AN18" s="35">
        <f t="shared" si="12"/>
        <v>14.01380977011554</v>
      </c>
      <c r="AO18" s="35">
        <f t="shared" si="12"/>
        <v>10.255493126363639</v>
      </c>
      <c r="AP18" s="35">
        <f t="shared" si="12"/>
        <v>10.589239129813169</v>
      </c>
      <c r="AQ18" s="35">
        <f t="shared" si="12"/>
        <v>10.83999152113851</v>
      </c>
      <c r="AR18" s="35">
        <f t="shared" si="12"/>
        <v>8.5624683585552255</v>
      </c>
      <c r="AS18" s="35" t="e">
        <f t="shared" si="12"/>
        <v>#DIV/0!</v>
      </c>
      <c r="AT18" s="35" t="e">
        <f t="shared" si="12"/>
        <v>#DIV/0!</v>
      </c>
      <c r="AU18" s="35" t="e">
        <f t="shared" si="12"/>
        <v>#DIV/0!</v>
      </c>
      <c r="AV18" s="35" t="e">
        <f t="shared" si="12"/>
        <v>#DIV/0!</v>
      </c>
      <c r="AW18" s="35" t="e">
        <f t="shared" si="12"/>
        <v>#DIV/0!</v>
      </c>
      <c r="AX18" s="35" t="e">
        <f t="shared" si="12"/>
        <v>#DIV/0!</v>
      </c>
      <c r="AY18" s="35" t="e">
        <f t="shared" si="12"/>
        <v>#DIV/0!</v>
      </c>
      <c r="AZ18" s="35" t="e">
        <f t="shared" si="12"/>
        <v>#DIV/0!</v>
      </c>
      <c r="BA18" s="35" t="e">
        <f t="shared" si="12"/>
        <v>#DIV/0!</v>
      </c>
      <c r="BB18" s="35" t="e">
        <f t="shared" si="12"/>
        <v>#DIV/0!</v>
      </c>
      <c r="BC18" s="35" t="e">
        <f t="shared" si="12"/>
        <v>#DIV/0!</v>
      </c>
      <c r="BD18" s="35" t="e">
        <f t="shared" si="12"/>
        <v>#DIV/0!</v>
      </c>
      <c r="BE18" s="35" t="e">
        <f t="shared" si="12"/>
        <v>#DIV/0!</v>
      </c>
      <c r="BF18" s="35" t="e">
        <f t="shared" si="12"/>
        <v>#DIV/0!</v>
      </c>
      <c r="BG18" s="35" t="e">
        <f t="shared" si="12"/>
        <v>#DIV/0!</v>
      </c>
      <c r="BH18" s="35" t="e">
        <f t="shared" si="12"/>
        <v>#DIV/0!</v>
      </c>
      <c r="BI18" s="35" t="e">
        <f t="shared" si="12"/>
        <v>#DIV/0!</v>
      </c>
      <c r="BJ18" s="35" t="e">
        <f t="shared" si="12"/>
        <v>#DIV/0!</v>
      </c>
      <c r="BK18" s="35" t="e">
        <f t="shared" si="12"/>
        <v>#DIV/0!</v>
      </c>
      <c r="BL18" s="35" t="e">
        <f t="shared" si="12"/>
        <v>#DIV/0!</v>
      </c>
      <c r="BM18" s="35" t="e">
        <f t="shared" si="12"/>
        <v>#DIV/0!</v>
      </c>
      <c r="BN18" s="35" t="e">
        <f t="shared" si="12"/>
        <v>#DIV/0!</v>
      </c>
      <c r="BO18" s="35" t="e">
        <f t="shared" ref="BO18:CK18" si="13">BO17/BO4*100</f>
        <v>#DIV/0!</v>
      </c>
      <c r="BP18" s="35" t="e">
        <f t="shared" si="13"/>
        <v>#DIV/0!</v>
      </c>
      <c r="BQ18" s="35" t="e">
        <f t="shared" si="13"/>
        <v>#DIV/0!</v>
      </c>
      <c r="BR18" s="35" t="e">
        <f t="shared" si="13"/>
        <v>#DIV/0!</v>
      </c>
      <c r="BS18" s="35" t="e">
        <f t="shared" si="13"/>
        <v>#DIV/0!</v>
      </c>
      <c r="BT18" s="35" t="e">
        <f t="shared" si="13"/>
        <v>#DIV/0!</v>
      </c>
      <c r="BU18" s="35" t="e">
        <f t="shared" si="13"/>
        <v>#DIV/0!</v>
      </c>
      <c r="BV18" s="35" t="e">
        <f t="shared" si="13"/>
        <v>#DIV/0!</v>
      </c>
      <c r="BW18" s="35" t="e">
        <f t="shared" si="13"/>
        <v>#DIV/0!</v>
      </c>
      <c r="BX18" s="35" t="e">
        <f t="shared" si="13"/>
        <v>#DIV/0!</v>
      </c>
      <c r="BY18" s="35" t="e">
        <f t="shared" si="13"/>
        <v>#DIV/0!</v>
      </c>
      <c r="BZ18" s="35" t="e">
        <f t="shared" si="13"/>
        <v>#DIV/0!</v>
      </c>
      <c r="CA18" s="35" t="e">
        <f t="shared" si="13"/>
        <v>#DIV/0!</v>
      </c>
      <c r="CB18" s="35" t="e">
        <f t="shared" si="13"/>
        <v>#DIV/0!</v>
      </c>
      <c r="CC18" s="35" t="e">
        <f t="shared" si="13"/>
        <v>#DIV/0!</v>
      </c>
      <c r="CD18" s="35" t="e">
        <f t="shared" si="13"/>
        <v>#DIV/0!</v>
      </c>
      <c r="CE18" s="35" t="e">
        <f t="shared" si="13"/>
        <v>#DIV/0!</v>
      </c>
      <c r="CF18" s="35" t="e">
        <f t="shared" si="13"/>
        <v>#DIV/0!</v>
      </c>
      <c r="CG18" s="35" t="e">
        <f t="shared" si="13"/>
        <v>#DIV/0!</v>
      </c>
      <c r="CH18" s="35" t="e">
        <f t="shared" si="13"/>
        <v>#DIV/0!</v>
      </c>
      <c r="CI18" s="35" t="e">
        <f t="shared" si="13"/>
        <v>#DIV/0!</v>
      </c>
      <c r="CJ18" s="35" t="e">
        <f t="shared" si="13"/>
        <v>#DIV/0!</v>
      </c>
      <c r="CK18" s="35" t="e">
        <f t="shared" si="13"/>
        <v>#DIV/0!</v>
      </c>
    </row>
    <row r="19" spans="1:89" s="22" customFormat="1">
      <c r="A19" s="24" t="s">
        <v>86</v>
      </c>
      <c r="B19" s="37"/>
      <c r="C19" s="37"/>
      <c r="D19" s="37"/>
      <c r="E19" s="37"/>
      <c r="F19" s="37"/>
      <c r="G19" s="37"/>
      <c r="H19" s="37"/>
      <c r="I19" s="37"/>
      <c r="J19" s="37"/>
      <c r="K19" s="37"/>
    </row>
    <row r="20" spans="1:89">
      <c r="A20" s="23" t="s">
        <v>405</v>
      </c>
      <c r="B20" s="48">
        <v>0</v>
      </c>
      <c r="C20" s="48">
        <v>0</v>
      </c>
      <c r="D20" s="48">
        <v>0</v>
      </c>
      <c r="E20" s="48">
        <v>0</v>
      </c>
      <c r="F20" s="48">
        <v>0</v>
      </c>
      <c r="G20" s="48">
        <v>0</v>
      </c>
      <c r="H20" s="48">
        <v>0</v>
      </c>
      <c r="I20" s="48">
        <v>0</v>
      </c>
      <c r="J20" s="48">
        <v>0</v>
      </c>
      <c r="K20" s="48">
        <v>0</v>
      </c>
      <c r="L20" s="48">
        <v>0</v>
      </c>
      <c r="M20" s="48">
        <v>0</v>
      </c>
      <c r="N20" s="48">
        <v>0</v>
      </c>
      <c r="O20" s="48">
        <v>0</v>
      </c>
      <c r="P20" s="48">
        <v>0</v>
      </c>
      <c r="Q20" s="48">
        <v>0</v>
      </c>
      <c r="R20" s="48">
        <v>0</v>
      </c>
      <c r="S20" s="48">
        <v>0</v>
      </c>
      <c r="T20" s="48">
        <v>0</v>
      </c>
      <c r="U20" s="48">
        <v>0</v>
      </c>
      <c r="V20" s="48">
        <v>0</v>
      </c>
      <c r="W20" s="48">
        <v>0</v>
      </c>
      <c r="X20" s="48">
        <v>0</v>
      </c>
      <c r="Y20" s="48">
        <v>0</v>
      </c>
      <c r="Z20" s="48">
        <v>0</v>
      </c>
      <c r="AA20" s="48">
        <v>0</v>
      </c>
      <c r="AB20" s="48">
        <v>0</v>
      </c>
      <c r="AC20" s="48">
        <v>0</v>
      </c>
      <c r="AD20" s="48">
        <v>0</v>
      </c>
      <c r="AE20" s="48">
        <v>0</v>
      </c>
      <c r="AF20" s="48">
        <v>0</v>
      </c>
      <c r="AG20" s="48">
        <v>0</v>
      </c>
      <c r="AH20" s="48">
        <v>0</v>
      </c>
      <c r="AI20" s="48">
        <v>0</v>
      </c>
      <c r="AJ20" s="48">
        <v>0</v>
      </c>
      <c r="AK20" s="48">
        <v>0</v>
      </c>
      <c r="AL20" s="48">
        <v>0</v>
      </c>
      <c r="AM20" s="48">
        <v>0</v>
      </c>
      <c r="AN20" s="48">
        <v>0</v>
      </c>
      <c r="AO20" s="48">
        <v>0</v>
      </c>
      <c r="AP20" s="48">
        <v>0</v>
      </c>
      <c r="AQ20" s="48">
        <v>0</v>
      </c>
      <c r="AR20" s="48">
        <v>0</v>
      </c>
      <c r="AS20" s="48">
        <v>0</v>
      </c>
      <c r="AT20" s="48"/>
      <c r="AU20" s="48"/>
      <c r="AV20" s="48"/>
      <c r="AW20" s="48"/>
      <c r="AX20" s="48"/>
      <c r="AY20" s="48"/>
      <c r="AZ20" s="48"/>
      <c r="BA20" s="48"/>
      <c r="BB20" s="48"/>
      <c r="BC20" s="48"/>
      <c r="BD20" s="48"/>
      <c r="BE20" s="48"/>
      <c r="BF20" s="48"/>
      <c r="BG20" s="48"/>
      <c r="BH20" s="48"/>
      <c r="BI20" s="48"/>
      <c r="BJ20" s="48"/>
      <c r="BK20" s="48"/>
      <c r="BL20" s="48"/>
      <c r="BM20" s="48"/>
      <c r="BN20" s="48"/>
      <c r="BO20" s="48"/>
      <c r="BP20" s="48"/>
      <c r="BQ20" s="48"/>
      <c r="BR20" s="48"/>
      <c r="BS20" s="48"/>
      <c r="BT20" s="48"/>
      <c r="BU20" s="48"/>
      <c r="BV20" s="48"/>
      <c r="BW20" s="48"/>
      <c r="BX20" s="48"/>
      <c r="BY20" s="48"/>
      <c r="BZ20" s="48"/>
      <c r="CA20" s="48"/>
      <c r="CB20" s="48"/>
      <c r="CC20" s="48"/>
      <c r="CD20" s="48"/>
      <c r="CE20" s="48"/>
      <c r="CF20" s="48"/>
      <c r="CG20" s="48"/>
      <c r="CH20" s="48"/>
      <c r="CI20" s="48"/>
      <c r="CJ20" s="48"/>
      <c r="CK20" s="48"/>
    </row>
    <row r="21" spans="1:89" s="22" customFormat="1">
      <c r="A21" s="24" t="s">
        <v>87</v>
      </c>
      <c r="B21" s="37"/>
      <c r="C21" s="37"/>
      <c r="D21" s="37"/>
      <c r="E21" s="37"/>
      <c r="F21" s="37"/>
      <c r="G21" s="37"/>
      <c r="H21" s="37"/>
      <c r="I21" s="37"/>
      <c r="J21" s="37"/>
      <c r="K21" s="37"/>
    </row>
    <row r="22" spans="1:89">
      <c r="A22" s="23" t="s">
        <v>406</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119300</v>
      </c>
      <c r="AS22" s="48">
        <v>0</v>
      </c>
      <c r="AT22" s="48"/>
      <c r="AU22" s="48"/>
      <c r="AV22" s="48"/>
      <c r="AW22" s="48"/>
      <c r="AX22" s="48"/>
      <c r="AY22" s="48"/>
      <c r="AZ22" s="48"/>
      <c r="BA22" s="48"/>
      <c r="BB22" s="48"/>
      <c r="BC22" s="48"/>
      <c r="BD22" s="48"/>
      <c r="BE22" s="48"/>
      <c r="BF22" s="48"/>
      <c r="BG22" s="48"/>
      <c r="BH22" s="48"/>
      <c r="BI22" s="48"/>
      <c r="BJ22" s="48"/>
      <c r="BK22" s="48"/>
      <c r="BL22" s="48"/>
      <c r="BM22" s="48"/>
      <c r="BN22" s="48"/>
      <c r="BO22" s="48"/>
      <c r="BP22" s="48"/>
      <c r="BQ22" s="48"/>
      <c r="BR22" s="48"/>
      <c r="BS22" s="48"/>
      <c r="BT22" s="48"/>
      <c r="BU22" s="48"/>
      <c r="BV22" s="48"/>
      <c r="BW22" s="48"/>
      <c r="BX22" s="48"/>
      <c r="BY22" s="48"/>
      <c r="BZ22" s="48"/>
      <c r="CA22" s="48"/>
      <c r="CB22" s="48"/>
      <c r="CC22" s="48"/>
      <c r="CD22" s="48"/>
      <c r="CE22" s="48"/>
      <c r="CF22" s="48"/>
      <c r="CG22" s="48"/>
      <c r="CH22" s="48"/>
      <c r="CI22" s="48"/>
      <c r="CJ22" s="48"/>
      <c r="CK22" s="48"/>
    </row>
    <row r="23" spans="1:89" s="9" customFormat="1">
      <c r="A23" s="27" t="s">
        <v>407</v>
      </c>
      <c r="B23" s="36">
        <f>-B52</f>
        <v>25636</v>
      </c>
      <c r="C23" s="36">
        <f t="shared" ref="C23:BN23" si="14">-C52</f>
        <v>27718</v>
      </c>
      <c r="D23" s="36">
        <f t="shared" si="14"/>
        <v>35317</v>
      </c>
      <c r="E23" s="36">
        <f t="shared" si="14"/>
        <v>3059576</v>
      </c>
      <c r="F23" s="36">
        <f t="shared" si="14"/>
        <v>34414</v>
      </c>
      <c r="G23" s="36">
        <f t="shared" si="14"/>
        <v>23309</v>
      </c>
      <c r="H23" s="36">
        <f t="shared" si="14"/>
        <v>16814</v>
      </c>
      <c r="I23" s="36">
        <f t="shared" si="14"/>
        <v>4928807.6399999997</v>
      </c>
      <c r="J23" s="36">
        <f t="shared" si="14"/>
        <v>0</v>
      </c>
      <c r="K23" s="36">
        <f t="shared" si="14"/>
        <v>0</v>
      </c>
      <c r="L23" s="36">
        <f t="shared" si="14"/>
        <v>0</v>
      </c>
      <c r="M23" s="36">
        <f t="shared" si="14"/>
        <v>19122987.059999999</v>
      </c>
      <c r="N23" s="36">
        <f t="shared" si="14"/>
        <v>0</v>
      </c>
      <c r="O23" s="36">
        <f t="shared" si="14"/>
        <v>0</v>
      </c>
      <c r="P23" s="36">
        <f t="shared" si="14"/>
        <v>0</v>
      </c>
      <c r="Q23" s="36">
        <f t="shared" si="14"/>
        <v>9916405.3300000001</v>
      </c>
      <c r="R23" s="36">
        <f t="shared" si="14"/>
        <v>0</v>
      </c>
      <c r="S23" s="36">
        <f t="shared" si="14"/>
        <v>0</v>
      </c>
      <c r="T23" s="36">
        <f t="shared" si="14"/>
        <v>0</v>
      </c>
      <c r="U23" s="36">
        <f t="shared" si="14"/>
        <v>9589204.1500000004</v>
      </c>
      <c r="V23" s="36">
        <f t="shared" si="14"/>
        <v>0</v>
      </c>
      <c r="W23" s="36">
        <f t="shared" si="14"/>
        <v>0</v>
      </c>
      <c r="X23" s="36">
        <f t="shared" si="14"/>
        <v>0</v>
      </c>
      <c r="Y23" s="36">
        <f t="shared" si="14"/>
        <v>10549127.15</v>
      </c>
      <c r="Z23" s="36">
        <f t="shared" si="14"/>
        <v>0</v>
      </c>
      <c r="AA23" s="36">
        <f t="shared" si="14"/>
        <v>0</v>
      </c>
      <c r="AB23" s="36">
        <f t="shared" si="14"/>
        <v>0</v>
      </c>
      <c r="AC23" s="36">
        <f t="shared" si="14"/>
        <v>7883661.5899999999</v>
      </c>
      <c r="AD23" s="36">
        <f t="shared" si="14"/>
        <v>0</v>
      </c>
      <c r="AE23" s="36">
        <f t="shared" si="14"/>
        <v>0</v>
      </c>
      <c r="AF23" s="36">
        <f t="shared" si="14"/>
        <v>0</v>
      </c>
      <c r="AG23" s="36">
        <f t="shared" si="14"/>
        <v>11009328.199999999</v>
      </c>
      <c r="AH23" s="36">
        <f t="shared" si="14"/>
        <v>0</v>
      </c>
      <c r="AI23" s="36">
        <f t="shared" si="14"/>
        <v>0</v>
      </c>
      <c r="AJ23" s="36">
        <f t="shared" si="14"/>
        <v>0</v>
      </c>
      <c r="AK23" s="36">
        <f t="shared" si="14"/>
        <v>316788.09999999998</v>
      </c>
      <c r="AL23" s="36">
        <f t="shared" si="14"/>
        <v>0</v>
      </c>
      <c r="AM23" s="36">
        <f t="shared" si="14"/>
        <v>0</v>
      </c>
      <c r="AN23" s="36">
        <f t="shared" si="14"/>
        <v>0</v>
      </c>
      <c r="AO23" s="36">
        <f t="shared" si="14"/>
        <v>351373.42</v>
      </c>
      <c r="AP23" s="36">
        <f t="shared" si="14"/>
        <v>0</v>
      </c>
      <c r="AQ23" s="36">
        <f t="shared" si="14"/>
        <v>0</v>
      </c>
      <c r="AR23" s="36">
        <f t="shared" si="14"/>
        <v>0</v>
      </c>
      <c r="AS23" s="36">
        <f t="shared" si="14"/>
        <v>0</v>
      </c>
      <c r="AT23" s="36">
        <f t="shared" si="14"/>
        <v>0</v>
      </c>
      <c r="AU23" s="36">
        <f t="shared" si="14"/>
        <v>0</v>
      </c>
      <c r="AV23" s="36">
        <f t="shared" si="14"/>
        <v>0</v>
      </c>
      <c r="AW23" s="36">
        <f t="shared" si="14"/>
        <v>0</v>
      </c>
      <c r="AX23" s="36">
        <f t="shared" si="14"/>
        <v>0</v>
      </c>
      <c r="AY23" s="36">
        <f t="shared" si="14"/>
        <v>0</v>
      </c>
      <c r="AZ23" s="36">
        <f t="shared" si="14"/>
        <v>0</v>
      </c>
      <c r="BA23" s="36">
        <f t="shared" si="14"/>
        <v>0</v>
      </c>
      <c r="BB23" s="36">
        <f t="shared" si="14"/>
        <v>0</v>
      </c>
      <c r="BC23" s="36">
        <f t="shared" si="14"/>
        <v>0</v>
      </c>
      <c r="BD23" s="36">
        <f t="shared" si="14"/>
        <v>0</v>
      </c>
      <c r="BE23" s="36">
        <f t="shared" si="14"/>
        <v>0</v>
      </c>
      <c r="BF23" s="36">
        <f t="shared" si="14"/>
        <v>0</v>
      </c>
      <c r="BG23" s="36">
        <f t="shared" si="14"/>
        <v>0</v>
      </c>
      <c r="BH23" s="36">
        <f t="shared" si="14"/>
        <v>0</v>
      </c>
      <c r="BI23" s="36">
        <f t="shared" si="14"/>
        <v>0</v>
      </c>
      <c r="BJ23" s="36">
        <f t="shared" si="14"/>
        <v>0</v>
      </c>
      <c r="BK23" s="36">
        <f t="shared" si="14"/>
        <v>0</v>
      </c>
      <c r="BL23" s="36">
        <f t="shared" si="14"/>
        <v>0</v>
      </c>
      <c r="BM23" s="36">
        <f t="shared" si="14"/>
        <v>0</v>
      </c>
      <c r="BN23" s="36">
        <f t="shared" si="14"/>
        <v>0</v>
      </c>
      <c r="BO23" s="36">
        <f t="shared" ref="BO23:CK23" si="15">-BO52</f>
        <v>0</v>
      </c>
      <c r="BP23" s="36">
        <f t="shared" si="15"/>
        <v>0</v>
      </c>
      <c r="BQ23" s="36">
        <f t="shared" si="15"/>
        <v>0</v>
      </c>
      <c r="BR23" s="36">
        <f t="shared" si="15"/>
        <v>0</v>
      </c>
      <c r="BS23" s="36">
        <f t="shared" si="15"/>
        <v>0</v>
      </c>
      <c r="BT23" s="36">
        <f t="shared" si="15"/>
        <v>0</v>
      </c>
      <c r="BU23" s="36">
        <f t="shared" si="15"/>
        <v>0</v>
      </c>
      <c r="BV23" s="36">
        <f t="shared" si="15"/>
        <v>0</v>
      </c>
      <c r="BW23" s="36">
        <f t="shared" si="15"/>
        <v>0</v>
      </c>
      <c r="BX23" s="36">
        <f t="shared" si="15"/>
        <v>0</v>
      </c>
      <c r="BY23" s="36">
        <f t="shared" si="15"/>
        <v>0</v>
      </c>
      <c r="BZ23" s="36">
        <f t="shared" si="15"/>
        <v>0</v>
      </c>
      <c r="CA23" s="36">
        <f t="shared" si="15"/>
        <v>0</v>
      </c>
      <c r="CB23" s="36">
        <f t="shared" si="15"/>
        <v>0</v>
      </c>
      <c r="CC23" s="36">
        <f t="shared" si="15"/>
        <v>0</v>
      </c>
      <c r="CD23" s="36">
        <f t="shared" si="15"/>
        <v>0</v>
      </c>
      <c r="CE23" s="36">
        <f t="shared" si="15"/>
        <v>0</v>
      </c>
      <c r="CF23" s="36">
        <f t="shared" si="15"/>
        <v>0</v>
      </c>
      <c r="CG23" s="36">
        <f t="shared" si="15"/>
        <v>0</v>
      </c>
      <c r="CH23" s="36">
        <f t="shared" si="15"/>
        <v>0</v>
      </c>
      <c r="CI23" s="36">
        <f t="shared" si="15"/>
        <v>0</v>
      </c>
      <c r="CJ23" s="36">
        <f t="shared" si="15"/>
        <v>0</v>
      </c>
      <c r="CK23" s="36">
        <f t="shared" si="15"/>
        <v>0</v>
      </c>
    </row>
    <row r="24" spans="1:89">
      <c r="A24" s="23" t="s">
        <v>408</v>
      </c>
      <c r="B24" s="33">
        <f>B67</f>
        <v>37792639.450000003</v>
      </c>
      <c r="C24" s="33">
        <f t="shared" ref="C24:BN24" si="16">C67</f>
        <v>23153077.890000001</v>
      </c>
      <c r="D24" s="33">
        <f t="shared" si="16"/>
        <v>8288255.6399999997</v>
      </c>
      <c r="E24" s="33">
        <f>E67</f>
        <v>30638859.370000001</v>
      </c>
      <c r="F24" s="33">
        <f t="shared" si="16"/>
        <v>22034526.75</v>
      </c>
      <c r="G24" s="33">
        <f t="shared" si="16"/>
        <v>13274011.41</v>
      </c>
      <c r="H24" s="33">
        <f t="shared" si="16"/>
        <v>12846614.15</v>
      </c>
      <c r="I24" s="33">
        <f t="shared" si="16"/>
        <v>22419837.09</v>
      </c>
      <c r="J24" s="33">
        <f t="shared" si="16"/>
        <v>22202165.859999999</v>
      </c>
      <c r="K24" s="33">
        <f t="shared" si="16"/>
        <v>12582123.27</v>
      </c>
      <c r="L24" s="33">
        <f t="shared" si="16"/>
        <v>7503150.6799999997</v>
      </c>
      <c r="M24" s="33">
        <f t="shared" si="16"/>
        <v>18309739.620000001</v>
      </c>
      <c r="N24" s="33">
        <f t="shared" si="16"/>
        <v>19195986.190000001</v>
      </c>
      <c r="O24" s="33">
        <f t="shared" si="16"/>
        <v>14578890.34</v>
      </c>
      <c r="P24" s="33">
        <f t="shared" si="16"/>
        <v>4794794.4400000004</v>
      </c>
      <c r="Q24" s="33">
        <f t="shared" si="16"/>
        <v>16862699.91</v>
      </c>
      <c r="R24" s="33">
        <f t="shared" si="16"/>
        <v>6658557</v>
      </c>
      <c r="S24" s="33">
        <f t="shared" si="16"/>
        <v>3873017.43</v>
      </c>
      <c r="T24" s="33">
        <f t="shared" si="16"/>
        <v>772876.71</v>
      </c>
      <c r="U24" s="33">
        <f t="shared" si="16"/>
        <v>12012656.6</v>
      </c>
      <c r="V24" s="33">
        <f t="shared" si="16"/>
        <v>6317472.4100000001</v>
      </c>
      <c r="W24" s="33">
        <f t="shared" si="16"/>
        <v>1644250.19</v>
      </c>
      <c r="X24" s="33">
        <f t="shared" si="16"/>
        <v>118356.16</v>
      </c>
      <c r="Y24" s="33">
        <f t="shared" si="16"/>
        <v>119671.23</v>
      </c>
      <c r="Z24" s="33">
        <f t="shared" si="16"/>
        <v>0</v>
      </c>
      <c r="AA24" s="33">
        <f t="shared" si="16"/>
        <v>0</v>
      </c>
      <c r="AB24" s="33">
        <f t="shared" si="16"/>
        <v>0</v>
      </c>
      <c r="AC24" s="33">
        <f t="shared" si="16"/>
        <v>3122265.47</v>
      </c>
      <c r="AD24" s="33">
        <f t="shared" si="16"/>
        <v>0</v>
      </c>
      <c r="AE24" s="33">
        <f t="shared" si="16"/>
        <v>0</v>
      </c>
      <c r="AF24" s="33">
        <f t="shared" si="16"/>
        <v>0</v>
      </c>
      <c r="AG24" s="33">
        <f t="shared" si="16"/>
        <v>0</v>
      </c>
      <c r="AH24" s="33">
        <f t="shared" si="16"/>
        <v>0</v>
      </c>
      <c r="AI24" s="33">
        <f t="shared" si="16"/>
        <v>0</v>
      </c>
      <c r="AJ24" s="33">
        <f t="shared" si="16"/>
        <v>0</v>
      </c>
      <c r="AK24" s="33">
        <f t="shared" si="16"/>
        <v>0</v>
      </c>
      <c r="AL24" s="33">
        <f t="shared" si="16"/>
        <v>20328.759999999998</v>
      </c>
      <c r="AM24" s="33">
        <f t="shared" si="16"/>
        <v>0</v>
      </c>
      <c r="AN24" s="33">
        <f t="shared" si="16"/>
        <v>0</v>
      </c>
      <c r="AO24" s="33">
        <f t="shared" si="16"/>
        <v>0</v>
      </c>
      <c r="AP24" s="33">
        <f t="shared" si="16"/>
        <v>0</v>
      </c>
      <c r="AQ24" s="33">
        <f t="shared" si="16"/>
        <v>0</v>
      </c>
      <c r="AR24" s="33">
        <f t="shared" si="16"/>
        <v>248300</v>
      </c>
      <c r="AS24" s="33">
        <f t="shared" si="16"/>
        <v>0</v>
      </c>
      <c r="AT24" s="33">
        <f t="shared" si="16"/>
        <v>3145948.9100000262</v>
      </c>
      <c r="AU24" s="33">
        <f t="shared" si="16"/>
        <v>3221938.3999999762</v>
      </c>
      <c r="AV24" s="33">
        <f t="shared" si="16"/>
        <v>0</v>
      </c>
      <c r="AW24" s="33">
        <f t="shared" si="16"/>
        <v>106002085.7</v>
      </c>
      <c r="AX24" s="33">
        <f t="shared" si="16"/>
        <v>78146813.989999995</v>
      </c>
      <c r="AY24" s="33">
        <f t="shared" si="16"/>
        <v>31508275.550000001</v>
      </c>
      <c r="AZ24" s="33">
        <f t="shared" si="16"/>
        <v>6818330.1399999997</v>
      </c>
      <c r="BA24" s="33">
        <f t="shared" si="16"/>
        <v>-52414533.450000003</v>
      </c>
      <c r="BB24" s="33">
        <f t="shared" si="16"/>
        <v>-47415743.689999998</v>
      </c>
      <c r="BC24" s="33">
        <f t="shared" si="16"/>
        <v>-4476487.08</v>
      </c>
      <c r="BD24" s="33">
        <f t="shared" si="16"/>
        <v>13731417.210000001</v>
      </c>
      <c r="BE24" s="33">
        <f t="shared" si="16"/>
        <v>74080792.579999998</v>
      </c>
      <c r="BF24" s="33">
        <f t="shared" si="16"/>
        <v>53634658.140000001</v>
      </c>
      <c r="BG24" s="33">
        <f t="shared" si="16"/>
        <v>44718368.039999999</v>
      </c>
      <c r="BH24" s="33">
        <f t="shared" si="16"/>
        <v>13012623.23</v>
      </c>
      <c r="BI24" s="33">
        <f t="shared" si="16"/>
        <v>129351232.81999999</v>
      </c>
      <c r="BJ24" s="33">
        <f t="shared" si="16"/>
        <v>126231548.87</v>
      </c>
      <c r="BK24" s="33">
        <f t="shared" si="16"/>
        <v>99137772.019999996</v>
      </c>
      <c r="BL24" s="33">
        <f t="shared" si="16"/>
        <v>21058739.870000001</v>
      </c>
      <c r="BM24" s="33">
        <f t="shared" si="16"/>
        <v>80579243.650000006</v>
      </c>
      <c r="BN24" s="33">
        <f t="shared" si="16"/>
        <v>68017088.620000005</v>
      </c>
      <c r="BO24" s="33">
        <f t="shared" ref="BO24:CJ24" si="17">BO67</f>
        <v>47536007.049999997</v>
      </c>
      <c r="BP24" s="33">
        <f t="shared" si="17"/>
        <v>23536334.48</v>
      </c>
      <c r="BQ24" s="33">
        <f t="shared" si="17"/>
        <v>47111894.539999999</v>
      </c>
      <c r="BR24" s="33">
        <f t="shared" si="17"/>
        <v>43130624.329999998</v>
      </c>
      <c r="BS24" s="33">
        <f t="shared" si="17"/>
        <v>110636895.03</v>
      </c>
      <c r="BT24" s="33">
        <f t="shared" si="17"/>
        <v>55492097.759999998</v>
      </c>
      <c r="BU24" s="33">
        <f t="shared" si="17"/>
        <v>42252799.109999999</v>
      </c>
      <c r="BV24" s="33">
        <f t="shared" si="17"/>
        <v>-8467811.9100000001</v>
      </c>
      <c r="BW24" s="33">
        <f t="shared" si="17"/>
        <v>44423828.259999998</v>
      </c>
      <c r="BX24" s="33">
        <f t="shared" si="17"/>
        <v>-2405395.41</v>
      </c>
      <c r="BY24" s="33">
        <f t="shared" si="17"/>
        <v>43588942.600000001</v>
      </c>
      <c r="BZ24" s="33">
        <f t="shared" si="17"/>
        <v>2100000</v>
      </c>
      <c r="CA24" s="33">
        <f t="shared" si="17"/>
        <v>5299206.3</v>
      </c>
      <c r="CB24" s="33">
        <f t="shared" si="17"/>
        <v>3033836.53</v>
      </c>
      <c r="CC24" s="33">
        <f t="shared" si="17"/>
        <v>10641347.550000001</v>
      </c>
      <c r="CD24" s="33">
        <f t="shared" si="17"/>
        <v>5790000</v>
      </c>
      <c r="CE24" s="33">
        <f t="shared" si="17"/>
        <v>7729000</v>
      </c>
      <c r="CF24" s="33">
        <f t="shared" si="17"/>
        <v>2092581.44</v>
      </c>
      <c r="CG24" s="33">
        <f t="shared" si="17"/>
        <v>0</v>
      </c>
      <c r="CH24" s="33">
        <f t="shared" si="17"/>
        <v>0</v>
      </c>
      <c r="CI24" s="33">
        <f t="shared" si="17"/>
        <v>0</v>
      </c>
      <c r="CJ24" s="33">
        <f t="shared" si="17"/>
        <v>0</v>
      </c>
    </row>
    <row r="25" spans="1:89" s="9" customFormat="1">
      <c r="A25" s="27" t="s">
        <v>409</v>
      </c>
      <c r="B25" s="36">
        <f>-B54</f>
        <v>-3104</v>
      </c>
      <c r="C25" s="36">
        <f t="shared" ref="C25:BN25" si="18">-C54</f>
        <v>1424</v>
      </c>
      <c r="D25" s="36">
        <f t="shared" si="18"/>
        <v>340</v>
      </c>
      <c r="E25" s="36">
        <f t="shared" si="18"/>
        <v>-53457.74</v>
      </c>
      <c r="F25" s="36">
        <f t="shared" si="18"/>
        <v>-2684</v>
      </c>
      <c r="G25" s="36">
        <f t="shared" si="18"/>
        <v>377</v>
      </c>
      <c r="H25" s="36">
        <f t="shared" si="18"/>
        <v>-1008</v>
      </c>
      <c r="I25" s="36">
        <f t="shared" si="18"/>
        <v>388814.33</v>
      </c>
      <c r="J25" s="36">
        <f t="shared" si="18"/>
        <v>0</v>
      </c>
      <c r="K25" s="36">
        <f t="shared" si="18"/>
        <v>0</v>
      </c>
      <c r="L25" s="36">
        <f t="shared" si="18"/>
        <v>0</v>
      </c>
      <c r="M25" s="36">
        <f t="shared" si="18"/>
        <v>-26976.02</v>
      </c>
      <c r="N25" s="36">
        <f t="shared" si="18"/>
        <v>0</v>
      </c>
      <c r="O25" s="36">
        <f t="shared" si="18"/>
        <v>0</v>
      </c>
      <c r="P25" s="36">
        <f t="shared" si="18"/>
        <v>0</v>
      </c>
      <c r="Q25" s="36">
        <f t="shared" si="18"/>
        <v>-28479.74</v>
      </c>
      <c r="R25" s="36">
        <f t="shared" si="18"/>
        <v>0</v>
      </c>
      <c r="S25" s="36">
        <f t="shared" si="18"/>
        <v>0</v>
      </c>
      <c r="T25" s="36">
        <f t="shared" si="18"/>
        <v>0</v>
      </c>
      <c r="U25" s="36">
        <f t="shared" si="18"/>
        <v>-4521.46</v>
      </c>
      <c r="V25" s="36">
        <f t="shared" si="18"/>
        <v>0</v>
      </c>
      <c r="W25" s="36">
        <f t="shared" si="18"/>
        <v>0</v>
      </c>
      <c r="X25" s="36">
        <f t="shared" si="18"/>
        <v>0</v>
      </c>
      <c r="Y25" s="36">
        <f t="shared" si="18"/>
        <v>-1450.91</v>
      </c>
      <c r="Z25" s="36">
        <f t="shared" si="18"/>
        <v>0</v>
      </c>
      <c r="AA25" s="36">
        <f t="shared" si="18"/>
        <v>0</v>
      </c>
      <c r="AB25" s="36">
        <f t="shared" si="18"/>
        <v>0</v>
      </c>
      <c r="AC25" s="36">
        <f t="shared" si="18"/>
        <v>588.55999999999995</v>
      </c>
      <c r="AD25" s="36">
        <f t="shared" si="18"/>
        <v>0</v>
      </c>
      <c r="AE25" s="36">
        <f t="shared" si="18"/>
        <v>0</v>
      </c>
      <c r="AF25" s="36">
        <f t="shared" si="18"/>
        <v>0</v>
      </c>
      <c r="AG25" s="36">
        <f t="shared" si="18"/>
        <v>-99325.53</v>
      </c>
      <c r="AH25" s="36">
        <f t="shared" si="18"/>
        <v>0</v>
      </c>
      <c r="AI25" s="36">
        <f t="shared" si="18"/>
        <v>0</v>
      </c>
      <c r="AJ25" s="36">
        <f t="shared" si="18"/>
        <v>0</v>
      </c>
      <c r="AK25" s="36">
        <f t="shared" si="18"/>
        <v>-38012.89</v>
      </c>
      <c r="AL25" s="36">
        <f t="shared" si="18"/>
        <v>0</v>
      </c>
      <c r="AM25" s="36">
        <f t="shared" si="18"/>
        <v>0</v>
      </c>
      <c r="AN25" s="36">
        <f t="shared" si="18"/>
        <v>0</v>
      </c>
      <c r="AO25" s="36">
        <f t="shared" si="18"/>
        <v>-427068.29</v>
      </c>
      <c r="AP25" s="36">
        <f t="shared" si="18"/>
        <v>0</v>
      </c>
      <c r="AQ25" s="36">
        <f t="shared" si="18"/>
        <v>0</v>
      </c>
      <c r="AR25" s="36">
        <f t="shared" si="18"/>
        <v>0</v>
      </c>
      <c r="AS25" s="36">
        <f t="shared" si="18"/>
        <v>0</v>
      </c>
      <c r="AT25" s="36">
        <f t="shared" si="18"/>
        <v>0</v>
      </c>
      <c r="AU25" s="36">
        <f t="shared" si="18"/>
        <v>0</v>
      </c>
      <c r="AV25" s="36">
        <f t="shared" si="18"/>
        <v>0</v>
      </c>
      <c r="AW25" s="36">
        <f t="shared" si="18"/>
        <v>0</v>
      </c>
      <c r="AX25" s="36">
        <f t="shared" si="18"/>
        <v>0</v>
      </c>
      <c r="AY25" s="36">
        <f t="shared" si="18"/>
        <v>0</v>
      </c>
      <c r="AZ25" s="36">
        <f t="shared" si="18"/>
        <v>0</v>
      </c>
      <c r="BA25" s="36">
        <f t="shared" si="18"/>
        <v>0</v>
      </c>
      <c r="BB25" s="36">
        <f t="shared" si="18"/>
        <v>0</v>
      </c>
      <c r="BC25" s="36">
        <f t="shared" si="18"/>
        <v>0</v>
      </c>
      <c r="BD25" s="36">
        <f t="shared" si="18"/>
        <v>0</v>
      </c>
      <c r="BE25" s="36">
        <f t="shared" si="18"/>
        <v>0</v>
      </c>
      <c r="BF25" s="36">
        <f t="shared" si="18"/>
        <v>0</v>
      </c>
      <c r="BG25" s="36">
        <f t="shared" si="18"/>
        <v>0</v>
      </c>
      <c r="BH25" s="36">
        <f t="shared" si="18"/>
        <v>0</v>
      </c>
      <c r="BI25" s="36">
        <f t="shared" si="18"/>
        <v>0</v>
      </c>
      <c r="BJ25" s="36">
        <f t="shared" si="18"/>
        <v>0</v>
      </c>
      <c r="BK25" s="36">
        <f t="shared" si="18"/>
        <v>0</v>
      </c>
      <c r="BL25" s="36">
        <f t="shared" si="18"/>
        <v>0</v>
      </c>
      <c r="BM25" s="36">
        <f t="shared" si="18"/>
        <v>0</v>
      </c>
      <c r="BN25" s="36">
        <f t="shared" si="18"/>
        <v>0</v>
      </c>
      <c r="BO25" s="36">
        <f t="shared" ref="BO25:CK25" si="19">-BO54</f>
        <v>0</v>
      </c>
      <c r="BP25" s="36">
        <f t="shared" si="19"/>
        <v>0</v>
      </c>
      <c r="BQ25" s="36">
        <f t="shared" si="19"/>
        <v>0</v>
      </c>
      <c r="BR25" s="36">
        <f t="shared" si="19"/>
        <v>0</v>
      </c>
      <c r="BS25" s="36">
        <f t="shared" si="19"/>
        <v>0</v>
      </c>
      <c r="BT25" s="36">
        <f t="shared" si="19"/>
        <v>0</v>
      </c>
      <c r="BU25" s="36">
        <f t="shared" si="19"/>
        <v>0</v>
      </c>
      <c r="BV25" s="36">
        <f t="shared" si="19"/>
        <v>0</v>
      </c>
      <c r="BW25" s="36">
        <f t="shared" si="19"/>
        <v>0</v>
      </c>
      <c r="BX25" s="36">
        <f t="shared" si="19"/>
        <v>0</v>
      </c>
      <c r="BY25" s="36">
        <f t="shared" si="19"/>
        <v>0</v>
      </c>
      <c r="BZ25" s="36">
        <f t="shared" si="19"/>
        <v>0</v>
      </c>
      <c r="CA25" s="36">
        <f t="shared" si="19"/>
        <v>0</v>
      </c>
      <c r="CB25" s="36">
        <f t="shared" si="19"/>
        <v>0</v>
      </c>
      <c r="CC25" s="36">
        <f t="shared" si="19"/>
        <v>0</v>
      </c>
      <c r="CD25" s="36">
        <f t="shared" si="19"/>
        <v>0</v>
      </c>
      <c r="CE25" s="36">
        <f t="shared" si="19"/>
        <v>0</v>
      </c>
      <c r="CF25" s="36">
        <f t="shared" si="19"/>
        <v>0</v>
      </c>
      <c r="CG25" s="36">
        <f t="shared" si="19"/>
        <v>0</v>
      </c>
      <c r="CH25" s="36">
        <f t="shared" si="19"/>
        <v>0</v>
      </c>
      <c r="CI25" s="36">
        <f t="shared" si="19"/>
        <v>0</v>
      </c>
      <c r="CJ25" s="36">
        <f t="shared" si="19"/>
        <v>0</v>
      </c>
      <c r="CK25" s="36">
        <f t="shared" si="19"/>
        <v>0</v>
      </c>
    </row>
    <row r="26" spans="1:89">
      <c r="A26" s="23" t="s">
        <v>410</v>
      </c>
      <c r="B26" s="48">
        <v>0</v>
      </c>
      <c r="C26" s="48">
        <v>0</v>
      </c>
      <c r="D26" s="48">
        <v>0</v>
      </c>
      <c r="E26" s="48">
        <v>0</v>
      </c>
      <c r="F26" s="48">
        <v>0</v>
      </c>
      <c r="G26" s="48">
        <v>0</v>
      </c>
      <c r="H26" s="48">
        <v>0</v>
      </c>
      <c r="I26" s="48">
        <v>0</v>
      </c>
      <c r="J26" s="48">
        <v>0</v>
      </c>
      <c r="K26" s="48">
        <v>0</v>
      </c>
      <c r="L26" s="48">
        <v>0</v>
      </c>
      <c r="M26" s="48">
        <v>0</v>
      </c>
      <c r="N26" s="48">
        <v>0</v>
      </c>
      <c r="O26" s="48">
        <v>0</v>
      </c>
      <c r="P26" s="48">
        <v>0</v>
      </c>
      <c r="Q26" s="48">
        <v>0</v>
      </c>
      <c r="R26" s="48">
        <v>0</v>
      </c>
      <c r="S26" s="48">
        <v>0</v>
      </c>
      <c r="T26" s="48">
        <v>0</v>
      </c>
      <c r="U26" s="48">
        <v>0</v>
      </c>
      <c r="V26" s="48">
        <v>0</v>
      </c>
      <c r="W26" s="48">
        <v>0</v>
      </c>
      <c r="X26" s="48">
        <v>0</v>
      </c>
      <c r="Y26" s="48">
        <v>0</v>
      </c>
      <c r="Z26" s="48">
        <v>0</v>
      </c>
      <c r="AA26" s="48">
        <v>0</v>
      </c>
      <c r="AB26" s="48">
        <v>0</v>
      </c>
      <c r="AC26" s="48">
        <v>0</v>
      </c>
      <c r="AD26" s="48">
        <v>0</v>
      </c>
      <c r="AE26" s="48">
        <v>0</v>
      </c>
      <c r="AF26" s="48">
        <v>0</v>
      </c>
      <c r="AG26" s="48">
        <v>0</v>
      </c>
      <c r="AH26" s="48">
        <v>0</v>
      </c>
      <c r="AI26" s="48">
        <v>0</v>
      </c>
      <c r="AJ26" s="48">
        <v>0</v>
      </c>
      <c r="AK26" s="48">
        <v>0</v>
      </c>
      <c r="AL26" s="48">
        <v>0</v>
      </c>
      <c r="AM26" s="48">
        <v>0</v>
      </c>
      <c r="AN26" s="48">
        <v>0</v>
      </c>
      <c r="AO26" s="48">
        <v>0</v>
      </c>
      <c r="AP26" s="48">
        <v>0</v>
      </c>
      <c r="AQ26" s="48">
        <v>-70573.61</v>
      </c>
      <c r="AR26" s="48">
        <v>0</v>
      </c>
      <c r="AS26" s="48">
        <v>0</v>
      </c>
      <c r="AT26" s="48"/>
      <c r="AU26" s="48"/>
      <c r="AV26" s="48"/>
      <c r="AW26" s="48"/>
      <c r="AX26" s="48"/>
      <c r="AY26" s="48"/>
      <c r="AZ26" s="48"/>
      <c r="BA26" s="48"/>
      <c r="BB26" s="48"/>
      <c r="BC26" s="48"/>
      <c r="BD26" s="48"/>
      <c r="BE26" s="48"/>
      <c r="BF26" s="48"/>
      <c r="BG26" s="48"/>
      <c r="BH26" s="48"/>
      <c r="BI26" s="48"/>
      <c r="BJ26" s="48"/>
      <c r="BK26" s="48"/>
      <c r="BL26" s="48"/>
      <c r="BM26" s="48"/>
      <c r="BN26" s="48"/>
      <c r="BO26" s="48"/>
      <c r="BP26" s="48"/>
      <c r="BQ26" s="48"/>
      <c r="BR26" s="48"/>
      <c r="BS26" s="48"/>
      <c r="BT26" s="48"/>
      <c r="BU26" s="48"/>
      <c r="BV26" s="48"/>
      <c r="BW26" s="48"/>
      <c r="BX26" s="48"/>
      <c r="BY26" s="48"/>
      <c r="BZ26" s="48"/>
      <c r="CA26" s="48"/>
      <c r="CB26" s="48"/>
      <c r="CC26" s="48"/>
      <c r="CD26" s="48"/>
      <c r="CE26" s="48"/>
      <c r="CF26" s="48"/>
      <c r="CG26" s="48"/>
      <c r="CH26" s="48"/>
      <c r="CI26" s="48"/>
      <c r="CJ26" s="48"/>
      <c r="CK26" s="48"/>
    </row>
    <row r="27" spans="1:89">
      <c r="A27" s="23" t="s">
        <v>411</v>
      </c>
      <c r="B27" s="33">
        <f>SUM(B22:B26)</f>
        <v>37815171.450000003</v>
      </c>
      <c r="C27" s="33">
        <f t="shared" ref="C27:BN27" si="20">SUM(C22:C26)</f>
        <v>23182219.890000001</v>
      </c>
      <c r="D27" s="33">
        <f t="shared" si="20"/>
        <v>8323912.6399999997</v>
      </c>
      <c r="E27" s="33">
        <f t="shared" si="20"/>
        <v>33644977.630000003</v>
      </c>
      <c r="F27" s="33">
        <f t="shared" si="20"/>
        <v>22066256.75</v>
      </c>
      <c r="G27" s="33">
        <f t="shared" si="20"/>
        <v>13297697.41</v>
      </c>
      <c r="H27" s="33">
        <f t="shared" si="20"/>
        <v>12862420.15</v>
      </c>
      <c r="I27" s="33">
        <f t="shared" si="20"/>
        <v>27737459.059999999</v>
      </c>
      <c r="J27" s="33">
        <f t="shared" si="20"/>
        <v>22202165.859999999</v>
      </c>
      <c r="K27" s="33">
        <f t="shared" si="20"/>
        <v>12582123.27</v>
      </c>
      <c r="L27" s="33">
        <f t="shared" si="20"/>
        <v>7503150.6799999997</v>
      </c>
      <c r="M27" s="33">
        <f t="shared" si="20"/>
        <v>37405750.659999996</v>
      </c>
      <c r="N27" s="33">
        <f t="shared" si="20"/>
        <v>19195986.190000001</v>
      </c>
      <c r="O27" s="33">
        <f t="shared" si="20"/>
        <v>14578890.34</v>
      </c>
      <c r="P27" s="33">
        <f t="shared" si="20"/>
        <v>4794794.4400000004</v>
      </c>
      <c r="Q27" s="33">
        <f t="shared" si="20"/>
        <v>26750625.500000004</v>
      </c>
      <c r="R27" s="33">
        <f t="shared" si="20"/>
        <v>6658557</v>
      </c>
      <c r="S27" s="33">
        <f t="shared" si="20"/>
        <v>3873017.43</v>
      </c>
      <c r="T27" s="33">
        <f t="shared" si="20"/>
        <v>772876.71</v>
      </c>
      <c r="U27" s="33">
        <f t="shared" si="20"/>
        <v>21597339.289999999</v>
      </c>
      <c r="V27" s="33">
        <f t="shared" si="20"/>
        <v>6317472.4100000001</v>
      </c>
      <c r="W27" s="33">
        <f t="shared" si="20"/>
        <v>1644250.19</v>
      </c>
      <c r="X27" s="33">
        <f t="shared" si="20"/>
        <v>118356.16</v>
      </c>
      <c r="Y27" s="33">
        <f t="shared" si="20"/>
        <v>10667347.470000001</v>
      </c>
      <c r="Z27" s="33">
        <f t="shared" si="20"/>
        <v>0</v>
      </c>
      <c r="AA27" s="33">
        <f t="shared" si="20"/>
        <v>0</v>
      </c>
      <c r="AB27" s="33">
        <f t="shared" si="20"/>
        <v>0</v>
      </c>
      <c r="AC27" s="33">
        <f t="shared" si="20"/>
        <v>11006515.620000001</v>
      </c>
      <c r="AD27" s="33">
        <f t="shared" si="20"/>
        <v>0</v>
      </c>
      <c r="AE27" s="33">
        <f t="shared" si="20"/>
        <v>0</v>
      </c>
      <c r="AF27" s="33">
        <f t="shared" si="20"/>
        <v>0</v>
      </c>
      <c r="AG27" s="33">
        <f t="shared" si="20"/>
        <v>10910002.67</v>
      </c>
      <c r="AH27" s="33">
        <f t="shared" si="20"/>
        <v>0</v>
      </c>
      <c r="AI27" s="33">
        <f t="shared" si="20"/>
        <v>0</v>
      </c>
      <c r="AJ27" s="33">
        <f t="shared" si="20"/>
        <v>0</v>
      </c>
      <c r="AK27" s="33">
        <f t="shared" si="20"/>
        <v>278775.20999999996</v>
      </c>
      <c r="AL27" s="33">
        <f t="shared" si="20"/>
        <v>20328.759999999998</v>
      </c>
      <c r="AM27" s="33">
        <f t="shared" si="20"/>
        <v>0</v>
      </c>
      <c r="AN27" s="33">
        <f t="shared" si="20"/>
        <v>0</v>
      </c>
      <c r="AO27" s="33">
        <f t="shared" si="20"/>
        <v>-75694.87</v>
      </c>
      <c r="AP27" s="33">
        <f t="shared" si="20"/>
        <v>0</v>
      </c>
      <c r="AQ27" s="33">
        <f t="shared" si="20"/>
        <v>-70573.61</v>
      </c>
      <c r="AR27" s="33">
        <f t="shared" si="20"/>
        <v>367600</v>
      </c>
      <c r="AS27" s="33">
        <f t="shared" si="20"/>
        <v>0</v>
      </c>
      <c r="AT27" s="33">
        <f t="shared" si="20"/>
        <v>3145948.9100000262</v>
      </c>
      <c r="AU27" s="33">
        <f t="shared" si="20"/>
        <v>3221938.3999999762</v>
      </c>
      <c r="AV27" s="33">
        <f t="shared" si="20"/>
        <v>0</v>
      </c>
      <c r="AW27" s="33">
        <f t="shared" si="20"/>
        <v>106002085.7</v>
      </c>
      <c r="AX27" s="33">
        <f t="shared" si="20"/>
        <v>78146813.989999995</v>
      </c>
      <c r="AY27" s="33">
        <f t="shared" si="20"/>
        <v>31508275.550000001</v>
      </c>
      <c r="AZ27" s="33">
        <f t="shared" si="20"/>
        <v>6818330.1399999997</v>
      </c>
      <c r="BA27" s="33">
        <f t="shared" si="20"/>
        <v>-52414533.450000003</v>
      </c>
      <c r="BB27" s="33">
        <f t="shared" si="20"/>
        <v>-47415743.689999998</v>
      </c>
      <c r="BC27" s="33">
        <f t="shared" si="20"/>
        <v>-4476487.08</v>
      </c>
      <c r="BD27" s="33">
        <f t="shared" si="20"/>
        <v>13731417.210000001</v>
      </c>
      <c r="BE27" s="33">
        <f t="shared" si="20"/>
        <v>74080792.579999998</v>
      </c>
      <c r="BF27" s="33">
        <f t="shared" si="20"/>
        <v>53634658.140000001</v>
      </c>
      <c r="BG27" s="33">
        <f t="shared" si="20"/>
        <v>44718368.039999999</v>
      </c>
      <c r="BH27" s="33">
        <f t="shared" si="20"/>
        <v>13012623.23</v>
      </c>
      <c r="BI27" s="33">
        <f t="shared" si="20"/>
        <v>129351232.81999999</v>
      </c>
      <c r="BJ27" s="33">
        <f t="shared" si="20"/>
        <v>126231548.87</v>
      </c>
      <c r="BK27" s="33">
        <f t="shared" si="20"/>
        <v>99137772.019999996</v>
      </c>
      <c r="BL27" s="33">
        <f t="shared" si="20"/>
        <v>21058739.870000001</v>
      </c>
      <c r="BM27" s="33">
        <f t="shared" si="20"/>
        <v>80579243.650000006</v>
      </c>
      <c r="BN27" s="33">
        <f t="shared" si="20"/>
        <v>68017088.620000005</v>
      </c>
      <c r="BO27" s="33">
        <f t="shared" ref="BO27:CJ27" si="21">SUM(BO22:BO26)</f>
        <v>47536007.049999997</v>
      </c>
      <c r="BP27" s="33">
        <f t="shared" si="21"/>
        <v>23536334.48</v>
      </c>
      <c r="BQ27" s="33">
        <f t="shared" si="21"/>
        <v>47111894.539999999</v>
      </c>
      <c r="BR27" s="33">
        <f t="shared" si="21"/>
        <v>43130624.329999998</v>
      </c>
      <c r="BS27" s="33">
        <f t="shared" si="21"/>
        <v>110636895.03</v>
      </c>
      <c r="BT27" s="33">
        <f t="shared" si="21"/>
        <v>55492097.759999998</v>
      </c>
      <c r="BU27" s="33">
        <f t="shared" si="21"/>
        <v>42252799.109999999</v>
      </c>
      <c r="BV27" s="33">
        <f t="shared" si="21"/>
        <v>-8467811.9100000001</v>
      </c>
      <c r="BW27" s="33">
        <f t="shared" si="21"/>
        <v>44423828.259999998</v>
      </c>
      <c r="BX27" s="33">
        <f t="shared" si="21"/>
        <v>-2405395.41</v>
      </c>
      <c r="BY27" s="33">
        <f t="shared" si="21"/>
        <v>43588942.600000001</v>
      </c>
      <c r="BZ27" s="33">
        <f t="shared" si="21"/>
        <v>2100000</v>
      </c>
      <c r="CA27" s="33">
        <f t="shared" si="21"/>
        <v>5299206.3</v>
      </c>
      <c r="CB27" s="33">
        <f t="shared" si="21"/>
        <v>3033836.53</v>
      </c>
      <c r="CC27" s="33">
        <f t="shared" si="21"/>
        <v>10641347.550000001</v>
      </c>
      <c r="CD27" s="33">
        <f t="shared" si="21"/>
        <v>5790000</v>
      </c>
      <c r="CE27" s="33">
        <f t="shared" si="21"/>
        <v>7729000</v>
      </c>
      <c r="CF27" s="33">
        <f t="shared" si="21"/>
        <v>2092581.44</v>
      </c>
      <c r="CG27" s="33">
        <f t="shared" si="21"/>
        <v>0</v>
      </c>
      <c r="CH27" s="33">
        <f t="shared" si="21"/>
        <v>0</v>
      </c>
      <c r="CI27" s="33">
        <f t="shared" si="21"/>
        <v>0</v>
      </c>
      <c r="CJ27" s="33">
        <f t="shared" si="21"/>
        <v>0</v>
      </c>
    </row>
    <row r="28" spans="1:89">
      <c r="A28" s="23" t="s">
        <v>412</v>
      </c>
      <c r="B28" s="33">
        <f>SUM(B22:B25)*B41</f>
        <v>5702275.6963942284</v>
      </c>
      <c r="C28" s="33">
        <f t="shared" ref="C28:BN28" si="22">SUM(C22:C25)*C41</f>
        <v>3765994.7232281542</v>
      </c>
      <c r="D28" s="33">
        <f t="shared" si="22"/>
        <v>1472041.6943682318</v>
      </c>
      <c r="E28" s="33">
        <f t="shared" si="22"/>
        <v>6093609.6668134751</v>
      </c>
      <c r="F28" s="33">
        <f t="shared" si="22"/>
        <v>4810292.3381268801</v>
      </c>
      <c r="G28" s="33">
        <f t="shared" si="22"/>
        <v>2883580.4287397391</v>
      </c>
      <c r="H28" s="33">
        <f t="shared" si="22"/>
        <v>2821861.8034999571</v>
      </c>
      <c r="I28" s="33">
        <f t="shared" si="22"/>
        <v>5892715.2619041409</v>
      </c>
      <c r="J28" s="33">
        <f t="shared" si="22"/>
        <v>4719752.141692007</v>
      </c>
      <c r="K28" s="33">
        <f t="shared" si="22"/>
        <v>2683009.1561550754</v>
      </c>
      <c r="L28" s="33">
        <f t="shared" si="22"/>
        <v>1655842.4401815815</v>
      </c>
      <c r="M28" s="33">
        <f t="shared" si="22"/>
        <v>6884353.3289683051</v>
      </c>
      <c r="N28" s="33">
        <f t="shared" si="22"/>
        <v>4179385.4643559218</v>
      </c>
      <c r="O28" s="33">
        <f t="shared" si="22"/>
        <v>3178024.7279098835</v>
      </c>
      <c r="P28" s="33">
        <f t="shared" si="22"/>
        <v>1074480.9810162827</v>
      </c>
      <c r="Q28" s="33">
        <f t="shared" si="22"/>
        <v>6239318.8810518896</v>
      </c>
      <c r="R28" s="33">
        <f t="shared" si="22"/>
        <v>1575411.2763517878</v>
      </c>
      <c r="S28" s="33">
        <f t="shared" si="22"/>
        <v>924459.64277696074</v>
      </c>
      <c r="T28" s="33">
        <f t="shared" si="22"/>
        <v>189241.66652765332</v>
      </c>
      <c r="U28" s="33">
        <f t="shared" si="22"/>
        <v>5520594.7223366406</v>
      </c>
      <c r="V28" s="33">
        <f t="shared" si="22"/>
        <v>1578230.1625845826</v>
      </c>
      <c r="W28" s="33">
        <f t="shared" si="22"/>
        <v>409733.12316794187</v>
      </c>
      <c r="X28" s="33">
        <f t="shared" si="22"/>
        <v>29478.222722104925</v>
      </c>
      <c r="Y28" s="33">
        <f t="shared" si="22"/>
        <v>2823861.4778096648</v>
      </c>
      <c r="Z28" s="33">
        <f t="shared" si="22"/>
        <v>0</v>
      </c>
      <c r="AA28" s="33">
        <f t="shared" si="22"/>
        <v>0</v>
      </c>
      <c r="AB28" s="33">
        <f t="shared" si="22"/>
        <v>0</v>
      </c>
      <c r="AC28" s="33">
        <f t="shared" si="22"/>
        <v>2667655.2780481237</v>
      </c>
      <c r="AD28" s="33">
        <f t="shared" si="22"/>
        <v>0</v>
      </c>
      <c r="AE28" s="33">
        <f t="shared" si="22"/>
        <v>0</v>
      </c>
      <c r="AF28" s="33">
        <f t="shared" si="22"/>
        <v>0</v>
      </c>
      <c r="AG28" s="33">
        <f t="shared" si="22"/>
        <v>2300147.8382848022</v>
      </c>
      <c r="AH28" s="33">
        <f t="shared" si="22"/>
        <v>0</v>
      </c>
      <c r="AI28" s="33">
        <f t="shared" si="22"/>
        <v>0</v>
      </c>
      <c r="AJ28" s="33">
        <f t="shared" si="22"/>
        <v>0</v>
      </c>
      <c r="AK28" s="33">
        <f t="shared" si="22"/>
        <v>58507.736419227913</v>
      </c>
      <c r="AL28" s="33">
        <f t="shared" si="22"/>
        <v>4146.9134932655088</v>
      </c>
      <c r="AM28" s="33">
        <f t="shared" si="22"/>
        <v>0</v>
      </c>
      <c r="AN28" s="33">
        <f t="shared" si="22"/>
        <v>0</v>
      </c>
      <c r="AO28" s="33">
        <f t="shared" si="22"/>
        <v>-13174.170369038664</v>
      </c>
      <c r="AP28" s="33">
        <f t="shared" si="22"/>
        <v>0</v>
      </c>
      <c r="AQ28" s="33">
        <f t="shared" si="22"/>
        <v>0</v>
      </c>
      <c r="AR28" s="33">
        <f t="shared" si="22"/>
        <v>54856.218309713586</v>
      </c>
      <c r="AS28" s="33" t="e">
        <f t="shared" si="22"/>
        <v>#DIV/0!</v>
      </c>
      <c r="AT28" s="33">
        <f t="shared" si="22"/>
        <v>16149089.591632087</v>
      </c>
      <c r="AU28" s="33">
        <f t="shared" si="22"/>
        <v>23495797.035097752</v>
      </c>
      <c r="AV28" s="33">
        <f t="shared" si="22"/>
        <v>0</v>
      </c>
      <c r="AW28" s="33">
        <f t="shared" si="22"/>
        <v>92412711.069157049</v>
      </c>
      <c r="AX28" s="33">
        <f t="shared" si="22"/>
        <v>58178002.990733735</v>
      </c>
      <c r="AY28" s="33">
        <f t="shared" si="22"/>
        <v>32931374.755832076</v>
      </c>
      <c r="AZ28" s="33">
        <f t="shared" si="22"/>
        <v>14012926.767596914</v>
      </c>
      <c r="BA28" s="33">
        <f t="shared" si="22"/>
        <v>129141533.77954903</v>
      </c>
      <c r="BB28" s="33">
        <f t="shared" si="22"/>
        <v>95662406.856678739</v>
      </c>
      <c r="BC28" s="33">
        <f t="shared" si="22"/>
        <v>126322875.63280822</v>
      </c>
      <c r="BD28" s="33">
        <f t="shared" si="22"/>
        <v>22912140.845426366</v>
      </c>
      <c r="BE28" s="33">
        <f t="shared" si="22"/>
        <v>113244217.68763751</v>
      </c>
      <c r="BF28" s="33">
        <f t="shared" si="22"/>
        <v>82645578.151306331</v>
      </c>
      <c r="BG28" s="33">
        <f t="shared" si="22"/>
        <v>61803227.377268419</v>
      </c>
      <c r="BH28" s="33">
        <f t="shared" si="22"/>
        <v>27614065.147478968</v>
      </c>
      <c r="BI28" s="33">
        <f t="shared" si="22"/>
        <v>167253724.58140779</v>
      </c>
      <c r="BJ28" s="33">
        <f t="shared" si="22"/>
        <v>122594405.07585235</v>
      </c>
      <c r="BK28" s="33">
        <f t="shared" si="22"/>
        <v>82048897.818007305</v>
      </c>
      <c r="BL28" s="33">
        <f t="shared" si="22"/>
        <v>40216003.190142654</v>
      </c>
      <c r="BM28" s="33">
        <f t="shared" si="22"/>
        <v>158111589.62635383</v>
      </c>
      <c r="BN28" s="33">
        <f t="shared" si="22"/>
        <v>112482617.53937016</v>
      </c>
      <c r="BO28" s="33">
        <f t="shared" ref="BO28:CJ28" si="23">SUM(BO22:BO25)*BO41</f>
        <v>71463302.995694101</v>
      </c>
      <c r="BP28" s="33">
        <f t="shared" si="23"/>
        <v>39213868.850202009</v>
      </c>
      <c r="BQ28" s="33">
        <f t="shared" si="23"/>
        <v>128481520.12419814</v>
      </c>
      <c r="BR28" s="33">
        <f t="shared" si="23"/>
        <v>57451455.933676496</v>
      </c>
      <c r="BS28" s="33">
        <f t="shared" si="23"/>
        <v>103997862.53581847</v>
      </c>
      <c r="BT28" s="33">
        <f t="shared" si="23"/>
        <v>47155682.407815658</v>
      </c>
      <c r="BU28" s="33">
        <f t="shared" si="23"/>
        <v>84343568.551926851</v>
      </c>
      <c r="BV28" s="33">
        <f t="shared" si="23"/>
        <v>23070133.261112079</v>
      </c>
      <c r="BW28" s="33">
        <f t="shared" si="23"/>
        <v>2852775.2108163531</v>
      </c>
      <c r="BX28" s="33">
        <f t="shared" si="23"/>
        <v>0</v>
      </c>
      <c r="BY28" s="33">
        <f t="shared" si="23"/>
        <v>17214216.741538297</v>
      </c>
      <c r="BZ28" s="33">
        <f t="shared" si="23"/>
        <v>1624615.5</v>
      </c>
      <c r="CA28" s="33">
        <f t="shared" si="23"/>
        <v>-213705.20049073725</v>
      </c>
      <c r="CB28" s="33">
        <f t="shared" si="23"/>
        <v>9698012.9700000007</v>
      </c>
      <c r="CC28" s="33">
        <f t="shared" si="23"/>
        <v>-22441814.450634163</v>
      </c>
      <c r="CD28" s="33">
        <f t="shared" si="23"/>
        <v>19730000</v>
      </c>
      <c r="CE28" s="33">
        <f t="shared" si="23"/>
        <v>27810000</v>
      </c>
      <c r="CF28" s="33">
        <f t="shared" si="23"/>
        <v>16447145.279999999</v>
      </c>
      <c r="CG28" s="33" t="e">
        <f t="shared" si="23"/>
        <v>#DIV/0!</v>
      </c>
      <c r="CH28" s="33" t="e">
        <f t="shared" si="23"/>
        <v>#DIV/0!</v>
      </c>
      <c r="CI28" s="33" t="e">
        <f t="shared" si="23"/>
        <v>#DIV/0!</v>
      </c>
      <c r="CJ28" s="33" t="e">
        <f t="shared" si="23"/>
        <v>#DIV/0!</v>
      </c>
    </row>
    <row r="29" spans="1:89" s="2" customFormat="1">
      <c r="A29" s="26" t="s">
        <v>413</v>
      </c>
      <c r="B29" s="35">
        <f>B27-B28</f>
        <v>32112895.753605776</v>
      </c>
      <c r="C29" s="35">
        <f t="shared" ref="C29:BN29" si="24">C27-C28</f>
        <v>19416225.166771848</v>
      </c>
      <c r="D29" s="35">
        <f t="shared" si="24"/>
        <v>6851870.9456317676</v>
      </c>
      <c r="E29" s="35">
        <f t="shared" si="24"/>
        <v>27551367.963186529</v>
      </c>
      <c r="F29" s="35">
        <f t="shared" si="24"/>
        <v>17255964.411873121</v>
      </c>
      <c r="G29" s="35">
        <f t="shared" si="24"/>
        <v>10414116.981260261</v>
      </c>
      <c r="H29" s="35">
        <f t="shared" si="24"/>
        <v>10040558.346500043</v>
      </c>
      <c r="I29" s="35">
        <f t="shared" si="24"/>
        <v>21844743.79809586</v>
      </c>
      <c r="J29" s="35">
        <f t="shared" si="24"/>
        <v>17482413.718307994</v>
      </c>
      <c r="K29" s="35">
        <f t="shared" si="24"/>
        <v>9899114.1138449237</v>
      </c>
      <c r="L29" s="35">
        <f t="shared" si="24"/>
        <v>5847308.2398184184</v>
      </c>
      <c r="M29" s="35">
        <f t="shared" si="24"/>
        <v>30521397.331031691</v>
      </c>
      <c r="N29" s="35">
        <f t="shared" si="24"/>
        <v>15016600.72564408</v>
      </c>
      <c r="O29" s="35">
        <f t="shared" si="24"/>
        <v>11400865.612090116</v>
      </c>
      <c r="P29" s="35">
        <f t="shared" si="24"/>
        <v>3720313.4589837175</v>
      </c>
      <c r="Q29" s="35">
        <f t="shared" si="24"/>
        <v>20511306.618948113</v>
      </c>
      <c r="R29" s="35">
        <f t="shared" si="24"/>
        <v>5083145.7236482119</v>
      </c>
      <c r="S29" s="35">
        <f t="shared" si="24"/>
        <v>2948557.7872230392</v>
      </c>
      <c r="T29" s="35">
        <f t="shared" si="24"/>
        <v>583635.04347234662</v>
      </c>
      <c r="U29" s="35">
        <f t="shared" si="24"/>
        <v>16076744.567663359</v>
      </c>
      <c r="V29" s="35">
        <f t="shared" si="24"/>
        <v>4739242.2474154178</v>
      </c>
      <c r="W29" s="35">
        <f t="shared" si="24"/>
        <v>1234517.0668320581</v>
      </c>
      <c r="X29" s="35">
        <f t="shared" si="24"/>
        <v>88877.937277895078</v>
      </c>
      <c r="Y29" s="35">
        <f t="shared" si="24"/>
        <v>7843485.9921903359</v>
      </c>
      <c r="Z29" s="35">
        <f t="shared" si="24"/>
        <v>0</v>
      </c>
      <c r="AA29" s="35">
        <f t="shared" si="24"/>
        <v>0</v>
      </c>
      <c r="AB29" s="35">
        <f t="shared" si="24"/>
        <v>0</v>
      </c>
      <c r="AC29" s="35">
        <f t="shared" si="24"/>
        <v>8338860.3419518769</v>
      </c>
      <c r="AD29" s="35">
        <f t="shared" si="24"/>
        <v>0</v>
      </c>
      <c r="AE29" s="35">
        <f t="shared" si="24"/>
        <v>0</v>
      </c>
      <c r="AF29" s="35">
        <f t="shared" si="24"/>
        <v>0</v>
      </c>
      <c r="AG29" s="35">
        <f t="shared" si="24"/>
        <v>8609854.8317151982</v>
      </c>
      <c r="AH29" s="35">
        <f t="shared" si="24"/>
        <v>0</v>
      </c>
      <c r="AI29" s="35">
        <f t="shared" si="24"/>
        <v>0</v>
      </c>
      <c r="AJ29" s="35">
        <f t="shared" si="24"/>
        <v>0</v>
      </c>
      <c r="AK29" s="35">
        <f t="shared" si="24"/>
        <v>220267.47358077206</v>
      </c>
      <c r="AL29" s="35">
        <f t="shared" si="24"/>
        <v>16181.84650673449</v>
      </c>
      <c r="AM29" s="35">
        <f t="shared" si="24"/>
        <v>0</v>
      </c>
      <c r="AN29" s="35">
        <f t="shared" si="24"/>
        <v>0</v>
      </c>
      <c r="AO29" s="35">
        <f t="shared" si="24"/>
        <v>-62520.699630961331</v>
      </c>
      <c r="AP29" s="35">
        <f t="shared" si="24"/>
        <v>0</v>
      </c>
      <c r="AQ29" s="35">
        <f t="shared" si="24"/>
        <v>-70573.61</v>
      </c>
      <c r="AR29" s="35">
        <f t="shared" si="24"/>
        <v>312743.78169028641</v>
      </c>
      <c r="AS29" s="35" t="e">
        <f t="shared" si="24"/>
        <v>#DIV/0!</v>
      </c>
      <c r="AT29" s="35">
        <f t="shared" si="24"/>
        <v>-13003140.681632061</v>
      </c>
      <c r="AU29" s="35">
        <f t="shared" si="24"/>
        <v>-20273858.635097776</v>
      </c>
      <c r="AV29" s="35">
        <f t="shared" si="24"/>
        <v>0</v>
      </c>
      <c r="AW29" s="35">
        <f t="shared" si="24"/>
        <v>13589374.630842954</v>
      </c>
      <c r="AX29" s="35">
        <f t="shared" si="24"/>
        <v>19968810.999266259</v>
      </c>
      <c r="AY29" s="35">
        <f t="shared" si="24"/>
        <v>-1423099.2058320753</v>
      </c>
      <c r="AZ29" s="35">
        <f t="shared" si="24"/>
        <v>-7194596.6275969138</v>
      </c>
      <c r="BA29" s="35">
        <f t="shared" si="24"/>
        <v>-181556067.22954905</v>
      </c>
      <c r="BB29" s="35">
        <f t="shared" si="24"/>
        <v>-143078150.54667872</v>
      </c>
      <c r="BC29" s="35">
        <f t="shared" si="24"/>
        <v>-130799362.71280822</v>
      </c>
      <c r="BD29" s="35">
        <f t="shared" si="24"/>
        <v>-9180723.6354263648</v>
      </c>
      <c r="BE29" s="35">
        <f t="shared" si="24"/>
        <v>-39163425.10763751</v>
      </c>
      <c r="BF29" s="35">
        <f t="shared" si="24"/>
        <v>-29010920.011306331</v>
      </c>
      <c r="BG29" s="35">
        <f t="shared" si="24"/>
        <v>-17084859.33726842</v>
      </c>
      <c r="BH29" s="35">
        <f t="shared" si="24"/>
        <v>-14601441.917478967</v>
      </c>
      <c r="BI29" s="35">
        <f t="shared" si="24"/>
        <v>-37902491.761407793</v>
      </c>
      <c r="BJ29" s="35">
        <f t="shared" si="24"/>
        <v>3637143.7941476554</v>
      </c>
      <c r="BK29" s="35">
        <f t="shared" si="24"/>
        <v>17088874.201992691</v>
      </c>
      <c r="BL29" s="35">
        <f t="shared" si="24"/>
        <v>-19157263.320142653</v>
      </c>
      <c r="BM29" s="35">
        <f t="shared" si="24"/>
        <v>-77532345.976353824</v>
      </c>
      <c r="BN29" s="35">
        <f t="shared" si="24"/>
        <v>-44465528.91937016</v>
      </c>
      <c r="BO29" s="35">
        <f t="shared" ref="BO29:CK29" si="25">BO27-BO28</f>
        <v>-23927295.945694104</v>
      </c>
      <c r="BP29" s="35">
        <f t="shared" si="25"/>
        <v>-15677534.370202009</v>
      </c>
      <c r="BQ29" s="35">
        <f t="shared" si="25"/>
        <v>-81369625.584198147</v>
      </c>
      <c r="BR29" s="35">
        <f t="shared" si="25"/>
        <v>-14320831.603676498</v>
      </c>
      <c r="BS29" s="35">
        <f t="shared" si="25"/>
        <v>6639032.4941815287</v>
      </c>
      <c r="BT29" s="35">
        <f t="shared" si="25"/>
        <v>8336415.3521843404</v>
      </c>
      <c r="BU29" s="35">
        <f t="shared" si="25"/>
        <v>-42090769.441926852</v>
      </c>
      <c r="BV29" s="35">
        <f t="shared" si="25"/>
        <v>-31537945.171112079</v>
      </c>
      <c r="BW29" s="35">
        <f t="shared" si="25"/>
        <v>41571053.049183644</v>
      </c>
      <c r="BX29" s="35">
        <f t="shared" si="25"/>
        <v>-2405395.41</v>
      </c>
      <c r="BY29" s="35">
        <f t="shared" si="25"/>
        <v>26374725.858461704</v>
      </c>
      <c r="BZ29" s="35">
        <f t="shared" si="25"/>
        <v>475384.5</v>
      </c>
      <c r="CA29" s="35">
        <f t="shared" si="25"/>
        <v>5512911.5004907371</v>
      </c>
      <c r="CB29" s="35">
        <f t="shared" si="25"/>
        <v>-6664176.4400000013</v>
      </c>
      <c r="CC29" s="35">
        <f t="shared" si="25"/>
        <v>33083162.000634164</v>
      </c>
      <c r="CD29" s="35">
        <f t="shared" si="25"/>
        <v>-13940000</v>
      </c>
      <c r="CE29" s="35">
        <f t="shared" si="25"/>
        <v>-20081000</v>
      </c>
      <c r="CF29" s="35">
        <f t="shared" si="25"/>
        <v>-14354563.84</v>
      </c>
      <c r="CG29" s="35" t="e">
        <f t="shared" si="25"/>
        <v>#DIV/0!</v>
      </c>
      <c r="CH29" s="35" t="e">
        <f t="shared" si="25"/>
        <v>#DIV/0!</v>
      </c>
      <c r="CI29" s="35" t="e">
        <f t="shared" si="25"/>
        <v>#DIV/0!</v>
      </c>
      <c r="CJ29" s="35" t="e">
        <f t="shared" si="25"/>
        <v>#DIV/0!</v>
      </c>
      <c r="CK29" s="35">
        <f t="shared" si="25"/>
        <v>0</v>
      </c>
    </row>
    <row r="30" spans="1:89" s="22" customFormat="1">
      <c r="A30" s="24" t="s">
        <v>88</v>
      </c>
      <c r="B30" s="37"/>
      <c r="C30" s="37"/>
      <c r="D30" s="37"/>
      <c r="E30" s="37"/>
      <c r="F30" s="37"/>
      <c r="G30" s="37"/>
      <c r="H30" s="37"/>
      <c r="I30" s="37"/>
      <c r="J30" s="37"/>
      <c r="K30" s="37"/>
    </row>
    <row r="31" spans="1:89">
      <c r="A31" s="23" t="s">
        <v>414</v>
      </c>
      <c r="B31" s="33">
        <f>B15+B20+B27</f>
        <v>337400312.55999994</v>
      </c>
      <c r="C31" s="33">
        <f t="shared" ref="C31:BN31" si="26">C15+C20+C27</f>
        <v>214791199.78999996</v>
      </c>
      <c r="D31" s="33">
        <f t="shared" si="26"/>
        <v>116652950.45000002</v>
      </c>
      <c r="E31" s="33">
        <f t="shared" si="26"/>
        <v>595802545.95999992</v>
      </c>
      <c r="F31" s="33">
        <f t="shared" si="26"/>
        <v>306348846.49000001</v>
      </c>
      <c r="G31" s="33">
        <f t="shared" si="26"/>
        <v>201808450.13</v>
      </c>
      <c r="H31" s="33">
        <f t="shared" si="26"/>
        <v>100736358.26000005</v>
      </c>
      <c r="I31" s="33">
        <f t="shared" si="26"/>
        <v>556952942.72000015</v>
      </c>
      <c r="J31" s="33">
        <f t="shared" si="26"/>
        <v>305203258.1699999</v>
      </c>
      <c r="K31" s="33">
        <f t="shared" si="26"/>
        <v>211819269.49000007</v>
      </c>
      <c r="L31" s="33">
        <f t="shared" si="26"/>
        <v>110684278.51999998</v>
      </c>
      <c r="M31" s="33">
        <f t="shared" si="26"/>
        <v>491279001.08999991</v>
      </c>
      <c r="N31" s="33">
        <f t="shared" si="26"/>
        <v>304513216.95999992</v>
      </c>
      <c r="O31" s="33">
        <f t="shared" si="26"/>
        <v>223957929.31999996</v>
      </c>
      <c r="P31" s="33">
        <f t="shared" si="26"/>
        <v>124571327.27999997</v>
      </c>
      <c r="Q31" s="33">
        <f t="shared" si="26"/>
        <v>490571394.91999984</v>
      </c>
      <c r="R31" s="33">
        <f t="shared" si="26"/>
        <v>315141809.49000007</v>
      </c>
      <c r="S31" s="33">
        <f t="shared" si="26"/>
        <v>204878507.19000003</v>
      </c>
      <c r="T31" s="33">
        <f t="shared" si="26"/>
        <v>132828493.56999996</v>
      </c>
      <c r="U31" s="33">
        <f t="shared" si="26"/>
        <v>422507023.82000005</v>
      </c>
      <c r="V31" s="33">
        <f t="shared" si="26"/>
        <v>276345162.08999985</v>
      </c>
      <c r="W31" s="33">
        <f t="shared" si="26"/>
        <v>178579132.15000007</v>
      </c>
      <c r="X31" s="33">
        <f t="shared" si="26"/>
        <v>116189859.33999997</v>
      </c>
      <c r="Y31" s="33">
        <f t="shared" si="26"/>
        <v>352849513.21000004</v>
      </c>
      <c r="Z31" s="33">
        <f t="shared" si="26"/>
        <v>213794285.80000007</v>
      </c>
      <c r="AA31" s="33">
        <f t="shared" si="26"/>
        <v>143053153.85000002</v>
      </c>
      <c r="AB31" s="33">
        <f t="shared" si="26"/>
        <v>102478955.13999999</v>
      </c>
      <c r="AC31" s="33">
        <f t="shared" si="26"/>
        <v>272320084.88999999</v>
      </c>
      <c r="AD31" s="33">
        <f t="shared" si="26"/>
        <v>160607071.81</v>
      </c>
      <c r="AE31" s="33">
        <f t="shared" si="26"/>
        <v>108488847.78000006</v>
      </c>
      <c r="AF31" s="33">
        <f t="shared" si="26"/>
        <v>75984356.349999949</v>
      </c>
      <c r="AG31" s="33">
        <f t="shared" si="26"/>
        <v>161714522.41000003</v>
      </c>
      <c r="AH31" s="33">
        <f t="shared" si="26"/>
        <v>86831947.129999936</v>
      </c>
      <c r="AI31" s="33">
        <f t="shared" si="26"/>
        <v>60496316.420000002</v>
      </c>
      <c r="AJ31" s="33">
        <f t="shared" si="26"/>
        <v>46137604.32</v>
      </c>
      <c r="AK31" s="33">
        <f t="shared" si="26"/>
        <v>111233723.69000001</v>
      </c>
      <c r="AL31" s="33">
        <f t="shared" si="26"/>
        <v>67560825.959999949</v>
      </c>
      <c r="AM31" s="33">
        <f t="shared" si="26"/>
        <v>46173978.68</v>
      </c>
      <c r="AN31" s="33">
        <f t="shared" si="26"/>
        <v>32442044.970000021</v>
      </c>
      <c r="AO31" s="33">
        <f t="shared" si="26"/>
        <v>84451330.98999998</v>
      </c>
      <c r="AP31" s="33">
        <f t="shared" si="26"/>
        <v>59493014.770000026</v>
      </c>
      <c r="AQ31" s="33">
        <f t="shared" si="26"/>
        <v>69028060.250000015</v>
      </c>
      <c r="AR31" s="33">
        <f t="shared" si="26"/>
        <v>42545546.759999998</v>
      </c>
      <c r="AS31" s="33">
        <f t="shared" si="26"/>
        <v>0</v>
      </c>
      <c r="AT31" s="33">
        <f t="shared" si="26"/>
        <v>3145948.9100000262</v>
      </c>
      <c r="AU31" s="33">
        <f t="shared" si="26"/>
        <v>3221938.3999999762</v>
      </c>
      <c r="AV31" s="33">
        <f t="shared" si="26"/>
        <v>0</v>
      </c>
      <c r="AW31" s="33">
        <f t="shared" si="26"/>
        <v>106002085.7</v>
      </c>
      <c r="AX31" s="33">
        <f t="shared" si="26"/>
        <v>78146813.989999995</v>
      </c>
      <c r="AY31" s="33">
        <f t="shared" si="26"/>
        <v>31508275.550000001</v>
      </c>
      <c r="AZ31" s="33">
        <f t="shared" si="26"/>
        <v>6818330.1399999997</v>
      </c>
      <c r="BA31" s="33">
        <f t="shared" si="26"/>
        <v>-52414533.450000003</v>
      </c>
      <c r="BB31" s="33">
        <f t="shared" si="26"/>
        <v>-47415743.689999998</v>
      </c>
      <c r="BC31" s="33">
        <f t="shared" si="26"/>
        <v>-4476487.08</v>
      </c>
      <c r="BD31" s="33">
        <f t="shared" si="26"/>
        <v>13731417.210000001</v>
      </c>
      <c r="BE31" s="33">
        <f t="shared" si="26"/>
        <v>74080792.579999998</v>
      </c>
      <c r="BF31" s="33">
        <f t="shared" si="26"/>
        <v>53634658.140000001</v>
      </c>
      <c r="BG31" s="33">
        <f t="shared" si="26"/>
        <v>44718368.039999999</v>
      </c>
      <c r="BH31" s="33">
        <f t="shared" si="26"/>
        <v>13012623.23</v>
      </c>
      <c r="BI31" s="33">
        <f t="shared" si="26"/>
        <v>129351232.81999999</v>
      </c>
      <c r="BJ31" s="33">
        <f t="shared" si="26"/>
        <v>126231548.87</v>
      </c>
      <c r="BK31" s="33">
        <f t="shared" si="26"/>
        <v>99137772.019999996</v>
      </c>
      <c r="BL31" s="33">
        <f t="shared" si="26"/>
        <v>21058739.870000001</v>
      </c>
      <c r="BM31" s="33">
        <f t="shared" si="26"/>
        <v>80579243.650000006</v>
      </c>
      <c r="BN31" s="33">
        <f t="shared" si="26"/>
        <v>68017088.620000005</v>
      </c>
      <c r="BO31" s="33">
        <f t="shared" ref="BO31:CJ31" si="27">BO15+BO20+BO27</f>
        <v>47536007.049999997</v>
      </c>
      <c r="BP31" s="33">
        <f t="shared" si="27"/>
        <v>23536334.48</v>
      </c>
      <c r="BQ31" s="33">
        <f t="shared" si="27"/>
        <v>47111894.539999999</v>
      </c>
      <c r="BR31" s="33">
        <f t="shared" si="27"/>
        <v>43130624.329999998</v>
      </c>
      <c r="BS31" s="33">
        <f t="shared" si="27"/>
        <v>110636895.03</v>
      </c>
      <c r="BT31" s="33">
        <f t="shared" si="27"/>
        <v>55492097.759999998</v>
      </c>
      <c r="BU31" s="33">
        <f t="shared" si="27"/>
        <v>42252799.109999999</v>
      </c>
      <c r="BV31" s="33">
        <f t="shared" si="27"/>
        <v>-8467811.9100000001</v>
      </c>
      <c r="BW31" s="33">
        <f t="shared" si="27"/>
        <v>44423828.259999998</v>
      </c>
      <c r="BX31" s="33">
        <f t="shared" si="27"/>
        <v>-2405395.41</v>
      </c>
      <c r="BY31" s="33">
        <f t="shared" si="27"/>
        <v>43588942.600000001</v>
      </c>
      <c r="BZ31" s="33">
        <f t="shared" si="27"/>
        <v>2100000</v>
      </c>
      <c r="CA31" s="33">
        <f t="shared" si="27"/>
        <v>5299206.3</v>
      </c>
      <c r="CB31" s="33">
        <f t="shared" si="27"/>
        <v>3033836.53</v>
      </c>
      <c r="CC31" s="33">
        <f t="shared" si="27"/>
        <v>10641347.550000001</v>
      </c>
      <c r="CD31" s="33">
        <f t="shared" si="27"/>
        <v>5790000</v>
      </c>
      <c r="CE31" s="33">
        <f t="shared" si="27"/>
        <v>7729000</v>
      </c>
      <c r="CF31" s="33">
        <f t="shared" si="27"/>
        <v>2092581.44</v>
      </c>
      <c r="CG31" s="33">
        <f t="shared" si="27"/>
        <v>0</v>
      </c>
      <c r="CH31" s="33">
        <f t="shared" si="27"/>
        <v>0</v>
      </c>
      <c r="CI31" s="33">
        <f t="shared" si="27"/>
        <v>0</v>
      </c>
      <c r="CJ31" s="33">
        <f t="shared" si="27"/>
        <v>0</v>
      </c>
    </row>
    <row r="32" spans="1:89" s="31" customFormat="1">
      <c r="A32" s="31" t="s">
        <v>415</v>
      </c>
      <c r="B32" s="35">
        <f>B31/B4*100</f>
        <v>19.135668193149037</v>
      </c>
      <c r="C32" s="35">
        <f t="shared" ref="C32:BN32" si="28">C31/C4*100</f>
        <v>18.743803959447369</v>
      </c>
      <c r="D32" s="35">
        <f t="shared" si="28"/>
        <v>21.120050113772084</v>
      </c>
      <c r="E32" s="35">
        <f t="shared" si="28"/>
        <v>22.773512198928479</v>
      </c>
      <c r="F32" s="35">
        <f t="shared" si="28"/>
        <v>19.911675154981413</v>
      </c>
      <c r="G32" s="35">
        <f t="shared" si="28"/>
        <v>20.993503634200337</v>
      </c>
      <c r="H32" s="35">
        <f t="shared" si="28"/>
        <v>23.352535339272944</v>
      </c>
      <c r="I32" s="35">
        <f t="shared" si="28"/>
        <v>24.094084266004156</v>
      </c>
      <c r="J32" s="35">
        <f t="shared" si="28"/>
        <v>22.645383225083304</v>
      </c>
      <c r="K32" s="35">
        <f t="shared" si="28"/>
        <v>24.038975342067758</v>
      </c>
      <c r="L32" s="35">
        <f t="shared" si="28"/>
        <v>25.673095986340961</v>
      </c>
      <c r="M32" s="35">
        <f t="shared" si="28"/>
        <v>23.47687285708399</v>
      </c>
      <c r="N32" s="35">
        <f t="shared" si="28"/>
        <v>23.453879027630176</v>
      </c>
      <c r="O32" s="35">
        <f t="shared" si="28"/>
        <v>25.962527742125658</v>
      </c>
      <c r="P32" s="35">
        <f t="shared" si="28"/>
        <v>26.935922607804535</v>
      </c>
      <c r="Q32" s="35">
        <f t="shared" si="28"/>
        <v>24.905048103337862</v>
      </c>
      <c r="R32" s="35">
        <f t="shared" si="28"/>
        <v>24.252145999179653</v>
      </c>
      <c r="S32" s="35">
        <f t="shared" si="28"/>
        <v>23.990763533752123</v>
      </c>
      <c r="T32" s="35">
        <f t="shared" si="28"/>
        <v>29.37043211497453</v>
      </c>
      <c r="U32" s="35">
        <f t="shared" si="28"/>
        <v>22.667957622379532</v>
      </c>
      <c r="V32" s="35">
        <f t="shared" si="28"/>
        <v>22.01193141935661</v>
      </c>
      <c r="W32" s="35">
        <f t="shared" si="28"/>
        <v>21.759816286017497</v>
      </c>
      <c r="X32" s="35">
        <f t="shared" si="28"/>
        <v>26.45920278434351</v>
      </c>
      <c r="Y32" s="35">
        <f t="shared" si="28"/>
        <v>19.856803294817759</v>
      </c>
      <c r="Z32" s="35">
        <f t="shared" si="28"/>
        <v>17.929098789625556</v>
      </c>
      <c r="AA32" s="35">
        <f t="shared" si="28"/>
        <v>18.860550852079175</v>
      </c>
      <c r="AB32" s="35">
        <f t="shared" si="28"/>
        <v>25.346477523690375</v>
      </c>
      <c r="AC32" s="35">
        <f t="shared" si="28"/>
        <v>18.736503005985146</v>
      </c>
      <c r="AD32" s="35">
        <f t="shared" si="28"/>
        <v>16.999182865054767</v>
      </c>
      <c r="AE32" s="35">
        <f t="shared" si="28"/>
        <v>17.855658217504015</v>
      </c>
      <c r="AF32" s="35">
        <f t="shared" si="28"/>
        <v>22.825738354904672</v>
      </c>
      <c r="AG32" s="35">
        <f t="shared" si="28"/>
        <v>15.151719842007067</v>
      </c>
      <c r="AH32" s="35">
        <f t="shared" si="28"/>
        <v>12.438836436845286</v>
      </c>
      <c r="AI32" s="35">
        <f t="shared" si="28"/>
        <v>13.348023723314686</v>
      </c>
      <c r="AJ32" s="35">
        <f t="shared" si="28"/>
        <v>18.223909553176139</v>
      </c>
      <c r="AK32" s="35">
        <f t="shared" si="28"/>
        <v>14.048468691510191</v>
      </c>
      <c r="AL32" s="35">
        <f t="shared" si="28"/>
        <v>12.93144786440989</v>
      </c>
      <c r="AM32" s="35">
        <f t="shared" si="28"/>
        <v>14.288490866249926</v>
      </c>
      <c r="AN32" s="35">
        <f t="shared" si="28"/>
        <v>17.849933216747939</v>
      </c>
      <c r="AO32" s="35">
        <f t="shared" si="28"/>
        <v>12.405380122583123</v>
      </c>
      <c r="AP32" s="35">
        <f t="shared" si="28"/>
        <v>12.702834095281219</v>
      </c>
      <c r="AQ32" s="35">
        <f t="shared" si="28"/>
        <v>11.694973603907757</v>
      </c>
      <c r="AR32" s="35">
        <f t="shared" si="28"/>
        <v>10.152066968587373</v>
      </c>
      <c r="AS32" s="35" t="e">
        <f t="shared" si="28"/>
        <v>#DIV/0!</v>
      </c>
      <c r="AT32" s="35" t="e">
        <f t="shared" si="28"/>
        <v>#DIV/0!</v>
      </c>
      <c r="AU32" s="35" t="e">
        <f t="shared" si="28"/>
        <v>#DIV/0!</v>
      </c>
      <c r="AV32" s="35" t="e">
        <f t="shared" si="28"/>
        <v>#DIV/0!</v>
      </c>
      <c r="AW32" s="35" t="e">
        <f t="shared" si="28"/>
        <v>#DIV/0!</v>
      </c>
      <c r="AX32" s="35" t="e">
        <f t="shared" si="28"/>
        <v>#DIV/0!</v>
      </c>
      <c r="AY32" s="35" t="e">
        <f t="shared" si="28"/>
        <v>#DIV/0!</v>
      </c>
      <c r="AZ32" s="35" t="e">
        <f t="shared" si="28"/>
        <v>#DIV/0!</v>
      </c>
      <c r="BA32" s="35" t="e">
        <f t="shared" si="28"/>
        <v>#DIV/0!</v>
      </c>
      <c r="BB32" s="35" t="e">
        <f t="shared" si="28"/>
        <v>#DIV/0!</v>
      </c>
      <c r="BC32" s="35" t="e">
        <f t="shared" si="28"/>
        <v>#DIV/0!</v>
      </c>
      <c r="BD32" s="35" t="e">
        <f t="shared" si="28"/>
        <v>#DIV/0!</v>
      </c>
      <c r="BE32" s="35" t="e">
        <f t="shared" si="28"/>
        <v>#DIV/0!</v>
      </c>
      <c r="BF32" s="35" t="e">
        <f t="shared" si="28"/>
        <v>#DIV/0!</v>
      </c>
      <c r="BG32" s="35" t="e">
        <f t="shared" si="28"/>
        <v>#DIV/0!</v>
      </c>
      <c r="BH32" s="35" t="e">
        <f t="shared" si="28"/>
        <v>#DIV/0!</v>
      </c>
      <c r="BI32" s="35" t="e">
        <f t="shared" si="28"/>
        <v>#DIV/0!</v>
      </c>
      <c r="BJ32" s="35" t="e">
        <f t="shared" si="28"/>
        <v>#DIV/0!</v>
      </c>
      <c r="BK32" s="35" t="e">
        <f t="shared" si="28"/>
        <v>#DIV/0!</v>
      </c>
      <c r="BL32" s="35" t="e">
        <f t="shared" si="28"/>
        <v>#DIV/0!</v>
      </c>
      <c r="BM32" s="35" t="e">
        <f t="shared" si="28"/>
        <v>#DIV/0!</v>
      </c>
      <c r="BN32" s="35" t="e">
        <f t="shared" si="28"/>
        <v>#DIV/0!</v>
      </c>
      <c r="BO32" s="35" t="e">
        <f t="shared" ref="BO32:CJ32" si="29">BO31/BO4*100</f>
        <v>#DIV/0!</v>
      </c>
      <c r="BP32" s="35" t="e">
        <f t="shared" si="29"/>
        <v>#DIV/0!</v>
      </c>
      <c r="BQ32" s="35" t="e">
        <f t="shared" si="29"/>
        <v>#DIV/0!</v>
      </c>
      <c r="BR32" s="35" t="e">
        <f t="shared" si="29"/>
        <v>#DIV/0!</v>
      </c>
      <c r="BS32" s="35" t="e">
        <f t="shared" si="29"/>
        <v>#DIV/0!</v>
      </c>
      <c r="BT32" s="35" t="e">
        <f t="shared" si="29"/>
        <v>#DIV/0!</v>
      </c>
      <c r="BU32" s="35" t="e">
        <f t="shared" si="29"/>
        <v>#DIV/0!</v>
      </c>
      <c r="BV32" s="35" t="e">
        <f t="shared" si="29"/>
        <v>#DIV/0!</v>
      </c>
      <c r="BW32" s="35" t="e">
        <f t="shared" si="29"/>
        <v>#DIV/0!</v>
      </c>
      <c r="BX32" s="35" t="e">
        <f t="shared" si="29"/>
        <v>#DIV/0!</v>
      </c>
      <c r="BY32" s="35" t="e">
        <f t="shared" si="29"/>
        <v>#DIV/0!</v>
      </c>
      <c r="BZ32" s="35" t="e">
        <f t="shared" si="29"/>
        <v>#DIV/0!</v>
      </c>
      <c r="CA32" s="35" t="e">
        <f t="shared" si="29"/>
        <v>#DIV/0!</v>
      </c>
      <c r="CB32" s="35" t="e">
        <f t="shared" si="29"/>
        <v>#DIV/0!</v>
      </c>
      <c r="CC32" s="35" t="e">
        <f t="shared" si="29"/>
        <v>#DIV/0!</v>
      </c>
      <c r="CD32" s="35" t="e">
        <f t="shared" si="29"/>
        <v>#DIV/0!</v>
      </c>
      <c r="CE32" s="35" t="e">
        <f t="shared" si="29"/>
        <v>#DIV/0!</v>
      </c>
      <c r="CF32" s="35" t="e">
        <f t="shared" si="29"/>
        <v>#DIV/0!</v>
      </c>
      <c r="CG32" s="35" t="e">
        <f t="shared" si="29"/>
        <v>#DIV/0!</v>
      </c>
      <c r="CH32" s="35" t="e">
        <f t="shared" si="29"/>
        <v>#DIV/0!</v>
      </c>
      <c r="CI32" s="35" t="e">
        <f t="shared" si="29"/>
        <v>#DIV/0!</v>
      </c>
      <c r="CJ32" s="35" t="e">
        <f t="shared" si="29"/>
        <v>#DIV/0!</v>
      </c>
    </row>
    <row r="33" spans="1:89">
      <c r="A33" s="23" t="s">
        <v>416</v>
      </c>
      <c r="B33" s="33">
        <f>B17+B20+B29</f>
        <v>286522595.27103859</v>
      </c>
      <c r="C33" s="33">
        <f t="shared" ref="C33:BN33" si="30">C17+C20+C29</f>
        <v>179897970.028431</v>
      </c>
      <c r="D33" s="33">
        <f t="shared" si="30"/>
        <v>96023468.347041354</v>
      </c>
      <c r="E33" s="33">
        <f t="shared" si="30"/>
        <v>487893775.93494058</v>
      </c>
      <c r="F33" s="33">
        <f t="shared" si="30"/>
        <v>239566903.10194191</v>
      </c>
      <c r="G33" s="33">
        <f t="shared" si="30"/>
        <v>158046670.98833072</v>
      </c>
      <c r="H33" s="33">
        <f t="shared" si="30"/>
        <v>78636000.918028012</v>
      </c>
      <c r="I33" s="33">
        <f t="shared" si="30"/>
        <v>438630456.92095071</v>
      </c>
      <c r="J33" s="33">
        <f t="shared" si="30"/>
        <v>240322933.4087815</v>
      </c>
      <c r="K33" s="33">
        <f t="shared" si="30"/>
        <v>166650975.76911446</v>
      </c>
      <c r="L33" s="33">
        <f t="shared" si="30"/>
        <v>86257776.420978487</v>
      </c>
      <c r="M33" s="33">
        <f t="shared" si="30"/>
        <v>400861400.40212309</v>
      </c>
      <c r="N33" s="33">
        <f t="shared" si="30"/>
        <v>238214038.57603773</v>
      </c>
      <c r="O33" s="33">
        <f t="shared" si="30"/>
        <v>175137763.94447428</v>
      </c>
      <c r="P33" s="33">
        <f t="shared" si="30"/>
        <v>96655735.982552245</v>
      </c>
      <c r="Q33" s="33">
        <f t="shared" si="30"/>
        <v>376150467.94659811</v>
      </c>
      <c r="R33" s="33">
        <f t="shared" si="30"/>
        <v>240579414.01595774</v>
      </c>
      <c r="S33" s="33">
        <f t="shared" si="30"/>
        <v>155975574.27199754</v>
      </c>
      <c r="T33" s="33">
        <f t="shared" si="30"/>
        <v>100304955.00258154</v>
      </c>
      <c r="U33" s="33">
        <f t="shared" si="30"/>
        <v>314508070.12801248</v>
      </c>
      <c r="V33" s="33">
        <f t="shared" si="30"/>
        <v>207308648.46717846</v>
      </c>
      <c r="W33" s="33">
        <f t="shared" si="30"/>
        <v>134078735.5598436</v>
      </c>
      <c r="X33" s="33">
        <f t="shared" si="30"/>
        <v>87251183.468169034</v>
      </c>
      <c r="Y33" s="33">
        <f t="shared" si="30"/>
        <v>259443148.54251334</v>
      </c>
      <c r="Z33" s="33">
        <f t="shared" si="30"/>
        <v>160292604.73476851</v>
      </c>
      <c r="AA33" s="33">
        <f t="shared" si="30"/>
        <v>107242257.94598928</v>
      </c>
      <c r="AB33" s="33">
        <f t="shared" si="30"/>
        <v>76842569.178709894</v>
      </c>
      <c r="AC33" s="33">
        <f t="shared" si="30"/>
        <v>206317715.30672568</v>
      </c>
      <c r="AD33" s="33">
        <f t="shared" si="30"/>
        <v>123135676.7084475</v>
      </c>
      <c r="AE33" s="33">
        <f t="shared" si="30"/>
        <v>82869587.939695537</v>
      </c>
      <c r="AF33" s="33">
        <f t="shared" si="30"/>
        <v>58235493.357691705</v>
      </c>
      <c r="AG33" s="33">
        <f t="shared" si="30"/>
        <v>127620368.59613843</v>
      </c>
      <c r="AH33" s="33">
        <f t="shared" si="30"/>
        <v>67930623.105684325</v>
      </c>
      <c r="AI33" s="33">
        <f t="shared" si="30"/>
        <v>47196067.050980181</v>
      </c>
      <c r="AJ33" s="33">
        <f t="shared" si="30"/>
        <v>36170142.041440062</v>
      </c>
      <c r="AK33" s="33">
        <f t="shared" si="30"/>
        <v>87888630.033416465</v>
      </c>
      <c r="AL33" s="33">
        <f t="shared" si="30"/>
        <v>53778927.763076648</v>
      </c>
      <c r="AM33" s="33">
        <f t="shared" si="30"/>
        <v>36137395.917931661</v>
      </c>
      <c r="AN33" s="33">
        <f t="shared" si="30"/>
        <v>25469935.446959831</v>
      </c>
      <c r="AO33" s="33">
        <f t="shared" si="30"/>
        <v>69753158.942748502</v>
      </c>
      <c r="AP33" s="33">
        <f t="shared" si="30"/>
        <v>49594110.670709372</v>
      </c>
      <c r="AQ33" s="33">
        <f t="shared" si="30"/>
        <v>63911066.124579102</v>
      </c>
      <c r="AR33" s="33">
        <f t="shared" si="30"/>
        <v>36196559.270411618</v>
      </c>
      <c r="AS33" s="33" t="e">
        <f t="shared" si="30"/>
        <v>#DIV/0!</v>
      </c>
      <c r="AT33" s="33">
        <f t="shared" si="30"/>
        <v>-13003140.681632061</v>
      </c>
      <c r="AU33" s="33">
        <f t="shared" si="30"/>
        <v>-20273858.635097776</v>
      </c>
      <c r="AV33" s="33">
        <f t="shared" si="30"/>
        <v>0</v>
      </c>
      <c r="AW33" s="33">
        <f t="shared" si="30"/>
        <v>13589374.630842954</v>
      </c>
      <c r="AX33" s="33">
        <f t="shared" si="30"/>
        <v>19968810.999266259</v>
      </c>
      <c r="AY33" s="33">
        <f t="shared" si="30"/>
        <v>-1423099.2058320753</v>
      </c>
      <c r="AZ33" s="33">
        <f t="shared" si="30"/>
        <v>-7194596.6275969138</v>
      </c>
      <c r="BA33" s="33">
        <f t="shared" si="30"/>
        <v>-181556067.22954905</v>
      </c>
      <c r="BB33" s="33">
        <f t="shared" si="30"/>
        <v>-143078150.54667872</v>
      </c>
      <c r="BC33" s="33">
        <f t="shared" si="30"/>
        <v>-130799362.71280822</v>
      </c>
      <c r="BD33" s="33">
        <f t="shared" si="30"/>
        <v>-9180723.6354263648</v>
      </c>
      <c r="BE33" s="33">
        <f t="shared" si="30"/>
        <v>-39163425.10763751</v>
      </c>
      <c r="BF33" s="33">
        <f t="shared" si="30"/>
        <v>-29010920.011306331</v>
      </c>
      <c r="BG33" s="33">
        <f t="shared" si="30"/>
        <v>-17084859.33726842</v>
      </c>
      <c r="BH33" s="33">
        <f t="shared" si="30"/>
        <v>-14601441.917478967</v>
      </c>
      <c r="BI33" s="33">
        <f t="shared" si="30"/>
        <v>-37902491.761407793</v>
      </c>
      <c r="BJ33" s="33">
        <f t="shared" si="30"/>
        <v>3637143.7941476554</v>
      </c>
      <c r="BK33" s="33">
        <f t="shared" si="30"/>
        <v>17088874.201992691</v>
      </c>
      <c r="BL33" s="33">
        <f t="shared" si="30"/>
        <v>-19157263.320142653</v>
      </c>
      <c r="BM33" s="33">
        <f t="shared" si="30"/>
        <v>-77532345.976353824</v>
      </c>
      <c r="BN33" s="33">
        <f t="shared" si="30"/>
        <v>-44465528.91937016</v>
      </c>
      <c r="BO33" s="33">
        <f t="shared" ref="BO33:CJ33" si="31">BO17+BO20+BO29</f>
        <v>-23927295.945694104</v>
      </c>
      <c r="BP33" s="33">
        <f t="shared" si="31"/>
        <v>-15677534.370202009</v>
      </c>
      <c r="BQ33" s="33">
        <f t="shared" si="31"/>
        <v>-81369625.584198147</v>
      </c>
      <c r="BR33" s="33">
        <f t="shared" si="31"/>
        <v>-14320831.603676498</v>
      </c>
      <c r="BS33" s="33">
        <f t="shared" si="31"/>
        <v>6639032.4941815287</v>
      </c>
      <c r="BT33" s="33">
        <f t="shared" si="31"/>
        <v>8336415.3521843404</v>
      </c>
      <c r="BU33" s="33">
        <f t="shared" si="31"/>
        <v>-42090769.441926852</v>
      </c>
      <c r="BV33" s="33">
        <f t="shared" si="31"/>
        <v>-31537945.171112079</v>
      </c>
      <c r="BW33" s="33">
        <f t="shared" si="31"/>
        <v>41571053.049183644</v>
      </c>
      <c r="BX33" s="33">
        <f t="shared" si="31"/>
        <v>-2405395.41</v>
      </c>
      <c r="BY33" s="33">
        <f t="shared" si="31"/>
        <v>26374725.858461704</v>
      </c>
      <c r="BZ33" s="33">
        <f t="shared" si="31"/>
        <v>475384.5</v>
      </c>
      <c r="CA33" s="33">
        <f t="shared" si="31"/>
        <v>5512911.5004907371</v>
      </c>
      <c r="CB33" s="33">
        <f t="shared" si="31"/>
        <v>-6664176.4400000013</v>
      </c>
      <c r="CC33" s="33">
        <f t="shared" si="31"/>
        <v>33083162.000634164</v>
      </c>
      <c r="CD33" s="33">
        <f t="shared" si="31"/>
        <v>-13940000</v>
      </c>
      <c r="CE33" s="33">
        <f t="shared" si="31"/>
        <v>-20081000</v>
      </c>
      <c r="CF33" s="33">
        <f t="shared" si="31"/>
        <v>-14354563.84</v>
      </c>
      <c r="CG33" s="33" t="e">
        <f t="shared" si="31"/>
        <v>#DIV/0!</v>
      </c>
      <c r="CH33" s="33" t="e">
        <f t="shared" si="31"/>
        <v>#DIV/0!</v>
      </c>
      <c r="CI33" s="33" t="e">
        <f t="shared" si="31"/>
        <v>#DIV/0!</v>
      </c>
      <c r="CJ33" s="33" t="e">
        <f t="shared" si="31"/>
        <v>#DIV/0!</v>
      </c>
    </row>
    <row r="34" spans="1:89" s="31" customFormat="1">
      <c r="A34" s="31" t="s">
        <v>417</v>
      </c>
      <c r="B34" s="35">
        <f>B33/B4*100</f>
        <v>16.250137029649377</v>
      </c>
      <c r="C34" s="35">
        <f t="shared" ref="C34:BN34" si="32">C33/C4*100</f>
        <v>15.69883815636863</v>
      </c>
      <c r="D34" s="35">
        <f t="shared" si="32"/>
        <v>17.385076466256841</v>
      </c>
      <c r="E34" s="35">
        <f t="shared" si="32"/>
        <v>18.648887846111357</v>
      </c>
      <c r="F34" s="35">
        <f t="shared" si="32"/>
        <v>15.571066798864171</v>
      </c>
      <c r="G34" s="35">
        <f t="shared" si="32"/>
        <v>16.44110224140487</v>
      </c>
      <c r="H34" s="35">
        <f t="shared" si="32"/>
        <v>18.229267189089153</v>
      </c>
      <c r="I34" s="35">
        <f t="shared" si="32"/>
        <v>18.975389804165914</v>
      </c>
      <c r="J34" s="35">
        <f t="shared" si="32"/>
        <v>17.831411622043348</v>
      </c>
      <c r="K34" s="35">
        <f t="shared" si="32"/>
        <v>18.912909608700176</v>
      </c>
      <c r="L34" s="35">
        <f t="shared" si="32"/>
        <v>20.007395840087362</v>
      </c>
      <c r="M34" s="35">
        <f t="shared" si="32"/>
        <v>19.156064292740325</v>
      </c>
      <c r="N34" s="35">
        <f t="shared" si="32"/>
        <v>18.347457293387421</v>
      </c>
      <c r="O34" s="35">
        <f t="shared" si="32"/>
        <v>20.303005430119452</v>
      </c>
      <c r="P34" s="35">
        <f t="shared" si="32"/>
        <v>20.899764663938129</v>
      </c>
      <c r="Q34" s="35">
        <f t="shared" si="32"/>
        <v>19.096191900530137</v>
      </c>
      <c r="R34" s="35">
        <f t="shared" si="32"/>
        <v>18.514100311076735</v>
      </c>
      <c r="S34" s="35">
        <f t="shared" si="32"/>
        <v>18.264351740568163</v>
      </c>
      <c r="T34" s="35">
        <f t="shared" si="32"/>
        <v>22.178975252372105</v>
      </c>
      <c r="U34" s="35">
        <f t="shared" si="32"/>
        <v>16.873697249102829</v>
      </c>
      <c r="V34" s="35">
        <f t="shared" si="32"/>
        <v>16.512913481774216</v>
      </c>
      <c r="W34" s="35">
        <f t="shared" si="32"/>
        <v>16.337455661914063</v>
      </c>
      <c r="X34" s="35">
        <f t="shared" si="32"/>
        <v>19.869175930428877</v>
      </c>
      <c r="Y34" s="35">
        <f t="shared" si="32"/>
        <v>14.600307989459537</v>
      </c>
      <c r="Z34" s="35">
        <f t="shared" si="32"/>
        <v>13.442370242881696</v>
      </c>
      <c r="AA34" s="35">
        <f t="shared" si="32"/>
        <v>14.139136433181982</v>
      </c>
      <c r="AB34" s="35">
        <f t="shared" si="32"/>
        <v>19.00574073857398</v>
      </c>
      <c r="AC34" s="35">
        <f t="shared" si="32"/>
        <v>14.195326410073422</v>
      </c>
      <c r="AD34" s="35">
        <f t="shared" si="32"/>
        <v>13.033086662930074</v>
      </c>
      <c r="AE34" s="35">
        <f t="shared" si="32"/>
        <v>13.63910732905191</v>
      </c>
      <c r="AF34" s="35">
        <f t="shared" si="32"/>
        <v>17.493971104112152</v>
      </c>
      <c r="AG34" s="35">
        <f t="shared" si="32"/>
        <v>11.957293892257095</v>
      </c>
      <c r="AH34" s="35">
        <f t="shared" si="32"/>
        <v>9.7311869397508346</v>
      </c>
      <c r="AI34" s="35">
        <f t="shared" si="32"/>
        <v>10.413431096696748</v>
      </c>
      <c r="AJ34" s="35">
        <f t="shared" si="32"/>
        <v>14.286857906989336</v>
      </c>
      <c r="AK34" s="35">
        <f t="shared" si="32"/>
        <v>11.100056946805008</v>
      </c>
      <c r="AL34" s="35">
        <f t="shared" si="32"/>
        <v>10.293530173592504</v>
      </c>
      <c r="AM34" s="35">
        <f t="shared" si="32"/>
        <v>11.182680511070568</v>
      </c>
      <c r="AN34" s="35">
        <f t="shared" si="32"/>
        <v>14.01380977011554</v>
      </c>
      <c r="AO34" s="35">
        <f t="shared" si="32"/>
        <v>10.246309220848358</v>
      </c>
      <c r="AP34" s="35">
        <f t="shared" si="32"/>
        <v>10.589239129813169</v>
      </c>
      <c r="AQ34" s="35">
        <f t="shared" si="32"/>
        <v>10.828034695130457</v>
      </c>
      <c r="AR34" s="35">
        <f t="shared" si="32"/>
        <v>8.6370941668363894</v>
      </c>
      <c r="AS34" s="35" t="e">
        <f t="shared" si="32"/>
        <v>#DIV/0!</v>
      </c>
      <c r="AT34" s="35" t="e">
        <f t="shared" si="32"/>
        <v>#DIV/0!</v>
      </c>
      <c r="AU34" s="35" t="e">
        <f t="shared" si="32"/>
        <v>#DIV/0!</v>
      </c>
      <c r="AV34" s="35" t="e">
        <f t="shared" si="32"/>
        <v>#DIV/0!</v>
      </c>
      <c r="AW34" s="35" t="e">
        <f t="shared" si="32"/>
        <v>#DIV/0!</v>
      </c>
      <c r="AX34" s="35" t="e">
        <f t="shared" si="32"/>
        <v>#DIV/0!</v>
      </c>
      <c r="AY34" s="35" t="e">
        <f t="shared" si="32"/>
        <v>#DIV/0!</v>
      </c>
      <c r="AZ34" s="35" t="e">
        <f t="shared" si="32"/>
        <v>#DIV/0!</v>
      </c>
      <c r="BA34" s="35" t="e">
        <f t="shared" si="32"/>
        <v>#DIV/0!</v>
      </c>
      <c r="BB34" s="35" t="e">
        <f t="shared" si="32"/>
        <v>#DIV/0!</v>
      </c>
      <c r="BC34" s="35" t="e">
        <f t="shared" si="32"/>
        <v>#DIV/0!</v>
      </c>
      <c r="BD34" s="35" t="e">
        <f t="shared" si="32"/>
        <v>#DIV/0!</v>
      </c>
      <c r="BE34" s="35" t="e">
        <f t="shared" si="32"/>
        <v>#DIV/0!</v>
      </c>
      <c r="BF34" s="35" t="e">
        <f t="shared" si="32"/>
        <v>#DIV/0!</v>
      </c>
      <c r="BG34" s="35" t="e">
        <f t="shared" si="32"/>
        <v>#DIV/0!</v>
      </c>
      <c r="BH34" s="35" t="e">
        <f t="shared" si="32"/>
        <v>#DIV/0!</v>
      </c>
      <c r="BI34" s="35" t="e">
        <f t="shared" si="32"/>
        <v>#DIV/0!</v>
      </c>
      <c r="BJ34" s="35" t="e">
        <f t="shared" si="32"/>
        <v>#DIV/0!</v>
      </c>
      <c r="BK34" s="35" t="e">
        <f t="shared" si="32"/>
        <v>#DIV/0!</v>
      </c>
      <c r="BL34" s="35" t="e">
        <f t="shared" si="32"/>
        <v>#DIV/0!</v>
      </c>
      <c r="BM34" s="35" t="e">
        <f t="shared" si="32"/>
        <v>#DIV/0!</v>
      </c>
      <c r="BN34" s="35" t="e">
        <f t="shared" si="32"/>
        <v>#DIV/0!</v>
      </c>
      <c r="BO34" s="35" t="e">
        <f t="shared" ref="BO34:CK34" si="33">BO33/BO4*100</f>
        <v>#DIV/0!</v>
      </c>
      <c r="BP34" s="35" t="e">
        <f t="shared" si="33"/>
        <v>#DIV/0!</v>
      </c>
      <c r="BQ34" s="35" t="e">
        <f t="shared" si="33"/>
        <v>#DIV/0!</v>
      </c>
      <c r="BR34" s="35" t="e">
        <f t="shared" si="33"/>
        <v>#DIV/0!</v>
      </c>
      <c r="BS34" s="35" t="e">
        <f t="shared" si="33"/>
        <v>#DIV/0!</v>
      </c>
      <c r="BT34" s="35" t="e">
        <f t="shared" si="33"/>
        <v>#DIV/0!</v>
      </c>
      <c r="BU34" s="35" t="e">
        <f t="shared" si="33"/>
        <v>#DIV/0!</v>
      </c>
      <c r="BV34" s="35" t="e">
        <f t="shared" si="33"/>
        <v>#DIV/0!</v>
      </c>
      <c r="BW34" s="35" t="e">
        <f t="shared" si="33"/>
        <v>#DIV/0!</v>
      </c>
      <c r="BX34" s="35" t="e">
        <f t="shared" si="33"/>
        <v>#DIV/0!</v>
      </c>
      <c r="BY34" s="35" t="e">
        <f t="shared" si="33"/>
        <v>#DIV/0!</v>
      </c>
      <c r="BZ34" s="35" t="e">
        <f t="shared" si="33"/>
        <v>#DIV/0!</v>
      </c>
      <c r="CA34" s="35" t="e">
        <f t="shared" si="33"/>
        <v>#DIV/0!</v>
      </c>
      <c r="CB34" s="35" t="e">
        <f t="shared" si="33"/>
        <v>#DIV/0!</v>
      </c>
      <c r="CC34" s="35" t="e">
        <f t="shared" si="33"/>
        <v>#DIV/0!</v>
      </c>
      <c r="CD34" s="35" t="e">
        <f t="shared" si="33"/>
        <v>#DIV/0!</v>
      </c>
      <c r="CE34" s="35" t="e">
        <f t="shared" si="33"/>
        <v>#DIV/0!</v>
      </c>
      <c r="CF34" s="35" t="e">
        <f t="shared" si="33"/>
        <v>#DIV/0!</v>
      </c>
      <c r="CG34" s="35" t="e">
        <f t="shared" si="33"/>
        <v>#DIV/0!</v>
      </c>
      <c r="CH34" s="35" t="e">
        <f t="shared" si="33"/>
        <v>#DIV/0!</v>
      </c>
      <c r="CI34" s="35" t="e">
        <f t="shared" si="33"/>
        <v>#DIV/0!</v>
      </c>
      <c r="CJ34" s="35" t="e">
        <f t="shared" si="33"/>
        <v>#DIV/0!</v>
      </c>
      <c r="CK34" s="35" t="e">
        <f t="shared" si="33"/>
        <v>#DIV/0!</v>
      </c>
    </row>
    <row r="35" spans="1:89">
      <c r="A35" s="23" t="s">
        <v>418</v>
      </c>
      <c r="B35" s="33">
        <f>B23+B68</f>
        <v>900238.01</v>
      </c>
      <c r="C35" s="33">
        <f t="shared" ref="C35:BN35" si="34">C23+C68</f>
        <v>-1188631.2</v>
      </c>
      <c r="D35" s="33">
        <f t="shared" si="34"/>
        <v>-1018222.03</v>
      </c>
      <c r="E35" s="33">
        <f t="shared" si="34"/>
        <v>2303784.15</v>
      </c>
      <c r="F35" s="33">
        <f t="shared" si="34"/>
        <v>-1265203.56</v>
      </c>
      <c r="G35" s="33">
        <f t="shared" si="34"/>
        <v>-688571.16</v>
      </c>
      <c r="H35" s="33">
        <f t="shared" si="34"/>
        <v>-859232.09</v>
      </c>
      <c r="I35" s="33">
        <f t="shared" si="34"/>
        <v>1836954.3699999996</v>
      </c>
      <c r="J35" s="33">
        <f t="shared" si="34"/>
        <v>-4039550.56</v>
      </c>
      <c r="K35" s="33">
        <f t="shared" si="34"/>
        <v>-3444611.51</v>
      </c>
      <c r="L35" s="33">
        <f t="shared" si="34"/>
        <v>-2888495.47</v>
      </c>
      <c r="M35" s="33">
        <f t="shared" si="34"/>
        <v>1977684.7300000004</v>
      </c>
      <c r="N35" s="33">
        <f t="shared" si="34"/>
        <v>-15629733.890000001</v>
      </c>
      <c r="O35" s="33">
        <f t="shared" si="34"/>
        <v>-9943631.5600000005</v>
      </c>
      <c r="P35" s="33">
        <f t="shared" si="34"/>
        <v>-5617944.5199999996</v>
      </c>
      <c r="Q35" s="33">
        <f t="shared" si="34"/>
        <v>1723863.3200000003</v>
      </c>
      <c r="R35" s="33">
        <f t="shared" si="34"/>
        <v>-4382079.3499999996</v>
      </c>
      <c r="S35" s="33">
        <f t="shared" si="34"/>
        <v>-2084692.56</v>
      </c>
      <c r="T35" s="33">
        <f t="shared" si="34"/>
        <v>-352460.91</v>
      </c>
      <c r="U35" s="33">
        <f t="shared" si="34"/>
        <v>1711175.4700000007</v>
      </c>
      <c r="V35" s="33">
        <f t="shared" si="34"/>
        <v>-4471473.38</v>
      </c>
      <c r="W35" s="33">
        <f t="shared" si="34"/>
        <v>-2641899.13</v>
      </c>
      <c r="X35" s="33">
        <f t="shared" si="34"/>
        <v>-811103.87</v>
      </c>
      <c r="Y35" s="33">
        <f t="shared" si="34"/>
        <v>3175100.8000000007</v>
      </c>
      <c r="Z35" s="33">
        <f t="shared" si="34"/>
        <v>-3477099.89</v>
      </c>
      <c r="AA35" s="33">
        <f t="shared" si="34"/>
        <v>-2777557.31</v>
      </c>
      <c r="AB35" s="33">
        <f t="shared" si="34"/>
        <v>-102103.65</v>
      </c>
      <c r="AC35" s="33">
        <f t="shared" si="34"/>
        <v>2907715.25</v>
      </c>
      <c r="AD35" s="33">
        <f t="shared" si="34"/>
        <v>-7503780.4699999997</v>
      </c>
      <c r="AE35" s="33">
        <f t="shared" si="34"/>
        <v>-3665468.31</v>
      </c>
      <c r="AF35" s="33">
        <f t="shared" si="34"/>
        <v>-1349899.45</v>
      </c>
      <c r="AG35" s="33">
        <f t="shared" si="34"/>
        <v>2996667.5899999989</v>
      </c>
      <c r="AH35" s="33">
        <f t="shared" si="34"/>
        <v>-1377524.48</v>
      </c>
      <c r="AI35" s="33">
        <f t="shared" si="34"/>
        <v>-756194.33</v>
      </c>
      <c r="AJ35" s="33">
        <f t="shared" si="34"/>
        <v>-172378.34</v>
      </c>
      <c r="AK35" s="33">
        <f t="shared" si="34"/>
        <v>4542693.8</v>
      </c>
      <c r="AL35" s="33">
        <f t="shared" si="34"/>
        <v>3800333.88</v>
      </c>
      <c r="AM35" s="33">
        <f t="shared" si="34"/>
        <v>3105181.44</v>
      </c>
      <c r="AN35" s="33">
        <f t="shared" si="34"/>
        <v>912582.73</v>
      </c>
      <c r="AO35" s="33">
        <f t="shared" si="34"/>
        <v>7225437.4100000001</v>
      </c>
      <c r="AP35" s="33">
        <f t="shared" si="34"/>
        <v>5302004.29</v>
      </c>
      <c r="AQ35" s="33">
        <f t="shared" si="34"/>
        <v>6007006.5499999998</v>
      </c>
      <c r="AR35" s="33">
        <f t="shared" si="34"/>
        <v>2839947.51</v>
      </c>
      <c r="AS35" s="33">
        <f t="shared" si="34"/>
        <v>0</v>
      </c>
      <c r="AT35" s="33">
        <f t="shared" si="34"/>
        <v>-22649401.350000001</v>
      </c>
      <c r="AU35" s="33">
        <f t="shared" si="34"/>
        <v>-8345207.46</v>
      </c>
      <c r="AV35" s="33">
        <f t="shared" si="34"/>
        <v>-6288958.1900000004</v>
      </c>
      <c r="AW35" s="33">
        <f t="shared" si="34"/>
        <v>-22650844.379999999</v>
      </c>
      <c r="AX35" s="33">
        <f t="shared" si="34"/>
        <v>-13369914.74</v>
      </c>
      <c r="AY35" s="33">
        <f t="shared" si="34"/>
        <v>-8061296.04</v>
      </c>
      <c r="AZ35" s="33">
        <f t="shared" si="34"/>
        <v>-3526988.6</v>
      </c>
      <c r="BA35" s="33">
        <f t="shared" si="34"/>
        <v>-8333112.9000000004</v>
      </c>
      <c r="BB35" s="33">
        <f t="shared" si="34"/>
        <v>-821838.79</v>
      </c>
      <c r="BC35" s="33">
        <f t="shared" si="34"/>
        <v>-2071650.69</v>
      </c>
      <c r="BD35" s="33">
        <f t="shared" si="34"/>
        <v>-3633490.4</v>
      </c>
      <c r="BE35" s="33">
        <f t="shared" si="34"/>
        <v>-12576168.560000001</v>
      </c>
      <c r="BF35" s="33">
        <f t="shared" si="34"/>
        <v>-7133253.9900000002</v>
      </c>
      <c r="BG35" s="33">
        <f t="shared" si="34"/>
        <v>-2940819.66</v>
      </c>
      <c r="BH35" s="33">
        <f t="shared" si="34"/>
        <v>-2516879.5699999998</v>
      </c>
      <c r="BI35" s="33">
        <f t="shared" si="34"/>
        <v>8744950.6500000004</v>
      </c>
      <c r="BJ35" s="33">
        <f t="shared" si="34"/>
        <v>14650393.49</v>
      </c>
      <c r="BK35" s="33">
        <f t="shared" si="34"/>
        <v>15927037.050000001</v>
      </c>
      <c r="BL35" s="33">
        <f t="shared" si="34"/>
        <v>6393201.8399999999</v>
      </c>
      <c r="BM35" s="33">
        <f t="shared" si="34"/>
        <v>7360831.6900000004</v>
      </c>
      <c r="BN35" s="33">
        <f t="shared" si="34"/>
        <v>8294311.9100000001</v>
      </c>
      <c r="BO35" s="33">
        <f t="shared" ref="BO35:CJ35" si="35">BO23+BO68</f>
        <v>4854831.74</v>
      </c>
      <c r="BP35" s="33">
        <f t="shared" si="35"/>
        <v>8338188.3899999997</v>
      </c>
      <c r="BQ35" s="33">
        <f t="shared" si="35"/>
        <v>5508116.9500000002</v>
      </c>
      <c r="BR35" s="33">
        <f t="shared" si="35"/>
        <v>3768713.32</v>
      </c>
      <c r="BS35" s="33">
        <f t="shared" si="35"/>
        <v>3410802.03</v>
      </c>
      <c r="BT35" s="33">
        <f t="shared" si="35"/>
        <v>-87429.7</v>
      </c>
      <c r="BU35" s="33">
        <f t="shared" si="35"/>
        <v>-6568664.4100000001</v>
      </c>
      <c r="BV35" s="33">
        <f t="shared" si="35"/>
        <v>5932455.8700000001</v>
      </c>
      <c r="BW35" s="33">
        <f t="shared" si="35"/>
        <v>868607.39</v>
      </c>
      <c r="BX35" s="33">
        <f t="shared" si="35"/>
        <v>17436730.539999999</v>
      </c>
      <c r="BY35" s="33">
        <f t="shared" si="35"/>
        <v>22884335.809999999</v>
      </c>
      <c r="BZ35" s="33">
        <f t="shared" si="35"/>
        <v>0</v>
      </c>
      <c r="CA35" s="33">
        <f t="shared" si="35"/>
        <v>49930619.770000003</v>
      </c>
      <c r="CB35" s="33">
        <f t="shared" si="35"/>
        <v>0</v>
      </c>
      <c r="CC35" s="33">
        <f t="shared" si="35"/>
        <v>24077630.73</v>
      </c>
      <c r="CD35" s="33">
        <f t="shared" si="35"/>
        <v>0</v>
      </c>
      <c r="CE35" s="33">
        <f t="shared" si="35"/>
        <v>0</v>
      </c>
      <c r="CF35" s="33">
        <f t="shared" si="35"/>
        <v>0</v>
      </c>
      <c r="CG35" s="33">
        <f t="shared" si="35"/>
        <v>0</v>
      </c>
      <c r="CH35" s="33">
        <f t="shared" si="35"/>
        <v>0</v>
      </c>
      <c r="CI35" s="33">
        <f t="shared" si="35"/>
        <v>0</v>
      </c>
      <c r="CJ35" s="33">
        <f t="shared" si="35"/>
        <v>0</v>
      </c>
    </row>
    <row r="36" spans="1:89" s="30" customFormat="1">
      <c r="A36" s="30" t="s">
        <v>419</v>
      </c>
      <c r="B36" s="33">
        <f>B35*B41</f>
        <v>135749.88896138678</v>
      </c>
      <c r="C36" s="33">
        <f t="shared" ref="C36:BN36" si="36">C35*C41</f>
        <v>-193095.34843103192</v>
      </c>
      <c r="D36" s="33">
        <f t="shared" si="36"/>
        <v>-180067.39704133425</v>
      </c>
      <c r="E36" s="33">
        <f t="shared" si="36"/>
        <v>417249.83505930967</v>
      </c>
      <c r="F36" s="33">
        <f t="shared" si="36"/>
        <v>-275805.68194190221</v>
      </c>
      <c r="G36" s="33">
        <f t="shared" si="36"/>
        <v>-149315.34833071672</v>
      </c>
      <c r="H36" s="33">
        <f t="shared" si="36"/>
        <v>-188505.28802796395</v>
      </c>
      <c r="I36" s="33">
        <f t="shared" si="36"/>
        <v>390253.80904953391</v>
      </c>
      <c r="J36" s="33">
        <f t="shared" si="36"/>
        <v>-858730.51878160983</v>
      </c>
      <c r="K36" s="33">
        <f t="shared" si="36"/>
        <v>-734528.18911439262</v>
      </c>
      <c r="L36" s="33">
        <f t="shared" si="36"/>
        <v>-637451.33097850101</v>
      </c>
      <c r="M36" s="33">
        <f t="shared" si="36"/>
        <v>363983.61787682644</v>
      </c>
      <c r="N36" s="33">
        <f t="shared" si="36"/>
        <v>-3402934.4460378117</v>
      </c>
      <c r="O36" s="33">
        <f t="shared" si="36"/>
        <v>-2167593.4344743229</v>
      </c>
      <c r="P36" s="33">
        <f t="shared" si="36"/>
        <v>-1258943.3425522717</v>
      </c>
      <c r="Q36" s="33">
        <f t="shared" si="36"/>
        <v>402074.07340171526</v>
      </c>
      <c r="R36" s="33">
        <f t="shared" si="36"/>
        <v>-1036797.7959576396</v>
      </c>
      <c r="S36" s="33">
        <f t="shared" si="36"/>
        <v>-497600.17199751863</v>
      </c>
      <c r="T36" s="33">
        <f t="shared" si="36"/>
        <v>-86301.332581561714</v>
      </c>
      <c r="U36" s="33">
        <f t="shared" si="36"/>
        <v>437401.39198757411</v>
      </c>
      <c r="V36" s="33">
        <f t="shared" si="36"/>
        <v>-1117062.9171786178</v>
      </c>
      <c r="W36" s="33">
        <f t="shared" si="36"/>
        <v>-658338.72984352126</v>
      </c>
      <c r="X36" s="33">
        <f t="shared" si="36"/>
        <v>-202016.5281690555</v>
      </c>
      <c r="Y36" s="33">
        <f t="shared" si="36"/>
        <v>840513.05748669407</v>
      </c>
      <c r="Z36" s="33">
        <f t="shared" si="36"/>
        <v>-870138.73476842826</v>
      </c>
      <c r="AA36" s="33">
        <f t="shared" si="36"/>
        <v>-695313.6859892729</v>
      </c>
      <c r="AB36" s="33">
        <f t="shared" si="36"/>
        <v>-25542.498709911</v>
      </c>
      <c r="AC36" s="33">
        <f t="shared" si="36"/>
        <v>704744.55327430123</v>
      </c>
      <c r="AD36" s="33">
        <f t="shared" si="36"/>
        <v>-1750714.4584475025</v>
      </c>
      <c r="AE36" s="33">
        <f t="shared" si="36"/>
        <v>-865587.44969548436</v>
      </c>
      <c r="AF36" s="33">
        <f t="shared" si="36"/>
        <v>-315317.27769175562</v>
      </c>
      <c r="AG36" s="33">
        <f t="shared" si="36"/>
        <v>631785.22386160202</v>
      </c>
      <c r="AH36" s="33">
        <f t="shared" si="36"/>
        <v>-299855.4956843899</v>
      </c>
      <c r="AI36" s="33">
        <f t="shared" si="36"/>
        <v>-166251.0009801827</v>
      </c>
      <c r="AJ36" s="33">
        <f t="shared" si="36"/>
        <v>-37240.2214400624</v>
      </c>
      <c r="AK36" s="33">
        <f t="shared" si="36"/>
        <v>953394.42658355762</v>
      </c>
      <c r="AL36" s="33">
        <f t="shared" si="36"/>
        <v>775239.40692329803</v>
      </c>
      <c r="AM36" s="33">
        <f t="shared" si="36"/>
        <v>674956.14206833905</v>
      </c>
      <c r="AN36" s="33">
        <f t="shared" si="36"/>
        <v>196122.86304019051</v>
      </c>
      <c r="AO36" s="33">
        <f t="shared" si="36"/>
        <v>1257537.5772514765</v>
      </c>
      <c r="AP36" s="33">
        <f t="shared" si="36"/>
        <v>882188.13929065259</v>
      </c>
      <c r="AQ36" s="33">
        <f t="shared" si="36"/>
        <v>444839.72418315132</v>
      </c>
      <c r="AR36" s="33">
        <f t="shared" si="36"/>
        <v>423799.72958837729</v>
      </c>
      <c r="AS36" s="33" t="e">
        <f t="shared" si="36"/>
        <v>#DIV/0!</v>
      </c>
      <c r="AT36" s="33">
        <f t="shared" si="36"/>
        <v>-116266100.32836792</v>
      </c>
      <c r="AU36" s="33">
        <f t="shared" si="36"/>
        <v>-60856936.524902239</v>
      </c>
      <c r="AV36" s="33">
        <f t="shared" si="36"/>
        <v>-29650309.149999999</v>
      </c>
      <c r="AW36" s="33">
        <f t="shared" si="36"/>
        <v>-19747025.950842962</v>
      </c>
      <c r="AX36" s="33">
        <f t="shared" si="36"/>
        <v>-9953508.0192662776</v>
      </c>
      <c r="AY36" s="33">
        <f t="shared" si="36"/>
        <v>-8425391.6241679266</v>
      </c>
      <c r="AZ36" s="33">
        <f t="shared" si="36"/>
        <v>-7248612.4824030837</v>
      </c>
      <c r="BA36" s="33">
        <f t="shared" si="36"/>
        <v>20531537.919549026</v>
      </c>
      <c r="BB36" s="33">
        <f t="shared" si="36"/>
        <v>1658079.5866787462</v>
      </c>
      <c r="BC36" s="33">
        <f t="shared" si="36"/>
        <v>58460321.182808228</v>
      </c>
      <c r="BD36" s="33">
        <f t="shared" si="36"/>
        <v>-6062815.114573638</v>
      </c>
      <c r="BE36" s="33">
        <f t="shared" si="36"/>
        <v>-19224664.322362501</v>
      </c>
      <c r="BF36" s="33">
        <f t="shared" si="36"/>
        <v>-10991622.218693661</v>
      </c>
      <c r="BG36" s="33">
        <f t="shared" si="36"/>
        <v>-4064373.4127315711</v>
      </c>
      <c r="BH36" s="33">
        <f t="shared" si="36"/>
        <v>-5341065.7625210322</v>
      </c>
      <c r="BI36" s="33">
        <f t="shared" si="36"/>
        <v>11307395.651407778</v>
      </c>
      <c r="BJ36" s="33">
        <f t="shared" si="36"/>
        <v>14228267.73585235</v>
      </c>
      <c r="BK36" s="33">
        <f t="shared" si="36"/>
        <v>13181613.918007299</v>
      </c>
      <c r="BL36" s="33">
        <f t="shared" si="36"/>
        <v>12209136.310142659</v>
      </c>
      <c r="BM36" s="33">
        <f t="shared" si="36"/>
        <v>14443332.386353821</v>
      </c>
      <c r="BN36" s="33">
        <f t="shared" si="36"/>
        <v>13716639.939370178</v>
      </c>
      <c r="BO36" s="33">
        <f t="shared" ref="BO36:CJ36" si="37">BO35*BO41</f>
        <v>7298516.0756940944</v>
      </c>
      <c r="BP36" s="33">
        <f t="shared" si="37"/>
        <v>13892249.290202005</v>
      </c>
      <c r="BQ36" s="33">
        <f t="shared" si="37"/>
        <v>15021498.194198111</v>
      </c>
      <c r="BR36" s="33">
        <f t="shared" si="37"/>
        <v>5020054.0936764982</v>
      </c>
      <c r="BS36" s="33">
        <f t="shared" si="37"/>
        <v>3206128.6658184566</v>
      </c>
      <c r="BT36" s="33">
        <f t="shared" si="37"/>
        <v>-74295.392184333978</v>
      </c>
      <c r="BU36" s="33">
        <f t="shared" si="37"/>
        <v>-13112139.518073153</v>
      </c>
      <c r="BV36" s="33">
        <f t="shared" si="37"/>
        <v>-16162681.568887917</v>
      </c>
      <c r="BW36" s="33">
        <f t="shared" si="37"/>
        <v>55779.560816353027</v>
      </c>
      <c r="BX36" s="33">
        <f t="shared" si="37"/>
        <v>0</v>
      </c>
      <c r="BY36" s="33">
        <f t="shared" si="37"/>
        <v>9037519.4515382983</v>
      </c>
      <c r="BZ36" s="33">
        <f t="shared" si="37"/>
        <v>0</v>
      </c>
      <c r="CA36" s="33">
        <f t="shared" si="37"/>
        <v>-2013590.8104907372</v>
      </c>
      <c r="CB36" s="33">
        <f t="shared" si="37"/>
        <v>0</v>
      </c>
      <c r="CC36" s="33">
        <f t="shared" si="37"/>
        <v>-50777941.300634161</v>
      </c>
      <c r="CD36" s="33">
        <f t="shared" si="37"/>
        <v>0</v>
      </c>
      <c r="CE36" s="33">
        <f t="shared" si="37"/>
        <v>0</v>
      </c>
      <c r="CF36" s="33">
        <f t="shared" si="37"/>
        <v>0</v>
      </c>
      <c r="CG36" s="33" t="e">
        <f t="shared" si="37"/>
        <v>#DIV/0!</v>
      </c>
      <c r="CH36" s="33" t="e">
        <f t="shared" si="37"/>
        <v>#DIV/0!</v>
      </c>
      <c r="CI36" s="33" t="e">
        <f t="shared" si="37"/>
        <v>#DIV/0!</v>
      </c>
      <c r="CJ36" s="33" t="e">
        <f t="shared" si="37"/>
        <v>#DIV/0!</v>
      </c>
    </row>
    <row r="37" spans="1:89" s="30" customFormat="1">
      <c r="A37" s="30" t="s">
        <v>420</v>
      </c>
      <c r="B37" s="33">
        <f>B35-B36</f>
        <v>764488.12103861326</v>
      </c>
      <c r="C37" s="33">
        <f t="shared" ref="C37:BN37" si="38">C35-C36</f>
        <v>-995535.85156896804</v>
      </c>
      <c r="D37" s="33">
        <f t="shared" si="38"/>
        <v>-838154.63295866572</v>
      </c>
      <c r="E37" s="33">
        <f t="shared" si="38"/>
        <v>1886534.3149406903</v>
      </c>
      <c r="F37" s="33">
        <f t="shared" si="38"/>
        <v>-989397.87805809779</v>
      </c>
      <c r="G37" s="33">
        <f t="shared" si="38"/>
        <v>-539255.81166928331</v>
      </c>
      <c r="H37" s="33">
        <f t="shared" si="38"/>
        <v>-670726.80197203602</v>
      </c>
      <c r="I37" s="33">
        <f t="shared" si="38"/>
        <v>1446700.5609504657</v>
      </c>
      <c r="J37" s="33">
        <f t="shared" si="38"/>
        <v>-3180820.0412183902</v>
      </c>
      <c r="K37" s="33">
        <f t="shared" si="38"/>
        <v>-2710083.320885607</v>
      </c>
      <c r="L37" s="33">
        <f t="shared" si="38"/>
        <v>-2251044.1390214991</v>
      </c>
      <c r="M37" s="33">
        <f t="shared" si="38"/>
        <v>1613701.1121231741</v>
      </c>
      <c r="N37" s="33">
        <f t="shared" si="38"/>
        <v>-12226799.443962188</v>
      </c>
      <c r="O37" s="33">
        <f t="shared" si="38"/>
        <v>-7776038.1255256776</v>
      </c>
      <c r="P37" s="33">
        <f t="shared" si="38"/>
        <v>-4359001.1774477279</v>
      </c>
      <c r="Q37" s="33">
        <f t="shared" si="38"/>
        <v>1321789.2465982852</v>
      </c>
      <c r="R37" s="33">
        <f t="shared" si="38"/>
        <v>-3345281.5540423598</v>
      </c>
      <c r="S37" s="33">
        <f t="shared" si="38"/>
        <v>-1587092.3880024813</v>
      </c>
      <c r="T37" s="33">
        <f t="shared" si="38"/>
        <v>-266159.57741843828</v>
      </c>
      <c r="U37" s="33">
        <f t="shared" si="38"/>
        <v>1273774.0780124266</v>
      </c>
      <c r="V37" s="33">
        <f t="shared" si="38"/>
        <v>-3354410.4628213821</v>
      </c>
      <c r="W37" s="33">
        <f t="shared" si="38"/>
        <v>-1983560.4001564786</v>
      </c>
      <c r="X37" s="33">
        <f t="shared" si="38"/>
        <v>-609087.34183094453</v>
      </c>
      <c r="Y37" s="33">
        <f t="shared" si="38"/>
        <v>2334587.7425133064</v>
      </c>
      <c r="Z37" s="33">
        <f t="shared" si="38"/>
        <v>-2606961.1552315718</v>
      </c>
      <c r="AA37" s="33">
        <f t="shared" si="38"/>
        <v>-2082243.6240107273</v>
      </c>
      <c r="AB37" s="33">
        <f t="shared" si="38"/>
        <v>-76561.151290088994</v>
      </c>
      <c r="AC37" s="33">
        <f t="shared" si="38"/>
        <v>2202970.6967256987</v>
      </c>
      <c r="AD37" s="33">
        <f t="shared" si="38"/>
        <v>-5753066.0115524977</v>
      </c>
      <c r="AE37" s="33">
        <f t="shared" si="38"/>
        <v>-2799880.8603045158</v>
      </c>
      <c r="AF37" s="33">
        <f t="shared" si="38"/>
        <v>-1034582.1723082443</v>
      </c>
      <c r="AG37" s="33">
        <f t="shared" si="38"/>
        <v>2364882.3661383968</v>
      </c>
      <c r="AH37" s="33">
        <f t="shared" si="38"/>
        <v>-1077668.98431561</v>
      </c>
      <c r="AI37" s="33">
        <f t="shared" si="38"/>
        <v>-589943.32901981729</v>
      </c>
      <c r="AJ37" s="33">
        <f t="shared" si="38"/>
        <v>-135138.1185599376</v>
      </c>
      <c r="AK37" s="33">
        <f t="shared" si="38"/>
        <v>3589299.3734164424</v>
      </c>
      <c r="AL37" s="33">
        <f t="shared" si="38"/>
        <v>3025094.4730767021</v>
      </c>
      <c r="AM37" s="33">
        <f t="shared" si="38"/>
        <v>2430225.2979316609</v>
      </c>
      <c r="AN37" s="33">
        <f t="shared" si="38"/>
        <v>716459.86695980944</v>
      </c>
      <c r="AO37" s="33">
        <f t="shared" si="38"/>
        <v>5967899.8327485239</v>
      </c>
      <c r="AP37" s="33">
        <f t="shared" si="38"/>
        <v>4419816.1507093478</v>
      </c>
      <c r="AQ37" s="33">
        <f t="shared" si="38"/>
        <v>5562166.8258168483</v>
      </c>
      <c r="AR37" s="33">
        <f t="shared" si="38"/>
        <v>2416147.7804116225</v>
      </c>
      <c r="AS37" s="33" t="e">
        <f t="shared" si="38"/>
        <v>#DIV/0!</v>
      </c>
      <c r="AT37" s="33">
        <f t="shared" si="38"/>
        <v>93616698.978367925</v>
      </c>
      <c r="AU37" s="33">
        <f t="shared" si="38"/>
        <v>52511729.064902239</v>
      </c>
      <c r="AV37" s="33">
        <f t="shared" si="38"/>
        <v>23361350.959999997</v>
      </c>
      <c r="AW37" s="33">
        <f t="shared" si="38"/>
        <v>-2903818.4291570373</v>
      </c>
      <c r="AX37" s="33">
        <f t="shared" si="38"/>
        <v>-3416406.7207337227</v>
      </c>
      <c r="AY37" s="33">
        <f t="shared" si="38"/>
        <v>364095.58416792657</v>
      </c>
      <c r="AZ37" s="33">
        <f t="shared" si="38"/>
        <v>3721623.8824030836</v>
      </c>
      <c r="BA37" s="33">
        <f t="shared" si="38"/>
        <v>-28864650.819549024</v>
      </c>
      <c r="BB37" s="33">
        <f t="shared" si="38"/>
        <v>-2479918.3766787462</v>
      </c>
      <c r="BC37" s="33">
        <f t="shared" si="38"/>
        <v>-60531971.872808225</v>
      </c>
      <c r="BD37" s="33">
        <f t="shared" si="38"/>
        <v>2429324.714573638</v>
      </c>
      <c r="BE37" s="33">
        <f t="shared" si="38"/>
        <v>6648495.7623625007</v>
      </c>
      <c r="BF37" s="33">
        <f t="shared" si="38"/>
        <v>3858368.2286936603</v>
      </c>
      <c r="BG37" s="33">
        <f t="shared" si="38"/>
        <v>1123553.752731571</v>
      </c>
      <c r="BH37" s="33">
        <f t="shared" si="38"/>
        <v>2824186.1925210324</v>
      </c>
      <c r="BI37" s="33">
        <f t="shared" si="38"/>
        <v>-2562445.0014077779</v>
      </c>
      <c r="BJ37" s="33">
        <f t="shared" si="38"/>
        <v>422125.75414765067</v>
      </c>
      <c r="BK37" s="33">
        <f t="shared" si="38"/>
        <v>2745423.1319927014</v>
      </c>
      <c r="BL37" s="33">
        <f t="shared" si="38"/>
        <v>-5815934.4701426588</v>
      </c>
      <c r="BM37" s="33">
        <f t="shared" si="38"/>
        <v>-7082500.6963538202</v>
      </c>
      <c r="BN37" s="33">
        <f t="shared" si="38"/>
        <v>-5422328.0293701775</v>
      </c>
      <c r="BO37" s="33">
        <f t="shared" ref="BO37:CJ37" si="39">BO35-BO36</f>
        <v>-2443684.3356940942</v>
      </c>
      <c r="BP37" s="33">
        <f t="shared" si="39"/>
        <v>-5554060.9002020052</v>
      </c>
      <c r="BQ37" s="33">
        <f t="shared" si="39"/>
        <v>-9513381.24419811</v>
      </c>
      <c r="BR37" s="33">
        <f t="shared" si="39"/>
        <v>-1251340.7736764983</v>
      </c>
      <c r="BS37" s="33">
        <f t="shared" si="39"/>
        <v>204673.36418154323</v>
      </c>
      <c r="BT37" s="33">
        <f t="shared" si="39"/>
        <v>-13134.307815666019</v>
      </c>
      <c r="BU37" s="33">
        <f t="shared" si="39"/>
        <v>6543475.1080731526</v>
      </c>
      <c r="BV37" s="33">
        <f t="shared" si="39"/>
        <v>22095137.438887917</v>
      </c>
      <c r="BW37" s="33">
        <f t="shared" si="39"/>
        <v>812827.82918364694</v>
      </c>
      <c r="BX37" s="33">
        <f t="shared" si="39"/>
        <v>17436730.539999999</v>
      </c>
      <c r="BY37" s="33">
        <f t="shared" si="39"/>
        <v>13846816.3584617</v>
      </c>
      <c r="BZ37" s="33">
        <f t="shared" si="39"/>
        <v>0</v>
      </c>
      <c r="CA37" s="33">
        <f t="shared" si="39"/>
        <v>51944210.580490738</v>
      </c>
      <c r="CB37" s="33">
        <f t="shared" si="39"/>
        <v>0</v>
      </c>
      <c r="CC37" s="33">
        <f t="shared" si="39"/>
        <v>74855572.030634165</v>
      </c>
      <c r="CD37" s="33">
        <f t="shared" si="39"/>
        <v>0</v>
      </c>
      <c r="CE37" s="33">
        <f t="shared" si="39"/>
        <v>0</v>
      </c>
      <c r="CF37" s="33">
        <f t="shared" si="39"/>
        <v>0</v>
      </c>
      <c r="CG37" s="33" t="e">
        <f t="shared" si="39"/>
        <v>#DIV/0!</v>
      </c>
      <c r="CH37" s="33" t="e">
        <f t="shared" si="39"/>
        <v>#DIV/0!</v>
      </c>
      <c r="CI37" s="33" t="e">
        <f t="shared" si="39"/>
        <v>#DIV/0!</v>
      </c>
      <c r="CJ37" s="33" t="e">
        <f t="shared" si="39"/>
        <v>#DIV/0!</v>
      </c>
    </row>
    <row r="38" spans="1:89" s="2" customFormat="1">
      <c r="A38" s="26" t="s">
        <v>421</v>
      </c>
      <c r="B38" s="35">
        <f>B31-B35</f>
        <v>336500074.54999995</v>
      </c>
      <c r="C38" s="35">
        <f t="shared" ref="C38:BN38" si="40">C31-C35</f>
        <v>215979830.98999995</v>
      </c>
      <c r="D38" s="35">
        <f t="shared" si="40"/>
        <v>117671172.48000002</v>
      </c>
      <c r="E38" s="35">
        <f t="shared" si="40"/>
        <v>593498761.80999994</v>
      </c>
      <c r="F38" s="35">
        <f t="shared" si="40"/>
        <v>307614050.05000001</v>
      </c>
      <c r="G38" s="35">
        <f t="shared" si="40"/>
        <v>202497021.28999999</v>
      </c>
      <c r="H38" s="35">
        <f t="shared" si="40"/>
        <v>101595590.35000005</v>
      </c>
      <c r="I38" s="35">
        <f t="shared" si="40"/>
        <v>555115988.35000014</v>
      </c>
      <c r="J38" s="35">
        <f t="shared" si="40"/>
        <v>309242808.7299999</v>
      </c>
      <c r="K38" s="35">
        <f t="shared" si="40"/>
        <v>215263881.00000006</v>
      </c>
      <c r="L38" s="35">
        <f t="shared" si="40"/>
        <v>113572773.98999998</v>
      </c>
      <c r="M38" s="35">
        <f t="shared" si="40"/>
        <v>489301316.3599999</v>
      </c>
      <c r="N38" s="35">
        <f t="shared" si="40"/>
        <v>320142950.8499999</v>
      </c>
      <c r="O38" s="35">
        <f t="shared" si="40"/>
        <v>233901560.87999997</v>
      </c>
      <c r="P38" s="35">
        <f t="shared" si="40"/>
        <v>130189271.79999997</v>
      </c>
      <c r="Q38" s="35">
        <f t="shared" si="40"/>
        <v>488847531.59999985</v>
      </c>
      <c r="R38" s="35">
        <f t="shared" si="40"/>
        <v>319523888.84000009</v>
      </c>
      <c r="S38" s="35">
        <f t="shared" si="40"/>
        <v>206963199.75000003</v>
      </c>
      <c r="T38" s="35">
        <f t="shared" si="40"/>
        <v>133180954.47999996</v>
      </c>
      <c r="U38" s="35">
        <f t="shared" si="40"/>
        <v>420795848.35000002</v>
      </c>
      <c r="V38" s="35">
        <f t="shared" si="40"/>
        <v>280816635.46999985</v>
      </c>
      <c r="W38" s="35">
        <f t="shared" si="40"/>
        <v>181221031.28000006</v>
      </c>
      <c r="X38" s="35">
        <f t="shared" si="40"/>
        <v>117000963.20999998</v>
      </c>
      <c r="Y38" s="35">
        <f t="shared" si="40"/>
        <v>349674412.41000003</v>
      </c>
      <c r="Z38" s="35">
        <f t="shared" si="40"/>
        <v>217271385.69000006</v>
      </c>
      <c r="AA38" s="35">
        <f t="shared" si="40"/>
        <v>145830711.16000003</v>
      </c>
      <c r="AB38" s="35">
        <f t="shared" si="40"/>
        <v>102581058.78999999</v>
      </c>
      <c r="AC38" s="35">
        <f t="shared" si="40"/>
        <v>269412369.63999999</v>
      </c>
      <c r="AD38" s="35">
        <f t="shared" si="40"/>
        <v>168110852.28</v>
      </c>
      <c r="AE38" s="35">
        <f t="shared" si="40"/>
        <v>112154316.09000006</v>
      </c>
      <c r="AF38" s="35">
        <f t="shared" si="40"/>
        <v>77334255.799999952</v>
      </c>
      <c r="AG38" s="35">
        <f t="shared" si="40"/>
        <v>158717854.82000002</v>
      </c>
      <c r="AH38" s="35">
        <f t="shared" si="40"/>
        <v>88209471.60999994</v>
      </c>
      <c r="AI38" s="35">
        <f t="shared" si="40"/>
        <v>61252510.75</v>
      </c>
      <c r="AJ38" s="35">
        <f t="shared" si="40"/>
        <v>46309982.660000004</v>
      </c>
      <c r="AK38" s="35">
        <f t="shared" si="40"/>
        <v>106691029.89000002</v>
      </c>
      <c r="AL38" s="35">
        <f t="shared" si="40"/>
        <v>63760492.079999946</v>
      </c>
      <c r="AM38" s="35">
        <f t="shared" si="40"/>
        <v>43068797.240000002</v>
      </c>
      <c r="AN38" s="35">
        <f t="shared" si="40"/>
        <v>31529462.240000021</v>
      </c>
      <c r="AO38" s="35">
        <f t="shared" si="40"/>
        <v>77225893.579999983</v>
      </c>
      <c r="AP38" s="35">
        <f t="shared" si="40"/>
        <v>54191010.480000027</v>
      </c>
      <c r="AQ38" s="35">
        <f t="shared" si="40"/>
        <v>63021053.700000018</v>
      </c>
      <c r="AR38" s="35">
        <f t="shared" si="40"/>
        <v>39705599.25</v>
      </c>
      <c r="AS38" s="35">
        <f t="shared" si="40"/>
        <v>0</v>
      </c>
      <c r="AT38" s="35">
        <f t="shared" si="40"/>
        <v>25795350.260000028</v>
      </c>
      <c r="AU38" s="35">
        <f t="shared" si="40"/>
        <v>11567145.859999977</v>
      </c>
      <c r="AV38" s="35">
        <f t="shared" si="40"/>
        <v>6288958.1900000004</v>
      </c>
      <c r="AW38" s="35">
        <f t="shared" si="40"/>
        <v>128652930.08</v>
      </c>
      <c r="AX38" s="35">
        <f t="shared" si="40"/>
        <v>91516728.729999989</v>
      </c>
      <c r="AY38" s="35">
        <f t="shared" si="40"/>
        <v>39569571.590000004</v>
      </c>
      <c r="AZ38" s="35">
        <f t="shared" si="40"/>
        <v>10345318.74</v>
      </c>
      <c r="BA38" s="35">
        <f t="shared" si="40"/>
        <v>-44081420.550000004</v>
      </c>
      <c r="BB38" s="35">
        <f t="shared" si="40"/>
        <v>-46593904.899999999</v>
      </c>
      <c r="BC38" s="35">
        <f t="shared" si="40"/>
        <v>-2404836.39</v>
      </c>
      <c r="BD38" s="35">
        <f t="shared" si="40"/>
        <v>17364907.609999999</v>
      </c>
      <c r="BE38" s="35">
        <f t="shared" si="40"/>
        <v>86656961.140000001</v>
      </c>
      <c r="BF38" s="35">
        <f t="shared" si="40"/>
        <v>60767912.130000003</v>
      </c>
      <c r="BG38" s="35">
        <f t="shared" si="40"/>
        <v>47659187.700000003</v>
      </c>
      <c r="BH38" s="35">
        <f t="shared" si="40"/>
        <v>15529502.800000001</v>
      </c>
      <c r="BI38" s="35">
        <f t="shared" si="40"/>
        <v>120606282.16999999</v>
      </c>
      <c r="BJ38" s="35">
        <f t="shared" si="40"/>
        <v>111581155.38000001</v>
      </c>
      <c r="BK38" s="35">
        <f t="shared" si="40"/>
        <v>83210734.969999999</v>
      </c>
      <c r="BL38" s="35">
        <f t="shared" si="40"/>
        <v>14665538.030000001</v>
      </c>
      <c r="BM38" s="35">
        <f t="shared" si="40"/>
        <v>73218411.960000008</v>
      </c>
      <c r="BN38" s="35">
        <f t="shared" si="40"/>
        <v>59722776.710000008</v>
      </c>
      <c r="BO38" s="35">
        <f t="shared" ref="BO38:CJ38" si="41">BO31-BO35</f>
        <v>42681175.309999995</v>
      </c>
      <c r="BP38" s="35">
        <f t="shared" si="41"/>
        <v>15198146.09</v>
      </c>
      <c r="BQ38" s="35">
        <f t="shared" si="41"/>
        <v>41603777.589999996</v>
      </c>
      <c r="BR38" s="35">
        <f t="shared" si="41"/>
        <v>39361911.009999998</v>
      </c>
      <c r="BS38" s="35">
        <f t="shared" si="41"/>
        <v>107226093</v>
      </c>
      <c r="BT38" s="35">
        <f t="shared" si="41"/>
        <v>55579527.460000001</v>
      </c>
      <c r="BU38" s="35">
        <f t="shared" si="41"/>
        <v>48821463.519999996</v>
      </c>
      <c r="BV38" s="35">
        <f t="shared" si="41"/>
        <v>-14400267.780000001</v>
      </c>
      <c r="BW38" s="35">
        <f t="shared" si="41"/>
        <v>43555220.869999997</v>
      </c>
      <c r="BX38" s="35">
        <f t="shared" si="41"/>
        <v>-19842125.949999999</v>
      </c>
      <c r="BY38" s="35">
        <f t="shared" si="41"/>
        <v>20704606.790000003</v>
      </c>
      <c r="BZ38" s="35">
        <f t="shared" si="41"/>
        <v>2100000</v>
      </c>
      <c r="CA38" s="35">
        <f t="shared" si="41"/>
        <v>-44631413.470000006</v>
      </c>
      <c r="CB38" s="35">
        <f t="shared" si="41"/>
        <v>3033836.53</v>
      </c>
      <c r="CC38" s="35">
        <f t="shared" si="41"/>
        <v>-13436283.18</v>
      </c>
      <c r="CD38" s="35">
        <f t="shared" si="41"/>
        <v>5790000</v>
      </c>
      <c r="CE38" s="35">
        <f t="shared" si="41"/>
        <v>7729000</v>
      </c>
      <c r="CF38" s="35">
        <f t="shared" si="41"/>
        <v>2092581.44</v>
      </c>
      <c r="CG38" s="35">
        <f t="shared" si="41"/>
        <v>0</v>
      </c>
      <c r="CH38" s="35">
        <f t="shared" si="41"/>
        <v>0</v>
      </c>
      <c r="CI38" s="35">
        <f t="shared" si="41"/>
        <v>0</v>
      </c>
      <c r="CJ38" s="35">
        <f t="shared" si="41"/>
        <v>0</v>
      </c>
    </row>
    <row r="39" spans="1:89" s="32" customFormat="1">
      <c r="A39" s="31" t="s">
        <v>422</v>
      </c>
      <c r="B39" s="34">
        <f>B38/B4*100</f>
        <v>19.084611169154265</v>
      </c>
      <c r="C39" s="34">
        <f t="shared" ref="C39:BN39" si="42">C38/C4*100</f>
        <v>18.847530137310638</v>
      </c>
      <c r="D39" s="34">
        <f t="shared" si="42"/>
        <v>21.304399504144033</v>
      </c>
      <c r="E39" s="34">
        <f t="shared" si="42"/>
        <v>22.685454071618555</v>
      </c>
      <c r="F39" s="34">
        <f t="shared" si="42"/>
        <v>19.993909256987301</v>
      </c>
      <c r="G39" s="34">
        <f t="shared" si="42"/>
        <v>21.065133544348068</v>
      </c>
      <c r="H39" s="34">
        <f t="shared" si="42"/>
        <v>23.551721095964425</v>
      </c>
      <c r="I39" s="34">
        <f t="shared" si="42"/>
        <v>24.014616630610345</v>
      </c>
      <c r="J39" s="34">
        <f t="shared" si="42"/>
        <v>22.945108631151371</v>
      </c>
      <c r="K39" s="34">
        <f t="shared" si="42"/>
        <v>24.429897902377135</v>
      </c>
      <c r="L39" s="34">
        <f t="shared" si="42"/>
        <v>26.343079315942923</v>
      </c>
      <c r="M39" s="34">
        <f t="shared" si="42"/>
        <v>23.382364740810768</v>
      </c>
      <c r="N39" s="34">
        <f t="shared" si="42"/>
        <v>24.657695044385417</v>
      </c>
      <c r="O39" s="34">
        <f t="shared" si="42"/>
        <v>27.115252323112042</v>
      </c>
      <c r="P39" s="34">
        <f t="shared" si="42"/>
        <v>28.150684641009221</v>
      </c>
      <c r="Q39" s="34">
        <f t="shared" si="42"/>
        <v>24.817531995890992</v>
      </c>
      <c r="R39" s="34">
        <f t="shared" si="42"/>
        <v>24.589374589534508</v>
      </c>
      <c r="S39" s="34">
        <f t="shared" si="42"/>
        <v>24.234875846622263</v>
      </c>
      <c r="T39" s="34">
        <f t="shared" si="42"/>
        <v>29.448366667660565</v>
      </c>
      <c r="U39" s="34">
        <f t="shared" si="42"/>
        <v>22.576151212422808</v>
      </c>
      <c r="V39" s="34">
        <f t="shared" si="42"/>
        <v>22.368101090067121</v>
      </c>
      <c r="W39" s="34">
        <f t="shared" si="42"/>
        <v>22.081730941010346</v>
      </c>
      <c r="X39" s="34">
        <f t="shared" si="42"/>
        <v>26.643910485148066</v>
      </c>
      <c r="Y39" s="34">
        <f t="shared" si="42"/>
        <v>19.678122725151521</v>
      </c>
      <c r="Z39" s="34">
        <f t="shared" si="42"/>
        <v>18.220693427882281</v>
      </c>
      <c r="AA39" s="34">
        <f t="shared" si="42"/>
        <v>19.226752221849388</v>
      </c>
      <c r="AB39" s="34">
        <f t="shared" si="42"/>
        <v>25.371731175684353</v>
      </c>
      <c r="AC39" s="34">
        <f t="shared" si="42"/>
        <v>18.536442788083185</v>
      </c>
      <c r="AD39" s="34">
        <f t="shared" si="42"/>
        <v>17.793407770292184</v>
      </c>
      <c r="AE39" s="34">
        <f t="shared" si="42"/>
        <v>18.458940035771398</v>
      </c>
      <c r="AF39" s="34">
        <f t="shared" si="42"/>
        <v>23.231248819574546</v>
      </c>
      <c r="AG39" s="34">
        <f t="shared" si="42"/>
        <v>14.870949339106984</v>
      </c>
      <c r="AH39" s="34">
        <f t="shared" si="42"/>
        <v>12.636169357052834</v>
      </c>
      <c r="AI39" s="34">
        <f t="shared" si="42"/>
        <v>13.514871896122427</v>
      </c>
      <c r="AJ39" s="34">
        <f t="shared" si="42"/>
        <v>18.291997338040272</v>
      </c>
      <c r="AK39" s="34">
        <f t="shared" si="42"/>
        <v>13.474740783216182</v>
      </c>
      <c r="AL39" s="34">
        <f t="shared" si="42"/>
        <v>12.204046759727325</v>
      </c>
      <c r="AM39" s="34">
        <f t="shared" si="42"/>
        <v>13.327595619362601</v>
      </c>
      <c r="AN39" s="34">
        <f t="shared" si="42"/>
        <v>17.347821195131516</v>
      </c>
      <c r="AO39" s="34">
        <f t="shared" si="42"/>
        <v>11.344007891118871</v>
      </c>
      <c r="AP39" s="34">
        <f t="shared" si="42"/>
        <v>11.570760336223685</v>
      </c>
      <c r="AQ39" s="34">
        <f t="shared" si="42"/>
        <v>10.677245700409976</v>
      </c>
      <c r="AR39" s="34">
        <f t="shared" si="42"/>
        <v>9.474408799768181</v>
      </c>
      <c r="AS39" s="34" t="e">
        <f t="shared" si="42"/>
        <v>#DIV/0!</v>
      </c>
      <c r="AT39" s="34" t="e">
        <f t="shared" si="42"/>
        <v>#DIV/0!</v>
      </c>
      <c r="AU39" s="34" t="e">
        <f t="shared" si="42"/>
        <v>#DIV/0!</v>
      </c>
      <c r="AV39" s="34" t="e">
        <f t="shared" si="42"/>
        <v>#DIV/0!</v>
      </c>
      <c r="AW39" s="34" t="e">
        <f t="shared" si="42"/>
        <v>#DIV/0!</v>
      </c>
      <c r="AX39" s="34" t="e">
        <f t="shared" si="42"/>
        <v>#DIV/0!</v>
      </c>
      <c r="AY39" s="34" t="e">
        <f t="shared" si="42"/>
        <v>#DIV/0!</v>
      </c>
      <c r="AZ39" s="34" t="e">
        <f t="shared" si="42"/>
        <v>#DIV/0!</v>
      </c>
      <c r="BA39" s="34" t="e">
        <f t="shared" si="42"/>
        <v>#DIV/0!</v>
      </c>
      <c r="BB39" s="34" t="e">
        <f t="shared" si="42"/>
        <v>#DIV/0!</v>
      </c>
      <c r="BC39" s="34" t="e">
        <f t="shared" si="42"/>
        <v>#DIV/0!</v>
      </c>
      <c r="BD39" s="34" t="e">
        <f t="shared" si="42"/>
        <v>#DIV/0!</v>
      </c>
      <c r="BE39" s="34" t="e">
        <f t="shared" si="42"/>
        <v>#DIV/0!</v>
      </c>
      <c r="BF39" s="34" t="e">
        <f t="shared" si="42"/>
        <v>#DIV/0!</v>
      </c>
      <c r="BG39" s="34" t="e">
        <f t="shared" si="42"/>
        <v>#DIV/0!</v>
      </c>
      <c r="BH39" s="34" t="e">
        <f t="shared" si="42"/>
        <v>#DIV/0!</v>
      </c>
      <c r="BI39" s="34" t="e">
        <f t="shared" si="42"/>
        <v>#DIV/0!</v>
      </c>
      <c r="BJ39" s="34" t="e">
        <f t="shared" si="42"/>
        <v>#DIV/0!</v>
      </c>
      <c r="BK39" s="34" t="e">
        <f t="shared" si="42"/>
        <v>#DIV/0!</v>
      </c>
      <c r="BL39" s="34" t="e">
        <f t="shared" si="42"/>
        <v>#DIV/0!</v>
      </c>
      <c r="BM39" s="34" t="e">
        <f t="shared" si="42"/>
        <v>#DIV/0!</v>
      </c>
      <c r="BN39" s="34" t="e">
        <f t="shared" si="42"/>
        <v>#DIV/0!</v>
      </c>
      <c r="BO39" s="34" t="e">
        <f t="shared" ref="BO39:CJ39" si="43">BO38/BO4*100</f>
        <v>#DIV/0!</v>
      </c>
      <c r="BP39" s="34" t="e">
        <f t="shared" si="43"/>
        <v>#DIV/0!</v>
      </c>
      <c r="BQ39" s="34" t="e">
        <f t="shared" si="43"/>
        <v>#DIV/0!</v>
      </c>
      <c r="BR39" s="34" t="e">
        <f t="shared" si="43"/>
        <v>#DIV/0!</v>
      </c>
      <c r="BS39" s="34" t="e">
        <f t="shared" si="43"/>
        <v>#DIV/0!</v>
      </c>
      <c r="BT39" s="34" t="e">
        <f t="shared" si="43"/>
        <v>#DIV/0!</v>
      </c>
      <c r="BU39" s="34" t="e">
        <f t="shared" si="43"/>
        <v>#DIV/0!</v>
      </c>
      <c r="BV39" s="34" t="e">
        <f t="shared" si="43"/>
        <v>#DIV/0!</v>
      </c>
      <c r="BW39" s="34" t="e">
        <f t="shared" si="43"/>
        <v>#DIV/0!</v>
      </c>
      <c r="BX39" s="34" t="e">
        <f t="shared" si="43"/>
        <v>#DIV/0!</v>
      </c>
      <c r="BY39" s="34" t="e">
        <f t="shared" si="43"/>
        <v>#DIV/0!</v>
      </c>
      <c r="BZ39" s="34" t="e">
        <f t="shared" si="43"/>
        <v>#DIV/0!</v>
      </c>
      <c r="CA39" s="34" t="e">
        <f t="shared" si="43"/>
        <v>#DIV/0!</v>
      </c>
      <c r="CB39" s="34" t="e">
        <f t="shared" si="43"/>
        <v>#DIV/0!</v>
      </c>
      <c r="CC39" s="34" t="e">
        <f t="shared" si="43"/>
        <v>#DIV/0!</v>
      </c>
      <c r="CD39" s="34" t="e">
        <f t="shared" si="43"/>
        <v>#DIV/0!</v>
      </c>
      <c r="CE39" s="34" t="e">
        <f t="shared" si="43"/>
        <v>#DIV/0!</v>
      </c>
      <c r="CF39" s="34" t="e">
        <f t="shared" si="43"/>
        <v>#DIV/0!</v>
      </c>
      <c r="CG39" s="34" t="e">
        <f t="shared" si="43"/>
        <v>#DIV/0!</v>
      </c>
      <c r="CH39" s="34" t="e">
        <f t="shared" si="43"/>
        <v>#DIV/0!</v>
      </c>
      <c r="CI39" s="34" t="e">
        <f t="shared" si="43"/>
        <v>#DIV/0!</v>
      </c>
      <c r="CJ39" s="34" t="e">
        <f t="shared" si="43"/>
        <v>#DIV/0!</v>
      </c>
    </row>
    <row r="40" spans="1:89">
      <c r="A40" s="23" t="s">
        <v>423</v>
      </c>
      <c r="B40" s="33">
        <f>B60</f>
        <v>50741967.399999999</v>
      </c>
      <c r="C40" s="33">
        <f t="shared" ref="C40:BN40" si="44">C60</f>
        <v>35086325.109999999</v>
      </c>
      <c r="D40" s="33">
        <f t="shared" si="44"/>
        <v>20809549.5</v>
      </c>
      <c r="E40" s="33">
        <f t="shared" si="44"/>
        <v>107491520.19</v>
      </c>
      <c r="F40" s="33">
        <f t="shared" si="44"/>
        <v>67057749.07</v>
      </c>
      <c r="G40" s="33">
        <f t="shared" si="44"/>
        <v>43911094.490000002</v>
      </c>
      <c r="H40" s="33">
        <f t="shared" si="44"/>
        <v>22288862.629999999</v>
      </c>
      <c r="I40" s="33">
        <f t="shared" si="44"/>
        <v>117932231.98999999</v>
      </c>
      <c r="J40" s="33">
        <f t="shared" si="44"/>
        <v>65739055.280000001</v>
      </c>
      <c r="K40" s="33">
        <f t="shared" si="44"/>
        <v>45902821.909999996</v>
      </c>
      <c r="L40" s="33">
        <f t="shared" si="44"/>
        <v>25063953.43</v>
      </c>
      <c r="M40" s="33">
        <f t="shared" si="44"/>
        <v>90053617.069999993</v>
      </c>
      <c r="N40" s="33">
        <f t="shared" si="44"/>
        <v>69702112.829999998</v>
      </c>
      <c r="O40" s="33">
        <f t="shared" si="44"/>
        <v>50987758.810000002</v>
      </c>
      <c r="P40" s="33">
        <f t="shared" si="44"/>
        <v>29174534.640000001</v>
      </c>
      <c r="Q40" s="33">
        <f t="shared" si="44"/>
        <v>114018852.90000001</v>
      </c>
      <c r="R40" s="33">
        <f t="shared" si="44"/>
        <v>75599193.269999996</v>
      </c>
      <c r="S40" s="33">
        <f t="shared" si="44"/>
        <v>49400533.090000004</v>
      </c>
      <c r="T40" s="33">
        <f t="shared" si="44"/>
        <v>32609839.899999999</v>
      </c>
      <c r="U40" s="33">
        <f t="shared" si="44"/>
        <v>107561552.3</v>
      </c>
      <c r="V40" s="33">
        <f t="shared" si="44"/>
        <v>70153576.540000007</v>
      </c>
      <c r="W40" s="33">
        <f t="shared" si="44"/>
        <v>45158735.32</v>
      </c>
      <c r="X40" s="33">
        <f t="shared" si="44"/>
        <v>29140692.399999999</v>
      </c>
      <c r="Y40" s="33">
        <f t="shared" si="44"/>
        <v>92565851.609999999</v>
      </c>
      <c r="Z40" s="33">
        <f t="shared" si="44"/>
        <v>54371819.799999997</v>
      </c>
      <c r="AA40" s="33">
        <f t="shared" si="44"/>
        <v>36506209.590000004</v>
      </c>
      <c r="AB40" s="33">
        <f t="shared" si="44"/>
        <v>25661928.460000001</v>
      </c>
      <c r="AC40" s="33">
        <f t="shared" si="44"/>
        <v>65297625.030000001</v>
      </c>
      <c r="AD40" s="33">
        <f t="shared" si="44"/>
        <v>39222109.560000002</v>
      </c>
      <c r="AE40" s="33">
        <f t="shared" si="44"/>
        <v>26484847.289999999</v>
      </c>
      <c r="AF40" s="33">
        <f t="shared" si="44"/>
        <v>18064180.27</v>
      </c>
      <c r="AG40" s="33">
        <f t="shared" si="44"/>
        <v>33462368.59</v>
      </c>
      <c r="AH40" s="33">
        <f t="shared" si="44"/>
        <v>19201179.52</v>
      </c>
      <c r="AI40" s="33">
        <f t="shared" si="44"/>
        <v>13466500.369999999</v>
      </c>
      <c r="AJ40" s="33">
        <f t="shared" si="44"/>
        <v>10004702.5</v>
      </c>
      <c r="AK40" s="33">
        <f t="shared" si="44"/>
        <v>22391699.23</v>
      </c>
      <c r="AL40" s="33">
        <f t="shared" si="44"/>
        <v>13006658.789999999</v>
      </c>
      <c r="AM40" s="33">
        <f t="shared" si="44"/>
        <v>9361626.6199999992</v>
      </c>
      <c r="AN40" s="33">
        <f t="shared" si="44"/>
        <v>6775986.6600000001</v>
      </c>
      <c r="AO40" s="33">
        <f t="shared" si="44"/>
        <v>13440634.470000001</v>
      </c>
      <c r="AP40" s="33">
        <f t="shared" si="44"/>
        <v>9016715.9600000009</v>
      </c>
      <c r="AQ40" s="33">
        <f t="shared" si="44"/>
        <v>4666928.18</v>
      </c>
      <c r="AR40" s="33">
        <f t="shared" si="44"/>
        <v>5925187.7599999998</v>
      </c>
      <c r="AS40" s="33">
        <f t="shared" si="44"/>
        <v>0</v>
      </c>
      <c r="AT40" s="33">
        <f t="shared" si="44"/>
        <v>132415189.92</v>
      </c>
      <c r="AU40" s="33">
        <f t="shared" si="44"/>
        <v>84352733.560000002</v>
      </c>
      <c r="AV40" s="33">
        <f t="shared" si="44"/>
        <v>29650309.149999999</v>
      </c>
      <c r="AW40" s="33">
        <f t="shared" si="44"/>
        <v>112159737.02</v>
      </c>
      <c r="AX40" s="33">
        <f t="shared" si="44"/>
        <v>68131511.010000005</v>
      </c>
      <c r="AY40" s="33">
        <f t="shared" si="44"/>
        <v>41356766.380000003</v>
      </c>
      <c r="AZ40" s="33">
        <f t="shared" si="44"/>
        <v>21261539.25</v>
      </c>
      <c r="BA40" s="33">
        <f t="shared" si="44"/>
        <v>108609995.86</v>
      </c>
      <c r="BB40" s="33">
        <f t="shared" si="44"/>
        <v>94004327.269999996</v>
      </c>
      <c r="BC40" s="33">
        <f t="shared" si="44"/>
        <v>67862554.450000003</v>
      </c>
      <c r="BD40" s="33">
        <f t="shared" si="44"/>
        <v>28974955.960000001</v>
      </c>
      <c r="BE40" s="33">
        <f t="shared" si="44"/>
        <v>132468882.01000001</v>
      </c>
      <c r="BF40" s="33">
        <f t="shared" si="44"/>
        <v>93637200.370000005</v>
      </c>
      <c r="BG40" s="33">
        <f t="shared" si="44"/>
        <v>65867600.789999999</v>
      </c>
      <c r="BH40" s="33">
        <f t="shared" si="44"/>
        <v>32955130.91</v>
      </c>
      <c r="BI40" s="33">
        <f t="shared" si="44"/>
        <v>155946328.93000001</v>
      </c>
      <c r="BJ40" s="33">
        <f t="shared" si="44"/>
        <v>108366137.34</v>
      </c>
      <c r="BK40" s="33">
        <f t="shared" si="44"/>
        <v>68867283.900000006</v>
      </c>
      <c r="BL40" s="33">
        <f t="shared" si="44"/>
        <v>28006866.879999999</v>
      </c>
      <c r="BM40" s="33">
        <f t="shared" si="44"/>
        <v>143668257.24000001</v>
      </c>
      <c r="BN40" s="33">
        <f t="shared" si="44"/>
        <v>98765977.599999994</v>
      </c>
      <c r="BO40" s="33">
        <f t="shared" ref="BO40:CJ40" si="45">BO60</f>
        <v>64164786.920000002</v>
      </c>
      <c r="BP40" s="33">
        <f t="shared" si="45"/>
        <v>25321619.559999999</v>
      </c>
      <c r="BQ40" s="33">
        <f t="shared" si="45"/>
        <v>113460021.93000001</v>
      </c>
      <c r="BR40" s="33">
        <f t="shared" si="45"/>
        <v>52431401.840000004</v>
      </c>
      <c r="BS40" s="33">
        <f t="shared" si="45"/>
        <v>100791733.87</v>
      </c>
      <c r="BT40" s="33">
        <f t="shared" si="45"/>
        <v>47229977.799999997</v>
      </c>
      <c r="BU40" s="33">
        <f t="shared" si="45"/>
        <v>97455708.069999993</v>
      </c>
      <c r="BV40" s="33">
        <f t="shared" si="45"/>
        <v>39232814.829999998</v>
      </c>
      <c r="BW40" s="33">
        <f t="shared" si="45"/>
        <v>2796995.65</v>
      </c>
      <c r="BX40" s="33">
        <f t="shared" si="45"/>
        <v>0</v>
      </c>
      <c r="BY40" s="33">
        <f t="shared" si="45"/>
        <v>8176697.29</v>
      </c>
      <c r="BZ40" s="33">
        <f t="shared" si="45"/>
        <v>1624615.5</v>
      </c>
      <c r="CA40" s="33">
        <f t="shared" si="45"/>
        <v>1799885.61</v>
      </c>
      <c r="CB40" s="33">
        <f t="shared" si="45"/>
        <v>9698012.9700000007</v>
      </c>
      <c r="CC40" s="33">
        <f t="shared" si="45"/>
        <v>28336126.850000001</v>
      </c>
      <c r="CD40" s="33">
        <f t="shared" si="45"/>
        <v>19730000</v>
      </c>
      <c r="CE40" s="33">
        <f t="shared" si="45"/>
        <v>27810000</v>
      </c>
      <c r="CF40" s="33">
        <f t="shared" si="45"/>
        <v>16447145.279999999</v>
      </c>
      <c r="CG40" s="33">
        <f t="shared" si="45"/>
        <v>4330000</v>
      </c>
      <c r="CH40" s="33">
        <f t="shared" si="45"/>
        <v>4220000</v>
      </c>
      <c r="CI40" s="33">
        <f t="shared" si="45"/>
        <v>12510000</v>
      </c>
      <c r="CJ40" s="33">
        <f t="shared" si="45"/>
        <v>3630000</v>
      </c>
    </row>
    <row r="41" spans="1:89" s="4" customFormat="1">
      <c r="A41" s="26" t="s">
        <v>424</v>
      </c>
      <c r="B41" s="39">
        <f>B40/B38</f>
        <v>0.15079333182275517</v>
      </c>
      <c r="C41" s="39">
        <f t="shared" ref="C41:BN41" si="46">C40/C38</f>
        <v>0.16245185927395472</v>
      </c>
      <c r="D41" s="39">
        <f t="shared" si="46"/>
        <v>0.17684492353925424</v>
      </c>
      <c r="E41" s="39">
        <f t="shared" si="46"/>
        <v>0.18111498642757382</v>
      </c>
      <c r="F41" s="39">
        <f t="shared" si="46"/>
        <v>0.21799312826933731</v>
      </c>
      <c r="G41" s="39">
        <f t="shared" si="46"/>
        <v>0.21684810082768602</v>
      </c>
      <c r="H41" s="39">
        <f t="shared" si="46"/>
        <v>0.21938809108952617</v>
      </c>
      <c r="I41" s="39">
        <f t="shared" si="46"/>
        <v>0.21244610939875114</v>
      </c>
      <c r="J41" s="39">
        <f t="shared" si="46"/>
        <v>0.21258070818195424</v>
      </c>
      <c r="K41" s="39">
        <f t="shared" si="46"/>
        <v>0.21323977667205574</v>
      </c>
      <c r="L41" s="39">
        <f t="shared" si="46"/>
        <v>0.22068628377613517</v>
      </c>
      <c r="M41" s="39">
        <f t="shared" si="46"/>
        <v>0.18404531943614003</v>
      </c>
      <c r="N41" s="39">
        <f t="shared" si="46"/>
        <v>0.2177218415865052</v>
      </c>
      <c r="O41" s="39">
        <f t="shared" si="46"/>
        <v>0.21798810840838545</v>
      </c>
      <c r="P41" s="39">
        <f t="shared" si="46"/>
        <v>0.22409323162064118</v>
      </c>
      <c r="Q41" s="39">
        <f t="shared" si="46"/>
        <v>0.23324011175185003</v>
      </c>
      <c r="R41" s="39">
        <f t="shared" si="46"/>
        <v>0.2365995029180929</v>
      </c>
      <c r="S41" s="39">
        <f t="shared" si="46"/>
        <v>0.2386923527935067</v>
      </c>
      <c r="T41" s="39">
        <f t="shared" si="46"/>
        <v>0.24485362811314798</v>
      </c>
      <c r="U41" s="39">
        <f t="shared" si="46"/>
        <v>0.25561457586086944</v>
      </c>
      <c r="V41" s="39">
        <f t="shared" si="46"/>
        <v>0.24981987417727125</v>
      </c>
      <c r="W41" s="39">
        <f t="shared" si="46"/>
        <v>0.24919147077485931</v>
      </c>
      <c r="X41" s="39">
        <f t="shared" si="46"/>
        <v>0.24906369657569935</v>
      </c>
      <c r="Y41" s="39">
        <f t="shared" si="46"/>
        <v>0.26472011770041881</v>
      </c>
      <c r="Z41" s="39">
        <f t="shared" si="46"/>
        <v>0.25024841456839142</v>
      </c>
      <c r="AA41" s="39">
        <f t="shared" si="46"/>
        <v>0.2503327954695822</v>
      </c>
      <c r="AB41" s="39">
        <f t="shared" si="46"/>
        <v>0.25016244482847577</v>
      </c>
      <c r="AC41" s="39">
        <f t="shared" si="46"/>
        <v>0.24237055305683775</v>
      </c>
      <c r="AD41" s="39">
        <f t="shared" si="46"/>
        <v>0.23331099109933084</v>
      </c>
      <c r="AE41" s="39">
        <f t="shared" si="46"/>
        <v>0.23614648292934889</v>
      </c>
      <c r="AF41" s="39">
        <f t="shared" si="46"/>
        <v>0.23358575165858142</v>
      </c>
      <c r="AG41" s="39">
        <f t="shared" si="46"/>
        <v>0.21082926447027187</v>
      </c>
      <c r="AH41" s="39">
        <f t="shared" si="46"/>
        <v>0.21767707219576227</v>
      </c>
      <c r="AI41" s="39">
        <f t="shared" si="46"/>
        <v>0.21985221838437047</v>
      </c>
      <c r="AJ41" s="39">
        <f t="shared" si="46"/>
        <v>0.21603770775413197</v>
      </c>
      <c r="AK41" s="39">
        <f t="shared" si="46"/>
        <v>0.20987424390866002</v>
      </c>
      <c r="AL41" s="39">
        <f t="shared" si="46"/>
        <v>0.20399244682240869</v>
      </c>
      <c r="AM41" s="39">
        <f t="shared" si="46"/>
        <v>0.2173644777640881</v>
      </c>
      <c r="AN41" s="39">
        <f t="shared" si="46"/>
        <v>0.21490968061623356</v>
      </c>
      <c r="AO41" s="39">
        <f t="shared" si="46"/>
        <v>0.17404310713577636</v>
      </c>
      <c r="AP41" s="39">
        <f t="shared" si="46"/>
        <v>0.16638766983922085</v>
      </c>
      <c r="AQ41" s="39">
        <f t="shared" si="46"/>
        <v>7.4053477465103032E-2</v>
      </c>
      <c r="AR41" s="39">
        <f t="shared" si="46"/>
        <v>0.14922801498833946</v>
      </c>
      <c r="AS41" s="39" t="e">
        <f t="shared" si="46"/>
        <v>#DIV/0!</v>
      </c>
      <c r="AT41" s="39">
        <f t="shared" si="46"/>
        <v>5.1332968378154469</v>
      </c>
      <c r="AU41" s="39">
        <f t="shared" si="46"/>
        <v>7.2924414182151729</v>
      </c>
      <c r="AV41" s="39">
        <f t="shared" si="46"/>
        <v>4.7146615153439262</v>
      </c>
      <c r="AW41" s="39">
        <f t="shared" si="46"/>
        <v>0.87180087503841486</v>
      </c>
      <c r="AX41" s="39">
        <f t="shared" si="46"/>
        <v>0.74447056790029142</v>
      </c>
      <c r="AY41" s="39">
        <f t="shared" si="46"/>
        <v>1.0451658867707241</v>
      </c>
      <c r="AZ41" s="39">
        <f t="shared" si="46"/>
        <v>2.0551845510368487</v>
      </c>
      <c r="BA41" s="39">
        <f t="shared" si="46"/>
        <v>-2.4638497240987847</v>
      </c>
      <c r="BB41" s="39">
        <f t="shared" si="46"/>
        <v>-2.01752412620819</v>
      </c>
      <c r="BC41" s="39">
        <f t="shared" si="46"/>
        <v>-28.219198084406898</v>
      </c>
      <c r="BD41" s="39">
        <f t="shared" si="46"/>
        <v>1.668592578247527</v>
      </c>
      <c r="BE41" s="39">
        <f t="shared" si="46"/>
        <v>1.5286582897360992</v>
      </c>
      <c r="BF41" s="39">
        <f t="shared" si="46"/>
        <v>1.5408987587015193</v>
      </c>
      <c r="BG41" s="39">
        <f t="shared" si="46"/>
        <v>1.3820546251148127</v>
      </c>
      <c r="BH41" s="39">
        <f t="shared" si="46"/>
        <v>2.1220982625406397</v>
      </c>
      <c r="BI41" s="39">
        <f t="shared" si="46"/>
        <v>1.2930199499076394</v>
      </c>
      <c r="BJ41" s="39">
        <f t="shared" si="46"/>
        <v>0.97118672925503446</v>
      </c>
      <c r="BK41" s="39">
        <f t="shared" si="46"/>
        <v>0.82762499243431464</v>
      </c>
      <c r="BL41" s="39">
        <f t="shared" si="46"/>
        <v>1.9097060621102897</v>
      </c>
      <c r="BM41" s="39">
        <f t="shared" si="46"/>
        <v>1.9621875617636653</v>
      </c>
      <c r="BN41" s="39">
        <f t="shared" si="46"/>
        <v>1.6537405499343196</v>
      </c>
      <c r="BO41" s="39">
        <f t="shared" ref="BO41:CJ41" si="47">BO40/BO38</f>
        <v>1.503350984455353</v>
      </c>
      <c r="BP41" s="39">
        <f t="shared" si="47"/>
        <v>1.6660992340809904</v>
      </c>
      <c r="BQ41" s="39">
        <f t="shared" si="47"/>
        <v>2.7271567271639197</v>
      </c>
      <c r="BR41" s="39">
        <f t="shared" si="47"/>
        <v>1.33203395096035</v>
      </c>
      <c r="BS41" s="39">
        <f t="shared" si="47"/>
        <v>0.93999259928271384</v>
      </c>
      <c r="BT41" s="39">
        <f t="shared" si="47"/>
        <v>0.84977292824216455</v>
      </c>
      <c r="BU41" s="39">
        <f t="shared" si="47"/>
        <v>1.9961652323281276</v>
      </c>
      <c r="BV41" s="39">
        <f t="shared" si="47"/>
        <v>-2.7244503664361717</v>
      </c>
      <c r="BW41" s="39">
        <f t="shared" si="47"/>
        <v>6.4217230314323054E-2</v>
      </c>
      <c r="BX41" s="39">
        <f t="shared" si="47"/>
        <v>0</v>
      </c>
      <c r="BY41" s="39">
        <f t="shared" si="47"/>
        <v>0.39492164101127558</v>
      </c>
      <c r="BZ41" s="39">
        <f t="shared" si="47"/>
        <v>0.7736264285714286</v>
      </c>
      <c r="CA41" s="39">
        <f t="shared" si="47"/>
        <v>-4.0327775216212523E-2</v>
      </c>
      <c r="CB41" s="39">
        <f t="shared" si="47"/>
        <v>3.1966168493593825</v>
      </c>
      <c r="CC41" s="39">
        <f t="shared" si="47"/>
        <v>-2.1089259931778246</v>
      </c>
      <c r="CD41" s="39">
        <f t="shared" si="47"/>
        <v>3.4075993091537131</v>
      </c>
      <c r="CE41" s="39">
        <f t="shared" si="47"/>
        <v>3.5981368870487773</v>
      </c>
      <c r="CF41" s="39">
        <f t="shared" si="47"/>
        <v>7.859739633359264</v>
      </c>
      <c r="CG41" s="39" t="e">
        <f t="shared" si="47"/>
        <v>#DIV/0!</v>
      </c>
      <c r="CH41" s="39" t="e">
        <f t="shared" si="47"/>
        <v>#DIV/0!</v>
      </c>
      <c r="CI41" s="39" t="e">
        <f t="shared" si="47"/>
        <v>#DIV/0!</v>
      </c>
      <c r="CJ41" s="39" t="e">
        <f t="shared" si="47"/>
        <v>#DIV/0!</v>
      </c>
    </row>
    <row r="42" spans="1:89" s="2" customFormat="1">
      <c r="A42" s="26" t="s">
        <v>426</v>
      </c>
      <c r="B42" s="35">
        <f>B38-B40</f>
        <v>285758107.14999998</v>
      </c>
      <c r="C42" s="35">
        <f t="shared" ref="C42:BN42" si="48">C38-C40</f>
        <v>180893505.87999994</v>
      </c>
      <c r="D42" s="35">
        <f t="shared" si="48"/>
        <v>96861622.980000019</v>
      </c>
      <c r="E42" s="35">
        <f t="shared" si="48"/>
        <v>486007241.61999995</v>
      </c>
      <c r="F42" s="35">
        <f t="shared" si="48"/>
        <v>240556300.98000002</v>
      </c>
      <c r="G42" s="35">
        <f t="shared" si="48"/>
        <v>158585926.79999998</v>
      </c>
      <c r="H42" s="35">
        <f t="shared" si="48"/>
        <v>79306727.720000058</v>
      </c>
      <c r="I42" s="35">
        <f t="shared" si="48"/>
        <v>437183756.36000013</v>
      </c>
      <c r="J42" s="35">
        <f t="shared" si="48"/>
        <v>243503753.4499999</v>
      </c>
      <c r="K42" s="35">
        <f t="shared" si="48"/>
        <v>169361059.09000006</v>
      </c>
      <c r="L42" s="35">
        <f t="shared" si="48"/>
        <v>88508820.559999973</v>
      </c>
      <c r="M42" s="35">
        <f t="shared" si="48"/>
        <v>399247699.2899999</v>
      </c>
      <c r="N42" s="35">
        <f t="shared" si="48"/>
        <v>250440838.01999992</v>
      </c>
      <c r="O42" s="35">
        <f t="shared" si="48"/>
        <v>182913802.06999996</v>
      </c>
      <c r="P42" s="35">
        <f t="shared" si="48"/>
        <v>101014737.15999997</v>
      </c>
      <c r="Q42" s="35">
        <f t="shared" si="48"/>
        <v>374828678.69999981</v>
      </c>
      <c r="R42" s="35">
        <f t="shared" si="48"/>
        <v>243924695.57000011</v>
      </c>
      <c r="S42" s="35">
        <f t="shared" si="48"/>
        <v>157562666.66000003</v>
      </c>
      <c r="T42" s="35">
        <f t="shared" si="48"/>
        <v>100571114.57999995</v>
      </c>
      <c r="U42" s="35">
        <f t="shared" si="48"/>
        <v>313234296.05000001</v>
      </c>
      <c r="V42" s="35">
        <f t="shared" si="48"/>
        <v>210663058.92999983</v>
      </c>
      <c r="W42" s="35">
        <f t="shared" si="48"/>
        <v>136062295.96000007</v>
      </c>
      <c r="X42" s="35">
        <f t="shared" si="48"/>
        <v>87860270.809999973</v>
      </c>
      <c r="Y42" s="35">
        <f t="shared" si="48"/>
        <v>257108560.80000001</v>
      </c>
      <c r="Z42" s="35">
        <f t="shared" si="48"/>
        <v>162899565.89000005</v>
      </c>
      <c r="AA42" s="35">
        <f t="shared" si="48"/>
        <v>109324501.57000002</v>
      </c>
      <c r="AB42" s="35">
        <f t="shared" si="48"/>
        <v>76919130.329999983</v>
      </c>
      <c r="AC42" s="35">
        <f t="shared" si="48"/>
        <v>204114744.60999998</v>
      </c>
      <c r="AD42" s="35">
        <f t="shared" si="48"/>
        <v>128888742.72</v>
      </c>
      <c r="AE42" s="35">
        <f t="shared" si="48"/>
        <v>85669468.800000072</v>
      </c>
      <c r="AF42" s="35">
        <f t="shared" si="48"/>
        <v>59270075.529999956</v>
      </c>
      <c r="AG42" s="35">
        <f t="shared" si="48"/>
        <v>125255486.23000002</v>
      </c>
      <c r="AH42" s="35">
        <f t="shared" si="48"/>
        <v>69008292.089999944</v>
      </c>
      <c r="AI42" s="35">
        <f t="shared" si="48"/>
        <v>47786010.380000003</v>
      </c>
      <c r="AJ42" s="35">
        <f t="shared" si="48"/>
        <v>36305280.160000004</v>
      </c>
      <c r="AK42" s="35">
        <f t="shared" si="48"/>
        <v>84299330.660000011</v>
      </c>
      <c r="AL42" s="35">
        <f t="shared" si="48"/>
        <v>50753833.289999947</v>
      </c>
      <c r="AM42" s="35">
        <f t="shared" si="48"/>
        <v>33707170.620000005</v>
      </c>
      <c r="AN42" s="35">
        <f t="shared" si="48"/>
        <v>24753475.580000021</v>
      </c>
      <c r="AO42" s="35">
        <f t="shared" si="48"/>
        <v>63785259.109999985</v>
      </c>
      <c r="AP42" s="35">
        <f t="shared" si="48"/>
        <v>45174294.520000026</v>
      </c>
      <c r="AQ42" s="35">
        <f t="shared" si="48"/>
        <v>58354125.520000018</v>
      </c>
      <c r="AR42" s="35">
        <f t="shared" si="48"/>
        <v>33780411.490000002</v>
      </c>
      <c r="AS42" s="35">
        <f t="shared" si="48"/>
        <v>0</v>
      </c>
      <c r="AT42" s="35">
        <f t="shared" si="48"/>
        <v>-106619839.65999997</v>
      </c>
      <c r="AU42" s="35">
        <f t="shared" si="48"/>
        <v>-72785587.700000018</v>
      </c>
      <c r="AV42" s="35">
        <f t="shared" si="48"/>
        <v>-23361350.959999997</v>
      </c>
      <c r="AW42" s="35">
        <f t="shared" si="48"/>
        <v>16493193.060000002</v>
      </c>
      <c r="AX42" s="35">
        <f t="shared" si="48"/>
        <v>23385217.719999984</v>
      </c>
      <c r="AY42" s="35">
        <f t="shared" si="48"/>
        <v>-1787194.7899999991</v>
      </c>
      <c r="AZ42" s="35">
        <f t="shared" si="48"/>
        <v>-10916220.51</v>
      </c>
      <c r="BA42" s="35">
        <f t="shared" si="48"/>
        <v>-152691416.41</v>
      </c>
      <c r="BB42" s="35">
        <f t="shared" si="48"/>
        <v>-140598232.16999999</v>
      </c>
      <c r="BC42" s="35">
        <f t="shared" si="48"/>
        <v>-70267390.840000004</v>
      </c>
      <c r="BD42" s="35">
        <f t="shared" si="48"/>
        <v>-11610048.350000001</v>
      </c>
      <c r="BE42" s="35">
        <f t="shared" si="48"/>
        <v>-45811920.870000005</v>
      </c>
      <c r="BF42" s="35">
        <f t="shared" si="48"/>
        <v>-32869288.240000002</v>
      </c>
      <c r="BG42" s="35">
        <f t="shared" si="48"/>
        <v>-18208413.089999996</v>
      </c>
      <c r="BH42" s="35">
        <f t="shared" si="48"/>
        <v>-17425628.109999999</v>
      </c>
      <c r="BI42" s="35">
        <f t="shared" si="48"/>
        <v>-35340046.76000002</v>
      </c>
      <c r="BJ42" s="35">
        <f t="shared" si="48"/>
        <v>3215018.0400000066</v>
      </c>
      <c r="BK42" s="35">
        <f t="shared" si="48"/>
        <v>14343451.069999993</v>
      </c>
      <c r="BL42" s="35">
        <f t="shared" si="48"/>
        <v>-13341328.849999998</v>
      </c>
      <c r="BM42" s="35">
        <f t="shared" si="48"/>
        <v>-70449845.280000001</v>
      </c>
      <c r="BN42" s="35">
        <f t="shared" si="48"/>
        <v>-39043200.889999986</v>
      </c>
      <c r="BO42" s="35">
        <f t="shared" ref="BO42:CK42" si="49">BO38-BO40</f>
        <v>-21483611.610000007</v>
      </c>
      <c r="BP42" s="35">
        <f t="shared" si="49"/>
        <v>-10123473.469999999</v>
      </c>
      <c r="BQ42" s="35">
        <f t="shared" si="49"/>
        <v>-71856244.340000004</v>
      </c>
      <c r="BR42" s="35">
        <f t="shared" si="49"/>
        <v>-13069490.830000006</v>
      </c>
      <c r="BS42" s="35">
        <f t="shared" si="49"/>
        <v>6434359.1299999952</v>
      </c>
      <c r="BT42" s="35">
        <f t="shared" si="49"/>
        <v>8349549.6600000039</v>
      </c>
      <c r="BU42" s="35">
        <f t="shared" si="49"/>
        <v>-48634244.549999997</v>
      </c>
      <c r="BV42" s="35">
        <f t="shared" si="49"/>
        <v>-53633082.609999999</v>
      </c>
      <c r="BW42" s="35">
        <f t="shared" si="49"/>
        <v>40758225.219999999</v>
      </c>
      <c r="BX42" s="35">
        <f t="shared" si="49"/>
        <v>-19842125.949999999</v>
      </c>
      <c r="BY42" s="35">
        <f t="shared" si="49"/>
        <v>12527909.500000004</v>
      </c>
      <c r="BZ42" s="35">
        <f t="shared" si="49"/>
        <v>475384.5</v>
      </c>
      <c r="CA42" s="35">
        <f t="shared" si="49"/>
        <v>-46431299.080000006</v>
      </c>
      <c r="CB42" s="35">
        <f t="shared" si="49"/>
        <v>-6664176.4400000013</v>
      </c>
      <c r="CC42" s="35">
        <f t="shared" si="49"/>
        <v>-41772410.030000001</v>
      </c>
      <c r="CD42" s="35">
        <f t="shared" si="49"/>
        <v>-13940000</v>
      </c>
      <c r="CE42" s="35">
        <f t="shared" si="49"/>
        <v>-20081000</v>
      </c>
      <c r="CF42" s="35">
        <f t="shared" si="49"/>
        <v>-14354563.84</v>
      </c>
      <c r="CG42" s="35">
        <f t="shared" si="49"/>
        <v>-4330000</v>
      </c>
      <c r="CH42" s="35">
        <f t="shared" si="49"/>
        <v>-4220000</v>
      </c>
      <c r="CI42" s="35">
        <f t="shared" si="49"/>
        <v>-12510000</v>
      </c>
      <c r="CJ42" s="35">
        <f t="shared" si="49"/>
        <v>-3630000</v>
      </c>
      <c r="CK42" s="35">
        <f t="shared" si="49"/>
        <v>0</v>
      </c>
    </row>
    <row r="43" spans="1:89" s="4" customFormat="1">
      <c r="A43" s="26" t="s">
        <v>425</v>
      </c>
      <c r="B43" s="34">
        <f>B42/B4*100</f>
        <v>16.206779064415727</v>
      </c>
      <c r="C43" s="34">
        <f t="shared" ref="C43:BN43" si="50">C42/C4*100</f>
        <v>15.785713823782629</v>
      </c>
      <c r="D43" s="34">
        <f t="shared" si="50"/>
        <v>17.536824602783955</v>
      </c>
      <c r="E43" s="34">
        <f t="shared" si="50"/>
        <v>18.576778365334011</v>
      </c>
      <c r="F43" s="34">
        <f t="shared" si="50"/>
        <v>15.635374431723381</v>
      </c>
      <c r="G43" s="34">
        <f t="shared" si="50"/>
        <v>16.497199341574607</v>
      </c>
      <c r="H43" s="34">
        <f t="shared" si="50"/>
        <v>18.384753962847871</v>
      </c>
      <c r="I43" s="34">
        <f t="shared" si="50"/>
        <v>18.912804758734627</v>
      </c>
      <c r="J43" s="34">
        <f t="shared" si="50"/>
        <v>18.067421189029343</v>
      </c>
      <c r="K43" s="34">
        <f t="shared" si="50"/>
        <v>19.220471929553113</v>
      </c>
      <c r="L43" s="34">
        <f t="shared" si="50"/>
        <v>20.529523038487508</v>
      </c>
      <c r="M43" s="34">
        <f t="shared" si="50"/>
        <v>19.078949952915913</v>
      </c>
      <c r="N43" s="34">
        <f t="shared" si="50"/>
        <v>19.289176270043381</v>
      </c>
      <c r="O43" s="34">
        <f t="shared" si="50"/>
        <v>21.204449760180772</v>
      </c>
      <c r="P43" s="34">
        <f t="shared" si="50"/>
        <v>21.842306747471916</v>
      </c>
      <c r="Q43" s="34">
        <f t="shared" si="50"/>
        <v>19.029088059764263</v>
      </c>
      <c r="R43" s="34">
        <f t="shared" si="50"/>
        <v>18.771540784583859</v>
      </c>
      <c r="S43" s="34">
        <f t="shared" si="50"/>
        <v>18.450196311133464</v>
      </c>
      <c r="T43" s="34">
        <f t="shared" si="50"/>
        <v>22.237827247077579</v>
      </c>
      <c r="U43" s="34">
        <f t="shared" si="50"/>
        <v>16.805357895688498</v>
      </c>
      <c r="V43" s="34">
        <f t="shared" si="50"/>
        <v>16.780104890162068</v>
      </c>
      <c r="W43" s="34">
        <f t="shared" si="50"/>
        <v>16.57915193056526</v>
      </c>
      <c r="X43" s="34">
        <f t="shared" si="50"/>
        <v>20.007879648485051</v>
      </c>
      <c r="Y43" s="34">
        <f t="shared" si="50"/>
        <v>14.468927761226121</v>
      </c>
      <c r="Z43" s="34">
        <f t="shared" si="50"/>
        <v>13.660993785218031</v>
      </c>
      <c r="AA43" s="34">
        <f t="shared" si="50"/>
        <v>14.413665590352831</v>
      </c>
      <c r="AB43" s="34">
        <f t="shared" si="50"/>
        <v>19.024676875244296</v>
      </c>
      <c r="AC43" s="34">
        <f t="shared" si="50"/>
        <v>14.043754897829034</v>
      </c>
      <c r="AD43" s="34">
        <f t="shared" si="50"/>
        <v>13.64201016837078</v>
      </c>
      <c r="AE43" s="34">
        <f t="shared" si="50"/>
        <v>14.099926267720237</v>
      </c>
      <c r="AF43" s="34">
        <f t="shared" si="50"/>
        <v>17.804760102086696</v>
      </c>
      <c r="AG43" s="34">
        <f t="shared" si="50"/>
        <v>11.735718027968382</v>
      </c>
      <c r="AH43" s="34">
        <f t="shared" si="50"/>
        <v>9.8855650076397659</v>
      </c>
      <c r="AI43" s="34">
        <f t="shared" si="50"/>
        <v>10.543597328579329</v>
      </c>
      <c r="AJ43" s="34">
        <f t="shared" si="50"/>
        <v>14.340236162885367</v>
      </c>
      <c r="AK43" s="34">
        <f t="shared" si="50"/>
        <v>10.6467397494735</v>
      </c>
      <c r="AL43" s="34">
        <f t="shared" si="50"/>
        <v>9.7145134000754592</v>
      </c>
      <c r="AM43" s="34">
        <f t="shared" si="50"/>
        <v>10.430649757708901</v>
      </c>
      <c r="AN43" s="34">
        <f t="shared" si="50"/>
        <v>13.619606482698277</v>
      </c>
      <c r="AO43" s="34">
        <f t="shared" si="50"/>
        <v>9.3696615103757779</v>
      </c>
      <c r="AP43" s="34">
        <f t="shared" si="50"/>
        <v>9.6455284856113455</v>
      </c>
      <c r="AQ43" s="34">
        <f t="shared" si="50"/>
        <v>9.8865585265452989</v>
      </c>
      <c r="AR43" s="34">
        <f t="shared" si="50"/>
        <v>8.0605615813907203</v>
      </c>
      <c r="AS43" s="34" t="e">
        <f t="shared" si="50"/>
        <v>#DIV/0!</v>
      </c>
      <c r="AT43" s="34" t="e">
        <f t="shared" si="50"/>
        <v>#DIV/0!</v>
      </c>
      <c r="AU43" s="34" t="e">
        <f t="shared" si="50"/>
        <v>#DIV/0!</v>
      </c>
      <c r="AV43" s="34" t="e">
        <f t="shared" si="50"/>
        <v>#DIV/0!</v>
      </c>
      <c r="AW43" s="34" t="e">
        <f t="shared" si="50"/>
        <v>#DIV/0!</v>
      </c>
      <c r="AX43" s="34" t="e">
        <f t="shared" si="50"/>
        <v>#DIV/0!</v>
      </c>
      <c r="AY43" s="34" t="e">
        <f t="shared" si="50"/>
        <v>#DIV/0!</v>
      </c>
      <c r="AZ43" s="34" t="e">
        <f t="shared" si="50"/>
        <v>#DIV/0!</v>
      </c>
      <c r="BA43" s="34" t="e">
        <f t="shared" si="50"/>
        <v>#DIV/0!</v>
      </c>
      <c r="BB43" s="34" t="e">
        <f t="shared" si="50"/>
        <v>#DIV/0!</v>
      </c>
      <c r="BC43" s="34" t="e">
        <f t="shared" si="50"/>
        <v>#DIV/0!</v>
      </c>
      <c r="BD43" s="34" t="e">
        <f t="shared" si="50"/>
        <v>#DIV/0!</v>
      </c>
      <c r="BE43" s="34" t="e">
        <f t="shared" si="50"/>
        <v>#DIV/0!</v>
      </c>
      <c r="BF43" s="34" t="e">
        <f t="shared" si="50"/>
        <v>#DIV/0!</v>
      </c>
      <c r="BG43" s="34" t="e">
        <f t="shared" si="50"/>
        <v>#DIV/0!</v>
      </c>
      <c r="BH43" s="34" t="e">
        <f t="shared" si="50"/>
        <v>#DIV/0!</v>
      </c>
      <c r="BI43" s="34" t="e">
        <f t="shared" si="50"/>
        <v>#DIV/0!</v>
      </c>
      <c r="BJ43" s="34" t="e">
        <f t="shared" si="50"/>
        <v>#DIV/0!</v>
      </c>
      <c r="BK43" s="34" t="e">
        <f t="shared" si="50"/>
        <v>#DIV/0!</v>
      </c>
      <c r="BL43" s="34" t="e">
        <f t="shared" si="50"/>
        <v>#DIV/0!</v>
      </c>
      <c r="BM43" s="34" t="e">
        <f t="shared" si="50"/>
        <v>#DIV/0!</v>
      </c>
      <c r="BN43" s="34" t="e">
        <f t="shared" si="50"/>
        <v>#DIV/0!</v>
      </c>
      <c r="BO43" s="34" t="e">
        <f t="shared" ref="BO43:CK43" si="51">BO42/BO4*100</f>
        <v>#DIV/0!</v>
      </c>
      <c r="BP43" s="34" t="e">
        <f t="shared" si="51"/>
        <v>#DIV/0!</v>
      </c>
      <c r="BQ43" s="34" t="e">
        <f t="shared" si="51"/>
        <v>#DIV/0!</v>
      </c>
      <c r="BR43" s="34" t="e">
        <f t="shared" si="51"/>
        <v>#DIV/0!</v>
      </c>
      <c r="BS43" s="34" t="e">
        <f t="shared" si="51"/>
        <v>#DIV/0!</v>
      </c>
      <c r="BT43" s="34" t="e">
        <f t="shared" si="51"/>
        <v>#DIV/0!</v>
      </c>
      <c r="BU43" s="34" t="e">
        <f t="shared" si="51"/>
        <v>#DIV/0!</v>
      </c>
      <c r="BV43" s="34" t="e">
        <f t="shared" si="51"/>
        <v>#DIV/0!</v>
      </c>
      <c r="BW43" s="34" t="e">
        <f t="shared" si="51"/>
        <v>#DIV/0!</v>
      </c>
      <c r="BX43" s="34" t="e">
        <f t="shared" si="51"/>
        <v>#DIV/0!</v>
      </c>
      <c r="BY43" s="34" t="e">
        <f t="shared" si="51"/>
        <v>#DIV/0!</v>
      </c>
      <c r="BZ43" s="34" t="e">
        <f t="shared" si="51"/>
        <v>#DIV/0!</v>
      </c>
      <c r="CA43" s="34" t="e">
        <f t="shared" si="51"/>
        <v>#DIV/0!</v>
      </c>
      <c r="CB43" s="34" t="e">
        <f t="shared" si="51"/>
        <v>#DIV/0!</v>
      </c>
      <c r="CC43" s="34" t="e">
        <f t="shared" si="51"/>
        <v>#DIV/0!</v>
      </c>
      <c r="CD43" s="34" t="e">
        <f t="shared" si="51"/>
        <v>#DIV/0!</v>
      </c>
      <c r="CE43" s="34" t="e">
        <f t="shared" si="51"/>
        <v>#DIV/0!</v>
      </c>
      <c r="CF43" s="34" t="e">
        <f t="shared" si="51"/>
        <v>#DIV/0!</v>
      </c>
      <c r="CG43" s="34" t="e">
        <f t="shared" si="51"/>
        <v>#DIV/0!</v>
      </c>
      <c r="CH43" s="34" t="e">
        <f t="shared" si="51"/>
        <v>#DIV/0!</v>
      </c>
      <c r="CI43" s="34" t="e">
        <f t="shared" si="51"/>
        <v>#DIV/0!</v>
      </c>
      <c r="CJ43" s="34" t="e">
        <f t="shared" si="51"/>
        <v>#DIV/0!</v>
      </c>
      <c r="CK43" s="34" t="e">
        <f t="shared" si="51"/>
        <v>#DIV/0!</v>
      </c>
    </row>
    <row r="44" spans="1:89" s="22" customFormat="1">
      <c r="A44" s="24" t="s">
        <v>89</v>
      </c>
      <c r="B44" s="37"/>
      <c r="C44" s="37"/>
      <c r="D44" s="37"/>
      <c r="E44" s="37"/>
      <c r="F44" s="37"/>
      <c r="G44" s="37"/>
      <c r="H44" s="37"/>
      <c r="I44" s="37"/>
      <c r="J44" s="37"/>
      <c r="K44" s="37"/>
    </row>
    <row r="45" spans="1:89">
      <c r="A45" s="23" t="s">
        <v>427</v>
      </c>
      <c r="B45" s="33">
        <f>B70*B69</f>
        <v>263730680.81439999</v>
      </c>
      <c r="C45" s="33">
        <f t="shared" ref="C45:BN45" si="52">C70*C69</f>
        <v>253406464.95919999</v>
      </c>
      <c r="D45" s="33">
        <f t="shared" si="52"/>
        <v>259647979.26000002</v>
      </c>
      <c r="E45" s="33">
        <f t="shared" si="52"/>
        <v>251308215.5248</v>
      </c>
      <c r="F45" s="33">
        <f t="shared" si="52"/>
        <v>228154378.2536</v>
      </c>
      <c r="G45" s="33">
        <f t="shared" si="52"/>
        <v>226006814.3712</v>
      </c>
      <c r="H45" s="33">
        <f t="shared" si="52"/>
        <v>225216573.8712</v>
      </c>
      <c r="I45" s="33">
        <f t="shared" si="52"/>
        <v>212850056.22720003</v>
      </c>
      <c r="J45" s="33">
        <f t="shared" si="52"/>
        <v>196631462.912</v>
      </c>
      <c r="K45" s="33">
        <f t="shared" si="52"/>
        <v>189742930.29599997</v>
      </c>
      <c r="L45" s="33">
        <f t="shared" si="52"/>
        <v>189878422.06720001</v>
      </c>
      <c r="M45" s="33">
        <f t="shared" si="52"/>
        <v>183054513.428</v>
      </c>
      <c r="N45" s="33">
        <f t="shared" si="52"/>
        <v>191106693.37200001</v>
      </c>
      <c r="O45" s="33">
        <f t="shared" si="52"/>
        <v>184644925.3696</v>
      </c>
      <c r="P45" s="33">
        <f t="shared" si="52"/>
        <v>181253060.20560002</v>
      </c>
      <c r="Q45" s="33">
        <f t="shared" si="52"/>
        <v>173171881.23279998</v>
      </c>
      <c r="R45" s="33">
        <f t="shared" si="52"/>
        <v>166678822.8592</v>
      </c>
      <c r="S45" s="33">
        <f t="shared" si="52"/>
        <v>159111265.03120002</v>
      </c>
      <c r="T45" s="33">
        <f t="shared" si="52"/>
        <v>152598162.60879999</v>
      </c>
      <c r="U45" s="33">
        <f t="shared" si="52"/>
        <v>144148763.52239999</v>
      </c>
      <c r="V45" s="33">
        <f t="shared" si="52"/>
        <v>135041468.65040001</v>
      </c>
      <c r="W45" s="33">
        <f t="shared" si="52"/>
        <v>128628128.8264</v>
      </c>
      <c r="X45" s="33">
        <f t="shared" si="52"/>
        <v>128316457.89680001</v>
      </c>
      <c r="Y45" s="33">
        <f t="shared" si="52"/>
        <v>120975807.5344</v>
      </c>
      <c r="Z45" s="33">
        <f t="shared" si="52"/>
        <v>112559591.8776</v>
      </c>
      <c r="AA45" s="33">
        <f t="shared" si="52"/>
        <v>108108786.73200001</v>
      </c>
      <c r="AB45" s="33">
        <f t="shared" si="52"/>
        <v>105351557.0328</v>
      </c>
      <c r="AC45" s="33">
        <f t="shared" si="52"/>
        <v>99033226.606399998</v>
      </c>
      <c r="AD45" s="33">
        <f t="shared" si="52"/>
        <v>92768934.567999989</v>
      </c>
      <c r="AE45" s="33">
        <f t="shared" si="52"/>
        <v>96606584.654400006</v>
      </c>
      <c r="AF45" s="33">
        <f t="shared" si="52"/>
        <v>94223689.192800015</v>
      </c>
      <c r="AG45" s="33">
        <f t="shared" si="52"/>
        <v>89482083.150400013</v>
      </c>
      <c r="AH45" s="33">
        <f t="shared" si="52"/>
        <v>84782122.028799996</v>
      </c>
      <c r="AI45" s="33">
        <f t="shared" si="52"/>
        <v>87204339.492000014</v>
      </c>
      <c r="AJ45" s="33">
        <f t="shared" si="52"/>
        <v>86285881.074400008</v>
      </c>
      <c r="AK45" s="33">
        <f t="shared" si="52"/>
        <v>83381458.661599994</v>
      </c>
      <c r="AL45" s="33">
        <f t="shared" si="52"/>
        <v>21755556.4496</v>
      </c>
      <c r="AM45" s="33">
        <f t="shared" si="52"/>
        <v>20391823.436000001</v>
      </c>
      <c r="AN45" s="33">
        <f t="shared" si="52"/>
        <v>17695249.786400001</v>
      </c>
      <c r="AO45" s="33">
        <f t="shared" si="52"/>
        <v>13665352.8144</v>
      </c>
      <c r="AP45" s="33">
        <f t="shared" si="52"/>
        <v>9235290.0840000007</v>
      </c>
      <c r="AQ45" s="33">
        <f t="shared" si="52"/>
        <v>0</v>
      </c>
      <c r="AR45" s="33">
        <f t="shared" si="52"/>
        <v>0</v>
      </c>
      <c r="AS45" s="33">
        <f t="shared" si="52"/>
        <v>0</v>
      </c>
      <c r="AT45" s="33">
        <f t="shared" si="52"/>
        <v>444591774.86400002</v>
      </c>
      <c r="AU45" s="33">
        <f t="shared" si="52"/>
        <v>423534809.7568</v>
      </c>
      <c r="AV45" s="33">
        <f t="shared" si="52"/>
        <v>422144037.27360004</v>
      </c>
      <c r="AW45" s="33">
        <f t="shared" si="52"/>
        <v>414548259.53280002</v>
      </c>
      <c r="AX45" s="33">
        <f t="shared" si="52"/>
        <v>400952932.29360002</v>
      </c>
      <c r="AY45" s="33">
        <f t="shared" si="52"/>
        <v>385622095.35839999</v>
      </c>
      <c r="AZ45" s="33">
        <f t="shared" si="52"/>
        <v>400827048.26480007</v>
      </c>
      <c r="BA45" s="33">
        <f t="shared" si="52"/>
        <v>391624766.44319999</v>
      </c>
      <c r="BB45" s="33">
        <f t="shared" si="52"/>
        <v>391085626.27279997</v>
      </c>
      <c r="BC45" s="33">
        <f t="shared" si="52"/>
        <v>384608117.00480002</v>
      </c>
      <c r="BD45" s="33">
        <f t="shared" si="52"/>
        <v>405505682.19599998</v>
      </c>
      <c r="BE45" s="33">
        <f t="shared" si="52"/>
        <v>394140284.00879997</v>
      </c>
      <c r="BF45" s="33">
        <f t="shared" si="52"/>
        <v>384663963.43519998</v>
      </c>
      <c r="BG45" s="33">
        <f t="shared" si="52"/>
        <v>380111902.24080002</v>
      </c>
      <c r="BH45" s="33">
        <f t="shared" si="52"/>
        <v>384468292.47120005</v>
      </c>
      <c r="BI45" s="33">
        <f t="shared" si="52"/>
        <v>371850693.78240001</v>
      </c>
      <c r="BJ45" s="33">
        <f t="shared" si="52"/>
        <v>359115398.43040001</v>
      </c>
      <c r="BK45" s="33">
        <f t="shared" si="52"/>
        <v>343433082.67519999</v>
      </c>
      <c r="BL45" s="33">
        <f t="shared" si="52"/>
        <v>343247164.32480001</v>
      </c>
      <c r="BM45" s="33">
        <f t="shared" si="52"/>
        <v>336462490.61759996</v>
      </c>
      <c r="BN45" s="33">
        <f t="shared" si="52"/>
        <v>330025608.94400001</v>
      </c>
      <c r="BO45" s="33">
        <f t="shared" ref="BO45:CJ45" si="53">BO70*BO69</f>
        <v>316322237.11119998</v>
      </c>
      <c r="BP45" s="33">
        <f t="shared" si="53"/>
        <v>319078185.42320001</v>
      </c>
      <c r="BQ45" s="33">
        <f t="shared" si="53"/>
        <v>310074333.45279998</v>
      </c>
      <c r="BR45" s="33">
        <f t="shared" si="53"/>
        <v>303629716.34080005</v>
      </c>
      <c r="BS45" s="33">
        <f t="shared" si="53"/>
        <v>287963329.64560002</v>
      </c>
      <c r="BT45" s="33">
        <f t="shared" si="53"/>
        <v>298454620.94400001</v>
      </c>
      <c r="BU45" s="33">
        <f t="shared" si="53"/>
        <v>287845207.57200003</v>
      </c>
      <c r="BV45" s="33">
        <f t="shared" si="53"/>
        <v>175294988.75839999</v>
      </c>
      <c r="BW45" s="33">
        <f t="shared" si="53"/>
        <v>168688702.824</v>
      </c>
      <c r="BX45" s="33">
        <f t="shared" si="53"/>
        <v>98367931.143199995</v>
      </c>
      <c r="BY45" s="33">
        <f t="shared" si="53"/>
        <v>99450876.262400001</v>
      </c>
      <c r="BZ45" s="33">
        <f t="shared" si="53"/>
        <v>93969308.237599999</v>
      </c>
      <c r="CA45" s="33">
        <f t="shared" si="53"/>
        <v>92890717.478400007</v>
      </c>
      <c r="CB45" s="33">
        <f t="shared" si="53"/>
        <v>94696949.00559999</v>
      </c>
      <c r="CC45" s="33">
        <f t="shared" si="53"/>
        <v>86225408.642399997</v>
      </c>
      <c r="CD45" s="33">
        <f t="shared" si="53"/>
        <v>86127779.6664</v>
      </c>
      <c r="CE45" s="33">
        <f t="shared" si="53"/>
        <v>86379040</v>
      </c>
      <c r="CF45" s="33">
        <f t="shared" si="53"/>
        <v>80338268.220799997</v>
      </c>
      <c r="CG45" s="33">
        <f t="shared" si="53"/>
        <v>39415192.029600002</v>
      </c>
      <c r="CH45" s="33">
        <f t="shared" si="53"/>
        <v>0</v>
      </c>
      <c r="CI45" s="33">
        <f t="shared" si="53"/>
        <v>0</v>
      </c>
      <c r="CJ45" s="33">
        <f t="shared" si="53"/>
        <v>0</v>
      </c>
    </row>
    <row r="46" spans="1:89">
      <c r="A46" s="23" t="s">
        <v>428</v>
      </c>
      <c r="B46" s="33">
        <f>B69</f>
        <v>0.08</v>
      </c>
      <c r="C46" s="33">
        <f t="shared" ref="C46:BN46" si="54">C69</f>
        <v>0.08</v>
      </c>
      <c r="D46" s="33">
        <f t="shared" si="54"/>
        <v>0.08</v>
      </c>
      <c r="E46" s="33">
        <f t="shared" si="54"/>
        <v>0.08</v>
      </c>
      <c r="F46" s="33">
        <f t="shared" si="54"/>
        <v>0.08</v>
      </c>
      <c r="G46" s="33">
        <f t="shared" si="54"/>
        <v>0.08</v>
      </c>
      <c r="H46" s="33">
        <f t="shared" si="54"/>
        <v>0.08</v>
      </c>
      <c r="I46" s="33">
        <f t="shared" si="54"/>
        <v>0.08</v>
      </c>
      <c r="J46" s="33">
        <f t="shared" si="54"/>
        <v>0.08</v>
      </c>
      <c r="K46" s="33">
        <f t="shared" si="54"/>
        <v>0.08</v>
      </c>
      <c r="L46" s="33">
        <f t="shared" si="54"/>
        <v>0.08</v>
      </c>
      <c r="M46" s="33">
        <f t="shared" si="54"/>
        <v>0.08</v>
      </c>
      <c r="N46" s="33">
        <f t="shared" si="54"/>
        <v>0.08</v>
      </c>
      <c r="O46" s="33">
        <f t="shared" si="54"/>
        <v>0.08</v>
      </c>
      <c r="P46" s="33">
        <f t="shared" si="54"/>
        <v>0.08</v>
      </c>
      <c r="Q46" s="33">
        <f t="shared" si="54"/>
        <v>0.08</v>
      </c>
      <c r="R46" s="33">
        <f t="shared" si="54"/>
        <v>0.08</v>
      </c>
      <c r="S46" s="33">
        <f t="shared" si="54"/>
        <v>0.08</v>
      </c>
      <c r="T46" s="33">
        <f t="shared" si="54"/>
        <v>0.08</v>
      </c>
      <c r="U46" s="33">
        <f t="shared" si="54"/>
        <v>0.08</v>
      </c>
      <c r="V46" s="33">
        <f t="shared" si="54"/>
        <v>0.08</v>
      </c>
      <c r="W46" s="33">
        <f t="shared" si="54"/>
        <v>0.08</v>
      </c>
      <c r="X46" s="33">
        <f t="shared" si="54"/>
        <v>0.08</v>
      </c>
      <c r="Y46" s="33">
        <f t="shared" si="54"/>
        <v>0.08</v>
      </c>
      <c r="Z46" s="33">
        <f t="shared" si="54"/>
        <v>0.08</v>
      </c>
      <c r="AA46" s="33">
        <f t="shared" si="54"/>
        <v>0.08</v>
      </c>
      <c r="AB46" s="33">
        <f t="shared" si="54"/>
        <v>0.08</v>
      </c>
      <c r="AC46" s="33">
        <f t="shared" si="54"/>
        <v>0.08</v>
      </c>
      <c r="AD46" s="33">
        <f t="shared" si="54"/>
        <v>0.08</v>
      </c>
      <c r="AE46" s="33">
        <f t="shared" si="54"/>
        <v>0.08</v>
      </c>
      <c r="AF46" s="33">
        <f t="shared" si="54"/>
        <v>0.08</v>
      </c>
      <c r="AG46" s="33">
        <f t="shared" si="54"/>
        <v>0.08</v>
      </c>
      <c r="AH46" s="33">
        <f t="shared" si="54"/>
        <v>0.08</v>
      </c>
      <c r="AI46" s="33">
        <f t="shared" si="54"/>
        <v>0.08</v>
      </c>
      <c r="AJ46" s="33">
        <f t="shared" si="54"/>
        <v>0.08</v>
      </c>
      <c r="AK46" s="33">
        <f t="shared" si="54"/>
        <v>0.08</v>
      </c>
      <c r="AL46" s="33">
        <f t="shared" si="54"/>
        <v>0.08</v>
      </c>
      <c r="AM46" s="33">
        <f t="shared" si="54"/>
        <v>0.08</v>
      </c>
      <c r="AN46" s="33">
        <f t="shared" si="54"/>
        <v>0.08</v>
      </c>
      <c r="AO46" s="33">
        <f t="shared" si="54"/>
        <v>0.08</v>
      </c>
      <c r="AP46" s="33">
        <f t="shared" si="54"/>
        <v>0.08</v>
      </c>
      <c r="AQ46" s="33">
        <f t="shared" si="54"/>
        <v>0.08</v>
      </c>
      <c r="AR46" s="33">
        <f t="shared" si="54"/>
        <v>0.08</v>
      </c>
      <c r="AS46" s="33">
        <f t="shared" si="54"/>
        <v>0.08</v>
      </c>
      <c r="AT46" s="33">
        <f t="shared" si="54"/>
        <v>0.08</v>
      </c>
      <c r="AU46" s="33">
        <f t="shared" si="54"/>
        <v>0.08</v>
      </c>
      <c r="AV46" s="33">
        <f t="shared" si="54"/>
        <v>0.08</v>
      </c>
      <c r="AW46" s="33">
        <f t="shared" si="54"/>
        <v>0.08</v>
      </c>
      <c r="AX46" s="33">
        <f t="shared" si="54"/>
        <v>0.08</v>
      </c>
      <c r="AY46" s="33">
        <f t="shared" si="54"/>
        <v>0.08</v>
      </c>
      <c r="AZ46" s="33">
        <f t="shared" si="54"/>
        <v>0.08</v>
      </c>
      <c r="BA46" s="33">
        <f t="shared" si="54"/>
        <v>0.08</v>
      </c>
      <c r="BB46" s="33">
        <f t="shared" si="54"/>
        <v>0.08</v>
      </c>
      <c r="BC46" s="33">
        <f t="shared" si="54"/>
        <v>0.08</v>
      </c>
      <c r="BD46" s="33">
        <f t="shared" si="54"/>
        <v>0.08</v>
      </c>
      <c r="BE46" s="33">
        <f t="shared" si="54"/>
        <v>0.08</v>
      </c>
      <c r="BF46" s="33">
        <f t="shared" si="54"/>
        <v>0.08</v>
      </c>
      <c r="BG46" s="33">
        <f t="shared" si="54"/>
        <v>0.08</v>
      </c>
      <c r="BH46" s="33">
        <f t="shared" si="54"/>
        <v>0.08</v>
      </c>
      <c r="BI46" s="33">
        <f t="shared" si="54"/>
        <v>0.08</v>
      </c>
      <c r="BJ46" s="33">
        <f t="shared" si="54"/>
        <v>0.08</v>
      </c>
      <c r="BK46" s="33">
        <f t="shared" si="54"/>
        <v>0.08</v>
      </c>
      <c r="BL46" s="33">
        <f t="shared" si="54"/>
        <v>0.08</v>
      </c>
      <c r="BM46" s="33">
        <f t="shared" si="54"/>
        <v>0.08</v>
      </c>
      <c r="BN46" s="33">
        <f t="shared" si="54"/>
        <v>0.08</v>
      </c>
      <c r="BO46" s="33">
        <f t="shared" ref="BO46:CJ46" si="55">BO69</f>
        <v>0.08</v>
      </c>
      <c r="BP46" s="33">
        <f t="shared" si="55"/>
        <v>0.08</v>
      </c>
      <c r="BQ46" s="33">
        <f t="shared" si="55"/>
        <v>0.08</v>
      </c>
      <c r="BR46" s="33">
        <f t="shared" si="55"/>
        <v>0.08</v>
      </c>
      <c r="BS46" s="33">
        <f t="shared" si="55"/>
        <v>0.08</v>
      </c>
      <c r="BT46" s="33">
        <f t="shared" si="55"/>
        <v>0.08</v>
      </c>
      <c r="BU46" s="33">
        <f t="shared" si="55"/>
        <v>0.08</v>
      </c>
      <c r="BV46" s="33">
        <f t="shared" si="55"/>
        <v>0.08</v>
      </c>
      <c r="BW46" s="33">
        <f t="shared" si="55"/>
        <v>0.08</v>
      </c>
      <c r="BX46" s="33">
        <f t="shared" si="55"/>
        <v>0.08</v>
      </c>
      <c r="BY46" s="33">
        <f t="shared" si="55"/>
        <v>0.08</v>
      </c>
      <c r="BZ46" s="33">
        <f t="shared" si="55"/>
        <v>0.08</v>
      </c>
      <c r="CA46" s="33">
        <f t="shared" si="55"/>
        <v>0.08</v>
      </c>
      <c r="CB46" s="33">
        <f t="shared" si="55"/>
        <v>0.08</v>
      </c>
      <c r="CC46" s="33">
        <f t="shared" si="55"/>
        <v>0.08</v>
      </c>
      <c r="CD46" s="33">
        <f t="shared" si="55"/>
        <v>0.08</v>
      </c>
      <c r="CE46" s="33">
        <f t="shared" si="55"/>
        <v>0.08</v>
      </c>
      <c r="CF46" s="33">
        <f t="shared" si="55"/>
        <v>0.08</v>
      </c>
      <c r="CG46" s="33">
        <f t="shared" si="55"/>
        <v>0.08</v>
      </c>
      <c r="CH46" s="33">
        <f t="shared" si="55"/>
        <v>0.08</v>
      </c>
      <c r="CI46" s="33">
        <f t="shared" si="55"/>
        <v>0.08</v>
      </c>
      <c r="CJ46" s="33">
        <f t="shared" si="55"/>
        <v>0.08</v>
      </c>
    </row>
    <row r="47" spans="1:89" s="2" customFormat="1">
      <c r="A47" s="26" t="s">
        <v>429</v>
      </c>
      <c r="B47" s="35">
        <f>B42-B45</f>
        <v>22027426.335599989</v>
      </c>
      <c r="C47" s="35">
        <f t="shared" ref="C47:BN47" si="56">C42-C45</f>
        <v>-72512959.079200059</v>
      </c>
      <c r="D47" s="35">
        <f t="shared" si="56"/>
        <v>-162786356.28</v>
      </c>
      <c r="E47" s="35">
        <f t="shared" si="56"/>
        <v>234699026.09519994</v>
      </c>
      <c r="F47" s="35">
        <f t="shared" si="56"/>
        <v>12401922.726400018</v>
      </c>
      <c r="G47" s="35">
        <f t="shared" si="56"/>
        <v>-67420887.571200013</v>
      </c>
      <c r="H47" s="35">
        <f t="shared" si="56"/>
        <v>-145909846.15119994</v>
      </c>
      <c r="I47" s="35">
        <f t="shared" si="56"/>
        <v>224333700.1328001</v>
      </c>
      <c r="J47" s="35">
        <f t="shared" si="56"/>
        <v>46872290.537999898</v>
      </c>
      <c r="K47" s="35">
        <f t="shared" si="56"/>
        <v>-20381871.205999911</v>
      </c>
      <c r="L47" s="35">
        <f t="shared" si="56"/>
        <v>-101369601.50720003</v>
      </c>
      <c r="M47" s="35">
        <f t="shared" si="56"/>
        <v>216193185.8619999</v>
      </c>
      <c r="N47" s="35">
        <f t="shared" si="56"/>
        <v>59334144.647999913</v>
      </c>
      <c r="O47" s="35">
        <f t="shared" si="56"/>
        <v>-1731123.299600035</v>
      </c>
      <c r="P47" s="35">
        <f t="shared" si="56"/>
        <v>-80238323.045600057</v>
      </c>
      <c r="Q47" s="35">
        <f t="shared" si="56"/>
        <v>201656797.46719983</v>
      </c>
      <c r="R47" s="35">
        <f t="shared" si="56"/>
        <v>77245872.710800111</v>
      </c>
      <c r="S47" s="35">
        <f t="shared" si="56"/>
        <v>-1548598.3711999953</v>
      </c>
      <c r="T47" s="35">
        <f t="shared" si="56"/>
        <v>-52027048.02880004</v>
      </c>
      <c r="U47" s="35">
        <f t="shared" si="56"/>
        <v>169085532.52760002</v>
      </c>
      <c r="V47" s="35">
        <f t="shared" si="56"/>
        <v>75621590.279599816</v>
      </c>
      <c r="W47" s="35">
        <f t="shared" si="56"/>
        <v>7434167.1336000711</v>
      </c>
      <c r="X47" s="35">
        <f t="shared" si="56"/>
        <v>-40456187.086800039</v>
      </c>
      <c r="Y47" s="35">
        <f t="shared" si="56"/>
        <v>136132753.26560003</v>
      </c>
      <c r="Z47" s="35">
        <f t="shared" si="56"/>
        <v>50339974.012400046</v>
      </c>
      <c r="AA47" s="35">
        <f t="shared" si="56"/>
        <v>1215714.8380000144</v>
      </c>
      <c r="AB47" s="35">
        <f t="shared" si="56"/>
        <v>-28432426.702800021</v>
      </c>
      <c r="AC47" s="35">
        <f t="shared" si="56"/>
        <v>105081518.00359999</v>
      </c>
      <c r="AD47" s="35">
        <f t="shared" si="56"/>
        <v>36119808.15200001</v>
      </c>
      <c r="AE47" s="35">
        <f t="shared" si="56"/>
        <v>-10937115.854399934</v>
      </c>
      <c r="AF47" s="35">
        <f t="shared" si="56"/>
        <v>-34953613.662800059</v>
      </c>
      <c r="AG47" s="35">
        <f t="shared" si="56"/>
        <v>35773403.079600006</v>
      </c>
      <c r="AH47" s="35">
        <f t="shared" si="56"/>
        <v>-15773829.938800052</v>
      </c>
      <c r="AI47" s="35">
        <f t="shared" si="56"/>
        <v>-39418329.112000011</v>
      </c>
      <c r="AJ47" s="35">
        <f t="shared" si="56"/>
        <v>-49980600.914400004</v>
      </c>
      <c r="AK47" s="35">
        <f t="shared" si="56"/>
        <v>917871.99840001762</v>
      </c>
      <c r="AL47" s="35">
        <f t="shared" si="56"/>
        <v>28998276.840399947</v>
      </c>
      <c r="AM47" s="35">
        <f t="shared" si="56"/>
        <v>13315347.184000004</v>
      </c>
      <c r="AN47" s="35">
        <f t="shared" si="56"/>
        <v>7058225.7936000191</v>
      </c>
      <c r="AO47" s="35">
        <f t="shared" si="56"/>
        <v>50119906.295599982</v>
      </c>
      <c r="AP47" s="35">
        <f t="shared" si="56"/>
        <v>35939004.436000027</v>
      </c>
      <c r="AQ47" s="35">
        <f t="shared" si="56"/>
        <v>58354125.520000018</v>
      </c>
      <c r="AR47" s="35">
        <f t="shared" si="56"/>
        <v>33780411.490000002</v>
      </c>
      <c r="AS47" s="35">
        <f t="shared" si="56"/>
        <v>0</v>
      </c>
      <c r="AT47" s="35">
        <f t="shared" si="56"/>
        <v>-551211614.52399993</v>
      </c>
      <c r="AU47" s="35">
        <f t="shared" si="56"/>
        <v>-496320397.45679998</v>
      </c>
      <c r="AV47" s="35">
        <f t="shared" si="56"/>
        <v>-445505388.23360002</v>
      </c>
      <c r="AW47" s="35">
        <f t="shared" si="56"/>
        <v>-398055066.47280002</v>
      </c>
      <c r="AX47" s="35">
        <f t="shared" si="56"/>
        <v>-377567714.57360005</v>
      </c>
      <c r="AY47" s="35">
        <f t="shared" si="56"/>
        <v>-387409290.14840001</v>
      </c>
      <c r="AZ47" s="35">
        <f t="shared" si="56"/>
        <v>-411743268.77480006</v>
      </c>
      <c r="BA47" s="35">
        <f t="shared" si="56"/>
        <v>-544316182.85319996</v>
      </c>
      <c r="BB47" s="35">
        <f t="shared" si="56"/>
        <v>-531683858.44279993</v>
      </c>
      <c r="BC47" s="35">
        <f t="shared" si="56"/>
        <v>-454875507.8448</v>
      </c>
      <c r="BD47" s="35">
        <f t="shared" si="56"/>
        <v>-417115730.546</v>
      </c>
      <c r="BE47" s="35">
        <f t="shared" si="56"/>
        <v>-439952204.87879997</v>
      </c>
      <c r="BF47" s="35">
        <f t="shared" si="56"/>
        <v>-417533251.67519999</v>
      </c>
      <c r="BG47" s="35">
        <f t="shared" si="56"/>
        <v>-398320315.3308</v>
      </c>
      <c r="BH47" s="35">
        <f t="shared" si="56"/>
        <v>-401893920.58120006</v>
      </c>
      <c r="BI47" s="35">
        <f t="shared" si="56"/>
        <v>-407190740.5424</v>
      </c>
      <c r="BJ47" s="35">
        <f t="shared" si="56"/>
        <v>-355900380.39039999</v>
      </c>
      <c r="BK47" s="35">
        <f t="shared" si="56"/>
        <v>-329089631.60519999</v>
      </c>
      <c r="BL47" s="35">
        <f t="shared" si="56"/>
        <v>-356588493.17480004</v>
      </c>
      <c r="BM47" s="35">
        <f t="shared" si="56"/>
        <v>-406912335.89759994</v>
      </c>
      <c r="BN47" s="35">
        <f t="shared" si="56"/>
        <v>-369068809.83399999</v>
      </c>
      <c r="BO47" s="35">
        <f t="shared" ref="BO47:CJ47" si="57">BO42-BO45</f>
        <v>-337805848.72119999</v>
      </c>
      <c r="BP47" s="35">
        <f t="shared" si="57"/>
        <v>-329201658.89320004</v>
      </c>
      <c r="BQ47" s="35">
        <f t="shared" si="57"/>
        <v>-381930577.79279995</v>
      </c>
      <c r="BR47" s="35">
        <f t="shared" si="57"/>
        <v>-316699207.17080003</v>
      </c>
      <c r="BS47" s="35">
        <f t="shared" si="57"/>
        <v>-281528970.51560003</v>
      </c>
      <c r="BT47" s="35">
        <f t="shared" si="57"/>
        <v>-290105071.28399998</v>
      </c>
      <c r="BU47" s="35">
        <f t="shared" si="57"/>
        <v>-336479452.12200004</v>
      </c>
      <c r="BV47" s="35">
        <f t="shared" si="57"/>
        <v>-228928071.36839998</v>
      </c>
      <c r="BW47" s="35">
        <f t="shared" si="57"/>
        <v>-127930477.604</v>
      </c>
      <c r="BX47" s="35">
        <f t="shared" si="57"/>
        <v>-118210057.0932</v>
      </c>
      <c r="BY47" s="35">
        <f t="shared" si="57"/>
        <v>-86922966.762400001</v>
      </c>
      <c r="BZ47" s="35">
        <f t="shared" si="57"/>
        <v>-93493923.737599999</v>
      </c>
      <c r="CA47" s="35">
        <f t="shared" si="57"/>
        <v>-139322016.55840001</v>
      </c>
      <c r="CB47" s="35">
        <f t="shared" si="57"/>
        <v>-101361125.44559999</v>
      </c>
      <c r="CC47" s="35">
        <f t="shared" si="57"/>
        <v>-127997818.6724</v>
      </c>
      <c r="CD47" s="35">
        <f t="shared" si="57"/>
        <v>-100067779.6664</v>
      </c>
      <c r="CE47" s="35">
        <f t="shared" si="57"/>
        <v>-106460040</v>
      </c>
      <c r="CF47" s="35">
        <f t="shared" si="57"/>
        <v>-94692832.060800001</v>
      </c>
      <c r="CG47" s="35">
        <f t="shared" si="57"/>
        <v>-43745192.029600002</v>
      </c>
      <c r="CH47" s="35">
        <f t="shared" si="57"/>
        <v>-4220000</v>
      </c>
      <c r="CI47" s="35">
        <f t="shared" si="57"/>
        <v>-12510000</v>
      </c>
      <c r="CJ47" s="35">
        <f t="shared" si="57"/>
        <v>-3630000</v>
      </c>
    </row>
    <row r="49" spans="1:89" ht="14.25" customHeight="1"/>
    <row r="50" spans="1:89" s="2" customFormat="1" ht="14.25" thickBot="1">
      <c r="A50"/>
      <c r="B50" s="1"/>
      <c r="C50" s="1"/>
      <c r="D50" s="1"/>
      <c r="E50" s="1"/>
      <c r="F50" s="1"/>
      <c r="G50" s="1"/>
      <c r="H50" s="1"/>
      <c r="I50" s="1"/>
      <c r="J50" s="1"/>
      <c r="K50"/>
    </row>
    <row r="51" spans="1:89" s="65" customFormat="1">
      <c r="A51" s="64" t="s">
        <v>104</v>
      </c>
      <c r="B51" s="48">
        <v>20180930</v>
      </c>
      <c r="C51" s="48">
        <v>20180630</v>
      </c>
      <c r="D51" s="48">
        <v>20180331</v>
      </c>
      <c r="E51" s="48">
        <v>20171231</v>
      </c>
      <c r="F51" s="48">
        <v>20170930</v>
      </c>
      <c r="G51" s="48">
        <v>20170630</v>
      </c>
      <c r="H51" s="48">
        <v>20170331</v>
      </c>
      <c r="I51" s="48">
        <v>20161231</v>
      </c>
      <c r="J51" s="48">
        <v>20160930</v>
      </c>
      <c r="K51" s="48">
        <v>20160630</v>
      </c>
      <c r="L51" s="48">
        <v>20160331</v>
      </c>
      <c r="M51" s="48">
        <v>20151231</v>
      </c>
      <c r="N51" s="48">
        <v>20150930</v>
      </c>
      <c r="O51" s="48">
        <v>20150630</v>
      </c>
      <c r="P51" s="48">
        <v>20150331</v>
      </c>
      <c r="Q51" s="48">
        <v>20141231</v>
      </c>
      <c r="R51" s="48">
        <v>20140930</v>
      </c>
      <c r="S51" s="48">
        <v>20140630</v>
      </c>
      <c r="T51" s="48">
        <v>20140331</v>
      </c>
      <c r="U51" s="48">
        <v>20131231</v>
      </c>
      <c r="V51" s="48">
        <v>20130930</v>
      </c>
      <c r="W51" s="48">
        <v>20130630</v>
      </c>
      <c r="X51" s="48">
        <v>20130331</v>
      </c>
      <c r="Y51" s="48">
        <v>20121231</v>
      </c>
      <c r="Z51" s="48">
        <v>20120930</v>
      </c>
      <c r="AA51" s="48">
        <v>20120630</v>
      </c>
      <c r="AB51" s="48">
        <v>20120331</v>
      </c>
      <c r="AC51" s="48">
        <v>20111231</v>
      </c>
      <c r="AD51" s="48">
        <v>20110930</v>
      </c>
      <c r="AE51" s="48">
        <v>20110630</v>
      </c>
      <c r="AF51" s="48">
        <v>20110331</v>
      </c>
      <c r="AG51" s="48">
        <v>20101231</v>
      </c>
      <c r="AH51" s="48">
        <v>20100930</v>
      </c>
      <c r="AI51" s="48">
        <v>20100630</v>
      </c>
      <c r="AJ51" s="48">
        <v>20100331</v>
      </c>
      <c r="AK51" s="48">
        <v>20091231</v>
      </c>
      <c r="AL51" s="48">
        <v>20090930</v>
      </c>
      <c r="AM51" s="48">
        <v>20090630</v>
      </c>
      <c r="AN51" s="48">
        <v>20090331</v>
      </c>
      <c r="AO51" s="48">
        <v>20081231</v>
      </c>
      <c r="AP51" s="48">
        <v>20080930</v>
      </c>
      <c r="AQ51" s="48">
        <v>20071231</v>
      </c>
      <c r="AR51" s="48">
        <v>20061231</v>
      </c>
      <c r="AS51" s="48">
        <v>19700101</v>
      </c>
      <c r="AT51" s="48">
        <v>20070930</v>
      </c>
      <c r="AU51" s="48">
        <v>20070630</v>
      </c>
      <c r="AV51" s="48">
        <v>20070331</v>
      </c>
      <c r="AW51" s="48">
        <v>20061231</v>
      </c>
      <c r="AX51" s="48">
        <v>20060930</v>
      </c>
      <c r="AY51" s="48">
        <v>20060630</v>
      </c>
      <c r="AZ51" s="48">
        <v>20060331</v>
      </c>
      <c r="BA51" s="48">
        <v>20051231</v>
      </c>
      <c r="BB51" s="48">
        <v>20050930</v>
      </c>
      <c r="BC51" s="48">
        <v>20050630</v>
      </c>
      <c r="BD51" s="48">
        <v>20050331</v>
      </c>
      <c r="BE51" s="48">
        <v>20041231</v>
      </c>
      <c r="BF51" s="48">
        <v>20040930</v>
      </c>
      <c r="BG51" s="48">
        <v>20040630</v>
      </c>
      <c r="BH51" s="48">
        <v>20040331</v>
      </c>
      <c r="BI51" s="48">
        <v>20031231</v>
      </c>
      <c r="BJ51" s="48">
        <v>20030930</v>
      </c>
      <c r="BK51" s="48">
        <v>20030630</v>
      </c>
      <c r="BL51" s="48">
        <v>20030331</v>
      </c>
      <c r="BM51" s="48">
        <v>20021231</v>
      </c>
      <c r="BN51" s="48">
        <v>20020930</v>
      </c>
      <c r="BO51" s="48">
        <v>20020630</v>
      </c>
      <c r="BP51" s="48">
        <v>20020331</v>
      </c>
      <c r="BQ51" s="48">
        <v>20011231</v>
      </c>
      <c r="BR51" s="48">
        <v>20010630</v>
      </c>
      <c r="BS51" s="48">
        <v>20001231</v>
      </c>
      <c r="BT51" s="48">
        <v>20000630</v>
      </c>
      <c r="BU51" s="48">
        <v>19991231</v>
      </c>
      <c r="BV51" s="48">
        <v>19990630</v>
      </c>
      <c r="BW51" s="48">
        <v>19981231</v>
      </c>
      <c r="BX51" s="48">
        <v>19980630</v>
      </c>
      <c r="BY51" s="48">
        <v>19971231</v>
      </c>
      <c r="BZ51" s="48">
        <v>19970630</v>
      </c>
      <c r="CA51" s="48">
        <v>19961231</v>
      </c>
      <c r="CB51" s="48">
        <v>19960630</v>
      </c>
      <c r="CC51" s="48">
        <v>19951231</v>
      </c>
      <c r="CD51" s="48">
        <v>19950630</v>
      </c>
      <c r="CE51" s="48">
        <v>19941231</v>
      </c>
      <c r="CF51" s="48">
        <v>19940630</v>
      </c>
      <c r="CG51" s="48">
        <v>19930630</v>
      </c>
      <c r="CH51" s="48">
        <v>19921231</v>
      </c>
      <c r="CI51" s="48">
        <v>19911231</v>
      </c>
      <c r="CJ51" s="48">
        <v>19901231</v>
      </c>
      <c r="CK51" s="48">
        <v>19700101</v>
      </c>
    </row>
    <row r="52" spans="1:89" s="51" customFormat="1">
      <c r="A52" s="143" t="s">
        <v>581</v>
      </c>
      <c r="B52" s="50">
        <v>-25636</v>
      </c>
      <c r="C52" s="50">
        <v>-27718</v>
      </c>
      <c r="D52" s="50">
        <v>-35317</v>
      </c>
      <c r="E52" s="50">
        <v>-3059576</v>
      </c>
      <c r="F52" s="50">
        <v>-34414</v>
      </c>
      <c r="G52" s="50">
        <v>-23309</v>
      </c>
      <c r="H52" s="50">
        <v>-16814</v>
      </c>
      <c r="I52" s="50">
        <v>-4928807.6399999997</v>
      </c>
      <c r="J52" s="50"/>
      <c r="K52" s="50"/>
      <c r="M52" s="51">
        <v>-19122987.059999999</v>
      </c>
      <c r="Q52" s="51">
        <v>-9916405.3300000001</v>
      </c>
      <c r="U52" s="51">
        <v>-9589204.1500000004</v>
      </c>
      <c r="Y52" s="51">
        <v>-10549127.15</v>
      </c>
      <c r="AC52" s="51">
        <v>-7883661.5899999999</v>
      </c>
      <c r="AG52" s="51">
        <v>-11009328.199999999</v>
      </c>
      <c r="AK52" s="51">
        <v>-316788.09999999998</v>
      </c>
      <c r="AO52" s="51">
        <v>-351373.42</v>
      </c>
    </row>
    <row r="53" spans="1:89" s="51" customFormat="1">
      <c r="A53" s="50" t="s">
        <v>90</v>
      </c>
      <c r="B53" s="50">
        <v>217</v>
      </c>
      <c r="C53" s="50">
        <v>189</v>
      </c>
      <c r="D53" s="50"/>
      <c r="E53" s="50">
        <v>0</v>
      </c>
      <c r="F53" s="50">
        <v>0</v>
      </c>
      <c r="G53" s="50">
        <v>0</v>
      </c>
      <c r="H53" s="50">
        <v>0</v>
      </c>
      <c r="I53" s="50">
        <v>0</v>
      </c>
      <c r="J53" s="50">
        <v>0</v>
      </c>
      <c r="K53" s="50">
        <v>0</v>
      </c>
      <c r="L53" s="50">
        <v>0</v>
      </c>
      <c r="M53" s="50">
        <v>0</v>
      </c>
      <c r="N53" s="50">
        <v>0</v>
      </c>
      <c r="O53" s="50">
        <v>0</v>
      </c>
      <c r="P53" s="50">
        <v>0</v>
      </c>
      <c r="Q53" s="50">
        <v>0</v>
      </c>
      <c r="R53" s="50">
        <v>0</v>
      </c>
      <c r="S53" s="50">
        <v>0</v>
      </c>
      <c r="T53" s="50">
        <v>0</v>
      </c>
      <c r="U53" s="50">
        <v>0</v>
      </c>
      <c r="V53" s="50">
        <v>0</v>
      </c>
      <c r="W53" s="50">
        <v>0</v>
      </c>
      <c r="X53" s="50">
        <v>0</v>
      </c>
      <c r="Y53" s="50">
        <v>0</v>
      </c>
      <c r="Z53" s="50">
        <v>0</v>
      </c>
      <c r="AA53" s="50">
        <v>0</v>
      </c>
      <c r="AB53" s="50">
        <v>0</v>
      </c>
      <c r="AC53" s="50">
        <v>83666.66</v>
      </c>
      <c r="AD53" s="50">
        <v>0</v>
      </c>
      <c r="AE53" s="50">
        <v>0</v>
      </c>
      <c r="AF53" s="50">
        <v>0</v>
      </c>
      <c r="AG53" s="50">
        <v>494347.71</v>
      </c>
      <c r="AH53" s="50">
        <v>0</v>
      </c>
      <c r="AI53" s="50">
        <v>0</v>
      </c>
      <c r="AJ53" s="50">
        <v>0</v>
      </c>
      <c r="AK53" s="50">
        <v>2736742.91</v>
      </c>
      <c r="AL53" s="50">
        <v>0</v>
      </c>
      <c r="AM53" s="50">
        <v>0</v>
      </c>
      <c r="AN53" s="50">
        <v>0</v>
      </c>
      <c r="AO53" s="50">
        <v>5261664.37</v>
      </c>
      <c r="AP53" s="50">
        <v>0</v>
      </c>
      <c r="AQ53" s="50">
        <v>0</v>
      </c>
      <c r="AR53" s="50">
        <v>0</v>
      </c>
      <c r="AS53" s="50">
        <v>0</v>
      </c>
      <c r="AT53" s="50">
        <v>0</v>
      </c>
      <c r="AU53" s="50">
        <v>0</v>
      </c>
      <c r="AV53" s="50">
        <v>0</v>
      </c>
      <c r="AW53" s="50">
        <v>0</v>
      </c>
      <c r="AX53" s="50">
        <v>0</v>
      </c>
      <c r="AY53" s="50">
        <v>0</v>
      </c>
      <c r="AZ53" s="50">
        <v>0</v>
      </c>
      <c r="BA53" s="50">
        <v>0</v>
      </c>
      <c r="BB53" s="50">
        <v>0</v>
      </c>
      <c r="BC53" s="50">
        <v>0</v>
      </c>
      <c r="BD53" s="50">
        <v>0</v>
      </c>
      <c r="BE53" s="50">
        <v>0</v>
      </c>
      <c r="BF53" s="50">
        <v>0</v>
      </c>
      <c r="BG53" s="50">
        <v>0</v>
      </c>
      <c r="BH53" s="50">
        <v>0</v>
      </c>
      <c r="BI53" s="50">
        <v>0</v>
      </c>
      <c r="BJ53" s="50">
        <v>0</v>
      </c>
      <c r="BK53" s="50">
        <v>0</v>
      </c>
      <c r="BL53" s="50">
        <v>0</v>
      </c>
      <c r="BM53" s="50">
        <v>0</v>
      </c>
      <c r="BN53" s="50">
        <v>0</v>
      </c>
      <c r="BO53" s="50">
        <v>0</v>
      </c>
      <c r="BP53" s="50">
        <v>0</v>
      </c>
      <c r="BQ53" s="50">
        <v>0</v>
      </c>
      <c r="BR53" s="50">
        <v>0</v>
      </c>
      <c r="BS53" s="50">
        <v>0</v>
      </c>
      <c r="BT53" s="50">
        <v>0</v>
      </c>
      <c r="BU53" s="50">
        <v>0</v>
      </c>
      <c r="BV53" s="50">
        <v>0</v>
      </c>
      <c r="BW53" s="50">
        <v>0</v>
      </c>
      <c r="BX53" s="50">
        <v>0</v>
      </c>
      <c r="BY53" s="50">
        <v>0</v>
      </c>
      <c r="BZ53" s="50">
        <v>0</v>
      </c>
      <c r="CA53" s="50">
        <v>0</v>
      </c>
      <c r="CB53" s="50">
        <v>0</v>
      </c>
      <c r="CC53" s="50">
        <v>0</v>
      </c>
      <c r="CD53" s="50">
        <v>0</v>
      </c>
      <c r="CE53" s="50">
        <v>0</v>
      </c>
      <c r="CF53" s="50">
        <v>0</v>
      </c>
      <c r="CG53" s="50">
        <v>0</v>
      </c>
    </row>
    <row r="54" spans="1:89" s="51" customFormat="1">
      <c r="A54" s="50" t="s">
        <v>91</v>
      </c>
      <c r="B54" s="50">
        <v>3104</v>
      </c>
      <c r="C54" s="50">
        <v>-1424</v>
      </c>
      <c r="D54" s="50">
        <v>-340</v>
      </c>
      <c r="E54" s="50">
        <v>53457.74</v>
      </c>
      <c r="F54" s="50">
        <v>2684</v>
      </c>
      <c r="G54" s="50">
        <v>-377</v>
      </c>
      <c r="H54" s="50">
        <v>1008</v>
      </c>
      <c r="I54" s="50">
        <v>-388814.33</v>
      </c>
      <c r="J54" s="50"/>
      <c r="K54" s="50"/>
      <c r="M54" s="51">
        <v>26976.02</v>
      </c>
      <c r="Q54" s="51">
        <v>28479.74</v>
      </c>
      <c r="U54" s="51">
        <v>4521.46</v>
      </c>
      <c r="Y54" s="51">
        <v>1450.91</v>
      </c>
      <c r="AC54" s="51">
        <v>-588.55999999999995</v>
      </c>
      <c r="AG54" s="51">
        <v>99325.53</v>
      </c>
      <c r="AK54" s="51">
        <v>38012.89</v>
      </c>
      <c r="AO54" s="51">
        <v>427068.29</v>
      </c>
    </row>
    <row r="55" spans="1:89" s="51" customFormat="1">
      <c r="A55" s="50" t="s">
        <v>92</v>
      </c>
      <c r="B55" s="50">
        <v>463</v>
      </c>
      <c r="C55" s="50">
        <v>603</v>
      </c>
      <c r="D55" s="50">
        <v>653</v>
      </c>
      <c r="E55" s="50">
        <v>2250326.41</v>
      </c>
      <c r="F55" s="50">
        <v>1204</v>
      </c>
      <c r="G55" s="50">
        <v>868</v>
      </c>
      <c r="H55" s="50">
        <v>644</v>
      </c>
      <c r="I55" s="50">
        <v>2225768.7000000002</v>
      </c>
      <c r="J55" s="50"/>
      <c r="K55" s="50"/>
      <c r="M55" s="51">
        <v>1950708.71</v>
      </c>
      <c r="Q55" s="51">
        <v>1695383.58</v>
      </c>
      <c r="U55" s="51">
        <v>1706654.01</v>
      </c>
      <c r="Y55" s="51">
        <v>3173649.89</v>
      </c>
      <c r="AC55" s="51">
        <v>2824637.15</v>
      </c>
      <c r="AG55" s="51">
        <v>2402994.35</v>
      </c>
      <c r="AK55" s="51">
        <v>1767938</v>
      </c>
      <c r="AO55" s="51">
        <v>1536704.75</v>
      </c>
    </row>
    <row r="56" spans="1:89" s="33" customFormat="1">
      <c r="A56" s="52" t="s">
        <v>93</v>
      </c>
      <c r="B56" s="52">
        <f>SUM(B52:B55)</f>
        <v>-21852</v>
      </c>
      <c r="C56" s="52">
        <f t="shared" ref="C56:D56" si="58">SUM(C52:C55)</f>
        <v>-28350</v>
      </c>
      <c r="D56" s="52">
        <f t="shared" si="58"/>
        <v>-35004</v>
      </c>
      <c r="E56" s="52">
        <f>SUM(E52:E55)</f>
        <v>-755791.84999999963</v>
      </c>
      <c r="F56" s="52">
        <f t="shared" ref="F56:BQ56" si="59">SUM(F52:F55)</f>
        <v>-30526</v>
      </c>
      <c r="G56" s="52">
        <f t="shared" si="59"/>
        <v>-22818</v>
      </c>
      <c r="H56" s="52">
        <f t="shared" si="59"/>
        <v>-15162</v>
      </c>
      <c r="I56" s="52">
        <f t="shared" si="59"/>
        <v>-3091853.2699999996</v>
      </c>
      <c r="J56" s="52">
        <f t="shared" si="59"/>
        <v>0</v>
      </c>
      <c r="K56" s="52">
        <f t="shared" si="59"/>
        <v>0</v>
      </c>
      <c r="L56" s="52">
        <f t="shared" si="59"/>
        <v>0</v>
      </c>
      <c r="M56" s="52">
        <f t="shared" si="59"/>
        <v>-17145302.329999998</v>
      </c>
      <c r="N56" s="52">
        <f t="shared" si="59"/>
        <v>0</v>
      </c>
      <c r="O56" s="52">
        <f t="shared" si="59"/>
        <v>0</v>
      </c>
      <c r="P56" s="52">
        <f t="shared" si="59"/>
        <v>0</v>
      </c>
      <c r="Q56" s="52">
        <f t="shared" si="59"/>
        <v>-8192542.0099999998</v>
      </c>
      <c r="R56" s="52">
        <f t="shared" si="59"/>
        <v>0</v>
      </c>
      <c r="S56" s="52">
        <f t="shared" si="59"/>
        <v>0</v>
      </c>
      <c r="T56" s="52">
        <f t="shared" si="59"/>
        <v>0</v>
      </c>
      <c r="U56" s="52">
        <f t="shared" si="59"/>
        <v>-7878028.6799999997</v>
      </c>
      <c r="V56" s="52">
        <f t="shared" si="59"/>
        <v>0</v>
      </c>
      <c r="W56" s="52">
        <f t="shared" si="59"/>
        <v>0</v>
      </c>
      <c r="X56" s="52">
        <f t="shared" si="59"/>
        <v>0</v>
      </c>
      <c r="Y56" s="52">
        <f t="shared" si="59"/>
        <v>-7374026.3499999996</v>
      </c>
      <c r="Z56" s="52">
        <f t="shared" si="59"/>
        <v>0</v>
      </c>
      <c r="AA56" s="52">
        <f t="shared" si="59"/>
        <v>0</v>
      </c>
      <c r="AB56" s="52">
        <f t="shared" si="59"/>
        <v>0</v>
      </c>
      <c r="AC56" s="52">
        <f t="shared" si="59"/>
        <v>-4975946.34</v>
      </c>
      <c r="AD56" s="52">
        <f t="shared" si="59"/>
        <v>0</v>
      </c>
      <c r="AE56" s="52">
        <f t="shared" si="59"/>
        <v>0</v>
      </c>
      <c r="AF56" s="52">
        <f t="shared" si="59"/>
        <v>0</v>
      </c>
      <c r="AG56" s="52">
        <f t="shared" si="59"/>
        <v>-8012660.6099999994</v>
      </c>
      <c r="AH56" s="52">
        <f t="shared" si="59"/>
        <v>0</v>
      </c>
      <c r="AI56" s="52">
        <f t="shared" si="59"/>
        <v>0</v>
      </c>
      <c r="AJ56" s="52">
        <f t="shared" si="59"/>
        <v>0</v>
      </c>
      <c r="AK56" s="52">
        <f t="shared" si="59"/>
        <v>4225905.7</v>
      </c>
      <c r="AL56" s="52">
        <f t="shared" si="59"/>
        <v>0</v>
      </c>
      <c r="AM56" s="52">
        <f t="shared" si="59"/>
        <v>0</v>
      </c>
      <c r="AN56" s="52">
        <f t="shared" si="59"/>
        <v>0</v>
      </c>
      <c r="AO56" s="52">
        <f t="shared" si="59"/>
        <v>6874063.9900000002</v>
      </c>
      <c r="AP56" s="52">
        <f t="shared" si="59"/>
        <v>0</v>
      </c>
      <c r="AQ56" s="52">
        <f t="shared" si="59"/>
        <v>0</v>
      </c>
      <c r="AR56" s="52">
        <f t="shared" si="59"/>
        <v>0</v>
      </c>
      <c r="AS56" s="52">
        <f t="shared" si="59"/>
        <v>0</v>
      </c>
      <c r="AT56" s="52">
        <f t="shared" si="59"/>
        <v>0</v>
      </c>
      <c r="AU56" s="52">
        <f t="shared" si="59"/>
        <v>0</v>
      </c>
      <c r="AV56" s="52">
        <f t="shared" si="59"/>
        <v>0</v>
      </c>
      <c r="AW56" s="52">
        <f t="shared" si="59"/>
        <v>0</v>
      </c>
      <c r="AX56" s="52">
        <f t="shared" si="59"/>
        <v>0</v>
      </c>
      <c r="AY56" s="52">
        <f t="shared" si="59"/>
        <v>0</v>
      </c>
      <c r="AZ56" s="52">
        <f t="shared" si="59"/>
        <v>0</v>
      </c>
      <c r="BA56" s="52">
        <f t="shared" si="59"/>
        <v>0</v>
      </c>
      <c r="BB56" s="52">
        <f t="shared" si="59"/>
        <v>0</v>
      </c>
      <c r="BC56" s="52">
        <f t="shared" si="59"/>
        <v>0</v>
      </c>
      <c r="BD56" s="52">
        <f t="shared" si="59"/>
        <v>0</v>
      </c>
      <c r="BE56" s="52">
        <f t="shared" si="59"/>
        <v>0</v>
      </c>
      <c r="BF56" s="52">
        <f t="shared" si="59"/>
        <v>0</v>
      </c>
      <c r="BG56" s="52">
        <f t="shared" si="59"/>
        <v>0</v>
      </c>
      <c r="BH56" s="52">
        <f t="shared" si="59"/>
        <v>0</v>
      </c>
      <c r="BI56" s="52">
        <f t="shared" si="59"/>
        <v>0</v>
      </c>
      <c r="BJ56" s="52">
        <f t="shared" si="59"/>
        <v>0</v>
      </c>
      <c r="BK56" s="52">
        <f t="shared" si="59"/>
        <v>0</v>
      </c>
      <c r="BL56" s="52">
        <f t="shared" si="59"/>
        <v>0</v>
      </c>
      <c r="BM56" s="52">
        <f t="shared" si="59"/>
        <v>0</v>
      </c>
      <c r="BN56" s="52">
        <f t="shared" si="59"/>
        <v>0</v>
      </c>
      <c r="BO56" s="52">
        <f t="shared" si="59"/>
        <v>0</v>
      </c>
      <c r="BP56" s="52">
        <f t="shared" si="59"/>
        <v>0</v>
      </c>
      <c r="BQ56" s="52">
        <f t="shared" si="59"/>
        <v>0</v>
      </c>
      <c r="BR56" s="52">
        <f t="shared" ref="BR56:CK56" si="60">SUM(BR52:BR55)</f>
        <v>0</v>
      </c>
      <c r="BS56" s="52">
        <f t="shared" si="60"/>
        <v>0</v>
      </c>
      <c r="BT56" s="52">
        <f t="shared" si="60"/>
        <v>0</v>
      </c>
      <c r="BU56" s="52">
        <f t="shared" si="60"/>
        <v>0</v>
      </c>
      <c r="BV56" s="52">
        <f t="shared" si="60"/>
        <v>0</v>
      </c>
      <c r="BW56" s="52">
        <f t="shared" si="60"/>
        <v>0</v>
      </c>
      <c r="BX56" s="52">
        <f t="shared" si="60"/>
        <v>0</v>
      </c>
      <c r="BY56" s="52">
        <f t="shared" si="60"/>
        <v>0</v>
      </c>
      <c r="BZ56" s="52">
        <f t="shared" si="60"/>
        <v>0</v>
      </c>
      <c r="CA56" s="52">
        <f t="shared" si="60"/>
        <v>0</v>
      </c>
      <c r="CB56" s="52">
        <f t="shared" si="60"/>
        <v>0</v>
      </c>
      <c r="CC56" s="52">
        <f t="shared" si="60"/>
        <v>0</v>
      </c>
      <c r="CD56" s="52">
        <f t="shared" si="60"/>
        <v>0</v>
      </c>
      <c r="CE56" s="52">
        <f t="shared" si="60"/>
        <v>0</v>
      </c>
      <c r="CF56" s="52">
        <f t="shared" si="60"/>
        <v>0</v>
      </c>
      <c r="CG56" s="52">
        <f t="shared" si="60"/>
        <v>0</v>
      </c>
      <c r="CH56" s="52">
        <f t="shared" si="60"/>
        <v>0</v>
      </c>
      <c r="CI56" s="52">
        <f t="shared" si="60"/>
        <v>0</v>
      </c>
      <c r="CJ56" s="52">
        <f t="shared" si="60"/>
        <v>0</v>
      </c>
      <c r="CK56" s="52">
        <f t="shared" si="60"/>
        <v>0</v>
      </c>
    </row>
    <row r="57" spans="1:89" ht="12" customHeight="1"/>
    <row r="58" spans="1:89" ht="27">
      <c r="A58" s="29" t="s">
        <v>97</v>
      </c>
    </row>
    <row r="59" spans="1:89">
      <c r="A59" s="28" t="s">
        <v>96</v>
      </c>
      <c r="B59" s="48">
        <v>290704423.20999998</v>
      </c>
      <c r="C59" s="48">
        <v>184852224.49000001</v>
      </c>
      <c r="D59" s="48">
        <v>96861935.980000004</v>
      </c>
      <c r="E59" s="48">
        <v>493467007.49000001</v>
      </c>
      <c r="F59" s="48">
        <v>240560188.97999999</v>
      </c>
      <c r="G59" s="48">
        <v>158586417.80000001</v>
      </c>
      <c r="H59" s="48">
        <v>79308379.719999999</v>
      </c>
      <c r="I59" s="48">
        <v>439020710.73000002</v>
      </c>
      <c r="J59" s="48">
        <v>243503753.44999999</v>
      </c>
      <c r="K59" s="48">
        <v>169361059.09</v>
      </c>
      <c r="L59" s="48">
        <v>88508820.560000002</v>
      </c>
      <c r="M59" s="48">
        <v>401225384.01999998</v>
      </c>
      <c r="N59" s="48">
        <v>250440838.02000001</v>
      </c>
      <c r="O59" s="48">
        <v>182913802.06999999</v>
      </c>
      <c r="P59" s="48">
        <v>101014737.16</v>
      </c>
      <c r="Q59" s="48">
        <v>376552542.01999998</v>
      </c>
      <c r="R59" s="48">
        <v>243924695.56999999</v>
      </c>
      <c r="S59" s="48">
        <v>157562666.66</v>
      </c>
      <c r="T59" s="48">
        <v>100571114.58</v>
      </c>
      <c r="U59" s="48">
        <v>314945471.51999998</v>
      </c>
      <c r="V59" s="48">
        <v>210663058.93000001</v>
      </c>
      <c r="W59" s="48">
        <v>136062295.96000001</v>
      </c>
      <c r="X59" s="48">
        <v>87860270.810000002</v>
      </c>
      <c r="Y59" s="48">
        <v>260283661.59999999</v>
      </c>
      <c r="Z59" s="48">
        <v>162899565.88999999</v>
      </c>
      <c r="AA59" s="48">
        <v>109324501.56999999</v>
      </c>
      <c r="AB59" s="48">
        <v>76919130.329999998</v>
      </c>
      <c r="AC59" s="48">
        <v>206938793.19999999</v>
      </c>
      <c r="AD59" s="48">
        <v>128888742.72</v>
      </c>
      <c r="AE59" s="48">
        <v>85669468.799999997</v>
      </c>
      <c r="AF59" s="48">
        <v>59270075.530000001</v>
      </c>
      <c r="AG59" s="48">
        <v>127757806.11</v>
      </c>
      <c r="AH59" s="48">
        <v>69008292.090000004</v>
      </c>
      <c r="AI59" s="48">
        <v>47786010.380000003</v>
      </c>
      <c r="AJ59" s="48">
        <v>36305280.159999996</v>
      </c>
      <c r="AK59" s="48">
        <v>86105281.549999997</v>
      </c>
      <c r="AL59" s="48">
        <v>50753833.289999999</v>
      </c>
      <c r="AM59" s="48">
        <v>33707170.619999997</v>
      </c>
      <c r="AN59" s="48">
        <v>24753475.579999998</v>
      </c>
      <c r="AO59" s="48">
        <v>65749032.149999999</v>
      </c>
      <c r="AP59" s="48">
        <v>45174294.520000003</v>
      </c>
      <c r="AQ59" s="48">
        <v>58424699.130000003</v>
      </c>
      <c r="AR59" s="48">
        <v>33780411.490000002</v>
      </c>
      <c r="AS59" s="48">
        <v>0</v>
      </c>
      <c r="AT59" s="48">
        <v>699068839.78999996</v>
      </c>
      <c r="AU59" s="48">
        <v>442767373.94999999</v>
      </c>
      <c r="AV59" s="48">
        <v>150436490.83000001</v>
      </c>
      <c r="AW59" s="48">
        <v>661894846.55999994</v>
      </c>
      <c r="AX59" s="48">
        <v>442220913.52999997</v>
      </c>
      <c r="AY59" s="48">
        <v>249181122.63</v>
      </c>
      <c r="AZ59" s="48">
        <v>117433380.18000001</v>
      </c>
      <c r="BA59" s="48">
        <v>408855812.80000001</v>
      </c>
      <c r="BB59" s="48">
        <v>363177252.94999999</v>
      </c>
      <c r="BC59" s="48">
        <v>282713755.29000002</v>
      </c>
      <c r="BD59" s="48">
        <v>147020050.63</v>
      </c>
      <c r="BE59" s="48">
        <v>607620845.73000002</v>
      </c>
      <c r="BF59" s="48">
        <v>495471891.30000001</v>
      </c>
      <c r="BG59" s="48">
        <v>366331659.75999999</v>
      </c>
      <c r="BH59" s="48">
        <v>161911242.52000001</v>
      </c>
      <c r="BI59" s="48">
        <v>766766029.89999998</v>
      </c>
      <c r="BJ59" s="48">
        <v>568543919.35000002</v>
      </c>
      <c r="BK59" s="48">
        <v>378714531.06</v>
      </c>
      <c r="BL59" s="48">
        <v>142874579.83000001</v>
      </c>
      <c r="BM59" s="48">
        <v>584393737.67999995</v>
      </c>
      <c r="BN59" s="48">
        <v>471720857.67000002</v>
      </c>
      <c r="BO59" s="48">
        <v>294803013.56</v>
      </c>
      <c r="BP59" s="48">
        <v>133029002.59999999</v>
      </c>
      <c r="BQ59" s="48">
        <v>504683812.25999999</v>
      </c>
      <c r="BR59" s="48">
        <v>272607143.80000001</v>
      </c>
      <c r="BS59" s="48">
        <v>360763391.07999998</v>
      </c>
      <c r="BT59" s="48">
        <v>256533748.41999999</v>
      </c>
      <c r="BU59" s="48">
        <v>431018039.22000003</v>
      </c>
      <c r="BV59" s="48">
        <v>210412674.16999999</v>
      </c>
      <c r="BW59" s="48">
        <v>5992842.8899999997</v>
      </c>
      <c r="BX59" s="48">
        <v>-13617866.6</v>
      </c>
      <c r="BY59" s="48">
        <v>76540885.859999999</v>
      </c>
      <c r="BZ59" s="48">
        <v>10957081.49</v>
      </c>
      <c r="CA59" s="48">
        <v>10366333.26</v>
      </c>
      <c r="CB59" s="48">
        <v>51164074.539999999</v>
      </c>
      <c r="CC59" s="48">
        <v>164727249.21000001</v>
      </c>
      <c r="CD59" s="48">
        <v>109540000</v>
      </c>
      <c r="CE59" s="48">
        <v>162135000</v>
      </c>
      <c r="CF59" s="48">
        <v>90056788.769999996</v>
      </c>
      <c r="CG59" s="48">
        <v>54430000</v>
      </c>
      <c r="CH59" s="48">
        <v>80440000</v>
      </c>
      <c r="CI59" s="48">
        <v>58950000</v>
      </c>
      <c r="CJ59" s="48">
        <v>67670000</v>
      </c>
      <c r="CK59" s="48">
        <v>0</v>
      </c>
    </row>
    <row r="60" spans="1:89">
      <c r="A60" s="28" t="s">
        <v>95</v>
      </c>
      <c r="B60" s="48">
        <v>50741967.399999999</v>
      </c>
      <c r="C60" s="48">
        <v>35086325.109999999</v>
      </c>
      <c r="D60" s="48">
        <v>20809549.5</v>
      </c>
      <c r="E60" s="48">
        <v>107491520.19</v>
      </c>
      <c r="F60" s="48">
        <v>67057749.07</v>
      </c>
      <c r="G60" s="48">
        <v>43911094.490000002</v>
      </c>
      <c r="H60" s="48">
        <v>22288862.629999999</v>
      </c>
      <c r="I60" s="48">
        <v>117932231.98999999</v>
      </c>
      <c r="J60" s="48">
        <v>65739055.280000001</v>
      </c>
      <c r="K60" s="48">
        <v>45902821.909999996</v>
      </c>
      <c r="L60" s="48">
        <v>25063953.43</v>
      </c>
      <c r="M60" s="48">
        <v>90053617.069999993</v>
      </c>
      <c r="N60" s="48">
        <v>69702112.829999998</v>
      </c>
      <c r="O60" s="48">
        <v>50987758.810000002</v>
      </c>
      <c r="P60" s="48">
        <v>29174534.640000001</v>
      </c>
      <c r="Q60" s="48">
        <v>114018852.90000001</v>
      </c>
      <c r="R60" s="48">
        <v>75599193.269999996</v>
      </c>
      <c r="S60" s="48">
        <v>49400533.090000004</v>
      </c>
      <c r="T60" s="48">
        <v>32609839.899999999</v>
      </c>
      <c r="U60" s="48">
        <v>107561552.3</v>
      </c>
      <c r="V60" s="48">
        <v>70153576.540000007</v>
      </c>
      <c r="W60" s="48">
        <v>45158735.32</v>
      </c>
      <c r="X60" s="48">
        <v>29140692.399999999</v>
      </c>
      <c r="Y60" s="48">
        <v>92565851.609999999</v>
      </c>
      <c r="Z60" s="48">
        <v>54371819.799999997</v>
      </c>
      <c r="AA60" s="48">
        <v>36506209.590000004</v>
      </c>
      <c r="AB60" s="48">
        <v>25661928.460000001</v>
      </c>
      <c r="AC60" s="48">
        <v>65297625.030000001</v>
      </c>
      <c r="AD60" s="48">
        <v>39222109.560000002</v>
      </c>
      <c r="AE60" s="48">
        <v>26484847.289999999</v>
      </c>
      <c r="AF60" s="48">
        <v>18064180.27</v>
      </c>
      <c r="AG60" s="48">
        <v>33462368.59</v>
      </c>
      <c r="AH60" s="48">
        <v>19201179.52</v>
      </c>
      <c r="AI60" s="48">
        <v>13466500.369999999</v>
      </c>
      <c r="AJ60" s="48">
        <v>10004702.5</v>
      </c>
      <c r="AK60" s="48">
        <v>22391699.23</v>
      </c>
      <c r="AL60" s="48">
        <v>13006658.789999999</v>
      </c>
      <c r="AM60" s="48">
        <v>9361626.6199999992</v>
      </c>
      <c r="AN60" s="48">
        <v>6775986.6600000001</v>
      </c>
      <c r="AO60" s="48">
        <v>13440634.470000001</v>
      </c>
      <c r="AP60" s="48">
        <v>9016715.9600000009</v>
      </c>
      <c r="AQ60" s="48">
        <v>4666928.18</v>
      </c>
      <c r="AR60" s="48">
        <v>5925187.7599999998</v>
      </c>
      <c r="AS60" s="48">
        <v>0</v>
      </c>
      <c r="AT60" s="48">
        <v>132415189.92</v>
      </c>
      <c r="AU60" s="48">
        <v>84352733.560000002</v>
      </c>
      <c r="AV60" s="48">
        <v>29650309.149999999</v>
      </c>
      <c r="AW60" s="48">
        <v>112159737.02</v>
      </c>
      <c r="AX60" s="48">
        <v>68131511.010000005</v>
      </c>
      <c r="AY60" s="48">
        <v>41356766.380000003</v>
      </c>
      <c r="AZ60" s="48">
        <v>21261539.25</v>
      </c>
      <c r="BA60" s="48">
        <v>108609995.86</v>
      </c>
      <c r="BB60" s="48">
        <v>94004327.269999996</v>
      </c>
      <c r="BC60" s="48">
        <v>67862554.450000003</v>
      </c>
      <c r="BD60" s="48">
        <v>28974955.960000001</v>
      </c>
      <c r="BE60" s="48">
        <v>132468882.01000001</v>
      </c>
      <c r="BF60" s="48">
        <v>93637200.370000005</v>
      </c>
      <c r="BG60" s="48">
        <v>65867600.789999999</v>
      </c>
      <c r="BH60" s="48">
        <v>32955130.91</v>
      </c>
      <c r="BI60" s="48">
        <v>155946328.93000001</v>
      </c>
      <c r="BJ60" s="48">
        <v>108366137.34</v>
      </c>
      <c r="BK60" s="48">
        <v>68867283.900000006</v>
      </c>
      <c r="BL60" s="48">
        <v>28006866.879999999</v>
      </c>
      <c r="BM60" s="48">
        <v>143668257.24000001</v>
      </c>
      <c r="BN60" s="48">
        <v>98765977.599999994</v>
      </c>
      <c r="BO60" s="48">
        <v>64164786.920000002</v>
      </c>
      <c r="BP60" s="48">
        <v>25321619.559999999</v>
      </c>
      <c r="BQ60" s="48">
        <v>113460021.93000001</v>
      </c>
      <c r="BR60" s="48">
        <v>52431401.840000004</v>
      </c>
      <c r="BS60" s="48">
        <v>100791733.87</v>
      </c>
      <c r="BT60" s="48">
        <v>47229977.799999997</v>
      </c>
      <c r="BU60" s="48">
        <v>97455708.069999993</v>
      </c>
      <c r="BV60" s="48">
        <v>39232814.829999998</v>
      </c>
      <c r="BW60" s="48">
        <v>2796995.65</v>
      </c>
      <c r="BX60" s="48">
        <v>0</v>
      </c>
      <c r="BY60" s="48">
        <v>8176697.29</v>
      </c>
      <c r="BZ60" s="48">
        <v>1624615.5</v>
      </c>
      <c r="CA60" s="48">
        <v>1799885.61</v>
      </c>
      <c r="CB60" s="48">
        <v>9698012.9700000007</v>
      </c>
      <c r="CC60" s="48">
        <v>28336126.850000001</v>
      </c>
      <c r="CD60" s="48">
        <v>19730000</v>
      </c>
      <c r="CE60" s="48">
        <v>27810000</v>
      </c>
      <c r="CF60" s="48">
        <v>16447145.279999999</v>
      </c>
      <c r="CG60" s="48">
        <v>4330000</v>
      </c>
      <c r="CH60" s="48">
        <v>4220000</v>
      </c>
      <c r="CI60" s="48">
        <v>12510000</v>
      </c>
      <c r="CJ60" s="48">
        <v>3630000</v>
      </c>
      <c r="CK60" s="48">
        <v>0</v>
      </c>
    </row>
    <row r="61" spans="1:89">
      <c r="A61" s="28" t="s">
        <v>94</v>
      </c>
      <c r="B61" s="48">
        <v>341446390.61000001</v>
      </c>
      <c r="C61" s="48">
        <v>219938549.59999999</v>
      </c>
      <c r="D61" s="48">
        <v>117671485.48</v>
      </c>
      <c r="E61" s="48">
        <v>600958527.67999995</v>
      </c>
      <c r="F61" s="48">
        <v>307617938.05000001</v>
      </c>
      <c r="G61" s="48">
        <v>202497512.28999999</v>
      </c>
      <c r="H61" s="48">
        <v>101597242.34999999</v>
      </c>
      <c r="I61" s="48">
        <v>556952942.72000003</v>
      </c>
      <c r="J61" s="48">
        <v>309242808.73000002</v>
      </c>
      <c r="K61" s="48">
        <v>215263881</v>
      </c>
      <c r="L61" s="48">
        <v>113572773.98999999</v>
      </c>
      <c r="M61" s="48">
        <v>491279001.08999997</v>
      </c>
      <c r="N61" s="48">
        <v>320142950.85000002</v>
      </c>
      <c r="O61" s="48">
        <v>233901560.88</v>
      </c>
      <c r="P61" s="48">
        <v>130189271.8</v>
      </c>
      <c r="Q61" s="48">
        <v>490571394.92000002</v>
      </c>
      <c r="R61" s="48">
        <v>319523888.83999997</v>
      </c>
      <c r="S61" s="48">
        <v>206963199.75</v>
      </c>
      <c r="T61" s="48">
        <v>133180954.48</v>
      </c>
      <c r="U61" s="48">
        <v>422507023.81999999</v>
      </c>
      <c r="V61" s="48">
        <v>280816635.47000003</v>
      </c>
      <c r="W61" s="48">
        <v>181221031.28</v>
      </c>
      <c r="X61" s="48">
        <v>117000963.20999999</v>
      </c>
      <c r="Y61" s="48">
        <v>352849513.20999998</v>
      </c>
      <c r="Z61" s="48">
        <v>217271385.69</v>
      </c>
      <c r="AA61" s="48">
        <v>145830711.16</v>
      </c>
      <c r="AB61" s="48">
        <v>102581058.79000001</v>
      </c>
      <c r="AC61" s="48">
        <v>272236418.23000002</v>
      </c>
      <c r="AD61" s="48">
        <v>168110852.28</v>
      </c>
      <c r="AE61" s="48">
        <v>112154316.09</v>
      </c>
      <c r="AF61" s="48">
        <v>77334255.799999997</v>
      </c>
      <c r="AG61" s="48">
        <v>161220174.69999999</v>
      </c>
      <c r="AH61" s="48">
        <v>88209471.609999999</v>
      </c>
      <c r="AI61" s="48">
        <v>61252510.75</v>
      </c>
      <c r="AJ61" s="48">
        <v>46309982.659999996</v>
      </c>
      <c r="AK61" s="48">
        <v>108496980.78</v>
      </c>
      <c r="AL61" s="48">
        <v>63760492.079999998</v>
      </c>
      <c r="AM61" s="48">
        <v>43068797.240000002</v>
      </c>
      <c r="AN61" s="48">
        <v>31529462.239999998</v>
      </c>
      <c r="AO61" s="48">
        <v>79189666.620000005</v>
      </c>
      <c r="AP61" s="48">
        <v>54191010.490000002</v>
      </c>
      <c r="AQ61" s="48">
        <v>63091627.310000002</v>
      </c>
      <c r="AR61" s="48">
        <v>39705599.25</v>
      </c>
      <c r="AS61" s="48">
        <v>0</v>
      </c>
      <c r="AT61" s="48">
        <v>831484029.71000004</v>
      </c>
      <c r="AU61" s="48">
        <v>527120107.50999999</v>
      </c>
      <c r="AV61" s="48">
        <v>180086799.97999999</v>
      </c>
      <c r="AW61" s="48">
        <v>774054583.58000004</v>
      </c>
      <c r="AX61" s="48">
        <v>510352424.54000002</v>
      </c>
      <c r="AY61" s="48">
        <v>290537889.00999999</v>
      </c>
      <c r="AZ61" s="48">
        <v>138694919.43000001</v>
      </c>
      <c r="BA61" s="48">
        <v>517465808.66000003</v>
      </c>
      <c r="BB61" s="48">
        <v>457181580.22000003</v>
      </c>
      <c r="BC61" s="48">
        <v>350576309.74000001</v>
      </c>
      <c r="BD61" s="48">
        <v>175995006.59</v>
      </c>
      <c r="BE61" s="48">
        <v>740089727.74000001</v>
      </c>
      <c r="BF61" s="48">
        <v>589109091.66999996</v>
      </c>
      <c r="BG61" s="48">
        <v>432199260.55000001</v>
      </c>
      <c r="BH61" s="48">
        <v>194866373.43000001</v>
      </c>
      <c r="BI61" s="48">
        <v>922712358.83000004</v>
      </c>
      <c r="BJ61" s="48">
        <v>676910056.69000006</v>
      </c>
      <c r="BK61" s="48">
        <v>447581814.95999998</v>
      </c>
      <c r="BL61" s="48">
        <v>170881446.71000001</v>
      </c>
      <c r="BM61" s="48">
        <v>728061994.91999996</v>
      </c>
      <c r="BN61" s="48">
        <v>570486835.26999998</v>
      </c>
      <c r="BO61" s="48">
        <v>358967800.48000002</v>
      </c>
      <c r="BP61" s="48">
        <v>158350622.16</v>
      </c>
      <c r="BQ61" s="48">
        <v>618143834.19000006</v>
      </c>
      <c r="BR61" s="48">
        <v>325038545.63999999</v>
      </c>
      <c r="BS61" s="48">
        <v>461555124.94999999</v>
      </c>
      <c r="BT61" s="48">
        <v>303763726.22000003</v>
      </c>
      <c r="BU61" s="48">
        <v>528473747.29000002</v>
      </c>
      <c r="BV61" s="48">
        <v>249645489</v>
      </c>
      <c r="BW61" s="48">
        <v>8789838.5399999991</v>
      </c>
      <c r="BX61" s="48">
        <v>-13617866.6</v>
      </c>
      <c r="BY61" s="48">
        <v>84717583.150000006</v>
      </c>
      <c r="BZ61" s="48">
        <v>12581696.99</v>
      </c>
      <c r="CA61" s="48">
        <v>12166218.869999999</v>
      </c>
      <c r="CB61" s="48">
        <v>60862087.509999998</v>
      </c>
      <c r="CC61" s="48">
        <v>193063376.06</v>
      </c>
      <c r="CD61" s="48">
        <v>129270000</v>
      </c>
      <c r="CE61" s="48">
        <v>189945000</v>
      </c>
      <c r="CF61" s="48">
        <v>106503934.05</v>
      </c>
      <c r="CG61" s="48">
        <v>58750000</v>
      </c>
      <c r="CH61" s="48">
        <v>84660000</v>
      </c>
      <c r="CI61" s="48">
        <v>71460000</v>
      </c>
      <c r="CJ61" s="48">
        <v>71300000</v>
      </c>
      <c r="CK61" s="48">
        <v>0</v>
      </c>
    </row>
    <row r="62" spans="1:89">
      <c r="A62" s="28"/>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row r="64" spans="1:89">
      <c r="A64"/>
    </row>
    <row r="65" spans="1:89">
      <c r="A65" s="28" t="s">
        <v>98</v>
      </c>
      <c r="B65" s="48">
        <v>37792639.450000003</v>
      </c>
      <c r="C65" s="48">
        <v>23153077.890000001</v>
      </c>
      <c r="D65" s="48">
        <v>8288255.6399999997</v>
      </c>
      <c r="E65" s="48">
        <v>30638859.370000001</v>
      </c>
      <c r="F65" s="48">
        <v>22034526.75</v>
      </c>
      <c r="G65" s="48">
        <v>13274011.41</v>
      </c>
      <c r="H65" s="48">
        <v>12846614.15</v>
      </c>
      <c r="I65" s="48">
        <v>22419837.09</v>
      </c>
      <c r="J65" s="48">
        <v>22202165.859999999</v>
      </c>
      <c r="K65" s="48">
        <v>12582123.27</v>
      </c>
      <c r="L65" s="48">
        <v>7503150.6799999997</v>
      </c>
      <c r="M65" s="48">
        <v>18309739.620000001</v>
      </c>
      <c r="N65" s="48">
        <v>19195986.190000001</v>
      </c>
      <c r="O65" s="48">
        <v>14578890.34</v>
      </c>
      <c r="P65" s="48">
        <v>4794794.4400000004</v>
      </c>
      <c r="Q65" s="48">
        <v>16862699.91</v>
      </c>
      <c r="R65" s="48">
        <v>6658557</v>
      </c>
      <c r="S65" s="48">
        <v>3873017.43</v>
      </c>
      <c r="T65" s="48">
        <v>772876.71</v>
      </c>
      <c r="U65" s="48">
        <v>12012656.6</v>
      </c>
      <c r="V65" s="48">
        <v>6317472.4100000001</v>
      </c>
      <c r="W65" s="48">
        <v>1644250.19</v>
      </c>
      <c r="X65" s="48">
        <v>118356.16</v>
      </c>
      <c r="Y65" s="48">
        <v>119671.23</v>
      </c>
      <c r="Z65" s="48">
        <v>0</v>
      </c>
      <c r="AA65" s="48">
        <v>0</v>
      </c>
      <c r="AB65" s="48">
        <v>0</v>
      </c>
      <c r="AC65" s="48">
        <v>3122265.47</v>
      </c>
      <c r="AD65" s="48">
        <v>0</v>
      </c>
      <c r="AE65" s="48">
        <v>0</v>
      </c>
      <c r="AF65" s="48">
        <v>0</v>
      </c>
      <c r="AG65" s="48">
        <v>0</v>
      </c>
      <c r="AH65" s="48">
        <v>0</v>
      </c>
      <c r="AI65" s="48">
        <v>0</v>
      </c>
      <c r="AJ65" s="48">
        <v>0</v>
      </c>
      <c r="AK65" s="48">
        <v>0</v>
      </c>
      <c r="AL65" s="48">
        <v>20328.759999999998</v>
      </c>
      <c r="AM65" s="48">
        <v>0</v>
      </c>
      <c r="AN65" s="48">
        <v>0</v>
      </c>
      <c r="AO65" s="48">
        <v>0</v>
      </c>
      <c r="AP65" s="48">
        <v>0</v>
      </c>
      <c r="AQ65" s="48">
        <v>0</v>
      </c>
      <c r="AR65" s="48">
        <v>248300</v>
      </c>
      <c r="AS65" s="48">
        <v>0</v>
      </c>
      <c r="AT65" s="48">
        <v>217566698.08000001</v>
      </c>
      <c r="AU65" s="48">
        <v>149175345.75999999</v>
      </c>
      <c r="AV65" s="48">
        <v>28092424.260000002</v>
      </c>
      <c r="AW65" s="48">
        <v>106002085.7</v>
      </c>
      <c r="AX65" s="48">
        <v>78146813.989999995</v>
      </c>
      <c r="AY65" s="48">
        <v>31508275.550000001</v>
      </c>
      <c r="AZ65" s="48">
        <v>6818330.1399999997</v>
      </c>
      <c r="BA65" s="48">
        <v>-52414533.450000003</v>
      </c>
      <c r="BB65" s="48">
        <v>-47415743.689999998</v>
      </c>
      <c r="BC65" s="48">
        <v>-4476487.08</v>
      </c>
      <c r="BD65" s="48">
        <v>13731417.210000001</v>
      </c>
      <c r="BE65" s="48">
        <v>74080792.579999998</v>
      </c>
      <c r="BF65" s="48">
        <v>53634658.140000001</v>
      </c>
      <c r="BG65" s="48">
        <v>44718368.039999999</v>
      </c>
      <c r="BH65" s="48">
        <v>13012623.23</v>
      </c>
      <c r="BI65" s="48">
        <v>129351232.81999999</v>
      </c>
      <c r="BJ65" s="48">
        <v>126231548.87</v>
      </c>
      <c r="BK65" s="48">
        <v>99137772.019999996</v>
      </c>
      <c r="BL65" s="48">
        <v>21058739.870000001</v>
      </c>
      <c r="BM65" s="48">
        <v>80579243.650000006</v>
      </c>
      <c r="BN65" s="48">
        <v>68017088.620000005</v>
      </c>
      <c r="BO65" s="48">
        <v>47536007.049999997</v>
      </c>
      <c r="BP65" s="48">
        <v>23536334.48</v>
      </c>
      <c r="BQ65" s="48">
        <v>47111894.539999999</v>
      </c>
      <c r="BR65" s="48">
        <v>43130624.329999998</v>
      </c>
      <c r="BS65" s="48">
        <v>110636895.03</v>
      </c>
      <c r="BT65" s="48">
        <v>55492097.759999998</v>
      </c>
      <c r="BU65" s="48">
        <v>42252799.109999999</v>
      </c>
      <c r="BV65" s="48">
        <v>-8467811.9100000001</v>
      </c>
      <c r="BW65" s="48">
        <v>44423828.259999998</v>
      </c>
      <c r="BX65" s="48">
        <v>-2405395.41</v>
      </c>
      <c r="BY65" s="48">
        <v>43588942.600000001</v>
      </c>
      <c r="BZ65" s="48">
        <v>2100000</v>
      </c>
      <c r="CA65" s="48">
        <v>5299206.3</v>
      </c>
      <c r="CB65" s="48">
        <v>3033836.53</v>
      </c>
      <c r="CC65" s="48">
        <v>10641347.550000001</v>
      </c>
      <c r="CD65" s="48">
        <v>5790000</v>
      </c>
      <c r="CE65" s="48">
        <v>7729000</v>
      </c>
      <c r="CF65" s="48">
        <v>2092581.44</v>
      </c>
      <c r="CG65" s="48">
        <v>0</v>
      </c>
      <c r="CH65" s="48">
        <v>0</v>
      </c>
      <c r="CI65" s="48">
        <v>0</v>
      </c>
      <c r="CJ65" s="48">
        <v>0</v>
      </c>
      <c r="CK65" s="48">
        <v>0</v>
      </c>
    </row>
    <row r="66" spans="1:89">
      <c r="A66" s="28" t="s">
        <v>99</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214420749.16999999</v>
      </c>
      <c r="AU66" s="48">
        <v>145953407.36000001</v>
      </c>
      <c r="AV66" s="48">
        <v>28092424.260000002</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row>
    <row r="67" spans="1:89">
      <c r="A67" s="28" t="s">
        <v>100</v>
      </c>
      <c r="B67" s="5">
        <f>B65-B66</f>
        <v>37792639.450000003</v>
      </c>
      <c r="C67" s="5">
        <f t="shared" ref="C67:BN67" si="61">C65-C66</f>
        <v>23153077.890000001</v>
      </c>
      <c r="D67" s="5">
        <f t="shared" si="61"/>
        <v>8288255.6399999997</v>
      </c>
      <c r="E67" s="5">
        <f t="shared" si="61"/>
        <v>30638859.370000001</v>
      </c>
      <c r="F67" s="5">
        <f t="shared" si="61"/>
        <v>22034526.75</v>
      </c>
      <c r="G67" s="5">
        <f t="shared" si="61"/>
        <v>13274011.41</v>
      </c>
      <c r="H67" s="5">
        <f t="shared" si="61"/>
        <v>12846614.15</v>
      </c>
      <c r="I67" s="5">
        <f t="shared" si="61"/>
        <v>22419837.09</v>
      </c>
      <c r="J67" s="5">
        <f t="shared" si="61"/>
        <v>22202165.859999999</v>
      </c>
      <c r="K67" s="5">
        <f t="shared" si="61"/>
        <v>12582123.27</v>
      </c>
      <c r="L67" s="5">
        <f t="shared" si="61"/>
        <v>7503150.6799999997</v>
      </c>
      <c r="M67" s="5">
        <f t="shared" si="61"/>
        <v>18309739.620000001</v>
      </c>
      <c r="N67" s="5">
        <f t="shared" si="61"/>
        <v>19195986.190000001</v>
      </c>
      <c r="O67" s="5">
        <f t="shared" si="61"/>
        <v>14578890.34</v>
      </c>
      <c r="P67" s="5">
        <f t="shared" si="61"/>
        <v>4794794.4400000004</v>
      </c>
      <c r="Q67" s="5">
        <f t="shared" si="61"/>
        <v>16862699.91</v>
      </c>
      <c r="R67" s="5">
        <f t="shared" si="61"/>
        <v>6658557</v>
      </c>
      <c r="S67" s="5">
        <f t="shared" si="61"/>
        <v>3873017.43</v>
      </c>
      <c r="T67" s="5">
        <f t="shared" si="61"/>
        <v>772876.71</v>
      </c>
      <c r="U67" s="5">
        <f t="shared" si="61"/>
        <v>12012656.6</v>
      </c>
      <c r="V67" s="5">
        <f t="shared" si="61"/>
        <v>6317472.4100000001</v>
      </c>
      <c r="W67" s="5">
        <f t="shared" si="61"/>
        <v>1644250.19</v>
      </c>
      <c r="X67" s="5">
        <f t="shared" si="61"/>
        <v>118356.16</v>
      </c>
      <c r="Y67" s="5">
        <f t="shared" si="61"/>
        <v>119671.23</v>
      </c>
      <c r="Z67" s="5">
        <f t="shared" si="61"/>
        <v>0</v>
      </c>
      <c r="AA67" s="5">
        <f t="shared" si="61"/>
        <v>0</v>
      </c>
      <c r="AB67" s="5">
        <f t="shared" si="61"/>
        <v>0</v>
      </c>
      <c r="AC67" s="5">
        <f t="shared" si="61"/>
        <v>3122265.47</v>
      </c>
      <c r="AD67" s="5">
        <f t="shared" si="61"/>
        <v>0</v>
      </c>
      <c r="AE67" s="5">
        <f t="shared" si="61"/>
        <v>0</v>
      </c>
      <c r="AF67" s="5">
        <f t="shared" si="61"/>
        <v>0</v>
      </c>
      <c r="AG67" s="5">
        <f t="shared" si="61"/>
        <v>0</v>
      </c>
      <c r="AH67" s="5">
        <f t="shared" si="61"/>
        <v>0</v>
      </c>
      <c r="AI67" s="5">
        <f t="shared" si="61"/>
        <v>0</v>
      </c>
      <c r="AJ67" s="5">
        <f t="shared" si="61"/>
        <v>0</v>
      </c>
      <c r="AK67" s="5">
        <f t="shared" si="61"/>
        <v>0</v>
      </c>
      <c r="AL67" s="5">
        <f t="shared" si="61"/>
        <v>20328.759999999998</v>
      </c>
      <c r="AM67" s="5">
        <f t="shared" si="61"/>
        <v>0</v>
      </c>
      <c r="AN67" s="5">
        <f t="shared" si="61"/>
        <v>0</v>
      </c>
      <c r="AO67" s="5">
        <f t="shared" si="61"/>
        <v>0</v>
      </c>
      <c r="AP67" s="5">
        <f t="shared" si="61"/>
        <v>0</v>
      </c>
      <c r="AQ67" s="5">
        <f t="shared" si="61"/>
        <v>0</v>
      </c>
      <c r="AR67" s="5">
        <f t="shared" si="61"/>
        <v>248300</v>
      </c>
      <c r="AS67" s="5">
        <f t="shared" si="61"/>
        <v>0</v>
      </c>
      <c r="AT67" s="5">
        <f t="shared" si="61"/>
        <v>3145948.9100000262</v>
      </c>
      <c r="AU67" s="5">
        <f t="shared" si="61"/>
        <v>3221938.3999999762</v>
      </c>
      <c r="AV67" s="5">
        <f t="shared" si="61"/>
        <v>0</v>
      </c>
      <c r="AW67" s="5">
        <f t="shared" si="61"/>
        <v>106002085.7</v>
      </c>
      <c r="AX67" s="5">
        <f t="shared" si="61"/>
        <v>78146813.989999995</v>
      </c>
      <c r="AY67" s="5">
        <f t="shared" si="61"/>
        <v>31508275.550000001</v>
      </c>
      <c r="AZ67" s="5">
        <f t="shared" si="61"/>
        <v>6818330.1399999997</v>
      </c>
      <c r="BA67" s="5">
        <f t="shared" si="61"/>
        <v>-52414533.450000003</v>
      </c>
      <c r="BB67" s="5">
        <f t="shared" si="61"/>
        <v>-47415743.689999998</v>
      </c>
      <c r="BC67" s="5">
        <f t="shared" si="61"/>
        <v>-4476487.08</v>
      </c>
      <c r="BD67" s="5">
        <f t="shared" si="61"/>
        <v>13731417.210000001</v>
      </c>
      <c r="BE67" s="5">
        <f t="shared" si="61"/>
        <v>74080792.579999998</v>
      </c>
      <c r="BF67" s="5">
        <f t="shared" si="61"/>
        <v>53634658.140000001</v>
      </c>
      <c r="BG67" s="5">
        <f t="shared" si="61"/>
        <v>44718368.039999999</v>
      </c>
      <c r="BH67" s="5">
        <f t="shared" si="61"/>
        <v>13012623.23</v>
      </c>
      <c r="BI67" s="5">
        <f t="shared" si="61"/>
        <v>129351232.81999999</v>
      </c>
      <c r="BJ67" s="5">
        <f t="shared" si="61"/>
        <v>126231548.87</v>
      </c>
      <c r="BK67" s="5">
        <f t="shared" si="61"/>
        <v>99137772.019999996</v>
      </c>
      <c r="BL67" s="5">
        <f t="shared" si="61"/>
        <v>21058739.870000001</v>
      </c>
      <c r="BM67" s="5">
        <f t="shared" si="61"/>
        <v>80579243.650000006</v>
      </c>
      <c r="BN67" s="5">
        <f t="shared" si="61"/>
        <v>68017088.620000005</v>
      </c>
      <c r="BO67" s="5">
        <f t="shared" ref="BO67:CJ67" si="62">BO65-BO66</f>
        <v>47536007.049999997</v>
      </c>
      <c r="BP67" s="5">
        <f t="shared" si="62"/>
        <v>23536334.48</v>
      </c>
      <c r="BQ67" s="5">
        <f t="shared" si="62"/>
        <v>47111894.539999999</v>
      </c>
      <c r="BR67" s="5">
        <f t="shared" si="62"/>
        <v>43130624.329999998</v>
      </c>
      <c r="BS67" s="5">
        <f t="shared" si="62"/>
        <v>110636895.03</v>
      </c>
      <c r="BT67" s="5">
        <f t="shared" si="62"/>
        <v>55492097.759999998</v>
      </c>
      <c r="BU67" s="5">
        <f t="shared" si="62"/>
        <v>42252799.109999999</v>
      </c>
      <c r="BV67" s="5">
        <f t="shared" si="62"/>
        <v>-8467811.9100000001</v>
      </c>
      <c r="BW67" s="5">
        <f t="shared" si="62"/>
        <v>44423828.259999998</v>
      </c>
      <c r="BX67" s="5">
        <f t="shared" si="62"/>
        <v>-2405395.41</v>
      </c>
      <c r="BY67" s="5">
        <f t="shared" si="62"/>
        <v>43588942.600000001</v>
      </c>
      <c r="BZ67" s="5">
        <f t="shared" si="62"/>
        <v>2100000</v>
      </c>
      <c r="CA67" s="5">
        <f t="shared" si="62"/>
        <v>5299206.3</v>
      </c>
      <c r="CB67" s="5">
        <f t="shared" si="62"/>
        <v>3033836.53</v>
      </c>
      <c r="CC67" s="5">
        <f t="shared" si="62"/>
        <v>10641347.550000001</v>
      </c>
      <c r="CD67" s="5">
        <f t="shared" si="62"/>
        <v>5790000</v>
      </c>
      <c r="CE67" s="5">
        <f t="shared" si="62"/>
        <v>7729000</v>
      </c>
      <c r="CF67" s="5">
        <f t="shared" si="62"/>
        <v>2092581.44</v>
      </c>
      <c r="CG67" s="5">
        <f t="shared" si="62"/>
        <v>0</v>
      </c>
      <c r="CH67" s="5">
        <f t="shared" si="62"/>
        <v>0</v>
      </c>
      <c r="CI67" s="5">
        <f t="shared" si="62"/>
        <v>0</v>
      </c>
      <c r="CJ67" s="5">
        <f t="shared" si="62"/>
        <v>0</v>
      </c>
      <c r="CK67" s="5"/>
    </row>
    <row r="68" spans="1:89">
      <c r="A68" s="28" t="s">
        <v>101</v>
      </c>
      <c r="B68" s="48">
        <v>874602.01</v>
      </c>
      <c r="C68" s="48">
        <v>-1216349.2</v>
      </c>
      <c r="D68" s="48">
        <v>-1053539.03</v>
      </c>
      <c r="E68" s="48">
        <v>-755791.85</v>
      </c>
      <c r="F68" s="48">
        <v>-1299617.56</v>
      </c>
      <c r="G68" s="48">
        <v>-711880.16</v>
      </c>
      <c r="H68" s="48">
        <v>-876046.09</v>
      </c>
      <c r="I68" s="48">
        <v>-3091853.27</v>
      </c>
      <c r="J68" s="48">
        <v>-4039550.56</v>
      </c>
      <c r="K68" s="48">
        <v>-3444611.51</v>
      </c>
      <c r="L68" s="48">
        <v>-2888495.47</v>
      </c>
      <c r="M68" s="48">
        <v>-17145302.329999998</v>
      </c>
      <c r="N68" s="48">
        <v>-15629733.890000001</v>
      </c>
      <c r="O68" s="48">
        <v>-9943631.5600000005</v>
      </c>
      <c r="P68" s="48">
        <v>-5617944.5199999996</v>
      </c>
      <c r="Q68" s="48">
        <v>-8192542.0099999998</v>
      </c>
      <c r="R68" s="48">
        <v>-4382079.3499999996</v>
      </c>
      <c r="S68" s="48">
        <v>-2084692.56</v>
      </c>
      <c r="T68" s="48">
        <v>-352460.91</v>
      </c>
      <c r="U68" s="48">
        <v>-7878028.6799999997</v>
      </c>
      <c r="V68" s="48">
        <v>-4471473.38</v>
      </c>
      <c r="W68" s="48">
        <v>-2641899.13</v>
      </c>
      <c r="X68" s="48">
        <v>-811103.87</v>
      </c>
      <c r="Y68" s="48">
        <v>-7374026.3499999996</v>
      </c>
      <c r="Z68" s="48">
        <v>-3477099.89</v>
      </c>
      <c r="AA68" s="48">
        <v>-2777557.31</v>
      </c>
      <c r="AB68" s="48">
        <v>-102103.65</v>
      </c>
      <c r="AC68" s="48">
        <v>-4975946.34</v>
      </c>
      <c r="AD68" s="48">
        <v>-7503780.4699999997</v>
      </c>
      <c r="AE68" s="48">
        <v>-3665468.31</v>
      </c>
      <c r="AF68" s="48">
        <v>-1349899.45</v>
      </c>
      <c r="AG68" s="48">
        <v>-8012660.6100000003</v>
      </c>
      <c r="AH68" s="48">
        <v>-1377524.48</v>
      </c>
      <c r="AI68" s="48">
        <v>-756194.33</v>
      </c>
      <c r="AJ68" s="48">
        <v>-172378.34</v>
      </c>
      <c r="AK68" s="48">
        <v>4225905.7</v>
      </c>
      <c r="AL68" s="48">
        <v>3800333.88</v>
      </c>
      <c r="AM68" s="48">
        <v>3105181.44</v>
      </c>
      <c r="AN68" s="48">
        <v>912582.73</v>
      </c>
      <c r="AO68" s="48">
        <v>6874063.9900000002</v>
      </c>
      <c r="AP68" s="48">
        <v>5302004.29</v>
      </c>
      <c r="AQ68" s="48">
        <v>6007006.5499999998</v>
      </c>
      <c r="AR68" s="48">
        <v>2839947.51</v>
      </c>
      <c r="AS68" s="48">
        <v>0</v>
      </c>
      <c r="AT68" s="48">
        <v>-22649401.350000001</v>
      </c>
      <c r="AU68" s="48">
        <v>-8345207.46</v>
      </c>
      <c r="AV68" s="48">
        <v>-6288958.1900000004</v>
      </c>
      <c r="AW68" s="48">
        <v>-22650844.379999999</v>
      </c>
      <c r="AX68" s="48">
        <v>-13369914.74</v>
      </c>
      <c r="AY68" s="48">
        <v>-8061296.04</v>
      </c>
      <c r="AZ68" s="48">
        <v>-3526988.6</v>
      </c>
      <c r="BA68" s="48">
        <v>-8333112.9000000004</v>
      </c>
      <c r="BB68" s="48">
        <v>-821838.79</v>
      </c>
      <c r="BC68" s="48">
        <v>-2071650.69</v>
      </c>
      <c r="BD68" s="48">
        <v>-3633490.4</v>
      </c>
      <c r="BE68" s="48">
        <v>-12576168.560000001</v>
      </c>
      <c r="BF68" s="48">
        <v>-7133253.9900000002</v>
      </c>
      <c r="BG68" s="48">
        <v>-2940819.66</v>
      </c>
      <c r="BH68" s="48">
        <v>-2516879.5699999998</v>
      </c>
      <c r="BI68" s="48">
        <v>8744950.6500000004</v>
      </c>
      <c r="BJ68" s="48">
        <v>14650393.49</v>
      </c>
      <c r="BK68" s="48">
        <v>15927037.050000001</v>
      </c>
      <c r="BL68" s="48">
        <v>6393201.8399999999</v>
      </c>
      <c r="BM68" s="48">
        <v>7360831.6900000004</v>
      </c>
      <c r="BN68" s="48">
        <v>8294311.9100000001</v>
      </c>
      <c r="BO68" s="48">
        <v>4854831.74</v>
      </c>
      <c r="BP68" s="48">
        <v>8338188.3899999997</v>
      </c>
      <c r="BQ68" s="48">
        <v>5508116.9500000002</v>
      </c>
      <c r="BR68" s="48">
        <v>3768713.32</v>
      </c>
      <c r="BS68" s="48">
        <v>3410802.03</v>
      </c>
      <c r="BT68" s="48">
        <v>-87429.7</v>
      </c>
      <c r="BU68" s="48">
        <v>-6568664.4100000001</v>
      </c>
      <c r="BV68" s="48">
        <v>5932455.8700000001</v>
      </c>
      <c r="BW68" s="48">
        <v>868607.39</v>
      </c>
      <c r="BX68" s="48">
        <v>17436730.539999999</v>
      </c>
      <c r="BY68" s="48">
        <v>22884335.809999999</v>
      </c>
      <c r="BZ68" s="48">
        <v>0</v>
      </c>
      <c r="CA68" s="48">
        <v>49930619.770000003</v>
      </c>
      <c r="CB68" s="48">
        <v>0</v>
      </c>
      <c r="CC68" s="48">
        <v>24077630.73</v>
      </c>
      <c r="CD68" s="48">
        <v>0</v>
      </c>
      <c r="CE68" s="48">
        <v>0</v>
      </c>
      <c r="CF68" s="48">
        <v>0</v>
      </c>
      <c r="CG68" s="48">
        <v>0</v>
      </c>
      <c r="CH68" s="48">
        <v>0</v>
      </c>
      <c r="CI68" s="48">
        <v>0</v>
      </c>
      <c r="CJ68" s="48">
        <v>0</v>
      </c>
      <c r="CK68" s="48">
        <v>0</v>
      </c>
    </row>
    <row r="69" spans="1:89">
      <c r="A69" s="28" t="s">
        <v>102</v>
      </c>
      <c r="B69" s="38">
        <v>0.08</v>
      </c>
      <c r="C69" s="38">
        <v>0.08</v>
      </c>
      <c r="D69" s="38">
        <v>0.08</v>
      </c>
      <c r="E69" s="38">
        <v>0.08</v>
      </c>
      <c r="F69" s="38">
        <v>0.08</v>
      </c>
      <c r="G69" s="38">
        <v>0.08</v>
      </c>
      <c r="H69" s="38">
        <v>0.08</v>
      </c>
      <c r="I69" s="38">
        <v>0.08</v>
      </c>
      <c r="J69" s="38">
        <v>0.08</v>
      </c>
      <c r="K69" s="38">
        <v>0.08</v>
      </c>
      <c r="L69" s="38">
        <v>0.08</v>
      </c>
      <c r="M69" s="38">
        <v>0.08</v>
      </c>
      <c r="N69" s="38">
        <v>0.08</v>
      </c>
      <c r="O69" s="38">
        <v>0.08</v>
      </c>
      <c r="P69" s="38">
        <v>0.08</v>
      </c>
      <c r="Q69" s="38">
        <v>0.08</v>
      </c>
      <c r="R69" s="38">
        <v>0.08</v>
      </c>
      <c r="S69" s="38">
        <v>0.08</v>
      </c>
      <c r="T69" s="38">
        <v>0.08</v>
      </c>
      <c r="U69" s="38">
        <v>0.08</v>
      </c>
      <c r="V69" s="38">
        <v>0.08</v>
      </c>
      <c r="W69" s="38">
        <v>0.08</v>
      </c>
      <c r="X69" s="38">
        <v>0.08</v>
      </c>
      <c r="Y69" s="38">
        <v>0.08</v>
      </c>
      <c r="Z69" s="38">
        <v>0.08</v>
      </c>
      <c r="AA69" s="38">
        <v>0.08</v>
      </c>
      <c r="AB69" s="38">
        <v>0.08</v>
      </c>
      <c r="AC69" s="38">
        <v>0.08</v>
      </c>
      <c r="AD69" s="38">
        <v>0.08</v>
      </c>
      <c r="AE69" s="38">
        <v>0.08</v>
      </c>
      <c r="AF69" s="38">
        <v>0.08</v>
      </c>
      <c r="AG69" s="38">
        <v>0.08</v>
      </c>
      <c r="AH69" s="38">
        <v>0.08</v>
      </c>
      <c r="AI69" s="38">
        <v>0.08</v>
      </c>
      <c r="AJ69" s="38">
        <v>0.08</v>
      </c>
      <c r="AK69" s="38">
        <v>0.08</v>
      </c>
      <c r="AL69" s="38">
        <v>0.08</v>
      </c>
      <c r="AM69" s="38">
        <v>0.08</v>
      </c>
      <c r="AN69" s="38">
        <v>0.08</v>
      </c>
      <c r="AO69" s="38">
        <v>0.08</v>
      </c>
      <c r="AP69" s="38">
        <v>0.08</v>
      </c>
      <c r="AQ69" s="38">
        <v>0.08</v>
      </c>
      <c r="AR69" s="38">
        <v>0.08</v>
      </c>
      <c r="AS69" s="38">
        <v>0.08</v>
      </c>
      <c r="AT69" s="38">
        <v>0.08</v>
      </c>
      <c r="AU69" s="38">
        <v>0.08</v>
      </c>
      <c r="AV69" s="38">
        <v>0.08</v>
      </c>
      <c r="AW69" s="38">
        <v>0.08</v>
      </c>
      <c r="AX69" s="38">
        <v>0.08</v>
      </c>
      <c r="AY69" s="38">
        <v>0.08</v>
      </c>
      <c r="AZ69" s="38">
        <v>0.08</v>
      </c>
      <c r="BA69" s="38">
        <v>0.08</v>
      </c>
      <c r="BB69" s="38">
        <v>0.08</v>
      </c>
      <c r="BC69" s="38">
        <v>0.08</v>
      </c>
      <c r="BD69" s="38">
        <v>0.08</v>
      </c>
      <c r="BE69" s="38">
        <v>0.08</v>
      </c>
      <c r="BF69" s="38">
        <v>0.08</v>
      </c>
      <c r="BG69" s="38">
        <v>0.08</v>
      </c>
      <c r="BH69" s="38">
        <v>0.08</v>
      </c>
      <c r="BI69" s="38">
        <v>0.08</v>
      </c>
      <c r="BJ69" s="38">
        <v>0.08</v>
      </c>
      <c r="BK69" s="38">
        <v>0.08</v>
      </c>
      <c r="BL69" s="38">
        <v>0.08</v>
      </c>
      <c r="BM69" s="38">
        <v>0.08</v>
      </c>
      <c r="BN69" s="38">
        <v>0.08</v>
      </c>
      <c r="BO69" s="38">
        <v>0.08</v>
      </c>
      <c r="BP69" s="38">
        <v>0.08</v>
      </c>
      <c r="BQ69" s="38">
        <v>0.08</v>
      </c>
      <c r="BR69" s="38">
        <v>0.08</v>
      </c>
      <c r="BS69" s="38">
        <v>0.08</v>
      </c>
      <c r="BT69" s="38">
        <v>0.08</v>
      </c>
      <c r="BU69" s="38">
        <v>0.08</v>
      </c>
      <c r="BV69" s="38">
        <v>0.08</v>
      </c>
      <c r="BW69" s="38">
        <v>0.08</v>
      </c>
      <c r="BX69" s="38">
        <v>0.08</v>
      </c>
      <c r="BY69" s="38">
        <v>0.08</v>
      </c>
      <c r="BZ69" s="38">
        <v>0.08</v>
      </c>
      <c r="CA69" s="38">
        <v>0.08</v>
      </c>
      <c r="CB69" s="38">
        <v>0.08</v>
      </c>
      <c r="CC69" s="38">
        <v>0.08</v>
      </c>
      <c r="CD69" s="38">
        <v>0.08</v>
      </c>
      <c r="CE69" s="38">
        <v>0.08</v>
      </c>
      <c r="CF69" s="38">
        <v>0.08</v>
      </c>
      <c r="CG69" s="38">
        <v>0.08</v>
      </c>
      <c r="CH69" s="38">
        <v>0.08</v>
      </c>
      <c r="CI69" s="38">
        <v>0.08</v>
      </c>
      <c r="CJ69" s="38">
        <v>0.08</v>
      </c>
      <c r="CK69" s="5"/>
    </row>
    <row r="70" spans="1:89">
      <c r="A70" s="28" t="s">
        <v>103</v>
      </c>
      <c r="B70" s="48">
        <v>3296633510.1799998</v>
      </c>
      <c r="C70" s="48">
        <v>3167580811.9899998</v>
      </c>
      <c r="D70" s="48">
        <v>3245599740.75</v>
      </c>
      <c r="E70" s="48">
        <v>3141352694.0599999</v>
      </c>
      <c r="F70" s="48">
        <v>2851929728.1700001</v>
      </c>
      <c r="G70" s="48">
        <v>2825085179.6399999</v>
      </c>
      <c r="H70" s="48">
        <v>2815207173.3899999</v>
      </c>
      <c r="I70" s="48">
        <v>2660625702.8400002</v>
      </c>
      <c r="J70" s="48">
        <v>2457893286.4000001</v>
      </c>
      <c r="K70" s="48">
        <v>2371786628.6999998</v>
      </c>
      <c r="L70" s="48">
        <v>2373480275.8400002</v>
      </c>
      <c r="M70" s="48">
        <v>2288181417.8499999</v>
      </c>
      <c r="N70" s="48">
        <v>2388833667.1500001</v>
      </c>
      <c r="O70" s="48">
        <v>2308061567.1199999</v>
      </c>
      <c r="P70" s="48">
        <v>2265663252.5700002</v>
      </c>
      <c r="Q70" s="48">
        <v>2164648515.4099998</v>
      </c>
      <c r="R70" s="48">
        <v>2083485285.74</v>
      </c>
      <c r="S70" s="48">
        <v>1988890812.8900001</v>
      </c>
      <c r="T70" s="48">
        <v>1907477032.6099999</v>
      </c>
      <c r="U70" s="48">
        <v>1801859544.03</v>
      </c>
      <c r="V70" s="48">
        <v>1688018358.1300001</v>
      </c>
      <c r="W70" s="48">
        <v>1607851610.3299999</v>
      </c>
      <c r="X70" s="48">
        <v>1603955723.71</v>
      </c>
      <c r="Y70" s="48">
        <v>1512197594.1800001</v>
      </c>
      <c r="Z70" s="48">
        <v>1406994898.47</v>
      </c>
      <c r="AA70" s="48">
        <v>1351359834.1500001</v>
      </c>
      <c r="AB70" s="48">
        <v>1316894462.9100001</v>
      </c>
      <c r="AC70" s="48">
        <v>1237915332.5799999</v>
      </c>
      <c r="AD70" s="48">
        <v>1159611682.0999999</v>
      </c>
      <c r="AE70" s="48">
        <v>1207582308.1800001</v>
      </c>
      <c r="AF70" s="48">
        <v>1177796114.9100001</v>
      </c>
      <c r="AG70" s="48">
        <v>1118526039.3800001</v>
      </c>
      <c r="AH70" s="48">
        <v>1059776525.36</v>
      </c>
      <c r="AI70" s="48">
        <v>1090054243.6500001</v>
      </c>
      <c r="AJ70" s="48">
        <v>1078573513.4300001</v>
      </c>
      <c r="AK70" s="48">
        <v>1042268233.27</v>
      </c>
      <c r="AL70" s="48">
        <v>271944455.62</v>
      </c>
      <c r="AM70" s="48">
        <v>254897792.94999999</v>
      </c>
      <c r="AN70" s="48">
        <v>221190622.33000001</v>
      </c>
      <c r="AO70" s="48">
        <v>170816910.18000001</v>
      </c>
      <c r="AP70" s="48">
        <v>115441126.05</v>
      </c>
      <c r="AQ70" s="48">
        <v>0</v>
      </c>
      <c r="AR70" s="48"/>
      <c r="AS70" s="48"/>
      <c r="AT70" s="48">
        <v>5557397185.8000002</v>
      </c>
      <c r="AU70" s="48">
        <v>5294185121.96</v>
      </c>
      <c r="AV70" s="48">
        <v>5276800465.9200001</v>
      </c>
      <c r="AW70" s="48">
        <v>5181853244.1599998</v>
      </c>
      <c r="AX70" s="48">
        <v>5011911653.6700001</v>
      </c>
      <c r="AY70" s="48">
        <v>4820276191.9799995</v>
      </c>
      <c r="AZ70" s="48">
        <v>5010338103.3100004</v>
      </c>
      <c r="BA70" s="48">
        <v>4895309580.54</v>
      </c>
      <c r="BB70" s="48">
        <v>4888570328.4099998</v>
      </c>
      <c r="BC70" s="48">
        <v>4807601462.5600004</v>
      </c>
      <c r="BD70" s="48">
        <v>5068821027.4499998</v>
      </c>
      <c r="BE70" s="48">
        <v>4926753550.1099997</v>
      </c>
      <c r="BF70" s="48">
        <v>4808299542.9399996</v>
      </c>
      <c r="BG70" s="48">
        <v>4751398778.0100002</v>
      </c>
      <c r="BH70" s="48">
        <v>4805853655.8900003</v>
      </c>
      <c r="BI70" s="48">
        <v>4648133672.2799997</v>
      </c>
      <c r="BJ70" s="48">
        <v>4488942480.3800001</v>
      </c>
      <c r="BK70" s="48">
        <v>4292913533.4400001</v>
      </c>
      <c r="BL70" s="48">
        <v>4290589554.0599999</v>
      </c>
      <c r="BM70" s="48">
        <v>4205781132.7199998</v>
      </c>
      <c r="BN70" s="48">
        <v>4125320111.8000002</v>
      </c>
      <c r="BO70" s="48">
        <v>3954027963.8899999</v>
      </c>
      <c r="BP70" s="48">
        <v>3988477317.79</v>
      </c>
      <c r="BQ70" s="48">
        <v>3875929168.1599998</v>
      </c>
      <c r="BR70" s="48">
        <v>3795371454.2600002</v>
      </c>
      <c r="BS70" s="48">
        <v>3599541620.5700002</v>
      </c>
      <c r="BT70" s="48">
        <v>3730682761.8000002</v>
      </c>
      <c r="BU70" s="48">
        <v>3598065094.6500001</v>
      </c>
      <c r="BV70" s="48">
        <v>2191187359.48</v>
      </c>
      <c r="BW70" s="48">
        <v>2108608785.3</v>
      </c>
      <c r="BX70" s="48">
        <v>1229599139.29</v>
      </c>
      <c r="BY70" s="48">
        <v>1243135953.28</v>
      </c>
      <c r="BZ70" s="48">
        <v>1174616352.97</v>
      </c>
      <c r="CA70" s="48">
        <v>1161133968.48</v>
      </c>
      <c r="CB70" s="48">
        <v>1183711862.5699999</v>
      </c>
      <c r="CC70" s="48">
        <v>1077817608.03</v>
      </c>
      <c r="CD70" s="48">
        <v>1076597245.8299999</v>
      </c>
      <c r="CE70" s="48">
        <v>1079738000</v>
      </c>
      <c r="CF70" s="48">
        <v>1004228352.76</v>
      </c>
      <c r="CG70" s="48">
        <v>492689900.37</v>
      </c>
      <c r="CH70" s="48">
        <v>0</v>
      </c>
      <c r="CI70" s="48">
        <v>0</v>
      </c>
      <c r="CJ70" s="48">
        <v>0</v>
      </c>
      <c r="CK70" s="48">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49"/>
  <sheetViews>
    <sheetView topLeftCell="A13" workbookViewId="0">
      <selection activeCell="E34" sqref="E34"/>
    </sheetView>
  </sheetViews>
  <sheetFormatPr defaultRowHeight="13.5"/>
  <cols>
    <col min="1" max="1" width="55.875" style="23" bestFit="1" customWidth="1"/>
    <col min="2" max="2" width="22" hidden="1" customWidth="1"/>
    <col min="3" max="3" width="19.5" hidden="1" customWidth="1"/>
    <col min="4" max="4" width="19.375" hidden="1" customWidth="1"/>
    <col min="5" max="5" width="19.5" bestFit="1" customWidth="1"/>
    <col min="6" max="8" width="19.375" hidden="1" customWidth="1"/>
    <col min="9" max="9" width="19.5" bestFit="1" customWidth="1"/>
    <col min="10" max="11" width="19.375" hidden="1" customWidth="1"/>
    <col min="12" max="12" width="17.25" hidden="1" customWidth="1"/>
    <col min="13" max="13" width="19.5" bestFit="1" customWidth="1"/>
    <col min="14" max="15" width="19.375" hidden="1" customWidth="1"/>
    <col min="16" max="16" width="17.25" hidden="1" customWidth="1"/>
    <col min="17" max="17" width="19.5" bestFit="1" customWidth="1"/>
    <col min="18" max="20" width="17.25" hidden="1" customWidth="1"/>
    <col min="21" max="21" width="19.5" bestFit="1" customWidth="1"/>
    <col min="22" max="24" width="17.25" hidden="1" customWidth="1"/>
    <col min="25" max="25" width="19.5" bestFit="1" customWidth="1"/>
    <col min="26" max="28" width="17.25" hidden="1" customWidth="1"/>
    <col min="29" max="29" width="18.375" bestFit="1" customWidth="1"/>
    <col min="30" max="32" width="17.25" hidden="1" customWidth="1"/>
    <col min="33" max="33" width="17.25" bestFit="1" customWidth="1"/>
    <col min="34" max="35" width="19.5" hidden="1" customWidth="1"/>
    <col min="36" max="36" width="18.25" hidden="1" customWidth="1"/>
    <col min="37" max="37" width="17.25" bestFit="1" customWidth="1"/>
    <col min="38" max="40" width="17.25" hidden="1" customWidth="1"/>
    <col min="41" max="41" width="17.25" bestFit="1" customWidth="1"/>
    <col min="42" max="42" width="19.375" hidden="1" customWidth="1"/>
    <col min="43" max="44" width="19.375" bestFit="1" customWidth="1"/>
    <col min="45" max="45" width="19.375" hidden="1" customWidth="1"/>
    <col min="46" max="74" width="19.375" bestFit="1" customWidth="1"/>
  </cols>
  <sheetData>
    <row r="1" spans="1:74" s="7" customFormat="1">
      <c r="A1" s="127">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53" customFormat="1">
      <c r="A2" s="54" t="s">
        <v>292</v>
      </c>
    </row>
    <row r="3" spans="1:74" s="33" customFormat="1">
      <c r="A3" s="33" t="s">
        <v>320</v>
      </c>
      <c r="B3" s="33">
        <v>0</v>
      </c>
      <c r="C3" s="33">
        <v>0</v>
      </c>
      <c r="D3" s="33">
        <v>0</v>
      </c>
      <c r="E3" s="33">
        <v>3496162.04</v>
      </c>
      <c r="F3" s="33">
        <v>0</v>
      </c>
      <c r="G3" s="33">
        <v>0</v>
      </c>
      <c r="H3" s="33">
        <v>120000</v>
      </c>
      <c r="I3" s="33">
        <v>2736562.12</v>
      </c>
      <c r="J3" s="33">
        <v>120000</v>
      </c>
      <c r="K3" s="33">
        <v>70000</v>
      </c>
      <c r="L3" s="33">
        <v>0</v>
      </c>
      <c r="M3" s="33">
        <v>943437.81</v>
      </c>
      <c r="N3" s="33">
        <v>160330</v>
      </c>
      <c r="O3" s="33">
        <v>122100</v>
      </c>
      <c r="P3" s="33">
        <v>180000</v>
      </c>
      <c r="Q3" s="33">
        <v>635555.48</v>
      </c>
      <c r="R3" s="33">
        <v>297900.01</v>
      </c>
      <c r="S3" s="33">
        <v>226000.01</v>
      </c>
      <c r="T3" s="33">
        <v>118000.01</v>
      </c>
      <c r="U3" s="33">
        <v>2037181.52</v>
      </c>
      <c r="V3" s="33">
        <v>552635</v>
      </c>
      <c r="W3" s="33">
        <v>97635</v>
      </c>
      <c r="X3" s="33">
        <v>5435</v>
      </c>
      <c r="Y3" s="33">
        <v>170955.13</v>
      </c>
      <c r="Z3" s="33">
        <v>79480</v>
      </c>
      <c r="AA3" s="33">
        <v>47760</v>
      </c>
      <c r="AB3" s="33">
        <v>47760</v>
      </c>
      <c r="AC3" s="33">
        <v>191082.09</v>
      </c>
      <c r="AD3" s="33">
        <v>164874</v>
      </c>
      <c r="AE3" s="33">
        <v>54874</v>
      </c>
      <c r="AF3" s="33">
        <v>54874</v>
      </c>
      <c r="AG3" s="33">
        <v>431495.17</v>
      </c>
      <c r="AH3" s="33">
        <v>123500</v>
      </c>
      <c r="AI3" s="33">
        <v>123500</v>
      </c>
      <c r="AJ3" s="33">
        <v>123500</v>
      </c>
      <c r="AK3" s="33">
        <v>111368.06</v>
      </c>
      <c r="AL3" s="33">
        <v>76920</v>
      </c>
      <c r="AM3" s="33">
        <v>58200</v>
      </c>
      <c r="AN3" s="33">
        <v>0</v>
      </c>
      <c r="AO3" s="33">
        <v>149650</v>
      </c>
      <c r="AP3" s="33">
        <v>48150</v>
      </c>
      <c r="AQ3" s="33">
        <v>8431512</v>
      </c>
      <c r="AR3" s="33">
        <v>200000</v>
      </c>
      <c r="AS3" s="33">
        <v>0</v>
      </c>
    </row>
    <row r="4" spans="1:74" s="33" customFormat="1">
      <c r="A4" s="33" t="s">
        <v>304</v>
      </c>
      <c r="B4" s="33">
        <v>47659512.289999999</v>
      </c>
      <c r="C4" s="33">
        <v>558560185.92999995</v>
      </c>
      <c r="D4" s="33">
        <v>300147105.10000002</v>
      </c>
      <c r="E4" s="33">
        <v>230470406.19</v>
      </c>
      <c r="F4" s="33">
        <v>154125854.38999999</v>
      </c>
      <c r="G4" s="33">
        <v>138278502.11000001</v>
      </c>
      <c r="H4" s="33">
        <v>120361634.16</v>
      </c>
      <c r="I4" s="33">
        <v>323876151.14999998</v>
      </c>
      <c r="J4" s="33">
        <v>143005329.59</v>
      </c>
      <c r="K4" s="33">
        <v>63214531.850000001</v>
      </c>
      <c r="L4" s="33">
        <v>16700348.210000001</v>
      </c>
      <c r="M4" s="33">
        <v>190215973.84999999</v>
      </c>
      <c r="N4" s="33">
        <v>68091897.959999993</v>
      </c>
      <c r="O4" s="33">
        <v>61510927.32</v>
      </c>
      <c r="P4" s="33">
        <v>41612090.189999998</v>
      </c>
      <c r="Q4" s="33">
        <v>171223161.09</v>
      </c>
      <c r="R4" s="33">
        <v>93671719.760000005</v>
      </c>
      <c r="S4" s="33">
        <v>72178390.560000002</v>
      </c>
      <c r="T4" s="33">
        <v>48647344.359999999</v>
      </c>
      <c r="U4" s="33">
        <v>83532883.280000001</v>
      </c>
      <c r="V4" s="33">
        <v>61462511.399999999</v>
      </c>
      <c r="W4" s="33">
        <v>45245213.130000003</v>
      </c>
      <c r="X4" s="33">
        <v>19905940.449999999</v>
      </c>
      <c r="Y4" s="33">
        <v>88733951.829999998</v>
      </c>
      <c r="Z4" s="33">
        <v>76066228.719999999</v>
      </c>
      <c r="AA4" s="33">
        <v>52334976.210000001</v>
      </c>
      <c r="AB4" s="33">
        <v>37019827.969999999</v>
      </c>
      <c r="AC4" s="33">
        <v>247096805.41</v>
      </c>
      <c r="AD4" s="33">
        <v>170296899.63</v>
      </c>
      <c r="AE4" s="33">
        <v>83802936.670000002</v>
      </c>
      <c r="AF4" s="33">
        <v>31846414.170000002</v>
      </c>
      <c r="AG4" s="33">
        <v>143355264.49000001</v>
      </c>
      <c r="AH4" s="33">
        <v>79843600.959999993</v>
      </c>
      <c r="AI4" s="33">
        <v>40225546.200000003</v>
      </c>
      <c r="AJ4" s="33">
        <v>21197415.699999999</v>
      </c>
      <c r="AK4" s="33">
        <v>28289901.41</v>
      </c>
      <c r="AL4" s="33">
        <v>7038785.9900000002</v>
      </c>
      <c r="AM4" s="33">
        <v>1032957.57</v>
      </c>
      <c r="AN4" s="33">
        <v>378589.75</v>
      </c>
      <c r="AO4" s="33">
        <v>11804559.869999999</v>
      </c>
      <c r="AP4" s="33">
        <v>7494522.6900000004</v>
      </c>
      <c r="AQ4" s="33">
        <v>49683534.420000002</v>
      </c>
      <c r="AR4" s="33">
        <v>33040331.440000001</v>
      </c>
      <c r="AS4" s="33">
        <v>0</v>
      </c>
    </row>
    <row r="5" spans="1:74" s="55" customFormat="1">
      <c r="A5" s="55" t="s">
        <v>295</v>
      </c>
      <c r="E5" s="55">
        <f>E4-E3</f>
        <v>226974244.15000001</v>
      </c>
      <c r="F5" s="55">
        <f t="shared" ref="F5:BQ5" si="0">F4-F3</f>
        <v>154125854.38999999</v>
      </c>
      <c r="G5" s="55">
        <f t="shared" si="0"/>
        <v>138278502.11000001</v>
      </c>
      <c r="H5" s="55">
        <f t="shared" si="0"/>
        <v>120241634.16</v>
      </c>
      <c r="I5" s="55">
        <f t="shared" si="0"/>
        <v>321139589.02999997</v>
      </c>
      <c r="J5" s="55">
        <f t="shared" si="0"/>
        <v>142885329.59</v>
      </c>
      <c r="K5" s="55">
        <f t="shared" si="0"/>
        <v>63144531.850000001</v>
      </c>
      <c r="L5" s="55">
        <f t="shared" si="0"/>
        <v>16700348.210000001</v>
      </c>
      <c r="M5" s="55">
        <f t="shared" si="0"/>
        <v>189272536.03999999</v>
      </c>
      <c r="N5" s="55">
        <f t="shared" si="0"/>
        <v>67931567.959999993</v>
      </c>
      <c r="O5" s="55">
        <f t="shared" si="0"/>
        <v>61388827.32</v>
      </c>
      <c r="P5" s="55">
        <f t="shared" si="0"/>
        <v>41432090.189999998</v>
      </c>
      <c r="Q5" s="55">
        <f t="shared" si="0"/>
        <v>170587605.61000001</v>
      </c>
      <c r="R5" s="55">
        <f t="shared" si="0"/>
        <v>93373819.75</v>
      </c>
      <c r="S5" s="55">
        <f t="shared" si="0"/>
        <v>71952390.549999997</v>
      </c>
      <c r="T5" s="55">
        <f t="shared" si="0"/>
        <v>48529344.350000001</v>
      </c>
      <c r="U5" s="55">
        <f t="shared" si="0"/>
        <v>81495701.760000005</v>
      </c>
      <c r="V5" s="55">
        <f t="shared" si="0"/>
        <v>60909876.399999999</v>
      </c>
      <c r="W5" s="55">
        <f t="shared" si="0"/>
        <v>45147578.130000003</v>
      </c>
      <c r="X5" s="55">
        <f t="shared" si="0"/>
        <v>19900505.449999999</v>
      </c>
      <c r="Y5" s="55">
        <f t="shared" si="0"/>
        <v>88562996.700000003</v>
      </c>
      <c r="Z5" s="55">
        <f t="shared" si="0"/>
        <v>75986748.719999999</v>
      </c>
      <c r="AA5" s="55">
        <f t="shared" si="0"/>
        <v>52287216.210000001</v>
      </c>
      <c r="AB5" s="55">
        <f t="shared" si="0"/>
        <v>36972067.969999999</v>
      </c>
      <c r="AC5" s="55">
        <f t="shared" si="0"/>
        <v>246905723.31999999</v>
      </c>
      <c r="AD5" s="55">
        <f t="shared" si="0"/>
        <v>170132025.63</v>
      </c>
      <c r="AE5" s="55">
        <f t="shared" si="0"/>
        <v>83748062.670000002</v>
      </c>
      <c r="AF5" s="55">
        <f t="shared" si="0"/>
        <v>31791540.170000002</v>
      </c>
      <c r="AG5" s="55">
        <f t="shared" si="0"/>
        <v>142923769.32000002</v>
      </c>
      <c r="AH5" s="55">
        <f t="shared" si="0"/>
        <v>79720100.959999993</v>
      </c>
      <c r="AI5" s="55">
        <f t="shared" si="0"/>
        <v>40102046.200000003</v>
      </c>
      <c r="AJ5" s="55">
        <f t="shared" si="0"/>
        <v>21073915.699999999</v>
      </c>
      <c r="AK5" s="55">
        <f t="shared" si="0"/>
        <v>28178533.350000001</v>
      </c>
      <c r="AL5" s="55">
        <f t="shared" si="0"/>
        <v>6961865.9900000002</v>
      </c>
      <c r="AM5" s="55">
        <f t="shared" si="0"/>
        <v>974757.57</v>
      </c>
      <c r="AN5" s="55">
        <f t="shared" si="0"/>
        <v>378589.75</v>
      </c>
      <c r="AO5" s="55">
        <f t="shared" si="0"/>
        <v>11654909.869999999</v>
      </c>
      <c r="AP5" s="55">
        <f t="shared" si="0"/>
        <v>7446372.6900000004</v>
      </c>
      <c r="AQ5" s="55">
        <f t="shared" si="0"/>
        <v>41252022.420000002</v>
      </c>
      <c r="AR5" s="55">
        <f t="shared" si="0"/>
        <v>32840331.440000001</v>
      </c>
      <c r="AS5" s="55">
        <f t="shared" si="0"/>
        <v>0</v>
      </c>
      <c r="AT5" s="55">
        <f t="shared" si="0"/>
        <v>0</v>
      </c>
      <c r="AU5" s="55">
        <f t="shared" si="0"/>
        <v>0</v>
      </c>
      <c r="AV5" s="55">
        <f t="shared" si="0"/>
        <v>0</v>
      </c>
      <c r="AW5" s="55">
        <f t="shared" si="0"/>
        <v>0</v>
      </c>
      <c r="AX5" s="55">
        <f t="shared" si="0"/>
        <v>0</v>
      </c>
      <c r="AY5" s="55">
        <f t="shared" si="0"/>
        <v>0</v>
      </c>
      <c r="AZ5" s="55">
        <f t="shared" si="0"/>
        <v>0</v>
      </c>
      <c r="BA5" s="55">
        <f t="shared" si="0"/>
        <v>0</v>
      </c>
      <c r="BB5" s="55">
        <f t="shared" si="0"/>
        <v>0</v>
      </c>
      <c r="BC5" s="55">
        <f t="shared" si="0"/>
        <v>0</v>
      </c>
      <c r="BD5" s="55">
        <f t="shared" si="0"/>
        <v>0</v>
      </c>
      <c r="BE5" s="55">
        <f t="shared" si="0"/>
        <v>0</v>
      </c>
      <c r="BF5" s="55">
        <f t="shared" si="0"/>
        <v>0</v>
      </c>
      <c r="BG5" s="55">
        <f t="shared" si="0"/>
        <v>0</v>
      </c>
      <c r="BH5" s="55">
        <f t="shared" si="0"/>
        <v>0</v>
      </c>
      <c r="BI5" s="55">
        <f t="shared" si="0"/>
        <v>0</v>
      </c>
      <c r="BJ5" s="55">
        <f t="shared" si="0"/>
        <v>0</v>
      </c>
      <c r="BK5" s="55">
        <f t="shared" si="0"/>
        <v>0</v>
      </c>
      <c r="BL5" s="55">
        <f t="shared" si="0"/>
        <v>0</v>
      </c>
      <c r="BM5" s="55">
        <f t="shared" si="0"/>
        <v>0</v>
      </c>
      <c r="BN5" s="55">
        <f t="shared" si="0"/>
        <v>0</v>
      </c>
      <c r="BO5" s="55">
        <f t="shared" si="0"/>
        <v>0</v>
      </c>
      <c r="BP5" s="55">
        <f t="shared" si="0"/>
        <v>0</v>
      </c>
      <c r="BQ5" s="55">
        <f t="shared" si="0"/>
        <v>0</v>
      </c>
      <c r="BR5" s="55">
        <f>BR4-BR3</f>
        <v>0</v>
      </c>
      <c r="BS5" s="55">
        <f>BS4-BS3</f>
        <v>0</v>
      </c>
      <c r="BT5" s="55">
        <f>BT4-BT3</f>
        <v>0</v>
      </c>
      <c r="BU5" s="55">
        <f>BU4-BU3</f>
        <v>0</v>
      </c>
    </row>
    <row r="6" spans="1:74" s="128" customFormat="1">
      <c r="A6" s="128" t="s">
        <v>305</v>
      </c>
      <c r="B6" s="33">
        <v>0</v>
      </c>
      <c r="C6" s="33">
        <v>13480385.32</v>
      </c>
      <c r="D6" s="33">
        <v>0</v>
      </c>
      <c r="E6" s="33">
        <v>34762032.68</v>
      </c>
      <c r="F6" s="33">
        <v>0</v>
      </c>
      <c r="G6" s="33">
        <v>19142856.039999999</v>
      </c>
      <c r="H6" s="33">
        <v>0</v>
      </c>
      <c r="I6" s="33">
        <v>42955949.240000002</v>
      </c>
      <c r="J6" s="33">
        <v>0</v>
      </c>
      <c r="K6" s="33">
        <v>21859514.260000002</v>
      </c>
      <c r="L6" s="33">
        <v>0</v>
      </c>
      <c r="M6" s="33">
        <v>39485774.140000001</v>
      </c>
      <c r="N6" s="33">
        <v>0</v>
      </c>
      <c r="O6" s="33">
        <v>17944770.390000001</v>
      </c>
      <c r="P6" s="33">
        <v>0</v>
      </c>
      <c r="Q6" s="33">
        <v>36912727.810000002</v>
      </c>
      <c r="R6" s="33">
        <v>0</v>
      </c>
      <c r="S6" s="33">
        <v>18647153.48</v>
      </c>
      <c r="T6" s="33">
        <v>0</v>
      </c>
      <c r="U6" s="33">
        <v>34523693.869999997</v>
      </c>
      <c r="V6" s="33">
        <v>0</v>
      </c>
      <c r="W6" s="33">
        <v>16687916.369999999</v>
      </c>
      <c r="X6" s="33">
        <v>0</v>
      </c>
      <c r="Y6" s="33">
        <v>30818699.879999999</v>
      </c>
      <c r="Z6" s="33">
        <v>0</v>
      </c>
      <c r="AA6" s="33">
        <v>14580941.300000001</v>
      </c>
      <c r="AB6" s="33">
        <v>0</v>
      </c>
      <c r="AC6" s="33">
        <v>18996414.829999998</v>
      </c>
      <c r="AD6" s="33">
        <v>0</v>
      </c>
      <c r="AE6" s="33">
        <v>8789443.8399999999</v>
      </c>
      <c r="AF6" s="33">
        <v>0</v>
      </c>
      <c r="AG6" s="33">
        <v>14348189.4</v>
      </c>
      <c r="AH6" s="33">
        <v>0</v>
      </c>
      <c r="AI6" s="33">
        <v>6325983.2699999996</v>
      </c>
      <c r="AJ6" s="33">
        <v>0</v>
      </c>
      <c r="AK6" s="33">
        <v>10698190.23</v>
      </c>
      <c r="AL6" s="33">
        <v>0</v>
      </c>
      <c r="AM6" s="33">
        <v>5358187.29</v>
      </c>
      <c r="AN6" s="33">
        <v>0</v>
      </c>
      <c r="AO6" s="33">
        <v>10454569.210000001</v>
      </c>
      <c r="AP6" s="33">
        <v>0</v>
      </c>
      <c r="AQ6" s="33">
        <v>8212393.3200000003</v>
      </c>
      <c r="AR6" s="33">
        <v>5635554.3700000001</v>
      </c>
      <c r="AS6" s="33">
        <v>0</v>
      </c>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row>
    <row r="7" spans="1:74" s="33" customFormat="1">
      <c r="A7" s="33" t="s">
        <v>306</v>
      </c>
      <c r="B7" s="33">
        <v>0</v>
      </c>
      <c r="C7" s="33">
        <v>2331041.83</v>
      </c>
      <c r="D7" s="33">
        <v>0</v>
      </c>
      <c r="E7" s="33">
        <v>4627334.9400000004</v>
      </c>
      <c r="F7" s="33">
        <v>0</v>
      </c>
      <c r="G7" s="33">
        <v>2114679.13</v>
      </c>
      <c r="H7" s="33">
        <v>0</v>
      </c>
      <c r="I7" s="33">
        <v>2264019.61</v>
      </c>
      <c r="J7" s="33">
        <v>0</v>
      </c>
      <c r="K7" s="33">
        <v>847109.51</v>
      </c>
      <c r="L7" s="33">
        <v>0</v>
      </c>
      <c r="M7" s="33">
        <v>2643689.39</v>
      </c>
      <c r="N7" s="33">
        <v>0</v>
      </c>
      <c r="O7" s="33">
        <v>1796517.25</v>
      </c>
      <c r="P7" s="33">
        <v>0</v>
      </c>
      <c r="Q7" s="33">
        <v>3592992.74</v>
      </c>
      <c r="R7" s="33">
        <v>0</v>
      </c>
      <c r="S7" s="33">
        <v>1796496.37</v>
      </c>
      <c r="T7" s="33">
        <v>0</v>
      </c>
      <c r="U7" s="33">
        <v>2763545.69</v>
      </c>
      <c r="V7" s="33">
        <v>0</v>
      </c>
      <c r="W7" s="33">
        <v>963136.2</v>
      </c>
      <c r="X7" s="33">
        <v>0</v>
      </c>
      <c r="Y7" s="33">
        <v>1392301.14</v>
      </c>
      <c r="Z7" s="33">
        <v>0</v>
      </c>
      <c r="AA7" s="33">
        <v>620321.16</v>
      </c>
      <c r="AB7" s="33">
        <v>0</v>
      </c>
      <c r="AC7" s="33">
        <v>1133582.54</v>
      </c>
      <c r="AD7" s="33">
        <v>0</v>
      </c>
      <c r="AE7" s="33">
        <v>548947.97</v>
      </c>
      <c r="AF7" s="33">
        <v>0</v>
      </c>
      <c r="AG7" s="33">
        <v>1097895.94</v>
      </c>
      <c r="AH7" s="33">
        <v>0</v>
      </c>
      <c r="AI7" s="33">
        <v>548947.97</v>
      </c>
      <c r="AJ7" s="33">
        <v>0</v>
      </c>
      <c r="AK7" s="33">
        <v>1560932.61</v>
      </c>
      <c r="AL7" s="33">
        <v>0</v>
      </c>
      <c r="AM7" s="33">
        <v>826769.97</v>
      </c>
      <c r="AN7" s="33">
        <v>0</v>
      </c>
      <c r="AO7" s="33">
        <v>1925613.89</v>
      </c>
      <c r="AP7" s="33">
        <v>0</v>
      </c>
      <c r="AQ7" s="33">
        <v>1397014.1</v>
      </c>
      <c r="AR7" s="33">
        <v>1094722.25</v>
      </c>
      <c r="AS7" s="33">
        <v>0</v>
      </c>
    </row>
    <row r="8" spans="1:74" s="33" customFormat="1">
      <c r="A8" s="33" t="s">
        <v>307</v>
      </c>
      <c r="B8" s="33">
        <v>0</v>
      </c>
      <c r="C8" s="33">
        <v>18347567.75</v>
      </c>
      <c r="D8" s="33">
        <v>0</v>
      </c>
      <c r="E8" s="33">
        <v>6777993.5499999998</v>
      </c>
      <c r="F8" s="33">
        <v>0</v>
      </c>
      <c r="G8" s="33">
        <v>2564631.0499999998</v>
      </c>
      <c r="H8" s="33">
        <v>0</v>
      </c>
      <c r="I8" s="33">
        <v>3290836.07</v>
      </c>
      <c r="J8" s="33">
        <v>0</v>
      </c>
      <c r="K8" s="33">
        <v>1776510.45</v>
      </c>
      <c r="L8" s="33">
        <v>0</v>
      </c>
      <c r="M8" s="33">
        <v>3195707.52</v>
      </c>
      <c r="N8" s="33">
        <v>0</v>
      </c>
      <c r="O8" s="33">
        <v>1634225.34</v>
      </c>
      <c r="P8" s="33">
        <v>0</v>
      </c>
      <c r="Q8" s="33">
        <v>1488722.23</v>
      </c>
      <c r="R8" s="33">
        <v>0</v>
      </c>
      <c r="S8" s="33">
        <v>795581.85</v>
      </c>
      <c r="T8" s="33">
        <v>0</v>
      </c>
      <c r="U8" s="33">
        <v>1024662.02</v>
      </c>
      <c r="V8" s="33">
        <v>0</v>
      </c>
      <c r="W8" s="33">
        <v>0</v>
      </c>
      <c r="X8" s="33">
        <v>0</v>
      </c>
      <c r="Y8" s="33">
        <v>0</v>
      </c>
      <c r="Z8" s="33">
        <v>0</v>
      </c>
      <c r="AA8" s="33">
        <v>0</v>
      </c>
      <c r="AB8" s="33">
        <v>0</v>
      </c>
      <c r="AC8" s="33">
        <v>1022345.12</v>
      </c>
      <c r="AD8" s="33">
        <v>0</v>
      </c>
      <c r="AE8" s="33">
        <v>656148.9</v>
      </c>
      <c r="AF8" s="33">
        <v>0</v>
      </c>
      <c r="AG8" s="33">
        <v>1308697.8</v>
      </c>
      <c r="AH8" s="33">
        <v>0</v>
      </c>
      <c r="AI8" s="33">
        <v>655428.9</v>
      </c>
      <c r="AJ8" s="33">
        <v>0</v>
      </c>
      <c r="AK8" s="33">
        <v>1272928.17</v>
      </c>
      <c r="AL8" s="33">
        <v>0</v>
      </c>
      <c r="AM8" s="33">
        <v>636977.23</v>
      </c>
      <c r="AN8" s="33">
        <v>0</v>
      </c>
      <c r="AO8" s="33">
        <v>386408.02</v>
      </c>
      <c r="AP8" s="33">
        <v>0</v>
      </c>
      <c r="AQ8" s="33">
        <v>65098.92</v>
      </c>
      <c r="AR8" s="33">
        <v>65098.92</v>
      </c>
      <c r="AS8" s="33">
        <v>0</v>
      </c>
    </row>
    <row r="9" spans="1:74" s="33" customFormat="1">
      <c r="A9" s="33" t="s">
        <v>308</v>
      </c>
      <c r="B9" s="33">
        <v>0</v>
      </c>
      <c r="C9" s="33">
        <v>-36334.379999999997</v>
      </c>
      <c r="D9" s="33">
        <v>0</v>
      </c>
      <c r="E9" s="33">
        <v>0</v>
      </c>
      <c r="F9" s="33">
        <v>0</v>
      </c>
      <c r="G9" s="33">
        <v>-61756.08</v>
      </c>
      <c r="H9" s="33">
        <v>0</v>
      </c>
      <c r="I9" s="33">
        <v>305566.3</v>
      </c>
      <c r="J9" s="33">
        <v>0</v>
      </c>
      <c r="K9" s="33">
        <v>84351.17</v>
      </c>
      <c r="L9" s="33">
        <v>0</v>
      </c>
      <c r="M9" s="33">
        <v>32370.97</v>
      </c>
      <c r="N9" s="33">
        <v>0</v>
      </c>
      <c r="O9" s="33">
        <v>1268005.6100000001</v>
      </c>
      <c r="P9" s="33">
        <v>0</v>
      </c>
      <c r="Q9" s="33">
        <v>478063.89</v>
      </c>
      <c r="R9" s="33">
        <v>0</v>
      </c>
      <c r="S9" s="33">
        <v>-118096.33</v>
      </c>
      <c r="T9" s="33">
        <v>0</v>
      </c>
      <c r="U9" s="33">
        <v>176155.69</v>
      </c>
      <c r="V9" s="33">
        <v>0</v>
      </c>
      <c r="W9" s="33">
        <v>0</v>
      </c>
      <c r="X9" s="33">
        <v>0</v>
      </c>
      <c r="Y9" s="33">
        <v>191479.43</v>
      </c>
      <c r="Z9" s="33">
        <v>0</v>
      </c>
      <c r="AA9" s="33">
        <v>0</v>
      </c>
      <c r="AB9" s="33">
        <v>0</v>
      </c>
      <c r="AC9" s="33">
        <v>147641.5</v>
      </c>
      <c r="AD9" s="33">
        <v>0</v>
      </c>
      <c r="AE9" s="33">
        <v>0</v>
      </c>
      <c r="AF9" s="33">
        <v>0</v>
      </c>
      <c r="AG9" s="33">
        <v>195899.7</v>
      </c>
      <c r="AH9" s="33">
        <v>0</v>
      </c>
      <c r="AI9" s="33">
        <v>0</v>
      </c>
      <c r="AJ9" s="33">
        <v>0</v>
      </c>
      <c r="AK9" s="33">
        <v>23791.95</v>
      </c>
      <c r="AL9" s="33">
        <v>0</v>
      </c>
      <c r="AM9" s="33">
        <v>27000.95</v>
      </c>
      <c r="AN9" s="33">
        <v>0</v>
      </c>
      <c r="AO9" s="33">
        <v>-82204.39</v>
      </c>
      <c r="AP9" s="33">
        <v>0</v>
      </c>
      <c r="AQ9" s="33">
        <v>-45809</v>
      </c>
      <c r="AR9" s="33">
        <v>-2182119.77</v>
      </c>
      <c r="AS9" s="33">
        <v>0</v>
      </c>
    </row>
    <row r="10" spans="1:74" s="33" customFormat="1">
      <c r="A10" s="33" t="s">
        <v>309</v>
      </c>
      <c r="B10" s="33">
        <v>0</v>
      </c>
      <c r="C10" s="33">
        <v>0</v>
      </c>
      <c r="D10" s="33">
        <v>0</v>
      </c>
      <c r="E10" s="33">
        <v>7939.05</v>
      </c>
      <c r="F10" s="33">
        <v>0</v>
      </c>
      <c r="G10" s="33">
        <v>0</v>
      </c>
      <c r="H10" s="33">
        <v>0</v>
      </c>
      <c r="I10" s="33">
        <v>0</v>
      </c>
      <c r="J10" s="33">
        <v>0</v>
      </c>
      <c r="K10" s="33">
        <v>0</v>
      </c>
      <c r="L10" s="33">
        <v>0</v>
      </c>
      <c r="M10" s="33">
        <v>0</v>
      </c>
      <c r="N10" s="33">
        <v>0</v>
      </c>
      <c r="O10" s="33">
        <v>0</v>
      </c>
      <c r="P10" s="33">
        <v>0</v>
      </c>
      <c r="Q10" s="33">
        <v>0</v>
      </c>
      <c r="R10" s="33">
        <v>0</v>
      </c>
      <c r="S10" s="33">
        <v>0</v>
      </c>
      <c r="T10" s="33">
        <v>0</v>
      </c>
      <c r="U10" s="33">
        <v>0</v>
      </c>
      <c r="V10" s="33">
        <v>0</v>
      </c>
      <c r="W10" s="33">
        <v>0</v>
      </c>
      <c r="X10" s="33">
        <v>0</v>
      </c>
      <c r="Y10" s="33">
        <v>0</v>
      </c>
      <c r="Z10" s="33">
        <v>0</v>
      </c>
      <c r="AA10" s="33">
        <v>0</v>
      </c>
      <c r="AB10" s="33">
        <v>0</v>
      </c>
      <c r="AC10" s="33">
        <v>0</v>
      </c>
      <c r="AD10" s="33">
        <v>0</v>
      </c>
      <c r="AE10" s="33">
        <v>0</v>
      </c>
      <c r="AF10" s="33">
        <v>0</v>
      </c>
      <c r="AG10" s="33">
        <v>0</v>
      </c>
      <c r="AH10" s="33">
        <v>0</v>
      </c>
      <c r="AI10" s="33">
        <v>0</v>
      </c>
      <c r="AJ10" s="33">
        <v>0</v>
      </c>
      <c r="AK10" s="33">
        <v>0</v>
      </c>
      <c r="AL10" s="33">
        <v>0</v>
      </c>
      <c r="AM10" s="33">
        <v>0</v>
      </c>
      <c r="AN10" s="33">
        <v>0</v>
      </c>
      <c r="AO10" s="33">
        <v>0</v>
      </c>
      <c r="AP10" s="33">
        <v>0</v>
      </c>
      <c r="AQ10" s="33">
        <v>7853.85</v>
      </c>
      <c r="AR10" s="33">
        <v>0</v>
      </c>
      <c r="AS10" s="33">
        <v>0</v>
      </c>
    </row>
    <row r="11" spans="1:74" s="55" customFormat="1">
      <c r="A11" s="55" t="s">
        <v>296</v>
      </c>
      <c r="E11" s="55">
        <f>E5-E6-E7-E8-E9-E10</f>
        <v>180798943.92999998</v>
      </c>
      <c r="F11" s="55">
        <f t="shared" ref="F11:BQ11" si="1">F5-F6-F7-F8-F9-F10</f>
        <v>154125854.38999999</v>
      </c>
      <c r="G11" s="55">
        <f t="shared" si="1"/>
        <v>114518091.97000003</v>
      </c>
      <c r="H11" s="55">
        <f t="shared" si="1"/>
        <v>120241634.16</v>
      </c>
      <c r="I11" s="55">
        <f t="shared" si="1"/>
        <v>272323217.80999994</v>
      </c>
      <c r="J11" s="55">
        <f t="shared" si="1"/>
        <v>142885329.59</v>
      </c>
      <c r="K11" s="55">
        <f t="shared" si="1"/>
        <v>38577046.460000001</v>
      </c>
      <c r="L11" s="55">
        <f t="shared" si="1"/>
        <v>16700348.210000001</v>
      </c>
      <c r="M11" s="55">
        <f t="shared" si="1"/>
        <v>143914994.01999998</v>
      </c>
      <c r="N11" s="55">
        <f t="shared" si="1"/>
        <v>67931567.959999993</v>
      </c>
      <c r="O11" s="55">
        <f t="shared" si="1"/>
        <v>38745308.729999997</v>
      </c>
      <c r="P11" s="55">
        <f t="shared" si="1"/>
        <v>41432090.189999998</v>
      </c>
      <c r="Q11" s="55">
        <f t="shared" si="1"/>
        <v>128115098.94000001</v>
      </c>
      <c r="R11" s="55">
        <f t="shared" si="1"/>
        <v>93373819.75</v>
      </c>
      <c r="S11" s="55">
        <f t="shared" si="1"/>
        <v>50831255.179999992</v>
      </c>
      <c r="T11" s="55">
        <f t="shared" si="1"/>
        <v>48529344.350000001</v>
      </c>
      <c r="U11" s="55">
        <f t="shared" si="1"/>
        <v>43007644.49000001</v>
      </c>
      <c r="V11" s="55">
        <f t="shared" si="1"/>
        <v>60909876.399999999</v>
      </c>
      <c r="W11" s="55">
        <f t="shared" si="1"/>
        <v>27496525.560000006</v>
      </c>
      <c r="X11" s="55">
        <f t="shared" si="1"/>
        <v>19900505.449999999</v>
      </c>
      <c r="Y11" s="55">
        <f t="shared" si="1"/>
        <v>56160516.250000007</v>
      </c>
      <c r="Z11" s="55">
        <f t="shared" si="1"/>
        <v>75986748.719999999</v>
      </c>
      <c r="AA11" s="55">
        <f t="shared" si="1"/>
        <v>37085953.75</v>
      </c>
      <c r="AB11" s="55">
        <f t="shared" si="1"/>
        <v>36972067.969999999</v>
      </c>
      <c r="AC11" s="55">
        <f t="shared" si="1"/>
        <v>225605739.33000001</v>
      </c>
      <c r="AD11" s="55">
        <f t="shared" si="1"/>
        <v>170132025.63</v>
      </c>
      <c r="AE11" s="55">
        <f t="shared" si="1"/>
        <v>73753521.959999993</v>
      </c>
      <c r="AF11" s="55">
        <f t="shared" si="1"/>
        <v>31791540.170000002</v>
      </c>
      <c r="AG11" s="55">
        <f t="shared" si="1"/>
        <v>125973086.48000002</v>
      </c>
      <c r="AH11" s="55">
        <f t="shared" si="1"/>
        <v>79720100.959999993</v>
      </c>
      <c r="AI11" s="55">
        <f t="shared" si="1"/>
        <v>32571686.06000001</v>
      </c>
      <c r="AJ11" s="55">
        <f t="shared" si="1"/>
        <v>21073915.699999999</v>
      </c>
      <c r="AK11" s="55">
        <f t="shared" si="1"/>
        <v>14622690.390000002</v>
      </c>
      <c r="AL11" s="55">
        <f t="shared" si="1"/>
        <v>6961865.9900000002</v>
      </c>
      <c r="AM11" s="55">
        <f t="shared" si="1"/>
        <v>-5874177.8700000001</v>
      </c>
      <c r="AN11" s="55">
        <f t="shared" si="1"/>
        <v>378589.75</v>
      </c>
      <c r="AO11" s="55">
        <f t="shared" si="1"/>
        <v>-1029476.8600000016</v>
      </c>
      <c r="AP11" s="55">
        <f t="shared" si="1"/>
        <v>7446372.6900000004</v>
      </c>
      <c r="AQ11" s="55">
        <f t="shared" si="1"/>
        <v>31615471.229999997</v>
      </c>
      <c r="AR11" s="55">
        <f t="shared" si="1"/>
        <v>28227075.669999998</v>
      </c>
      <c r="AS11" s="55">
        <f t="shared" si="1"/>
        <v>0</v>
      </c>
      <c r="AT11" s="55">
        <f t="shared" si="1"/>
        <v>0</v>
      </c>
      <c r="AU11" s="55">
        <f t="shared" si="1"/>
        <v>0</v>
      </c>
      <c r="AV11" s="55">
        <f t="shared" si="1"/>
        <v>0</v>
      </c>
      <c r="AW11" s="55">
        <f t="shared" si="1"/>
        <v>0</v>
      </c>
      <c r="AX11" s="55">
        <f t="shared" si="1"/>
        <v>0</v>
      </c>
      <c r="AY11" s="55">
        <f t="shared" si="1"/>
        <v>0</v>
      </c>
      <c r="AZ11" s="55">
        <f t="shared" si="1"/>
        <v>0</v>
      </c>
      <c r="BA11" s="55">
        <f t="shared" si="1"/>
        <v>0</v>
      </c>
      <c r="BB11" s="55">
        <f t="shared" si="1"/>
        <v>0</v>
      </c>
      <c r="BC11" s="55">
        <f t="shared" si="1"/>
        <v>0</v>
      </c>
      <c r="BD11" s="55">
        <f t="shared" si="1"/>
        <v>0</v>
      </c>
      <c r="BE11" s="55">
        <f t="shared" si="1"/>
        <v>0</v>
      </c>
      <c r="BF11" s="55">
        <f t="shared" si="1"/>
        <v>0</v>
      </c>
      <c r="BG11" s="55">
        <f t="shared" si="1"/>
        <v>0</v>
      </c>
      <c r="BH11" s="55">
        <f t="shared" si="1"/>
        <v>0</v>
      </c>
      <c r="BI11" s="55">
        <f t="shared" si="1"/>
        <v>0</v>
      </c>
      <c r="BJ11" s="55">
        <f t="shared" si="1"/>
        <v>0</v>
      </c>
      <c r="BK11" s="55">
        <f t="shared" si="1"/>
        <v>0</v>
      </c>
      <c r="BL11" s="55">
        <f t="shared" si="1"/>
        <v>0</v>
      </c>
      <c r="BM11" s="55">
        <f t="shared" si="1"/>
        <v>0</v>
      </c>
      <c r="BN11" s="55">
        <f t="shared" si="1"/>
        <v>0</v>
      </c>
      <c r="BO11" s="55">
        <f t="shared" si="1"/>
        <v>0</v>
      </c>
      <c r="BP11" s="55">
        <f t="shared" si="1"/>
        <v>0</v>
      </c>
      <c r="BQ11" s="55">
        <f t="shared" si="1"/>
        <v>0</v>
      </c>
      <c r="BR11" s="55">
        <f>BR5-BR6-BR7-BR8-BR9-BR10</f>
        <v>0</v>
      </c>
      <c r="BS11" s="55">
        <f>BS5-BS6-BS7-BS8-BS9-BS10</f>
        <v>0</v>
      </c>
      <c r="BT11" s="55">
        <f>BT5-BT6-BT7-BT8-BT9-BT10</f>
        <v>0</v>
      </c>
      <c r="BU11" s="55">
        <f>BU5-BU6-BU7-BU8-BU9-BU10</f>
        <v>0</v>
      </c>
      <c r="BV11" s="55">
        <f>BV5-BV6-BV7-BV8-BV9-BV10</f>
        <v>0</v>
      </c>
    </row>
    <row r="12" spans="1:74" s="33" customFormat="1">
      <c r="A12" s="33" t="s">
        <v>297</v>
      </c>
      <c r="E12" s="33">
        <f t="shared" ref="E12:AJ12" si="2">I34</f>
        <v>1236999878.1700001</v>
      </c>
      <c r="F12" s="33">
        <f t="shared" si="2"/>
        <v>1034620155.3800001</v>
      </c>
      <c r="G12" s="33">
        <f t="shared" si="2"/>
        <v>990494038.49000001</v>
      </c>
      <c r="H12" s="33">
        <f t="shared" si="2"/>
        <v>960477978.07999992</v>
      </c>
      <c r="I12" s="33">
        <f t="shared" si="2"/>
        <v>957925773.75999999</v>
      </c>
      <c r="J12" s="33">
        <f t="shared" si="2"/>
        <v>1098495316.04</v>
      </c>
      <c r="K12" s="33">
        <f t="shared" si="2"/>
        <v>1077558064.8499999</v>
      </c>
      <c r="L12" s="33">
        <f t="shared" si="2"/>
        <v>839094773.11000001</v>
      </c>
      <c r="M12" s="33">
        <f t="shared" si="2"/>
        <v>807731294.65999997</v>
      </c>
      <c r="N12" s="33">
        <f t="shared" si="2"/>
        <v>749263981.16999996</v>
      </c>
      <c r="O12" s="33">
        <f t="shared" si="2"/>
        <v>735499582.28999996</v>
      </c>
      <c r="P12" s="33">
        <f t="shared" si="2"/>
        <v>710694914.15999997</v>
      </c>
      <c r="Q12" s="33">
        <f t="shared" si="2"/>
        <v>699262006.82000005</v>
      </c>
      <c r="R12" s="33">
        <f t="shared" si="2"/>
        <v>668499983.16999996</v>
      </c>
      <c r="S12" s="33">
        <f t="shared" si="2"/>
        <v>646240740.63999999</v>
      </c>
      <c r="T12" s="33">
        <f t="shared" si="2"/>
        <v>632344542.03999996</v>
      </c>
      <c r="U12" s="33">
        <f t="shared" si="2"/>
        <v>619029551.51999998</v>
      </c>
      <c r="V12" s="33">
        <f t="shared" si="2"/>
        <v>565603737.48000002</v>
      </c>
      <c r="W12" s="33">
        <f t="shared" si="2"/>
        <v>543671380.01999998</v>
      </c>
      <c r="X12" s="33">
        <f t="shared" si="2"/>
        <v>509305736.06</v>
      </c>
      <c r="Y12" s="33">
        <f t="shared" si="2"/>
        <v>478274483.81</v>
      </c>
      <c r="Z12" s="33">
        <f t="shared" si="2"/>
        <v>376398258.69</v>
      </c>
      <c r="AA12" s="33">
        <f t="shared" si="2"/>
        <v>309691045.01999998</v>
      </c>
      <c r="AB12" s="33">
        <f t="shared" si="2"/>
        <v>295490502.18000001</v>
      </c>
      <c r="AC12" s="33">
        <f t="shared" si="2"/>
        <v>276281864.79000002</v>
      </c>
      <c r="AD12" s="33">
        <f t="shared" si="2"/>
        <v>232990840.75</v>
      </c>
      <c r="AE12" s="33">
        <f t="shared" si="2"/>
        <v>201806080.77000001</v>
      </c>
      <c r="AF12" s="33">
        <f t="shared" si="2"/>
        <v>187685699.58000001</v>
      </c>
      <c r="AG12" s="33">
        <f t="shared" si="2"/>
        <v>173757421.33000001</v>
      </c>
      <c r="AH12" s="33">
        <f t="shared" si="2"/>
        <v>158879455.81</v>
      </c>
      <c r="AI12" s="33">
        <f t="shared" si="2"/>
        <v>153814433.28999999</v>
      </c>
      <c r="AJ12" s="33">
        <f t="shared" si="2"/>
        <v>161546347.99000001</v>
      </c>
      <c r="AK12" s="33">
        <f t="shared" ref="AK12:BL12" si="3">AO34</f>
        <v>158715638.03999999</v>
      </c>
      <c r="AL12" s="33">
        <f t="shared" si="3"/>
        <v>108220008.62</v>
      </c>
      <c r="AM12" s="33">
        <f t="shared" si="3"/>
        <v>0</v>
      </c>
      <c r="AN12" s="33">
        <f t="shared" si="3"/>
        <v>0</v>
      </c>
      <c r="AO12" s="33">
        <f t="shared" si="3"/>
        <v>0</v>
      </c>
      <c r="AP12" s="33">
        <f t="shared" si="3"/>
        <v>2933770006.6399999</v>
      </c>
      <c r="AQ12" s="33">
        <f t="shared" si="3"/>
        <v>2872445122.8000002</v>
      </c>
      <c r="AR12" s="33">
        <f t="shared" si="3"/>
        <v>2575923002.7900004</v>
      </c>
      <c r="AS12" s="33">
        <f t="shared" si="3"/>
        <v>2597468323.4099998</v>
      </c>
      <c r="AT12" s="33">
        <f t="shared" si="3"/>
        <v>2410763534.8400002</v>
      </c>
      <c r="AU12" s="33">
        <f t="shared" si="3"/>
        <v>2483820863.0900002</v>
      </c>
      <c r="AV12" s="33">
        <f t="shared" si="3"/>
        <v>2554486005</v>
      </c>
      <c r="AW12" s="33">
        <f t="shared" si="3"/>
        <v>2574247298.3200002</v>
      </c>
      <c r="AX12" s="33">
        <f t="shared" si="3"/>
        <v>2609201305.6399999</v>
      </c>
      <c r="AY12" s="33">
        <f t="shared" si="3"/>
        <v>2683968901.46</v>
      </c>
      <c r="AZ12" s="33">
        <f t="shared" si="3"/>
        <v>2689101232.8800001</v>
      </c>
      <c r="BA12" s="33">
        <f t="shared" si="3"/>
        <v>2676403110.5799999</v>
      </c>
      <c r="BB12" s="33">
        <f t="shared" si="3"/>
        <v>2633768248.5900002</v>
      </c>
      <c r="BC12" s="33">
        <f t="shared" si="3"/>
        <v>2540908104.8800001</v>
      </c>
      <c r="BD12" s="33">
        <f t="shared" si="3"/>
        <v>2627501543.46</v>
      </c>
      <c r="BE12" s="33">
        <f t="shared" si="3"/>
        <v>2633995522.4200001</v>
      </c>
      <c r="BF12" s="33">
        <f t="shared" si="3"/>
        <v>2697608030.8499999</v>
      </c>
      <c r="BG12" s="33">
        <f t="shared" si="3"/>
        <v>2506061093.3600001</v>
      </c>
      <c r="BH12" s="33">
        <f t="shared" si="3"/>
        <v>2449347773.48</v>
      </c>
      <c r="BI12" s="33">
        <f t="shared" si="3"/>
        <v>2441134555.5</v>
      </c>
      <c r="BJ12" s="33">
        <f t="shared" si="3"/>
        <v>2120830735.96</v>
      </c>
      <c r="BK12" s="33">
        <f t="shared" si="3"/>
        <v>2152380109.23</v>
      </c>
      <c r="BL12" s="33">
        <f t="shared" si="3"/>
        <v>2117283926.8199999</v>
      </c>
      <c r="BM12" s="33">
        <f>BO34</f>
        <v>2152380109.23</v>
      </c>
      <c r="BN12" s="33">
        <f t="shared" ref="BN12:BU12" si="4">BP34</f>
        <v>2117283926.8199999</v>
      </c>
      <c r="BO12" s="33">
        <f t="shared" si="4"/>
        <v>2007899852.48</v>
      </c>
      <c r="BP12" s="33">
        <f t="shared" si="4"/>
        <v>2214134485.5799999</v>
      </c>
      <c r="BQ12" s="33">
        <f t="shared" si="4"/>
        <v>1814339827.5999999</v>
      </c>
      <c r="BR12" s="33">
        <f t="shared" si="4"/>
        <v>2086744304.6300001</v>
      </c>
      <c r="BS12" s="33">
        <f t="shared" si="4"/>
        <v>1960182316.27</v>
      </c>
      <c r="BT12" s="33">
        <f t="shared" si="4"/>
        <v>0</v>
      </c>
      <c r="BU12" s="33">
        <f t="shared" si="4"/>
        <v>0</v>
      </c>
      <c r="BV12" s="33">
        <f>BZ34</f>
        <v>0</v>
      </c>
    </row>
    <row r="13" spans="1:74" s="33" customFormat="1">
      <c r="A13" s="33" t="s">
        <v>355</v>
      </c>
      <c r="E13" s="33">
        <f>E11/E12*100</f>
        <v>14.615922533272302</v>
      </c>
      <c r="F13" s="33">
        <f t="shared" ref="F13:BQ13" si="5">F11/F12*100</f>
        <v>14.896854037546941</v>
      </c>
      <c r="G13" s="33">
        <f t="shared" si="5"/>
        <v>11.56171440916312</v>
      </c>
      <c r="H13" s="33">
        <f t="shared" si="5"/>
        <v>12.518937123406367</v>
      </c>
      <c r="I13" s="33">
        <f t="shared" si="5"/>
        <v>28.428425799745543</v>
      </c>
      <c r="J13" s="33">
        <f t="shared" si="5"/>
        <v>13.00736812470824</v>
      </c>
      <c r="K13" s="33">
        <f t="shared" si="5"/>
        <v>3.5800434072543528</v>
      </c>
      <c r="L13" s="33">
        <f t="shared" si="5"/>
        <v>1.9902815206561526</v>
      </c>
      <c r="M13" s="33">
        <f t="shared" si="5"/>
        <v>17.817186850557576</v>
      </c>
      <c r="N13" s="33">
        <f t="shared" si="5"/>
        <v>9.0664398219066467</v>
      </c>
      <c r="O13" s="33">
        <f t="shared" si="5"/>
        <v>5.2678899707006384</v>
      </c>
      <c r="P13" s="33">
        <f t="shared" si="5"/>
        <v>5.8297997304469691</v>
      </c>
      <c r="Q13" s="33">
        <f t="shared" si="5"/>
        <v>18.321472880047185</v>
      </c>
      <c r="R13" s="33">
        <f t="shared" si="5"/>
        <v>13.96766224394279</v>
      </c>
      <c r="S13" s="33">
        <f t="shared" si="5"/>
        <v>7.8656840993434756</v>
      </c>
      <c r="T13" s="33">
        <f t="shared" si="5"/>
        <v>7.6745098792882755</v>
      </c>
      <c r="U13" s="33">
        <f t="shared" si="5"/>
        <v>6.9475914977559023</v>
      </c>
      <c r="V13" s="33">
        <f t="shared" si="5"/>
        <v>10.769001752247757</v>
      </c>
      <c r="W13" s="33">
        <f t="shared" si="5"/>
        <v>5.0575635522672711</v>
      </c>
      <c r="X13" s="33">
        <f t="shared" si="5"/>
        <v>3.9073790144110156</v>
      </c>
      <c r="Y13" s="33">
        <f t="shared" si="5"/>
        <v>11.742319139130663</v>
      </c>
      <c r="Z13" s="33">
        <f t="shared" si="5"/>
        <v>20.187858728268548</v>
      </c>
      <c r="AA13" s="33">
        <f t="shared" si="5"/>
        <v>11.975145664158603</v>
      </c>
      <c r="AB13" s="33">
        <f t="shared" si="5"/>
        <v>12.512100286552769</v>
      </c>
      <c r="AC13" s="33">
        <f t="shared" si="5"/>
        <v>81.657816918776561</v>
      </c>
      <c r="AD13" s="33">
        <f t="shared" si="5"/>
        <v>73.020907209203244</v>
      </c>
      <c r="AE13" s="33">
        <f t="shared" si="5"/>
        <v>36.546729255426882</v>
      </c>
      <c r="AF13" s="33">
        <f t="shared" si="5"/>
        <v>16.938712028216635</v>
      </c>
      <c r="AG13" s="33">
        <f t="shared" si="5"/>
        <v>72.499399171418418</v>
      </c>
      <c r="AH13" s="33">
        <f t="shared" si="5"/>
        <v>50.176469042879454</v>
      </c>
      <c r="AI13" s="33">
        <f t="shared" si="5"/>
        <v>21.175962075411821</v>
      </c>
      <c r="AJ13" s="33">
        <f t="shared" si="5"/>
        <v>13.045120463697829</v>
      </c>
      <c r="AK13" s="33">
        <f t="shared" si="5"/>
        <v>9.2131377667490764</v>
      </c>
      <c r="AL13" s="33">
        <f t="shared" si="5"/>
        <v>6.4330673031506178</v>
      </c>
      <c r="AM13" s="33" t="e">
        <f t="shared" si="5"/>
        <v>#DIV/0!</v>
      </c>
      <c r="AN13" s="33" t="e">
        <f t="shared" si="5"/>
        <v>#DIV/0!</v>
      </c>
      <c r="AO13" s="33" t="e">
        <f t="shared" si="5"/>
        <v>#DIV/0!</v>
      </c>
      <c r="AP13" s="33">
        <f t="shared" si="5"/>
        <v>0.25381582990986445</v>
      </c>
      <c r="AQ13" s="33">
        <f t="shared" si="5"/>
        <v>1.1006466574087892</v>
      </c>
      <c r="AR13" s="33">
        <f t="shared" si="5"/>
        <v>1.0958043248741152</v>
      </c>
      <c r="AS13" s="33">
        <f t="shared" si="5"/>
        <v>0</v>
      </c>
      <c r="AT13" s="33">
        <f t="shared" si="5"/>
        <v>0</v>
      </c>
      <c r="AU13" s="33">
        <f t="shared" si="5"/>
        <v>0</v>
      </c>
      <c r="AV13" s="33">
        <f t="shared" si="5"/>
        <v>0</v>
      </c>
      <c r="AW13" s="33">
        <f t="shared" si="5"/>
        <v>0</v>
      </c>
      <c r="AX13" s="33">
        <f t="shared" si="5"/>
        <v>0</v>
      </c>
      <c r="AY13" s="33">
        <f t="shared" si="5"/>
        <v>0</v>
      </c>
      <c r="AZ13" s="33">
        <f t="shared" si="5"/>
        <v>0</v>
      </c>
      <c r="BA13" s="33">
        <f t="shared" si="5"/>
        <v>0</v>
      </c>
      <c r="BB13" s="33">
        <f t="shared" si="5"/>
        <v>0</v>
      </c>
      <c r="BC13" s="33">
        <f t="shared" si="5"/>
        <v>0</v>
      </c>
      <c r="BD13" s="33">
        <f t="shared" si="5"/>
        <v>0</v>
      </c>
      <c r="BE13" s="33">
        <f t="shared" si="5"/>
        <v>0</v>
      </c>
      <c r="BF13" s="33">
        <f t="shared" si="5"/>
        <v>0</v>
      </c>
      <c r="BG13" s="33">
        <f t="shared" si="5"/>
        <v>0</v>
      </c>
      <c r="BH13" s="33">
        <f t="shared" si="5"/>
        <v>0</v>
      </c>
      <c r="BI13" s="33">
        <f t="shared" si="5"/>
        <v>0</v>
      </c>
      <c r="BJ13" s="33">
        <f t="shared" si="5"/>
        <v>0</v>
      </c>
      <c r="BK13" s="33">
        <f t="shared" si="5"/>
        <v>0</v>
      </c>
      <c r="BL13" s="33">
        <f t="shared" si="5"/>
        <v>0</v>
      </c>
      <c r="BM13" s="33">
        <f t="shared" si="5"/>
        <v>0</v>
      </c>
      <c r="BN13" s="33">
        <f t="shared" si="5"/>
        <v>0</v>
      </c>
      <c r="BO13" s="33">
        <f t="shared" si="5"/>
        <v>0</v>
      </c>
      <c r="BP13" s="33">
        <f t="shared" si="5"/>
        <v>0</v>
      </c>
      <c r="BQ13" s="33">
        <f t="shared" si="5"/>
        <v>0</v>
      </c>
      <c r="BR13" s="33">
        <f>BR11/BR12*100</f>
        <v>0</v>
      </c>
      <c r="BS13" s="33">
        <f>BS11/BS12*100</f>
        <v>0</v>
      </c>
      <c r="BT13" s="33" t="e">
        <f>BT11/BT12*100</f>
        <v>#DIV/0!</v>
      </c>
      <c r="BU13" s="33" t="e">
        <f>BU11/BU12*100</f>
        <v>#DIV/0!</v>
      </c>
    </row>
    <row r="14" spans="1:74" s="56" customFormat="1">
      <c r="A14" s="56" t="s">
        <v>293</v>
      </c>
    </row>
    <row r="15" spans="1:74" s="33" customFormat="1">
      <c r="A15" s="33" t="s">
        <v>313</v>
      </c>
      <c r="B15" s="33">
        <v>0</v>
      </c>
      <c r="C15" s="33">
        <v>0</v>
      </c>
      <c r="D15" s="33">
        <v>0</v>
      </c>
      <c r="E15" s="33">
        <v>0</v>
      </c>
      <c r="F15" s="33">
        <v>0</v>
      </c>
      <c r="G15" s="33">
        <v>0</v>
      </c>
      <c r="H15" s="33">
        <v>0</v>
      </c>
      <c r="I15" s="33">
        <v>0</v>
      </c>
      <c r="J15" s="33">
        <v>0</v>
      </c>
      <c r="K15" s="33">
        <v>0</v>
      </c>
      <c r="L15" s="33">
        <v>0</v>
      </c>
      <c r="M15" s="33">
        <v>0</v>
      </c>
      <c r="N15" s="33">
        <v>0</v>
      </c>
      <c r="O15" s="33">
        <v>0</v>
      </c>
      <c r="P15" s="33">
        <v>0</v>
      </c>
      <c r="Q15" s="33">
        <v>0</v>
      </c>
      <c r="R15" s="33">
        <v>0</v>
      </c>
      <c r="S15" s="33">
        <v>0</v>
      </c>
      <c r="T15" s="33">
        <v>0</v>
      </c>
      <c r="U15" s="33">
        <v>0</v>
      </c>
      <c r="V15" s="33">
        <v>0</v>
      </c>
      <c r="W15" s="33">
        <v>0</v>
      </c>
      <c r="X15" s="33">
        <v>0</v>
      </c>
      <c r="Y15" s="33">
        <v>0</v>
      </c>
      <c r="Z15" s="33">
        <v>0</v>
      </c>
      <c r="AA15" s="33">
        <v>0</v>
      </c>
      <c r="AB15" s="33">
        <v>0</v>
      </c>
      <c r="AC15" s="33">
        <v>0</v>
      </c>
      <c r="AD15" s="33">
        <v>0</v>
      </c>
      <c r="AE15" s="33">
        <v>0</v>
      </c>
      <c r="AF15" s="33">
        <v>0</v>
      </c>
      <c r="AG15" s="33">
        <v>0</v>
      </c>
      <c r="AH15" s="33">
        <v>0</v>
      </c>
      <c r="AI15" s="33">
        <v>0</v>
      </c>
      <c r="AJ15" s="33">
        <v>0</v>
      </c>
      <c r="AK15" s="33">
        <v>0</v>
      </c>
      <c r="AL15" s="33">
        <v>0</v>
      </c>
      <c r="AM15" s="33">
        <v>0</v>
      </c>
      <c r="AN15" s="33">
        <v>0</v>
      </c>
      <c r="AO15" s="33">
        <v>0</v>
      </c>
      <c r="AP15" s="33">
        <v>0</v>
      </c>
      <c r="AQ15" s="33">
        <v>0</v>
      </c>
      <c r="AR15" s="33">
        <v>0</v>
      </c>
      <c r="AS15" s="33">
        <v>0</v>
      </c>
    </row>
    <row r="16" spans="1:74" s="33" customFormat="1">
      <c r="A16" s="33" t="s">
        <v>314</v>
      </c>
      <c r="B16" s="33">
        <v>0</v>
      </c>
      <c r="C16" s="33">
        <v>0</v>
      </c>
      <c r="D16" s="33">
        <v>0</v>
      </c>
      <c r="E16" s="33">
        <v>0</v>
      </c>
      <c r="F16" s="33">
        <v>0</v>
      </c>
      <c r="G16" s="33">
        <v>0</v>
      </c>
      <c r="H16" s="33">
        <v>0</v>
      </c>
      <c r="I16" s="33">
        <v>0</v>
      </c>
      <c r="J16" s="33">
        <v>0</v>
      </c>
      <c r="K16" s="33">
        <v>0</v>
      </c>
      <c r="L16" s="33">
        <v>0</v>
      </c>
      <c r="M16" s="33">
        <v>0</v>
      </c>
      <c r="N16" s="33">
        <v>0</v>
      </c>
      <c r="O16" s="33">
        <v>0</v>
      </c>
      <c r="P16" s="33">
        <v>0</v>
      </c>
      <c r="Q16" s="33">
        <v>0</v>
      </c>
      <c r="R16" s="33">
        <v>0</v>
      </c>
      <c r="S16" s="33">
        <v>0</v>
      </c>
      <c r="T16" s="33">
        <v>0</v>
      </c>
      <c r="U16" s="33">
        <v>0</v>
      </c>
      <c r="V16" s="33">
        <v>0</v>
      </c>
      <c r="W16" s="33">
        <v>0</v>
      </c>
      <c r="X16" s="33">
        <v>0</v>
      </c>
      <c r="Y16" s="33">
        <v>0</v>
      </c>
      <c r="Z16" s="33">
        <v>0</v>
      </c>
      <c r="AA16" s="33">
        <v>0</v>
      </c>
      <c r="AB16" s="33">
        <v>0</v>
      </c>
      <c r="AC16" s="33">
        <v>0</v>
      </c>
      <c r="AD16" s="33">
        <v>0</v>
      </c>
      <c r="AE16" s="33">
        <v>0</v>
      </c>
      <c r="AF16" s="33">
        <v>0</v>
      </c>
      <c r="AG16" s="33">
        <v>0</v>
      </c>
      <c r="AH16" s="33">
        <v>0</v>
      </c>
      <c r="AI16" s="33">
        <v>0</v>
      </c>
      <c r="AJ16" s="33">
        <v>0</v>
      </c>
      <c r="AK16" s="33">
        <v>0</v>
      </c>
      <c r="AL16" s="33">
        <v>0</v>
      </c>
      <c r="AM16" s="33">
        <v>0</v>
      </c>
      <c r="AN16" s="33">
        <v>0</v>
      </c>
      <c r="AO16" s="33">
        <v>0</v>
      </c>
      <c r="AP16" s="33">
        <v>0</v>
      </c>
      <c r="AQ16" s="33">
        <v>0</v>
      </c>
      <c r="AR16" s="33">
        <v>0</v>
      </c>
      <c r="AS16" s="33">
        <v>0</v>
      </c>
    </row>
    <row r="17" spans="1:74" s="55" customFormat="1">
      <c r="A17" s="55" t="s">
        <v>298</v>
      </c>
      <c r="E17" s="55">
        <f>E16-E15</f>
        <v>0</v>
      </c>
      <c r="F17" s="55">
        <f t="shared" ref="F17:BQ17" si="6">F16-F15</f>
        <v>0</v>
      </c>
      <c r="G17" s="55">
        <f t="shared" si="6"/>
        <v>0</v>
      </c>
      <c r="H17" s="55">
        <f t="shared" si="6"/>
        <v>0</v>
      </c>
      <c r="I17" s="55">
        <f t="shared" si="6"/>
        <v>0</v>
      </c>
      <c r="J17" s="55">
        <f t="shared" si="6"/>
        <v>0</v>
      </c>
      <c r="K17" s="55">
        <f t="shared" si="6"/>
        <v>0</v>
      </c>
      <c r="L17" s="55">
        <f t="shared" si="6"/>
        <v>0</v>
      </c>
      <c r="M17" s="55">
        <f t="shared" si="6"/>
        <v>0</v>
      </c>
      <c r="N17" s="55">
        <f t="shared" si="6"/>
        <v>0</v>
      </c>
      <c r="O17" s="55">
        <f t="shared" si="6"/>
        <v>0</v>
      </c>
      <c r="P17" s="55">
        <f t="shared" si="6"/>
        <v>0</v>
      </c>
      <c r="Q17" s="55">
        <f t="shared" si="6"/>
        <v>0</v>
      </c>
      <c r="R17" s="55">
        <f t="shared" si="6"/>
        <v>0</v>
      </c>
      <c r="S17" s="55">
        <f t="shared" si="6"/>
        <v>0</v>
      </c>
      <c r="T17" s="55">
        <f t="shared" si="6"/>
        <v>0</v>
      </c>
      <c r="U17" s="55">
        <f t="shared" si="6"/>
        <v>0</v>
      </c>
      <c r="V17" s="55">
        <f t="shared" si="6"/>
        <v>0</v>
      </c>
      <c r="W17" s="55">
        <f t="shared" si="6"/>
        <v>0</v>
      </c>
      <c r="X17" s="55">
        <f t="shared" si="6"/>
        <v>0</v>
      </c>
      <c r="Y17" s="55">
        <f t="shared" si="6"/>
        <v>0</v>
      </c>
      <c r="Z17" s="55">
        <f t="shared" si="6"/>
        <v>0</v>
      </c>
      <c r="AA17" s="55">
        <f t="shared" si="6"/>
        <v>0</v>
      </c>
      <c r="AB17" s="55">
        <f t="shared" si="6"/>
        <v>0</v>
      </c>
      <c r="AC17" s="55">
        <f t="shared" si="6"/>
        <v>0</v>
      </c>
      <c r="AD17" s="55">
        <f t="shared" si="6"/>
        <v>0</v>
      </c>
      <c r="AE17" s="55">
        <f t="shared" si="6"/>
        <v>0</v>
      </c>
      <c r="AF17" s="55">
        <f t="shared" si="6"/>
        <v>0</v>
      </c>
      <c r="AG17" s="55">
        <f t="shared" si="6"/>
        <v>0</v>
      </c>
      <c r="AH17" s="55">
        <f t="shared" si="6"/>
        <v>0</v>
      </c>
      <c r="AI17" s="55">
        <f t="shared" si="6"/>
        <v>0</v>
      </c>
      <c r="AJ17" s="55">
        <f t="shared" si="6"/>
        <v>0</v>
      </c>
      <c r="AK17" s="55">
        <f t="shared" si="6"/>
        <v>0</v>
      </c>
      <c r="AL17" s="55">
        <f t="shared" si="6"/>
        <v>0</v>
      </c>
      <c r="AM17" s="55">
        <f t="shared" si="6"/>
        <v>0</v>
      </c>
      <c r="AN17" s="55">
        <f t="shared" si="6"/>
        <v>0</v>
      </c>
      <c r="AO17" s="55">
        <f t="shared" si="6"/>
        <v>0</v>
      </c>
      <c r="AP17" s="55">
        <f t="shared" si="6"/>
        <v>0</v>
      </c>
      <c r="AQ17" s="55">
        <f t="shared" si="6"/>
        <v>0</v>
      </c>
      <c r="AR17" s="55">
        <f t="shared" si="6"/>
        <v>0</v>
      </c>
      <c r="AS17" s="55">
        <f t="shared" si="6"/>
        <v>0</v>
      </c>
      <c r="AT17" s="55">
        <f t="shared" si="6"/>
        <v>0</v>
      </c>
      <c r="AU17" s="55">
        <f t="shared" si="6"/>
        <v>0</v>
      </c>
      <c r="AV17" s="55">
        <f t="shared" si="6"/>
        <v>0</v>
      </c>
      <c r="AW17" s="55">
        <f t="shared" si="6"/>
        <v>0</v>
      </c>
      <c r="AX17" s="55">
        <f t="shared" si="6"/>
        <v>0</v>
      </c>
      <c r="AY17" s="55">
        <f t="shared" si="6"/>
        <v>0</v>
      </c>
      <c r="AZ17" s="55">
        <f t="shared" si="6"/>
        <v>0</v>
      </c>
      <c r="BA17" s="55">
        <f t="shared" si="6"/>
        <v>0</v>
      </c>
      <c r="BB17" s="55">
        <f t="shared" si="6"/>
        <v>0</v>
      </c>
      <c r="BC17" s="55">
        <f t="shared" si="6"/>
        <v>0</v>
      </c>
      <c r="BD17" s="55">
        <f t="shared" si="6"/>
        <v>0</v>
      </c>
      <c r="BE17" s="55">
        <f t="shared" si="6"/>
        <v>0</v>
      </c>
      <c r="BF17" s="55">
        <f t="shared" si="6"/>
        <v>0</v>
      </c>
      <c r="BG17" s="55">
        <f t="shared" si="6"/>
        <v>0</v>
      </c>
      <c r="BH17" s="55">
        <f t="shared" si="6"/>
        <v>0</v>
      </c>
      <c r="BI17" s="55">
        <f t="shared" si="6"/>
        <v>0</v>
      </c>
      <c r="BJ17" s="55">
        <f t="shared" si="6"/>
        <v>0</v>
      </c>
      <c r="BK17" s="55">
        <f t="shared" si="6"/>
        <v>0</v>
      </c>
      <c r="BL17" s="55">
        <f t="shared" si="6"/>
        <v>0</v>
      </c>
      <c r="BM17" s="55">
        <f t="shared" si="6"/>
        <v>0</v>
      </c>
      <c r="BN17" s="55">
        <f t="shared" si="6"/>
        <v>0</v>
      </c>
      <c r="BO17" s="55">
        <f t="shared" si="6"/>
        <v>0</v>
      </c>
      <c r="BP17" s="55">
        <f t="shared" si="6"/>
        <v>0</v>
      </c>
      <c r="BQ17" s="55">
        <f t="shared" si="6"/>
        <v>0</v>
      </c>
      <c r="BR17" s="55">
        <f>BR16-BR15</f>
        <v>0</v>
      </c>
      <c r="BS17" s="55">
        <f>BS16-BS15</f>
        <v>0</v>
      </c>
      <c r="BT17" s="55">
        <f>BT16-BT15</f>
        <v>0</v>
      </c>
      <c r="BU17" s="55">
        <f>BU16-BU15</f>
        <v>0</v>
      </c>
    </row>
    <row r="18" spans="1:74" s="56" customFormat="1">
      <c r="A18" s="56" t="s">
        <v>294</v>
      </c>
    </row>
    <row r="19" spans="1:74" s="33" customFormat="1">
      <c r="A19" s="33" t="s">
        <v>299</v>
      </c>
      <c r="E19" s="33">
        <f>E5+E17</f>
        <v>226974244.15000001</v>
      </c>
      <c r="F19" s="33">
        <f t="shared" ref="F19:BQ19" si="7">F5+F17</f>
        <v>154125854.38999999</v>
      </c>
      <c r="G19" s="33">
        <f t="shared" si="7"/>
        <v>138278502.11000001</v>
      </c>
      <c r="H19" s="33">
        <f t="shared" si="7"/>
        <v>120241634.16</v>
      </c>
      <c r="I19" s="33">
        <f t="shared" si="7"/>
        <v>321139589.02999997</v>
      </c>
      <c r="J19" s="33">
        <f t="shared" si="7"/>
        <v>142885329.59</v>
      </c>
      <c r="K19" s="33">
        <f t="shared" si="7"/>
        <v>63144531.850000001</v>
      </c>
      <c r="L19" s="33">
        <f t="shared" si="7"/>
        <v>16700348.210000001</v>
      </c>
      <c r="M19" s="33">
        <f t="shared" si="7"/>
        <v>189272536.03999999</v>
      </c>
      <c r="N19" s="33">
        <f t="shared" si="7"/>
        <v>67931567.959999993</v>
      </c>
      <c r="O19" s="33">
        <f t="shared" si="7"/>
        <v>61388827.32</v>
      </c>
      <c r="P19" s="33">
        <f t="shared" si="7"/>
        <v>41432090.189999998</v>
      </c>
      <c r="Q19" s="33">
        <f t="shared" si="7"/>
        <v>170587605.61000001</v>
      </c>
      <c r="R19" s="33">
        <f t="shared" si="7"/>
        <v>93373819.75</v>
      </c>
      <c r="S19" s="33">
        <f t="shared" si="7"/>
        <v>71952390.549999997</v>
      </c>
      <c r="T19" s="33">
        <f t="shared" si="7"/>
        <v>48529344.350000001</v>
      </c>
      <c r="U19" s="33">
        <f t="shared" si="7"/>
        <v>81495701.760000005</v>
      </c>
      <c r="V19" s="33">
        <f t="shared" si="7"/>
        <v>60909876.399999999</v>
      </c>
      <c r="W19" s="33">
        <f t="shared" si="7"/>
        <v>45147578.130000003</v>
      </c>
      <c r="X19" s="33">
        <f t="shared" si="7"/>
        <v>19900505.449999999</v>
      </c>
      <c r="Y19" s="33">
        <f t="shared" si="7"/>
        <v>88562996.700000003</v>
      </c>
      <c r="Z19" s="33">
        <f t="shared" si="7"/>
        <v>75986748.719999999</v>
      </c>
      <c r="AA19" s="33">
        <f t="shared" si="7"/>
        <v>52287216.210000001</v>
      </c>
      <c r="AB19" s="33">
        <f t="shared" si="7"/>
        <v>36972067.969999999</v>
      </c>
      <c r="AC19" s="33">
        <f t="shared" si="7"/>
        <v>246905723.31999999</v>
      </c>
      <c r="AD19" s="33">
        <f t="shared" si="7"/>
        <v>170132025.63</v>
      </c>
      <c r="AE19" s="33">
        <f t="shared" si="7"/>
        <v>83748062.670000002</v>
      </c>
      <c r="AF19" s="33">
        <f t="shared" si="7"/>
        <v>31791540.170000002</v>
      </c>
      <c r="AG19" s="33">
        <f t="shared" si="7"/>
        <v>142923769.32000002</v>
      </c>
      <c r="AH19" s="33">
        <f t="shared" si="7"/>
        <v>79720100.959999993</v>
      </c>
      <c r="AI19" s="33">
        <f t="shared" si="7"/>
        <v>40102046.200000003</v>
      </c>
      <c r="AJ19" s="33">
        <f t="shared" si="7"/>
        <v>21073915.699999999</v>
      </c>
      <c r="AK19" s="33">
        <f t="shared" si="7"/>
        <v>28178533.350000001</v>
      </c>
      <c r="AL19" s="33">
        <f t="shared" si="7"/>
        <v>6961865.9900000002</v>
      </c>
      <c r="AM19" s="33">
        <f t="shared" si="7"/>
        <v>974757.57</v>
      </c>
      <c r="AN19" s="33">
        <f t="shared" si="7"/>
        <v>378589.75</v>
      </c>
      <c r="AO19" s="33">
        <f t="shared" si="7"/>
        <v>11654909.869999999</v>
      </c>
      <c r="AP19" s="33">
        <f t="shared" si="7"/>
        <v>7446372.6900000004</v>
      </c>
      <c r="AQ19" s="33">
        <f t="shared" si="7"/>
        <v>41252022.420000002</v>
      </c>
      <c r="AR19" s="33">
        <f t="shared" si="7"/>
        <v>32840331.440000001</v>
      </c>
      <c r="AS19" s="33">
        <f t="shared" si="7"/>
        <v>0</v>
      </c>
      <c r="AT19" s="33">
        <f t="shared" si="7"/>
        <v>0</v>
      </c>
      <c r="AU19" s="33">
        <f t="shared" si="7"/>
        <v>0</v>
      </c>
      <c r="AV19" s="33">
        <f t="shared" si="7"/>
        <v>0</v>
      </c>
      <c r="AW19" s="33">
        <f t="shared" si="7"/>
        <v>0</v>
      </c>
      <c r="AX19" s="33">
        <f t="shared" si="7"/>
        <v>0</v>
      </c>
      <c r="AY19" s="33">
        <f t="shared" si="7"/>
        <v>0</v>
      </c>
      <c r="AZ19" s="33">
        <f t="shared" si="7"/>
        <v>0</v>
      </c>
      <c r="BA19" s="33">
        <f t="shared" si="7"/>
        <v>0</v>
      </c>
      <c r="BB19" s="33">
        <f t="shared" si="7"/>
        <v>0</v>
      </c>
      <c r="BC19" s="33">
        <f t="shared" si="7"/>
        <v>0</v>
      </c>
      <c r="BD19" s="33">
        <f t="shared" si="7"/>
        <v>0</v>
      </c>
      <c r="BE19" s="33">
        <f t="shared" si="7"/>
        <v>0</v>
      </c>
      <c r="BF19" s="33">
        <f t="shared" si="7"/>
        <v>0</v>
      </c>
      <c r="BG19" s="33">
        <f t="shared" si="7"/>
        <v>0</v>
      </c>
      <c r="BH19" s="33">
        <f t="shared" si="7"/>
        <v>0</v>
      </c>
      <c r="BI19" s="33">
        <f t="shared" si="7"/>
        <v>0</v>
      </c>
      <c r="BJ19" s="33">
        <f t="shared" si="7"/>
        <v>0</v>
      </c>
      <c r="BK19" s="33">
        <f t="shared" si="7"/>
        <v>0</v>
      </c>
      <c r="BL19" s="33">
        <f t="shared" si="7"/>
        <v>0</v>
      </c>
      <c r="BM19" s="33">
        <f t="shared" si="7"/>
        <v>0</v>
      </c>
      <c r="BN19" s="33">
        <f t="shared" si="7"/>
        <v>0</v>
      </c>
      <c r="BO19" s="33">
        <f t="shared" si="7"/>
        <v>0</v>
      </c>
      <c r="BP19" s="33">
        <f t="shared" si="7"/>
        <v>0</v>
      </c>
      <c r="BQ19" s="33">
        <f t="shared" si="7"/>
        <v>0</v>
      </c>
      <c r="BR19" s="33">
        <f>BR5+BR17</f>
        <v>0</v>
      </c>
      <c r="BS19" s="33">
        <f>BS5+BS17</f>
        <v>0</v>
      </c>
      <c r="BT19" s="33">
        <f>BT5+BT17</f>
        <v>0</v>
      </c>
      <c r="BU19" s="33">
        <f>BU5+BU17</f>
        <v>0</v>
      </c>
      <c r="BV19" s="33">
        <f>BV5+BV17</f>
        <v>0</v>
      </c>
    </row>
    <row r="20" spans="1:74" s="33" customFormat="1">
      <c r="A20" s="33" t="s">
        <v>300</v>
      </c>
      <c r="B20" s="33">
        <v>-266878554.88999999</v>
      </c>
      <c r="C20" s="33">
        <v>71271682.930000007</v>
      </c>
      <c r="D20" s="33">
        <v>86084029.420000002</v>
      </c>
      <c r="E20" s="33">
        <v>365753190.24000001</v>
      </c>
      <c r="F20" s="33">
        <v>-156217887.16999999</v>
      </c>
      <c r="G20" s="33">
        <v>-170964279.38</v>
      </c>
      <c r="H20" s="33">
        <v>-47008163.07</v>
      </c>
      <c r="I20" s="33">
        <v>419806129.66000003</v>
      </c>
      <c r="J20" s="33">
        <v>38458581.640000001</v>
      </c>
      <c r="K20" s="33">
        <v>77722048.629999995</v>
      </c>
      <c r="L20" s="33">
        <v>42734952.859999999</v>
      </c>
      <c r="M20" s="33">
        <v>290951554.69999999</v>
      </c>
      <c r="N20" s="33">
        <v>-10436604.26</v>
      </c>
      <c r="O20" s="33">
        <v>-46057469.100000001</v>
      </c>
      <c r="P20" s="33">
        <v>-8499977.6899999995</v>
      </c>
      <c r="Q20" s="33">
        <v>435767496.19</v>
      </c>
      <c r="R20" s="33">
        <v>169747549.08000001</v>
      </c>
      <c r="S20" s="33">
        <v>68292200.230000004</v>
      </c>
      <c r="T20" s="33">
        <v>82976613.319999993</v>
      </c>
      <c r="U20" s="33">
        <v>217813465.68000001</v>
      </c>
      <c r="V20" s="33">
        <v>-34473593.109999999</v>
      </c>
      <c r="W20" s="33">
        <v>-28741700.43</v>
      </c>
      <c r="X20" s="33">
        <v>1166724.8</v>
      </c>
      <c r="Y20" s="33">
        <v>450064115.00999999</v>
      </c>
      <c r="Z20" s="33">
        <v>201993886.41999999</v>
      </c>
      <c r="AA20" s="33">
        <v>19555694</v>
      </c>
      <c r="AB20" s="33">
        <v>17890091.710000001</v>
      </c>
      <c r="AC20" s="33">
        <v>211728037.77000001</v>
      </c>
      <c r="AD20" s="33">
        <v>118929974.05</v>
      </c>
      <c r="AE20" s="33">
        <v>107214877.97</v>
      </c>
      <c r="AF20" s="33">
        <v>61700397.140000001</v>
      </c>
      <c r="AG20" s="33">
        <v>-62782604.369999997</v>
      </c>
      <c r="AH20" s="33">
        <v>-153018539.22999999</v>
      </c>
      <c r="AI20" s="33">
        <v>-90324023.590000004</v>
      </c>
      <c r="AJ20" s="33">
        <v>7892284.5199999996</v>
      </c>
      <c r="AK20" s="33">
        <v>129223126.90000001</v>
      </c>
      <c r="AL20" s="33">
        <v>67541082.170000002</v>
      </c>
      <c r="AM20" s="33">
        <v>32600062.800000001</v>
      </c>
      <c r="AN20" s="33">
        <v>8494115.5700000003</v>
      </c>
      <c r="AO20" s="33">
        <v>67072056.210000001</v>
      </c>
      <c r="AP20" s="33">
        <v>8862501.5299999993</v>
      </c>
      <c r="AQ20" s="33">
        <v>50597222.119999997</v>
      </c>
      <c r="AR20" s="33">
        <v>41802969.229999997</v>
      </c>
      <c r="AS20" s="33">
        <v>0</v>
      </c>
    </row>
    <row r="21" spans="1:74" s="33" customFormat="1">
      <c r="A21" s="33" t="s">
        <v>561</v>
      </c>
      <c r="E21" s="33">
        <f>E20/E19</f>
        <v>1.6114303700391901</v>
      </c>
      <c r="F21" s="33">
        <f t="shared" ref="F21:BQ21" si="8">F20/F19</f>
        <v>-1.0135735356555191</v>
      </c>
      <c r="G21" s="33">
        <f t="shared" si="8"/>
        <v>-1.2363764198428948</v>
      </c>
      <c r="H21" s="33">
        <f t="shared" si="8"/>
        <v>-0.39094747338054642</v>
      </c>
      <c r="I21" s="33">
        <f t="shared" si="8"/>
        <v>1.3072387958395963</v>
      </c>
      <c r="J21" s="33">
        <f t="shared" si="8"/>
        <v>0.26915696489173768</v>
      </c>
      <c r="K21" s="33">
        <f t="shared" si="8"/>
        <v>1.2308595273875642</v>
      </c>
      <c r="L21" s="33">
        <f t="shared" si="8"/>
        <v>2.5589258572710922</v>
      </c>
      <c r="M21" s="33">
        <f t="shared" si="8"/>
        <v>1.5372095750780854</v>
      </c>
      <c r="N21" s="33">
        <f t="shared" si="8"/>
        <v>-0.15363408461505501</v>
      </c>
      <c r="O21" s="33">
        <f t="shared" si="8"/>
        <v>-0.75025816766163955</v>
      </c>
      <c r="P21" s="33">
        <f t="shared" si="8"/>
        <v>-0.2051544503552839</v>
      </c>
      <c r="Q21" s="33">
        <f t="shared" si="8"/>
        <v>2.5545085449306222</v>
      </c>
      <c r="R21" s="33">
        <f t="shared" si="8"/>
        <v>1.8179351507144486</v>
      </c>
      <c r="S21" s="33">
        <f t="shared" si="8"/>
        <v>0.94913038618978873</v>
      </c>
      <c r="T21" s="33">
        <f t="shared" si="8"/>
        <v>1.7098234981614786</v>
      </c>
      <c r="U21" s="33">
        <f t="shared" si="8"/>
        <v>2.6726988169443304</v>
      </c>
      <c r="V21" s="33">
        <f t="shared" si="8"/>
        <v>-0.56597706558472016</v>
      </c>
      <c r="W21" s="33">
        <f t="shared" si="8"/>
        <v>-0.63661666074844214</v>
      </c>
      <c r="X21" s="33">
        <f t="shared" si="8"/>
        <v>5.8627897815530114E-2</v>
      </c>
      <c r="Y21" s="33">
        <f t="shared" si="8"/>
        <v>5.0818528254475828</v>
      </c>
      <c r="Z21" s="33">
        <f t="shared" si="8"/>
        <v>2.658277789517193</v>
      </c>
      <c r="AA21" s="33">
        <f t="shared" si="8"/>
        <v>0.37400526204070406</v>
      </c>
      <c r="AB21" s="33">
        <f t="shared" si="8"/>
        <v>0.48388128369006678</v>
      </c>
      <c r="AC21" s="33">
        <f t="shared" si="8"/>
        <v>0.85752583991579545</v>
      </c>
      <c r="AD21" s="33">
        <f t="shared" si="8"/>
        <v>0.69904518922643477</v>
      </c>
      <c r="AE21" s="33">
        <f t="shared" si="8"/>
        <v>1.2802072615395104</v>
      </c>
      <c r="AF21" s="33">
        <f t="shared" si="8"/>
        <v>1.9407803714468483</v>
      </c>
      <c r="AG21" s="33">
        <f t="shared" si="8"/>
        <v>-0.43927335997858069</v>
      </c>
      <c r="AH21" s="33">
        <f t="shared" si="8"/>
        <v>-1.9194473838759674</v>
      </c>
      <c r="AI21" s="33">
        <f t="shared" si="8"/>
        <v>-2.2523544843454895</v>
      </c>
      <c r="AJ21" s="33">
        <f t="shared" si="8"/>
        <v>0.37450489184598951</v>
      </c>
      <c r="AK21" s="33">
        <f t="shared" si="8"/>
        <v>4.5858712834676334</v>
      </c>
      <c r="AL21" s="33">
        <f t="shared" si="8"/>
        <v>9.7015774602693838</v>
      </c>
      <c r="AM21" s="33">
        <f t="shared" si="8"/>
        <v>33.444277637156489</v>
      </c>
      <c r="AN21" s="33">
        <f t="shared" si="8"/>
        <v>22.436200583877405</v>
      </c>
      <c r="AO21" s="33">
        <f t="shared" si="8"/>
        <v>5.754832680658045</v>
      </c>
      <c r="AP21" s="33">
        <f t="shared" si="8"/>
        <v>1.1901770028112841</v>
      </c>
      <c r="AQ21" s="33">
        <f t="shared" si="8"/>
        <v>1.2265391889118438</v>
      </c>
      <c r="AR21" s="33">
        <f t="shared" si="8"/>
        <v>1.2729155704891386</v>
      </c>
      <c r="AS21" s="33" t="e">
        <f t="shared" si="8"/>
        <v>#DIV/0!</v>
      </c>
      <c r="AT21" s="33" t="e">
        <f t="shared" si="8"/>
        <v>#DIV/0!</v>
      </c>
      <c r="AU21" s="33" t="e">
        <f t="shared" si="8"/>
        <v>#DIV/0!</v>
      </c>
      <c r="AV21" s="33" t="e">
        <f t="shared" si="8"/>
        <v>#DIV/0!</v>
      </c>
      <c r="AW21" s="33" t="e">
        <f t="shared" si="8"/>
        <v>#DIV/0!</v>
      </c>
      <c r="AX21" s="33" t="e">
        <f t="shared" si="8"/>
        <v>#DIV/0!</v>
      </c>
      <c r="AY21" s="33" t="e">
        <f t="shared" si="8"/>
        <v>#DIV/0!</v>
      </c>
      <c r="AZ21" s="33" t="e">
        <f t="shared" si="8"/>
        <v>#DIV/0!</v>
      </c>
      <c r="BA21" s="33" t="e">
        <f t="shared" si="8"/>
        <v>#DIV/0!</v>
      </c>
      <c r="BB21" s="33" t="e">
        <f t="shared" si="8"/>
        <v>#DIV/0!</v>
      </c>
      <c r="BC21" s="33" t="e">
        <f t="shared" si="8"/>
        <v>#DIV/0!</v>
      </c>
      <c r="BD21" s="33" t="e">
        <f t="shared" si="8"/>
        <v>#DIV/0!</v>
      </c>
      <c r="BE21" s="33" t="e">
        <f t="shared" si="8"/>
        <v>#DIV/0!</v>
      </c>
      <c r="BF21" s="33" t="e">
        <f t="shared" si="8"/>
        <v>#DIV/0!</v>
      </c>
      <c r="BG21" s="33" t="e">
        <f t="shared" si="8"/>
        <v>#DIV/0!</v>
      </c>
      <c r="BH21" s="33" t="e">
        <f t="shared" si="8"/>
        <v>#DIV/0!</v>
      </c>
      <c r="BI21" s="33" t="e">
        <f t="shared" si="8"/>
        <v>#DIV/0!</v>
      </c>
      <c r="BJ21" s="33" t="e">
        <f t="shared" si="8"/>
        <v>#DIV/0!</v>
      </c>
      <c r="BK21" s="33" t="e">
        <f t="shared" si="8"/>
        <v>#DIV/0!</v>
      </c>
      <c r="BL21" s="33" t="e">
        <f t="shared" si="8"/>
        <v>#DIV/0!</v>
      </c>
      <c r="BM21" s="33" t="e">
        <f t="shared" si="8"/>
        <v>#DIV/0!</v>
      </c>
      <c r="BN21" s="33" t="e">
        <f t="shared" si="8"/>
        <v>#DIV/0!</v>
      </c>
      <c r="BO21" s="33" t="e">
        <f t="shared" si="8"/>
        <v>#DIV/0!</v>
      </c>
      <c r="BP21" s="33" t="e">
        <f t="shared" si="8"/>
        <v>#DIV/0!</v>
      </c>
      <c r="BQ21" s="33" t="e">
        <f t="shared" si="8"/>
        <v>#DIV/0!</v>
      </c>
      <c r="BR21" s="33" t="e">
        <f>BR20/BR19</f>
        <v>#DIV/0!</v>
      </c>
      <c r="BS21" s="33" t="e">
        <f>BS20/BS19</f>
        <v>#DIV/0!</v>
      </c>
      <c r="BT21" s="33" t="e">
        <f>BT20/BT19</f>
        <v>#DIV/0!</v>
      </c>
      <c r="BU21" s="33" t="e">
        <f>BU20/BU19</f>
        <v>#DIV/0!</v>
      </c>
      <c r="BV21" s="33" t="e">
        <f>BV20/BV19</f>
        <v>#DIV/0!</v>
      </c>
    </row>
    <row r="22" spans="1:74" s="33" customFormat="1">
      <c r="A22" s="33" t="s">
        <v>301</v>
      </c>
      <c r="E22" s="33">
        <f>I35</f>
        <v>777942517.54999995</v>
      </c>
      <c r="F22" s="33">
        <f t="shared" ref="F22:BL22" si="9">J35</f>
        <v>623681233.03000009</v>
      </c>
      <c r="G22" s="33">
        <f t="shared" si="9"/>
        <v>656787777.10000002</v>
      </c>
      <c r="H22" s="33">
        <f t="shared" si="9"/>
        <v>795373187.23999989</v>
      </c>
      <c r="I22" s="33">
        <f t="shared" si="9"/>
        <v>973286905.5</v>
      </c>
      <c r="J22" s="33">
        <f t="shared" si="9"/>
        <v>809711157.58999991</v>
      </c>
      <c r="K22" s="33">
        <f t="shared" si="9"/>
        <v>570581984.97000003</v>
      </c>
      <c r="L22" s="33">
        <f t="shared" si="9"/>
        <v>909436222.82000005</v>
      </c>
      <c r="M22" s="33">
        <f t="shared" si="9"/>
        <v>964978678.83000004</v>
      </c>
      <c r="N22" s="33">
        <f t="shared" si="9"/>
        <v>755741642.29999995</v>
      </c>
      <c r="O22" s="33">
        <f t="shared" si="9"/>
        <v>665116750.71000004</v>
      </c>
      <c r="P22" s="33">
        <f t="shared" si="9"/>
        <v>763230395.60000002</v>
      </c>
      <c r="Q22" s="33">
        <f t="shared" si="9"/>
        <v>706490908.72000003</v>
      </c>
      <c r="R22" s="33">
        <f t="shared" si="9"/>
        <v>501180113.66000003</v>
      </c>
      <c r="S22" s="33">
        <f t="shared" si="9"/>
        <v>502241523.37</v>
      </c>
      <c r="T22" s="33">
        <f t="shared" si="9"/>
        <v>602246499.29999995</v>
      </c>
      <c r="U22" s="33">
        <f t="shared" si="9"/>
        <v>673380231.46000004</v>
      </c>
      <c r="V22" s="33">
        <f t="shared" si="9"/>
        <v>643489726.26999998</v>
      </c>
      <c r="W22" s="33">
        <f t="shared" si="9"/>
        <v>488036620.79000002</v>
      </c>
      <c r="X22" s="33">
        <f t="shared" si="9"/>
        <v>510333384.02999997</v>
      </c>
      <c r="Y22" s="33">
        <f t="shared" si="9"/>
        <v>534179707.85000002</v>
      </c>
      <c r="Z22" s="33">
        <f t="shared" si="9"/>
        <v>523746129.82999998</v>
      </c>
      <c r="AA22" s="33">
        <f t="shared" si="9"/>
        <v>641391460.04999995</v>
      </c>
      <c r="AB22" s="33">
        <f t="shared" si="9"/>
        <v>665322811.37</v>
      </c>
      <c r="AC22" s="33">
        <f t="shared" si="9"/>
        <v>666518672.60000002</v>
      </c>
      <c r="AD22" s="33">
        <f t="shared" si="9"/>
        <v>628738523.15999997</v>
      </c>
      <c r="AE22" s="33">
        <f t="shared" si="9"/>
        <v>719788534.54999995</v>
      </c>
      <c r="AF22" s="33">
        <f t="shared" si="9"/>
        <v>836933325.63999999</v>
      </c>
      <c r="AG22" s="33">
        <f t="shared" si="9"/>
        <v>853443052.58000004</v>
      </c>
      <c r="AH22" s="33">
        <f t="shared" si="9"/>
        <v>79196016.939999998</v>
      </c>
      <c r="AI22" s="33">
        <f t="shared" si="9"/>
        <v>63469949.020000003</v>
      </c>
      <c r="AJ22" s="33">
        <f t="shared" si="9"/>
        <v>78477223.810000002</v>
      </c>
      <c r="AK22" s="33">
        <f t="shared" si="9"/>
        <v>78997061.840000004</v>
      </c>
      <c r="AL22" s="33">
        <f t="shared" si="9"/>
        <v>44249685.200000003</v>
      </c>
      <c r="AM22" s="33">
        <f t="shared" si="9"/>
        <v>0</v>
      </c>
      <c r="AN22" s="33">
        <f t="shared" si="9"/>
        <v>0</v>
      </c>
      <c r="AO22" s="33">
        <f t="shared" si="9"/>
        <v>0</v>
      </c>
      <c r="AP22" s="33">
        <f t="shared" si="9"/>
        <v>0</v>
      </c>
      <c r="AQ22" s="33">
        <f t="shared" si="9"/>
        <v>0</v>
      </c>
      <c r="AR22" s="33">
        <f t="shared" si="9"/>
        <v>0</v>
      </c>
      <c r="AS22" s="33">
        <f t="shared" si="9"/>
        <v>0</v>
      </c>
      <c r="AT22" s="33">
        <f t="shared" si="9"/>
        <v>0</v>
      </c>
      <c r="AU22" s="33">
        <f t="shared" si="9"/>
        <v>0</v>
      </c>
      <c r="AV22" s="33">
        <f t="shared" si="9"/>
        <v>0</v>
      </c>
      <c r="AW22" s="33">
        <f t="shared" si="9"/>
        <v>0</v>
      </c>
      <c r="AX22" s="33">
        <f t="shared" si="9"/>
        <v>0</v>
      </c>
      <c r="AY22" s="33">
        <f t="shared" si="9"/>
        <v>0</v>
      </c>
      <c r="AZ22" s="33">
        <f t="shared" si="9"/>
        <v>0</v>
      </c>
      <c r="BA22" s="33">
        <f t="shared" si="9"/>
        <v>0</v>
      </c>
      <c r="BB22" s="33">
        <f t="shared" si="9"/>
        <v>0</v>
      </c>
      <c r="BC22" s="33">
        <f t="shared" si="9"/>
        <v>0</v>
      </c>
      <c r="BD22" s="33">
        <f t="shared" si="9"/>
        <v>0</v>
      </c>
      <c r="BE22" s="33">
        <f t="shared" si="9"/>
        <v>0</v>
      </c>
      <c r="BF22" s="33">
        <f t="shared" si="9"/>
        <v>0</v>
      </c>
      <c r="BG22" s="33">
        <f t="shared" si="9"/>
        <v>0</v>
      </c>
      <c r="BH22" s="33">
        <f t="shared" si="9"/>
        <v>0</v>
      </c>
      <c r="BI22" s="33">
        <f t="shared" si="9"/>
        <v>0</v>
      </c>
      <c r="BJ22" s="33">
        <f t="shared" si="9"/>
        <v>0</v>
      </c>
      <c r="BK22" s="33">
        <f t="shared" si="9"/>
        <v>0</v>
      </c>
      <c r="BL22" s="33">
        <f t="shared" si="9"/>
        <v>0</v>
      </c>
      <c r="BM22" s="33">
        <f>BO35</f>
        <v>0</v>
      </c>
      <c r="BN22" s="33">
        <f t="shared" ref="BN22:BU22" si="10">BP35</f>
        <v>0</v>
      </c>
      <c r="BO22" s="33">
        <f t="shared" si="10"/>
        <v>0</v>
      </c>
      <c r="BP22" s="33">
        <f t="shared" si="10"/>
        <v>0</v>
      </c>
      <c r="BQ22" s="33">
        <f t="shared" si="10"/>
        <v>0</v>
      </c>
      <c r="BR22" s="33">
        <f t="shared" si="10"/>
        <v>0</v>
      </c>
      <c r="BS22" s="33">
        <f t="shared" si="10"/>
        <v>0</v>
      </c>
      <c r="BT22" s="33">
        <f t="shared" si="10"/>
        <v>1207647065.74</v>
      </c>
      <c r="BU22" s="33">
        <f t="shared" si="10"/>
        <v>0</v>
      </c>
    </row>
    <row r="23" spans="1:74" s="33" customFormat="1">
      <c r="A23" s="33" t="s">
        <v>302</v>
      </c>
      <c r="E23" s="33">
        <f>E20+E22-E19</f>
        <v>916721463.63999999</v>
      </c>
      <c r="F23" s="33">
        <f t="shared" ref="F23:BQ23" si="11">F20+F22-F19</f>
        <v>313337491.47000015</v>
      </c>
      <c r="G23" s="33">
        <f t="shared" si="11"/>
        <v>347544995.61000001</v>
      </c>
      <c r="H23" s="33">
        <f t="shared" si="11"/>
        <v>628123390.00999987</v>
      </c>
      <c r="I23" s="33">
        <f t="shared" si="11"/>
        <v>1071953446.1300001</v>
      </c>
      <c r="J23" s="33">
        <f t="shared" si="11"/>
        <v>705284409.63999987</v>
      </c>
      <c r="K23" s="33">
        <f t="shared" si="11"/>
        <v>585159501.75</v>
      </c>
      <c r="L23" s="33">
        <f t="shared" si="11"/>
        <v>935470827.47000003</v>
      </c>
      <c r="M23" s="33">
        <f t="shared" si="11"/>
        <v>1066657697.49</v>
      </c>
      <c r="N23" s="33">
        <f t="shared" si="11"/>
        <v>677373470.07999992</v>
      </c>
      <c r="O23" s="33">
        <f t="shared" si="11"/>
        <v>557670454.28999996</v>
      </c>
      <c r="P23" s="33">
        <f t="shared" si="11"/>
        <v>713298327.72000003</v>
      </c>
      <c r="Q23" s="33">
        <f t="shared" si="11"/>
        <v>971670799.30000007</v>
      </c>
      <c r="R23" s="33">
        <f t="shared" si="11"/>
        <v>577553842.99000001</v>
      </c>
      <c r="S23" s="33">
        <f t="shared" si="11"/>
        <v>498581333.05000001</v>
      </c>
      <c r="T23" s="33">
        <f t="shared" si="11"/>
        <v>636693768.26999986</v>
      </c>
      <c r="U23" s="33">
        <f t="shared" si="11"/>
        <v>809697995.38000011</v>
      </c>
      <c r="V23" s="33">
        <f t="shared" si="11"/>
        <v>548106256.75999999</v>
      </c>
      <c r="W23" s="33">
        <f t="shared" si="11"/>
        <v>414147342.23000002</v>
      </c>
      <c r="X23" s="33">
        <f t="shared" si="11"/>
        <v>491599603.38</v>
      </c>
      <c r="Y23" s="33">
        <f t="shared" si="11"/>
        <v>895680826.15999997</v>
      </c>
      <c r="Z23" s="33">
        <f t="shared" si="11"/>
        <v>649753267.52999997</v>
      </c>
      <c r="AA23" s="33">
        <f t="shared" si="11"/>
        <v>608659937.83999991</v>
      </c>
      <c r="AB23" s="33">
        <f t="shared" si="11"/>
        <v>646240835.11000001</v>
      </c>
      <c r="AC23" s="33">
        <f t="shared" si="11"/>
        <v>631340987.04999995</v>
      </c>
      <c r="AD23" s="33">
        <f t="shared" si="11"/>
        <v>577536471.57999992</v>
      </c>
      <c r="AE23" s="33">
        <f t="shared" si="11"/>
        <v>743255349.85000002</v>
      </c>
      <c r="AF23" s="33">
        <f t="shared" si="11"/>
        <v>866842182.61000001</v>
      </c>
      <c r="AG23" s="33">
        <f t="shared" si="11"/>
        <v>647736678.88999999</v>
      </c>
      <c r="AH23" s="33">
        <f t="shared" si="11"/>
        <v>-153542623.25</v>
      </c>
      <c r="AI23" s="33">
        <f t="shared" si="11"/>
        <v>-66956120.770000003</v>
      </c>
      <c r="AJ23" s="33">
        <f t="shared" si="11"/>
        <v>65295592.629999995</v>
      </c>
      <c r="AK23" s="33">
        <f t="shared" si="11"/>
        <v>180041655.39000002</v>
      </c>
      <c r="AL23" s="33">
        <f t="shared" si="11"/>
        <v>104828901.38000001</v>
      </c>
      <c r="AM23" s="33">
        <f t="shared" si="11"/>
        <v>31625305.23</v>
      </c>
      <c r="AN23" s="33">
        <f t="shared" si="11"/>
        <v>8115525.8200000003</v>
      </c>
      <c r="AO23" s="33">
        <f t="shared" si="11"/>
        <v>55417146.340000004</v>
      </c>
      <c r="AP23" s="33">
        <f t="shared" si="11"/>
        <v>1416128.8399999989</v>
      </c>
      <c r="AQ23" s="33">
        <f t="shared" si="11"/>
        <v>9345199.6999999955</v>
      </c>
      <c r="AR23" s="33">
        <f t="shared" si="11"/>
        <v>8962637.7899999954</v>
      </c>
      <c r="AS23" s="33">
        <f t="shared" si="11"/>
        <v>0</v>
      </c>
      <c r="AT23" s="33">
        <f t="shared" si="11"/>
        <v>0</v>
      </c>
      <c r="AU23" s="33">
        <f t="shared" si="11"/>
        <v>0</v>
      </c>
      <c r="AV23" s="33">
        <f t="shared" si="11"/>
        <v>0</v>
      </c>
      <c r="AW23" s="33">
        <f t="shared" si="11"/>
        <v>0</v>
      </c>
      <c r="AX23" s="33">
        <f t="shared" si="11"/>
        <v>0</v>
      </c>
      <c r="AY23" s="33">
        <f t="shared" si="11"/>
        <v>0</v>
      </c>
      <c r="AZ23" s="33">
        <f t="shared" si="11"/>
        <v>0</v>
      </c>
      <c r="BA23" s="33">
        <f t="shared" si="11"/>
        <v>0</v>
      </c>
      <c r="BB23" s="33">
        <f t="shared" si="11"/>
        <v>0</v>
      </c>
      <c r="BC23" s="33">
        <f t="shared" si="11"/>
        <v>0</v>
      </c>
      <c r="BD23" s="33">
        <f t="shared" si="11"/>
        <v>0</v>
      </c>
      <c r="BE23" s="33">
        <f t="shared" si="11"/>
        <v>0</v>
      </c>
      <c r="BF23" s="33">
        <f t="shared" si="11"/>
        <v>0</v>
      </c>
      <c r="BG23" s="33">
        <f t="shared" si="11"/>
        <v>0</v>
      </c>
      <c r="BH23" s="33">
        <f t="shared" si="11"/>
        <v>0</v>
      </c>
      <c r="BI23" s="33">
        <f t="shared" si="11"/>
        <v>0</v>
      </c>
      <c r="BJ23" s="33">
        <f t="shared" si="11"/>
        <v>0</v>
      </c>
      <c r="BK23" s="33">
        <f t="shared" si="11"/>
        <v>0</v>
      </c>
      <c r="BL23" s="33">
        <f t="shared" si="11"/>
        <v>0</v>
      </c>
      <c r="BM23" s="33">
        <f t="shared" si="11"/>
        <v>0</v>
      </c>
      <c r="BN23" s="33">
        <f t="shared" si="11"/>
        <v>0</v>
      </c>
      <c r="BO23" s="33">
        <f t="shared" si="11"/>
        <v>0</v>
      </c>
      <c r="BP23" s="33">
        <f t="shared" si="11"/>
        <v>0</v>
      </c>
      <c r="BQ23" s="33">
        <f t="shared" si="11"/>
        <v>0</v>
      </c>
      <c r="BR23" s="33">
        <f>BR20+BR22-BR19</f>
        <v>0</v>
      </c>
      <c r="BS23" s="33">
        <f>BS20+BS22-BS19</f>
        <v>0</v>
      </c>
      <c r="BT23" s="33">
        <f>BT20+BT22-BT19</f>
        <v>1207647065.74</v>
      </c>
      <c r="BU23" s="33">
        <f>BU20+BU22-BU19</f>
        <v>0</v>
      </c>
      <c r="BV23" s="33">
        <f>BV20+BV22-BV19</f>
        <v>0</v>
      </c>
    </row>
    <row r="24" spans="1:74" s="33" customFormat="1">
      <c r="A24" s="33" t="s">
        <v>303</v>
      </c>
      <c r="B24" s="33">
        <v>210306361.09999999</v>
      </c>
      <c r="C24" s="33">
        <v>214423285.72999999</v>
      </c>
      <c r="D24" s="33">
        <v>321027389.10000002</v>
      </c>
      <c r="E24" s="33">
        <v>13446967.58</v>
      </c>
      <c r="F24" s="33">
        <v>75828593.090000004</v>
      </c>
      <c r="G24" s="33">
        <v>78112461.620000005</v>
      </c>
      <c r="H24" s="33">
        <v>72228392.260000005</v>
      </c>
      <c r="I24" s="33">
        <v>-18354341.489999998</v>
      </c>
      <c r="J24" s="33">
        <v>10577433.49</v>
      </c>
      <c r="K24" s="33">
        <v>23720013.329999998</v>
      </c>
      <c r="L24" s="33">
        <v>-5352873.0599999996</v>
      </c>
      <c r="M24" s="33">
        <v>-260417083.03</v>
      </c>
      <c r="N24" s="33">
        <v>8032355.6399999997</v>
      </c>
      <c r="O24" s="33">
        <v>-11802353.99</v>
      </c>
      <c r="P24" s="33">
        <v>6615706.9800000004</v>
      </c>
      <c r="Q24" s="33">
        <v>37568810.210000001</v>
      </c>
      <c r="R24" s="33">
        <v>21256025.620000001</v>
      </c>
      <c r="S24" s="33">
        <v>22419551.719999999</v>
      </c>
      <c r="T24" s="33">
        <v>-1872812</v>
      </c>
      <c r="U24" s="33">
        <v>-41328068.890000001</v>
      </c>
      <c r="V24" s="33">
        <v>-44722111.490000002</v>
      </c>
      <c r="W24" s="33">
        <v>-21612739.489999998</v>
      </c>
      <c r="X24" s="33">
        <v>-3068527.4</v>
      </c>
      <c r="Y24" s="33">
        <v>-33404659.289999999</v>
      </c>
      <c r="Z24" s="33">
        <v>-16670788.5</v>
      </c>
      <c r="AA24" s="33">
        <v>-13415234.07</v>
      </c>
      <c r="AB24" s="33">
        <v>-4768016.78</v>
      </c>
      <c r="AC24" s="33">
        <v>-102181656.73</v>
      </c>
      <c r="AD24" s="33">
        <v>-90566403.25</v>
      </c>
      <c r="AE24" s="33">
        <v>-49030179.530000001</v>
      </c>
      <c r="AF24" s="33">
        <v>-31570332.77</v>
      </c>
      <c r="AG24" s="33">
        <v>6196055.9100000001</v>
      </c>
      <c r="AH24" s="33">
        <v>7790914.0899999999</v>
      </c>
      <c r="AI24" s="33">
        <v>-3328095.76</v>
      </c>
      <c r="AJ24" s="33">
        <v>-3328095.76</v>
      </c>
      <c r="AK24" s="33">
        <v>672957881.89999998</v>
      </c>
      <c r="AL24" s="33">
        <v>-59880751.810000002</v>
      </c>
      <c r="AM24" s="33">
        <v>-46632580.020000003</v>
      </c>
      <c r="AN24" s="33">
        <v>-28527614.18</v>
      </c>
      <c r="AO24" s="33">
        <v>-55936984.369999997</v>
      </c>
      <c r="AP24" s="33">
        <v>-31751802.190000001</v>
      </c>
      <c r="AQ24" s="33">
        <v>29802176.940000001</v>
      </c>
      <c r="AR24" s="33">
        <v>14079976.689999999</v>
      </c>
      <c r="AS24" s="33">
        <v>0</v>
      </c>
    </row>
    <row r="25" spans="1:74" s="129" customFormat="1" ht="79.5" customHeight="1">
      <c r="A25" s="163" t="s">
        <v>583</v>
      </c>
      <c r="B25" s="164"/>
      <c r="C25" s="164"/>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4"/>
      <c r="AB25" s="164"/>
      <c r="AC25" s="164"/>
      <c r="AD25" s="164"/>
      <c r="AE25" s="164"/>
      <c r="AF25" s="164"/>
      <c r="AG25" s="164"/>
      <c r="AH25" s="164"/>
      <c r="AI25" s="164"/>
      <c r="AJ25" s="164"/>
      <c r="AK25" s="164"/>
    </row>
    <row r="26" spans="1:74" s="33" customFormat="1"/>
    <row r="27" spans="1:74" s="33" customFormat="1"/>
    <row r="28" spans="1:74" s="33" customFormat="1"/>
    <row r="29" spans="1:74" s="33" customFormat="1"/>
    <row r="30" spans="1:74" s="37" customFormat="1" ht="11.25" customHeight="1">
      <c r="A30" s="130"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39447</v>
      </c>
      <c r="AR30" s="1">
        <v>39082</v>
      </c>
      <c r="AS30" s="1">
        <v>25569</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60" customFormat="1" hidden="1">
      <c r="A31" s="125" t="s">
        <v>310</v>
      </c>
      <c r="B31" s="48">
        <v>1691570166.75</v>
      </c>
      <c r="C31" s="48">
        <v>1667355041.6900001</v>
      </c>
      <c r="D31" s="48">
        <v>1649889445.6199999</v>
      </c>
      <c r="E31" s="48">
        <v>1635447802.6400001</v>
      </c>
      <c r="F31" s="48">
        <v>1591653245.6700001</v>
      </c>
      <c r="G31" s="48">
        <v>1494065992.1900001</v>
      </c>
      <c r="H31" s="48">
        <v>1477802547.53</v>
      </c>
      <c r="I31" s="48">
        <v>1461499878.1700001</v>
      </c>
      <c r="J31" s="48">
        <v>1259120155.3800001</v>
      </c>
      <c r="K31" s="48">
        <v>1214994038.49</v>
      </c>
      <c r="L31" s="48">
        <v>1184977978.0799999</v>
      </c>
      <c r="M31" s="48">
        <v>1182425773.76</v>
      </c>
      <c r="N31" s="48">
        <v>1098495316.04</v>
      </c>
      <c r="O31" s="48">
        <v>1077558064.8499999</v>
      </c>
      <c r="P31" s="48">
        <v>839094773.11000001</v>
      </c>
      <c r="Q31" s="48">
        <v>807731294.65999997</v>
      </c>
      <c r="R31" s="48">
        <v>749263981.16999996</v>
      </c>
      <c r="S31" s="48">
        <v>735499582.28999996</v>
      </c>
      <c r="T31" s="48">
        <v>710694914.15999997</v>
      </c>
      <c r="U31" s="48">
        <v>699262006.82000005</v>
      </c>
      <c r="V31" s="48">
        <v>668499983.16999996</v>
      </c>
      <c r="W31" s="48">
        <v>646240740.63999999</v>
      </c>
      <c r="X31" s="48">
        <v>632344542.03999996</v>
      </c>
      <c r="Y31" s="48">
        <v>619029551.51999998</v>
      </c>
      <c r="Z31" s="48">
        <v>565603737.48000002</v>
      </c>
      <c r="AA31" s="48">
        <v>543671380.01999998</v>
      </c>
      <c r="AB31" s="48">
        <v>509305736.06</v>
      </c>
      <c r="AC31" s="48">
        <v>478274483.81</v>
      </c>
      <c r="AD31" s="48">
        <v>376398258.69</v>
      </c>
      <c r="AE31" s="48">
        <v>309691045.01999998</v>
      </c>
      <c r="AF31" s="48">
        <v>295490502.18000001</v>
      </c>
      <c r="AG31" s="48">
        <v>276281864.79000002</v>
      </c>
      <c r="AH31" s="48">
        <v>232990840.75</v>
      </c>
      <c r="AI31" s="48">
        <v>201806080.77000001</v>
      </c>
      <c r="AJ31" s="48">
        <v>187685699.58000001</v>
      </c>
      <c r="AK31" s="48">
        <v>173757421.33000001</v>
      </c>
      <c r="AL31" s="48">
        <v>158879455.81</v>
      </c>
      <c r="AM31" s="48">
        <v>153814433.28999999</v>
      </c>
      <c r="AN31" s="48">
        <v>161546347.99000001</v>
      </c>
      <c r="AO31" s="48">
        <v>158715638.03999999</v>
      </c>
      <c r="AP31" s="48">
        <v>108220008.62</v>
      </c>
      <c r="AQ31" s="48">
        <v>0</v>
      </c>
      <c r="AR31" s="48"/>
      <c r="AS31" s="48"/>
      <c r="AT31" s="48">
        <v>3009392335.1999998</v>
      </c>
      <c r="AU31" s="48">
        <v>2928996393.5799999</v>
      </c>
      <c r="AV31" s="48">
        <v>2595409724.9000001</v>
      </c>
      <c r="AW31" s="48">
        <v>2597468323.4099998</v>
      </c>
      <c r="AX31" s="48">
        <v>2410763534.8400002</v>
      </c>
      <c r="AY31" s="48">
        <v>2483820863.0900002</v>
      </c>
      <c r="AZ31" s="48">
        <v>2554486005</v>
      </c>
      <c r="BA31" s="48">
        <v>2574247298.3200002</v>
      </c>
      <c r="BB31" s="48">
        <v>2609201305.6399999</v>
      </c>
      <c r="BC31" s="48">
        <v>2683968901.46</v>
      </c>
      <c r="BD31" s="48">
        <v>2689101232.8800001</v>
      </c>
      <c r="BE31" s="48">
        <v>2676403110.5799999</v>
      </c>
      <c r="BF31" s="48">
        <v>2633768248.5900002</v>
      </c>
      <c r="BG31" s="48">
        <v>2540908104.8800001</v>
      </c>
      <c r="BH31" s="48">
        <v>2627501543.46</v>
      </c>
      <c r="BI31" s="48">
        <v>2633995522.4200001</v>
      </c>
      <c r="BJ31" s="48">
        <v>2697608030.8499999</v>
      </c>
      <c r="BK31" s="48">
        <v>2506061093.3600001</v>
      </c>
      <c r="BL31" s="48">
        <v>2449347773.48</v>
      </c>
      <c r="BM31" s="48">
        <v>2441134555.5</v>
      </c>
      <c r="BN31" s="48">
        <v>2120830735.96</v>
      </c>
      <c r="BO31" s="48">
        <v>2152380109.23</v>
      </c>
      <c r="BP31" s="48">
        <v>2117283926.8199999</v>
      </c>
      <c r="BQ31" s="48">
        <v>2007899852.48</v>
      </c>
      <c r="BR31" s="48">
        <v>2214134485.5799999</v>
      </c>
      <c r="BS31" s="48">
        <v>1814339827.5999999</v>
      </c>
      <c r="BT31" s="48">
        <v>2086744304.6300001</v>
      </c>
      <c r="BU31" s="48">
        <v>1960182316.27</v>
      </c>
      <c r="BV31" s="48">
        <v>1207621496.74</v>
      </c>
    </row>
    <row r="32" spans="1:74" s="63" customFormat="1">
      <c r="A32" s="126" t="s">
        <v>311</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c r="AR32" s="48"/>
      <c r="AS32" s="48"/>
      <c r="AT32" s="48">
        <v>3415582.14</v>
      </c>
      <c r="AU32" s="48">
        <v>3415582.14</v>
      </c>
      <c r="AV32" s="48">
        <v>3415582.14</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row>
    <row r="33" spans="1:74" s="63" customFormat="1">
      <c r="A33" s="126" t="s">
        <v>312</v>
      </c>
      <c r="B33" s="48">
        <v>224500000</v>
      </c>
      <c r="C33" s="48">
        <v>224500000</v>
      </c>
      <c r="D33" s="48">
        <v>224500000</v>
      </c>
      <c r="E33" s="48">
        <v>224500000</v>
      </c>
      <c r="F33" s="48">
        <v>224500000</v>
      </c>
      <c r="G33" s="48">
        <v>224500000</v>
      </c>
      <c r="H33" s="48">
        <v>224500000</v>
      </c>
      <c r="I33" s="48">
        <v>224500000</v>
      </c>
      <c r="J33" s="48">
        <v>224500000</v>
      </c>
      <c r="K33" s="48">
        <v>224500000</v>
      </c>
      <c r="L33" s="48">
        <v>224500000</v>
      </c>
      <c r="M33" s="48">
        <v>224500000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c r="AR33" s="48"/>
      <c r="AS33" s="48"/>
      <c r="AT33" s="48">
        <v>72206746.420000002</v>
      </c>
      <c r="AU33" s="48">
        <v>53135688.640000001</v>
      </c>
      <c r="AV33" s="48">
        <v>16071139.970000001</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row>
    <row r="34" spans="1:74" s="52" customFormat="1" ht="14.25" thickBot="1">
      <c r="A34" s="57" t="s">
        <v>315</v>
      </c>
      <c r="B34" s="58"/>
      <c r="C34" s="58"/>
      <c r="D34" s="58"/>
      <c r="E34" s="58">
        <f>E31-E32-E33</f>
        <v>1410947802.6400001</v>
      </c>
      <c r="F34" s="58">
        <f t="shared" ref="F34:BQ34" si="12">F31-F32-F33</f>
        <v>1367153245.6700001</v>
      </c>
      <c r="G34" s="58">
        <f t="shared" si="12"/>
        <v>1269565992.1900001</v>
      </c>
      <c r="H34" s="58">
        <f t="shared" si="12"/>
        <v>1253302547.53</v>
      </c>
      <c r="I34" s="58">
        <f t="shared" si="12"/>
        <v>1236999878.1700001</v>
      </c>
      <c r="J34" s="58">
        <f t="shared" si="12"/>
        <v>1034620155.3800001</v>
      </c>
      <c r="K34" s="58">
        <f t="shared" si="12"/>
        <v>990494038.49000001</v>
      </c>
      <c r="L34" s="58">
        <f t="shared" si="12"/>
        <v>960477978.07999992</v>
      </c>
      <c r="M34" s="58">
        <f t="shared" si="12"/>
        <v>957925773.75999999</v>
      </c>
      <c r="N34" s="58">
        <f t="shared" si="12"/>
        <v>1098495316.04</v>
      </c>
      <c r="O34" s="58">
        <f t="shared" si="12"/>
        <v>1077558064.8499999</v>
      </c>
      <c r="P34" s="58">
        <f t="shared" si="12"/>
        <v>839094773.11000001</v>
      </c>
      <c r="Q34" s="58">
        <f t="shared" si="12"/>
        <v>807731294.65999997</v>
      </c>
      <c r="R34" s="58">
        <f t="shared" si="12"/>
        <v>749263981.16999996</v>
      </c>
      <c r="S34" s="58">
        <f t="shared" si="12"/>
        <v>735499582.28999996</v>
      </c>
      <c r="T34" s="58">
        <f t="shared" si="12"/>
        <v>710694914.15999997</v>
      </c>
      <c r="U34" s="58">
        <f t="shared" si="12"/>
        <v>699262006.82000005</v>
      </c>
      <c r="V34" s="58">
        <f t="shared" si="12"/>
        <v>668499983.16999996</v>
      </c>
      <c r="W34" s="58">
        <f t="shared" si="12"/>
        <v>646240740.63999999</v>
      </c>
      <c r="X34" s="58">
        <f t="shared" si="12"/>
        <v>632344542.03999996</v>
      </c>
      <c r="Y34" s="58">
        <f t="shared" si="12"/>
        <v>619029551.51999998</v>
      </c>
      <c r="Z34" s="58">
        <f t="shared" si="12"/>
        <v>565603737.48000002</v>
      </c>
      <c r="AA34" s="58">
        <f t="shared" si="12"/>
        <v>543671380.01999998</v>
      </c>
      <c r="AB34" s="58">
        <f t="shared" si="12"/>
        <v>509305736.06</v>
      </c>
      <c r="AC34" s="58">
        <f t="shared" si="12"/>
        <v>478274483.81</v>
      </c>
      <c r="AD34" s="58">
        <f t="shared" si="12"/>
        <v>376398258.69</v>
      </c>
      <c r="AE34" s="58">
        <f t="shared" si="12"/>
        <v>309691045.01999998</v>
      </c>
      <c r="AF34" s="58">
        <f t="shared" si="12"/>
        <v>295490502.18000001</v>
      </c>
      <c r="AG34" s="58">
        <f t="shared" si="12"/>
        <v>276281864.79000002</v>
      </c>
      <c r="AH34" s="58">
        <f t="shared" si="12"/>
        <v>232990840.75</v>
      </c>
      <c r="AI34" s="58">
        <f t="shared" si="12"/>
        <v>201806080.77000001</v>
      </c>
      <c r="AJ34" s="58">
        <f t="shared" si="12"/>
        <v>187685699.58000001</v>
      </c>
      <c r="AK34" s="58">
        <f t="shared" si="12"/>
        <v>173757421.33000001</v>
      </c>
      <c r="AL34" s="58">
        <f t="shared" si="12"/>
        <v>158879455.81</v>
      </c>
      <c r="AM34" s="58">
        <f t="shared" si="12"/>
        <v>153814433.28999999</v>
      </c>
      <c r="AN34" s="58">
        <f t="shared" si="12"/>
        <v>161546347.99000001</v>
      </c>
      <c r="AO34" s="58">
        <f t="shared" si="12"/>
        <v>158715638.03999999</v>
      </c>
      <c r="AP34" s="58">
        <f t="shared" si="12"/>
        <v>108220008.62</v>
      </c>
      <c r="AQ34" s="58">
        <f t="shared" si="12"/>
        <v>0</v>
      </c>
      <c r="AR34" s="58">
        <f t="shared" si="12"/>
        <v>0</v>
      </c>
      <c r="AS34" s="58">
        <f t="shared" si="12"/>
        <v>0</v>
      </c>
      <c r="AT34" s="58">
        <f t="shared" si="12"/>
        <v>2933770006.6399999</v>
      </c>
      <c r="AU34" s="58">
        <f t="shared" si="12"/>
        <v>2872445122.8000002</v>
      </c>
      <c r="AV34" s="58">
        <f t="shared" si="12"/>
        <v>2575923002.7900004</v>
      </c>
      <c r="AW34" s="58">
        <f t="shared" si="12"/>
        <v>2597468323.4099998</v>
      </c>
      <c r="AX34" s="58">
        <f t="shared" si="12"/>
        <v>2410763534.8400002</v>
      </c>
      <c r="AY34" s="58">
        <f t="shared" si="12"/>
        <v>2483820863.0900002</v>
      </c>
      <c r="AZ34" s="58">
        <f t="shared" si="12"/>
        <v>2554486005</v>
      </c>
      <c r="BA34" s="58">
        <f t="shared" si="12"/>
        <v>2574247298.3200002</v>
      </c>
      <c r="BB34" s="58">
        <f t="shared" si="12"/>
        <v>2609201305.6399999</v>
      </c>
      <c r="BC34" s="58">
        <f t="shared" si="12"/>
        <v>2683968901.46</v>
      </c>
      <c r="BD34" s="58">
        <f t="shared" si="12"/>
        <v>2689101232.8800001</v>
      </c>
      <c r="BE34" s="58">
        <f t="shared" si="12"/>
        <v>2676403110.5799999</v>
      </c>
      <c r="BF34" s="58">
        <f t="shared" si="12"/>
        <v>2633768248.5900002</v>
      </c>
      <c r="BG34" s="58">
        <f t="shared" si="12"/>
        <v>2540908104.8800001</v>
      </c>
      <c r="BH34" s="58">
        <f t="shared" si="12"/>
        <v>2627501543.46</v>
      </c>
      <c r="BI34" s="58">
        <f t="shared" si="12"/>
        <v>2633995522.4200001</v>
      </c>
      <c r="BJ34" s="58">
        <f t="shared" si="12"/>
        <v>2697608030.8499999</v>
      </c>
      <c r="BK34" s="58">
        <f t="shared" si="12"/>
        <v>2506061093.3600001</v>
      </c>
      <c r="BL34" s="58">
        <f t="shared" si="12"/>
        <v>2449347773.48</v>
      </c>
      <c r="BM34" s="58">
        <f t="shared" si="12"/>
        <v>2441134555.5</v>
      </c>
      <c r="BN34" s="58">
        <f t="shared" si="12"/>
        <v>2120830735.96</v>
      </c>
      <c r="BO34" s="58">
        <f t="shared" si="12"/>
        <v>2152380109.23</v>
      </c>
      <c r="BP34" s="58">
        <f t="shared" si="12"/>
        <v>2117283926.8199999</v>
      </c>
      <c r="BQ34" s="58">
        <f t="shared" si="12"/>
        <v>2007899852.48</v>
      </c>
      <c r="BR34" s="58">
        <f>BR31-BR32-BR33</f>
        <v>2214134485.5799999</v>
      </c>
      <c r="BS34" s="58">
        <f>BS31-BS32-BS33</f>
        <v>1814339827.5999999</v>
      </c>
      <c r="BT34" s="58">
        <f>BT31-BT32-BT33</f>
        <v>2086744304.6300001</v>
      </c>
      <c r="BU34" s="59">
        <f>BU31-BU32-BU33</f>
        <v>1960182316.27</v>
      </c>
    </row>
    <row r="35" spans="1:74" s="132" customFormat="1" ht="14.25" thickBot="1">
      <c r="A35" s="131" t="s">
        <v>317</v>
      </c>
      <c r="B35" s="41">
        <f>SUM(B22:B31)</f>
        <v>1901919900.8499999</v>
      </c>
      <c r="C35" s="41">
        <f>SUM(C22:C31)</f>
        <v>1881821608.4200001</v>
      </c>
      <c r="D35" s="41">
        <f>SUM(D22:D31)</f>
        <v>1970960024.7199998</v>
      </c>
      <c r="E35" s="41">
        <f>资产资本表!E17</f>
        <v>712293476.29999995</v>
      </c>
      <c r="F35" s="41">
        <f>资产资本表!F17</f>
        <v>679069334.74000001</v>
      </c>
      <c r="G35" s="41">
        <f>资产资本表!G17</f>
        <v>505175249.07999998</v>
      </c>
      <c r="H35" s="41">
        <f>资产资本表!H17</f>
        <v>678095364.05999994</v>
      </c>
      <c r="I35" s="41">
        <f>资产资本表!I17</f>
        <v>777942517.54999995</v>
      </c>
      <c r="J35" s="41">
        <f>资产资本表!J17</f>
        <v>623681233.03000009</v>
      </c>
      <c r="K35" s="41">
        <f>资产资本表!K17</f>
        <v>656787777.10000002</v>
      </c>
      <c r="L35" s="41">
        <f>资产资本表!L17</f>
        <v>795373187.23999989</v>
      </c>
      <c r="M35" s="41">
        <f>资产资本表!M17</f>
        <v>973286905.5</v>
      </c>
      <c r="N35" s="41">
        <f>资产资本表!N17</f>
        <v>809711157.58999991</v>
      </c>
      <c r="O35" s="41">
        <f>资产资本表!O17</f>
        <v>570581984.97000003</v>
      </c>
      <c r="P35" s="41">
        <f>资产资本表!P17</f>
        <v>909436222.82000005</v>
      </c>
      <c r="Q35" s="41">
        <f>资产资本表!Q17</f>
        <v>964978678.83000004</v>
      </c>
      <c r="R35" s="41">
        <f>资产资本表!R17</f>
        <v>755741642.29999995</v>
      </c>
      <c r="S35" s="41">
        <f>资产资本表!S17</f>
        <v>665116750.71000004</v>
      </c>
      <c r="T35" s="41">
        <f>资产资本表!T17</f>
        <v>763230395.60000002</v>
      </c>
      <c r="U35" s="41">
        <f>资产资本表!U17</f>
        <v>706490908.72000003</v>
      </c>
      <c r="V35" s="41">
        <f>资产资本表!V17</f>
        <v>501180113.66000003</v>
      </c>
      <c r="W35" s="41">
        <f>资产资本表!W17</f>
        <v>502241523.37</v>
      </c>
      <c r="X35" s="41">
        <f>资产资本表!X17</f>
        <v>602246499.29999995</v>
      </c>
      <c r="Y35" s="41">
        <f>资产资本表!Y17</f>
        <v>673380231.46000004</v>
      </c>
      <c r="Z35" s="41">
        <f>资产资本表!Z17</f>
        <v>643489726.26999998</v>
      </c>
      <c r="AA35" s="41">
        <f>资产资本表!AA17</f>
        <v>488036620.79000002</v>
      </c>
      <c r="AB35" s="41">
        <f>资产资本表!AB17</f>
        <v>510333384.02999997</v>
      </c>
      <c r="AC35" s="41">
        <f>资产资本表!AC17</f>
        <v>534179707.85000002</v>
      </c>
      <c r="AD35" s="41">
        <f>资产资本表!AD17</f>
        <v>523746129.82999998</v>
      </c>
      <c r="AE35" s="41">
        <f>资产资本表!AE17</f>
        <v>641391460.04999995</v>
      </c>
      <c r="AF35" s="41">
        <f>资产资本表!AF17</f>
        <v>665322811.37</v>
      </c>
      <c r="AG35" s="41">
        <f>资产资本表!AG17</f>
        <v>666518672.60000002</v>
      </c>
      <c r="AH35" s="41">
        <f>资产资本表!AH17</f>
        <v>628738523.15999997</v>
      </c>
      <c r="AI35" s="41">
        <f>资产资本表!AI17</f>
        <v>719788534.54999995</v>
      </c>
      <c r="AJ35" s="41">
        <f>资产资本表!AJ17</f>
        <v>836933325.63999999</v>
      </c>
      <c r="AK35" s="41">
        <f>资产资本表!AK17</f>
        <v>853443052.58000004</v>
      </c>
      <c r="AL35" s="41">
        <f>资产资本表!AL17</f>
        <v>79196016.939999998</v>
      </c>
      <c r="AM35" s="41">
        <f>资产资本表!AM17</f>
        <v>63469949.020000003</v>
      </c>
      <c r="AN35" s="41">
        <f>资产资本表!AN17</f>
        <v>78477223.810000002</v>
      </c>
      <c r="AO35" s="41">
        <f>资产资本表!AO17</f>
        <v>78997061.840000004</v>
      </c>
      <c r="AP35" s="41">
        <f>资产资本表!AP17</f>
        <v>44249685.200000003</v>
      </c>
      <c r="AQ35" s="41">
        <f>资产资本表!AQ17</f>
        <v>0</v>
      </c>
      <c r="AR35" s="41">
        <f>资产资本表!AR17</f>
        <v>0</v>
      </c>
      <c r="AS35" s="41">
        <f>资产资本表!AS17</f>
        <v>0</v>
      </c>
      <c r="AT35" s="41">
        <f>资产资本表!AT17</f>
        <v>0</v>
      </c>
      <c r="AU35" s="41">
        <f>资产资本表!AU17</f>
        <v>0</v>
      </c>
      <c r="AV35" s="41">
        <f>资产资本表!AV17</f>
        <v>0</v>
      </c>
      <c r="AW35" s="41">
        <f>资产资本表!AW17</f>
        <v>0</v>
      </c>
      <c r="AX35" s="41">
        <f>资产资本表!AX17</f>
        <v>0</v>
      </c>
      <c r="AY35" s="41">
        <f>资产资本表!AY17</f>
        <v>0</v>
      </c>
      <c r="AZ35" s="41">
        <f>资产资本表!AZ17</f>
        <v>0</v>
      </c>
      <c r="BA35" s="41">
        <f>资产资本表!BA17</f>
        <v>0</v>
      </c>
      <c r="BB35" s="41">
        <f>资产资本表!BB17</f>
        <v>0</v>
      </c>
      <c r="BC35" s="41">
        <f>资产资本表!BC17</f>
        <v>0</v>
      </c>
      <c r="BD35" s="41">
        <f>资产资本表!BD17</f>
        <v>0</v>
      </c>
      <c r="BE35" s="41">
        <f>资产资本表!BE17</f>
        <v>0</v>
      </c>
      <c r="BF35" s="41">
        <f>资产资本表!BF17</f>
        <v>0</v>
      </c>
      <c r="BG35" s="41">
        <f>资产资本表!BG17</f>
        <v>0</v>
      </c>
      <c r="BH35" s="41">
        <f>资产资本表!BH17</f>
        <v>0</v>
      </c>
      <c r="BI35" s="41">
        <f>资产资本表!BI17</f>
        <v>0</v>
      </c>
      <c r="BJ35" s="41">
        <f>资产资本表!BJ17</f>
        <v>0</v>
      </c>
      <c r="BK35" s="41">
        <f>资产资本表!BK17</f>
        <v>0</v>
      </c>
      <c r="BL35" s="41">
        <f>资产资本表!BL17</f>
        <v>0</v>
      </c>
      <c r="BM35" s="41">
        <f>资产资本表!BM17</f>
        <v>0</v>
      </c>
      <c r="BN35" s="41">
        <f>资产资本表!BN17</f>
        <v>0</v>
      </c>
      <c r="BO35" s="41">
        <f>资产资本表!BO17</f>
        <v>0</v>
      </c>
      <c r="BP35" s="41">
        <f>资产资本表!BP17</f>
        <v>0</v>
      </c>
      <c r="BQ35" s="41">
        <f>资产资本表!BQ17</f>
        <v>0</v>
      </c>
      <c r="BR35" s="41">
        <f>资产资本表!BR17</f>
        <v>0</v>
      </c>
      <c r="BS35" s="41">
        <f>资产资本表!BS17</f>
        <v>0</v>
      </c>
      <c r="BT35" s="41">
        <f>资产资本表!BT17</f>
        <v>0</v>
      </c>
      <c r="BU35" s="41">
        <f>资产资本表!BU17</f>
        <v>0</v>
      </c>
      <c r="BV35" s="41">
        <f>SUM(BV22:BV31)</f>
        <v>1207647065.74</v>
      </c>
    </row>
    <row r="36" spans="1:74" s="33" customFormat="1"/>
    <row r="37" spans="1:74" s="33" customFormat="1"/>
    <row r="38" spans="1:74" s="24" customFormat="1">
      <c r="A38" s="24"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56" customFormat="1">
      <c r="A39" s="56" t="s">
        <v>319</v>
      </c>
    </row>
    <row r="40" spans="1:74" s="33" customFormat="1">
      <c r="A40" s="33" t="s">
        <v>325</v>
      </c>
      <c r="B40" s="48">
        <v>4251072</v>
      </c>
      <c r="C40" s="48">
        <v>4251072</v>
      </c>
      <c r="D40" s="48">
        <v>4308600</v>
      </c>
      <c r="E40" s="48">
        <v>105586399</v>
      </c>
      <c r="F40" s="48">
        <v>151218245.25999999</v>
      </c>
      <c r="G40" s="48">
        <v>138395245.25999999</v>
      </c>
      <c r="H40" s="48">
        <v>83911171.260000005</v>
      </c>
      <c r="I40" s="48">
        <v>83392100</v>
      </c>
      <c r="J40" s="48">
        <v>83883004.5</v>
      </c>
      <c r="K40" s="48">
        <v>83363300.420000002</v>
      </c>
      <c r="L40" s="48">
        <v>1280353.83</v>
      </c>
      <c r="M40" s="48">
        <v>56334846.619999997</v>
      </c>
      <c r="N40" s="48">
        <v>27716121.559999999</v>
      </c>
      <c r="O40" s="48">
        <v>8230684.9299999997</v>
      </c>
      <c r="P40" s="48">
        <v>8787470.6300000008</v>
      </c>
      <c r="Q40" s="48">
        <v>66989014.939999998</v>
      </c>
      <c r="R40" s="48">
        <v>50753477.200000003</v>
      </c>
      <c r="S40" s="48">
        <v>50753477.200000003</v>
      </c>
      <c r="T40" s="48">
        <v>0</v>
      </c>
      <c r="U40" s="48">
        <v>11136277.5</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780000000</v>
      </c>
      <c r="AL40" s="48">
        <v>0</v>
      </c>
      <c r="AM40" s="48">
        <v>0</v>
      </c>
      <c r="AN40" s="48">
        <v>0</v>
      </c>
      <c r="AO40" s="48">
        <v>0</v>
      </c>
      <c r="AP40" s="48">
        <v>0</v>
      </c>
      <c r="AQ40" s="48">
        <v>10171290</v>
      </c>
      <c r="AR40" s="48">
        <v>2000000</v>
      </c>
      <c r="AS40" s="48">
        <v>0</v>
      </c>
      <c r="AT40" s="48">
        <v>0</v>
      </c>
      <c r="AU40" s="48">
        <v>0</v>
      </c>
      <c r="AV40" s="48">
        <v>0</v>
      </c>
      <c r="AW40" s="48">
        <v>9750000</v>
      </c>
      <c r="AX40" s="48">
        <v>9750000</v>
      </c>
      <c r="AY40" s="48">
        <v>9750000</v>
      </c>
      <c r="AZ40" s="48">
        <v>0</v>
      </c>
      <c r="BA40" s="48">
        <v>4084000</v>
      </c>
      <c r="BB40" s="48">
        <v>4084000</v>
      </c>
      <c r="BC40" s="48">
        <v>4084000</v>
      </c>
      <c r="BD40" s="48">
        <v>0</v>
      </c>
      <c r="BE40" s="48">
        <v>0</v>
      </c>
      <c r="BF40" s="48">
        <v>0</v>
      </c>
      <c r="BG40" s="48">
        <v>0</v>
      </c>
      <c r="BH40" s="48">
        <v>0</v>
      </c>
      <c r="BI40" s="48">
        <v>0</v>
      </c>
      <c r="BJ40" s="48">
        <v>0</v>
      </c>
      <c r="BK40" s="48">
        <v>0</v>
      </c>
      <c r="BL40" s="48">
        <v>0</v>
      </c>
      <c r="BM40" s="48">
        <v>0</v>
      </c>
      <c r="BN40" s="48">
        <v>0</v>
      </c>
      <c r="BO40" s="48">
        <v>0</v>
      </c>
      <c r="BP40" s="48">
        <v>0</v>
      </c>
      <c r="BQ40" s="48">
        <v>1786060.49</v>
      </c>
      <c r="BR40" s="48">
        <v>0</v>
      </c>
      <c r="BS40" s="48">
        <v>1392020681</v>
      </c>
      <c r="BT40" s="48">
        <v>0</v>
      </c>
      <c r="BU40" s="48">
        <v>0</v>
      </c>
      <c r="BV40" s="48">
        <v>0</v>
      </c>
    </row>
    <row r="41" spans="1:74" s="62" customFormat="1" ht="21.75" customHeight="1">
      <c r="A41" s="62" t="s">
        <v>582</v>
      </c>
      <c r="B41" s="62">
        <v>1419647033.29</v>
      </c>
      <c r="C41" s="62">
        <v>682396282.87</v>
      </c>
      <c r="D41" s="62">
        <v>73246783.790000007</v>
      </c>
      <c r="E41" s="62">
        <v>217508850.75</v>
      </c>
      <c r="I41" s="62">
        <v>83686080.890000001</v>
      </c>
      <c r="M41" s="62">
        <v>82864298.599999994</v>
      </c>
      <c r="Q41" s="62">
        <v>42924185.700000003</v>
      </c>
      <c r="U41" s="62">
        <v>32229749</v>
      </c>
      <c r="Y41" s="62">
        <v>48204000</v>
      </c>
      <c r="AC41" s="62">
        <v>0</v>
      </c>
      <c r="AG41" s="62">
        <v>93730000</v>
      </c>
      <c r="AH41" s="62">
        <v>339937208.44</v>
      </c>
      <c r="AI41" s="62">
        <v>120279709.18000001</v>
      </c>
      <c r="AJ41" s="62">
        <v>10759542.5</v>
      </c>
    </row>
    <row r="42" spans="1:74" s="33" customFormat="1">
      <c r="A42" s="33" t="s">
        <v>322</v>
      </c>
      <c r="E42" s="33">
        <f>E40-E41</f>
        <v>-111922451.75</v>
      </c>
      <c r="F42" s="33">
        <f t="shared" ref="F42:BQ42" si="13">F40-F41</f>
        <v>151218245.25999999</v>
      </c>
      <c r="G42" s="33">
        <f t="shared" si="13"/>
        <v>138395245.25999999</v>
      </c>
      <c r="H42" s="33">
        <f t="shared" si="13"/>
        <v>83911171.260000005</v>
      </c>
      <c r="I42" s="33">
        <f t="shared" si="13"/>
        <v>-293980.8900000006</v>
      </c>
      <c r="J42" s="33">
        <f t="shared" si="13"/>
        <v>83883004.5</v>
      </c>
      <c r="K42" s="33">
        <f t="shared" si="13"/>
        <v>83363300.420000002</v>
      </c>
      <c r="L42" s="33">
        <f t="shared" si="13"/>
        <v>1280353.83</v>
      </c>
      <c r="M42" s="33">
        <f t="shared" si="13"/>
        <v>-26529451.979999997</v>
      </c>
      <c r="N42" s="33">
        <f t="shared" si="13"/>
        <v>27716121.559999999</v>
      </c>
      <c r="O42" s="33">
        <f t="shared" si="13"/>
        <v>8230684.9299999997</v>
      </c>
      <c r="P42" s="33">
        <f t="shared" si="13"/>
        <v>8787470.6300000008</v>
      </c>
      <c r="Q42" s="33">
        <f t="shared" si="13"/>
        <v>24064829.239999995</v>
      </c>
      <c r="R42" s="33">
        <f t="shared" si="13"/>
        <v>50753477.200000003</v>
      </c>
      <c r="S42" s="33">
        <f t="shared" si="13"/>
        <v>50753477.200000003</v>
      </c>
      <c r="T42" s="33">
        <f t="shared" si="13"/>
        <v>0</v>
      </c>
      <c r="U42" s="33">
        <f t="shared" si="13"/>
        <v>-21093471.5</v>
      </c>
      <c r="V42" s="33">
        <f t="shared" si="13"/>
        <v>0</v>
      </c>
      <c r="W42" s="33">
        <f t="shared" si="13"/>
        <v>0</v>
      </c>
      <c r="X42" s="33">
        <f t="shared" si="13"/>
        <v>0</v>
      </c>
      <c r="Y42" s="33">
        <f t="shared" si="13"/>
        <v>-48204000</v>
      </c>
      <c r="Z42" s="33">
        <f t="shared" si="13"/>
        <v>0</v>
      </c>
      <c r="AA42" s="33">
        <f t="shared" si="13"/>
        <v>0</v>
      </c>
      <c r="AB42" s="33">
        <f t="shared" si="13"/>
        <v>0</v>
      </c>
      <c r="AC42" s="33">
        <f t="shared" si="13"/>
        <v>0</v>
      </c>
      <c r="AD42" s="33">
        <f t="shared" si="13"/>
        <v>0</v>
      </c>
      <c r="AE42" s="33">
        <f t="shared" si="13"/>
        <v>0</v>
      </c>
      <c r="AF42" s="33">
        <f t="shared" si="13"/>
        <v>0</v>
      </c>
      <c r="AG42" s="33">
        <f t="shared" si="13"/>
        <v>-93730000</v>
      </c>
      <c r="AH42" s="33">
        <f t="shared" si="13"/>
        <v>-339937208.44</v>
      </c>
      <c r="AI42" s="33">
        <f t="shared" si="13"/>
        <v>-120279709.18000001</v>
      </c>
      <c r="AJ42" s="33">
        <f t="shared" si="13"/>
        <v>-10759542.5</v>
      </c>
      <c r="AK42" s="33">
        <f t="shared" si="13"/>
        <v>780000000</v>
      </c>
      <c r="AL42" s="33">
        <f t="shared" si="13"/>
        <v>0</v>
      </c>
      <c r="AM42" s="33">
        <f t="shared" si="13"/>
        <v>0</v>
      </c>
      <c r="AN42" s="33">
        <f t="shared" si="13"/>
        <v>0</v>
      </c>
      <c r="AO42" s="33">
        <f t="shared" si="13"/>
        <v>0</v>
      </c>
      <c r="AP42" s="33">
        <f t="shared" si="13"/>
        <v>0</v>
      </c>
      <c r="AQ42" s="33">
        <f t="shared" si="13"/>
        <v>10171290</v>
      </c>
      <c r="AR42" s="33">
        <f t="shared" si="13"/>
        <v>2000000</v>
      </c>
      <c r="AS42" s="33">
        <f t="shared" si="13"/>
        <v>0</v>
      </c>
      <c r="AT42" s="33">
        <f t="shared" si="13"/>
        <v>0</v>
      </c>
      <c r="AU42" s="33">
        <f t="shared" si="13"/>
        <v>0</v>
      </c>
      <c r="AV42" s="33">
        <f t="shared" si="13"/>
        <v>0</v>
      </c>
      <c r="AW42" s="33">
        <f t="shared" si="13"/>
        <v>9750000</v>
      </c>
      <c r="AX42" s="33">
        <f t="shared" si="13"/>
        <v>9750000</v>
      </c>
      <c r="AY42" s="33">
        <f t="shared" si="13"/>
        <v>9750000</v>
      </c>
      <c r="AZ42" s="33">
        <f t="shared" si="13"/>
        <v>0</v>
      </c>
      <c r="BA42" s="33">
        <f t="shared" si="13"/>
        <v>4084000</v>
      </c>
      <c r="BB42" s="33">
        <f t="shared" si="13"/>
        <v>4084000</v>
      </c>
      <c r="BC42" s="33">
        <f t="shared" si="13"/>
        <v>4084000</v>
      </c>
      <c r="BD42" s="33">
        <f t="shared" si="13"/>
        <v>0</v>
      </c>
      <c r="BE42" s="33">
        <f t="shared" si="13"/>
        <v>0</v>
      </c>
      <c r="BF42" s="33">
        <f t="shared" si="13"/>
        <v>0</v>
      </c>
      <c r="BG42" s="33">
        <f t="shared" si="13"/>
        <v>0</v>
      </c>
      <c r="BH42" s="33">
        <f t="shared" si="13"/>
        <v>0</v>
      </c>
      <c r="BI42" s="33">
        <f t="shared" si="13"/>
        <v>0</v>
      </c>
      <c r="BJ42" s="33">
        <f t="shared" si="13"/>
        <v>0</v>
      </c>
      <c r="BK42" s="33">
        <f t="shared" si="13"/>
        <v>0</v>
      </c>
      <c r="BL42" s="33">
        <f t="shared" si="13"/>
        <v>0</v>
      </c>
      <c r="BM42" s="33">
        <f t="shared" si="13"/>
        <v>0</v>
      </c>
      <c r="BN42" s="33">
        <f t="shared" si="13"/>
        <v>0</v>
      </c>
      <c r="BO42" s="33">
        <f t="shared" si="13"/>
        <v>0</v>
      </c>
      <c r="BP42" s="33">
        <f t="shared" si="13"/>
        <v>0</v>
      </c>
      <c r="BQ42" s="33">
        <f t="shared" si="13"/>
        <v>1786060.49</v>
      </c>
      <c r="BR42" s="33">
        <f>BR40-BR41</f>
        <v>0</v>
      </c>
      <c r="BS42" s="33">
        <f>BS40-BS41</f>
        <v>1392020681</v>
      </c>
      <c r="BT42" s="33">
        <f>BT40-BT41</f>
        <v>0</v>
      </c>
      <c r="BU42" s="33">
        <f>BU40-BU41</f>
        <v>0</v>
      </c>
    </row>
    <row r="43" spans="1:74" s="61" customFormat="1">
      <c r="A43" s="61" t="s">
        <v>321</v>
      </c>
    </row>
    <row r="44" spans="1:74" s="33" customFormat="1">
      <c r="A44" s="33" t="s">
        <v>326</v>
      </c>
      <c r="B44" s="48">
        <v>326770000</v>
      </c>
      <c r="C44" s="48">
        <v>326770000</v>
      </c>
      <c r="D44" s="48">
        <v>326770000</v>
      </c>
      <c r="E44" s="48">
        <v>0</v>
      </c>
      <c r="F44" s="48">
        <v>0</v>
      </c>
      <c r="G44" s="48">
        <v>0</v>
      </c>
      <c r="H44" s="48">
        <v>0</v>
      </c>
      <c r="I44" s="48">
        <v>0</v>
      </c>
      <c r="J44" s="48">
        <v>0</v>
      </c>
      <c r="K44" s="48">
        <v>0</v>
      </c>
      <c r="L44" s="48">
        <v>0</v>
      </c>
      <c r="M44" s="48">
        <v>0</v>
      </c>
      <c r="N44" s="48">
        <v>0</v>
      </c>
      <c r="O44" s="48">
        <v>0</v>
      </c>
      <c r="P44" s="48">
        <v>0</v>
      </c>
      <c r="Q44" s="48">
        <v>0</v>
      </c>
      <c r="R44" s="48">
        <v>0</v>
      </c>
      <c r="S44" s="48">
        <v>0</v>
      </c>
      <c r="T44" s="48">
        <v>0</v>
      </c>
      <c r="U44" s="48">
        <v>0</v>
      </c>
      <c r="V44" s="48">
        <v>0</v>
      </c>
      <c r="W44" s="48">
        <v>0</v>
      </c>
      <c r="X44" s="48">
        <v>0</v>
      </c>
      <c r="Y44" s="48">
        <v>0</v>
      </c>
      <c r="Z44" s="48">
        <v>0</v>
      </c>
      <c r="AA44" s="48">
        <v>0</v>
      </c>
      <c r="AB44" s="48">
        <v>0</v>
      </c>
      <c r="AC44" s="48">
        <v>0</v>
      </c>
      <c r="AD44" s="48">
        <v>0</v>
      </c>
      <c r="AE44" s="48">
        <v>0</v>
      </c>
      <c r="AF44" s="48">
        <v>0</v>
      </c>
      <c r="AG44" s="48">
        <v>30000000</v>
      </c>
      <c r="AH44" s="48">
        <v>30000000</v>
      </c>
      <c r="AI44" s="48">
        <v>0</v>
      </c>
      <c r="AJ44" s="48">
        <v>0</v>
      </c>
      <c r="AK44" s="48">
        <v>0</v>
      </c>
      <c r="AL44" s="48">
        <v>0</v>
      </c>
      <c r="AM44" s="48">
        <v>0</v>
      </c>
      <c r="AN44" s="48">
        <v>0</v>
      </c>
      <c r="AO44" s="48">
        <v>50000000</v>
      </c>
      <c r="AP44" s="48">
        <v>50000000</v>
      </c>
      <c r="AQ44" s="48">
        <v>70000000</v>
      </c>
      <c r="AR44" s="48">
        <v>63000000</v>
      </c>
      <c r="AS44" s="48">
        <v>0</v>
      </c>
      <c r="AT44" s="33">
        <v>452000000</v>
      </c>
      <c r="AU44" s="33">
        <v>378000000</v>
      </c>
      <c r="AV44" s="33">
        <v>111000000</v>
      </c>
      <c r="AW44" s="33">
        <v>483775880</v>
      </c>
      <c r="AX44" s="33">
        <v>346800000</v>
      </c>
      <c r="AY44" s="33">
        <v>293800000</v>
      </c>
      <c r="AZ44" s="33">
        <v>92300000</v>
      </c>
      <c r="BA44" s="33">
        <v>980900000</v>
      </c>
      <c r="BB44" s="33">
        <v>634600000</v>
      </c>
      <c r="BC44" s="33">
        <v>561100000</v>
      </c>
      <c r="BD44" s="33">
        <v>290600000</v>
      </c>
      <c r="BE44" s="33">
        <v>1061540000</v>
      </c>
      <c r="BF44" s="33">
        <v>635600000</v>
      </c>
      <c r="BG44" s="33">
        <v>577100000</v>
      </c>
      <c r="BH44" s="33">
        <v>295100000</v>
      </c>
      <c r="BI44" s="33">
        <v>1233394800</v>
      </c>
      <c r="BJ44" s="33">
        <v>955764800</v>
      </c>
      <c r="BK44" s="33">
        <v>861764800</v>
      </c>
      <c r="BL44" s="33">
        <v>369100000</v>
      </c>
      <c r="BM44" s="33">
        <v>1552612000</v>
      </c>
      <c r="BN44" s="33">
        <v>712640000</v>
      </c>
      <c r="BO44" s="33">
        <v>1014556500</v>
      </c>
      <c r="BP44" s="33">
        <v>558107500</v>
      </c>
      <c r="BQ44" s="33">
        <v>1389655020</v>
      </c>
      <c r="BR44" s="33">
        <v>725073780</v>
      </c>
      <c r="BS44" s="33">
        <v>1114468379.3299999</v>
      </c>
      <c r="BT44" s="33">
        <v>520820580</v>
      </c>
      <c r="BU44" s="33">
        <v>1402441570</v>
      </c>
      <c r="BV44" s="33">
        <v>0</v>
      </c>
    </row>
    <row r="45" spans="1:74" s="33" customFormat="1">
      <c r="A45" s="33" t="s">
        <v>323</v>
      </c>
      <c r="E45" s="33">
        <f>股权价值增加表!E53</f>
        <v>0</v>
      </c>
      <c r="F45" s="33">
        <f>股权价值增加表!F53</f>
        <v>0</v>
      </c>
      <c r="G45" s="33">
        <f>股权价值增加表!G53</f>
        <v>0</v>
      </c>
      <c r="H45" s="33">
        <f>股权价值增加表!H53</f>
        <v>0</v>
      </c>
      <c r="I45" s="33">
        <f>股权价值增加表!I53</f>
        <v>0</v>
      </c>
      <c r="J45" s="33">
        <f>股权价值增加表!J53</f>
        <v>0</v>
      </c>
      <c r="K45" s="33">
        <f>股权价值增加表!K53</f>
        <v>0</v>
      </c>
      <c r="L45" s="33">
        <f>股权价值增加表!L53</f>
        <v>0</v>
      </c>
      <c r="M45" s="33">
        <f>股权价值增加表!M53</f>
        <v>0</v>
      </c>
      <c r="N45" s="33">
        <f>股权价值增加表!N53</f>
        <v>0</v>
      </c>
      <c r="O45" s="33">
        <f>股权价值增加表!O53</f>
        <v>0</v>
      </c>
      <c r="P45" s="33">
        <f>股权价值增加表!P53</f>
        <v>0</v>
      </c>
      <c r="Q45" s="33">
        <f>股权价值增加表!Q53</f>
        <v>0</v>
      </c>
      <c r="R45" s="33">
        <f>股权价值增加表!R53</f>
        <v>0</v>
      </c>
      <c r="S45" s="33">
        <f>股权价值增加表!S53</f>
        <v>0</v>
      </c>
      <c r="T45" s="33">
        <f>股权价值增加表!T53</f>
        <v>0</v>
      </c>
      <c r="U45" s="33">
        <f>股权价值增加表!U53</f>
        <v>0</v>
      </c>
      <c r="V45" s="33">
        <f>股权价值增加表!V53</f>
        <v>0</v>
      </c>
      <c r="W45" s="33">
        <f>股权价值增加表!W53</f>
        <v>0</v>
      </c>
      <c r="X45" s="33">
        <f>股权价值增加表!X53</f>
        <v>0</v>
      </c>
      <c r="Y45" s="33">
        <f>股权价值增加表!Y53</f>
        <v>0</v>
      </c>
      <c r="Z45" s="33">
        <f>股权价值增加表!Z53</f>
        <v>0</v>
      </c>
      <c r="AA45" s="33">
        <f>股权价值增加表!AA53</f>
        <v>0</v>
      </c>
      <c r="AB45" s="33">
        <f>股权价值增加表!AB53</f>
        <v>0</v>
      </c>
      <c r="AC45" s="33">
        <f>股权价值增加表!AC53</f>
        <v>83666.66</v>
      </c>
      <c r="AD45" s="33">
        <f>股权价值增加表!AD53</f>
        <v>0</v>
      </c>
      <c r="AE45" s="33">
        <f>股权价值增加表!AE53</f>
        <v>0</v>
      </c>
      <c r="AF45" s="33">
        <f>股权价值增加表!AF53</f>
        <v>0</v>
      </c>
      <c r="AG45" s="33">
        <f>股权价值增加表!AG53</f>
        <v>494347.71</v>
      </c>
      <c r="AH45" s="33">
        <f>股权价值增加表!AH53</f>
        <v>0</v>
      </c>
      <c r="AI45" s="33">
        <f>股权价值增加表!AI53</f>
        <v>0</v>
      </c>
      <c r="AJ45" s="33">
        <f>股权价值增加表!AJ53</f>
        <v>0</v>
      </c>
      <c r="AK45" s="33">
        <f>股权价值增加表!AK53</f>
        <v>2736742.91</v>
      </c>
      <c r="AL45" s="33">
        <f>股权价值增加表!AL53</f>
        <v>0</v>
      </c>
      <c r="AM45" s="33">
        <f>股权价值增加表!AM53</f>
        <v>0</v>
      </c>
      <c r="AN45" s="33">
        <f>股权价值增加表!AN53</f>
        <v>0</v>
      </c>
      <c r="AO45" s="33">
        <f>股权价值增加表!AO53</f>
        <v>5261664.37</v>
      </c>
      <c r="AP45" s="33">
        <f>股权价值增加表!AP53</f>
        <v>0</v>
      </c>
      <c r="AQ45" s="33">
        <f>股权价值增加表!AQ53</f>
        <v>0</v>
      </c>
      <c r="AR45" s="33">
        <f>股权价值增加表!AR53</f>
        <v>0</v>
      </c>
      <c r="AS45" s="33">
        <f>股权价值增加表!AS53</f>
        <v>0</v>
      </c>
      <c r="AT45" s="33">
        <f>股权价值增加表!AT53</f>
        <v>0</v>
      </c>
      <c r="AU45" s="33">
        <f>股权价值增加表!AU53</f>
        <v>0</v>
      </c>
      <c r="AV45" s="33">
        <f>股权价值增加表!AV53</f>
        <v>0</v>
      </c>
      <c r="AW45" s="33">
        <f>股权价值增加表!AW53</f>
        <v>0</v>
      </c>
      <c r="AX45" s="33">
        <f>股权价值增加表!AX53</f>
        <v>0</v>
      </c>
      <c r="AY45" s="33">
        <f>股权价值增加表!AY53</f>
        <v>0</v>
      </c>
      <c r="AZ45" s="33">
        <f>股权价值增加表!AZ53</f>
        <v>0</v>
      </c>
      <c r="BA45" s="33">
        <f>股权价值增加表!BA53</f>
        <v>0</v>
      </c>
      <c r="BB45" s="33">
        <f>股权价值增加表!BB53</f>
        <v>0</v>
      </c>
      <c r="BC45" s="33">
        <f>股权价值增加表!BC53</f>
        <v>0</v>
      </c>
      <c r="BD45" s="33">
        <f>股权价值增加表!BD53</f>
        <v>0</v>
      </c>
      <c r="BE45" s="33">
        <f>股权价值增加表!BE53</f>
        <v>0</v>
      </c>
      <c r="BF45" s="33">
        <f>股权价值增加表!BF53</f>
        <v>0</v>
      </c>
      <c r="BG45" s="33">
        <f>股权价值增加表!BG53</f>
        <v>0</v>
      </c>
      <c r="BH45" s="33">
        <f>股权价值增加表!BH53</f>
        <v>0</v>
      </c>
      <c r="BI45" s="33">
        <f>股权价值增加表!BI53</f>
        <v>0</v>
      </c>
      <c r="BJ45" s="33">
        <f>股权价值增加表!BJ53</f>
        <v>0</v>
      </c>
      <c r="BK45" s="33">
        <f>股权价值增加表!BK53</f>
        <v>0</v>
      </c>
      <c r="BL45" s="33">
        <f>股权价值增加表!BL53</f>
        <v>0</v>
      </c>
      <c r="BM45" s="33">
        <f>股权价值增加表!BM53</f>
        <v>0</v>
      </c>
      <c r="BN45" s="33">
        <f>股权价值增加表!BN53</f>
        <v>0</v>
      </c>
      <c r="BO45" s="33">
        <f>股权价值增加表!BO53</f>
        <v>0</v>
      </c>
      <c r="BP45" s="33">
        <f>股权价值增加表!BP53</f>
        <v>0</v>
      </c>
      <c r="BQ45" s="33">
        <f>股权价值增加表!BQ53</f>
        <v>0</v>
      </c>
      <c r="BR45" s="33">
        <f>股权价值增加表!BR53</f>
        <v>0</v>
      </c>
      <c r="BS45" s="33">
        <f>股权价值增加表!BS53</f>
        <v>0</v>
      </c>
      <c r="BT45" s="33">
        <f>股权价值增加表!BT53</f>
        <v>0</v>
      </c>
      <c r="BU45" s="33">
        <f>股权价值增加表!BU53</f>
        <v>0</v>
      </c>
    </row>
    <row r="46" spans="1:74" s="33" customFormat="1">
      <c r="A46" s="33" t="s">
        <v>327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c r="AS46" s="48"/>
      <c r="AT46" s="48">
        <v>0</v>
      </c>
      <c r="AU46" s="48">
        <v>0</v>
      </c>
      <c r="AV46" s="48">
        <v>0</v>
      </c>
      <c r="AW46" s="48">
        <v>0</v>
      </c>
      <c r="AX46" s="48">
        <v>0</v>
      </c>
      <c r="AY46" s="48">
        <v>0</v>
      </c>
      <c r="AZ46" s="48">
        <v>0</v>
      </c>
      <c r="BA46" s="48">
        <v>0</v>
      </c>
      <c r="BB46" s="48">
        <v>0</v>
      </c>
      <c r="BC46" s="48">
        <v>0</v>
      </c>
      <c r="BD46" s="48">
        <v>0</v>
      </c>
      <c r="BE46" s="48">
        <v>0</v>
      </c>
      <c r="BF46" s="48">
        <v>0</v>
      </c>
      <c r="BG46" s="48">
        <v>0</v>
      </c>
      <c r="BH46" s="48">
        <v>0</v>
      </c>
      <c r="BI46" s="48">
        <v>0</v>
      </c>
      <c r="BJ46" s="48">
        <v>0</v>
      </c>
      <c r="BK46" s="48">
        <v>0</v>
      </c>
      <c r="BL46" s="48">
        <v>0</v>
      </c>
      <c r="BM46" s="48">
        <v>0</v>
      </c>
      <c r="BN46" s="48">
        <v>0</v>
      </c>
      <c r="BO46" s="48">
        <v>0</v>
      </c>
      <c r="BP46" s="48">
        <v>0</v>
      </c>
      <c r="BQ46" s="48">
        <v>0</v>
      </c>
      <c r="BR46" s="48">
        <v>0</v>
      </c>
      <c r="BS46" s="48">
        <v>0</v>
      </c>
      <c r="BT46" s="48">
        <v>0</v>
      </c>
      <c r="BU46" s="48">
        <v>0</v>
      </c>
      <c r="BV46" s="48">
        <v>0</v>
      </c>
    </row>
    <row r="47" spans="1:74" s="33" customFormat="1">
      <c r="A47" s="33" t="s">
        <v>328</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30000000</v>
      </c>
      <c r="AD47" s="48">
        <v>30000000</v>
      </c>
      <c r="AE47" s="48">
        <v>30000000</v>
      </c>
      <c r="AF47" s="48">
        <v>30000000</v>
      </c>
      <c r="AG47" s="48">
        <v>0</v>
      </c>
      <c r="AH47" s="48">
        <v>0</v>
      </c>
      <c r="AI47" s="48">
        <v>0</v>
      </c>
      <c r="AJ47" s="48">
        <v>0</v>
      </c>
      <c r="AK47" s="48">
        <v>65222222.229999997</v>
      </c>
      <c r="AL47" s="48">
        <v>57222222.229999997</v>
      </c>
      <c r="AM47" s="48">
        <v>44222222.229999997</v>
      </c>
      <c r="AN47" s="48">
        <v>28000000</v>
      </c>
      <c r="AO47" s="48">
        <v>75500000</v>
      </c>
      <c r="AP47" s="48">
        <v>52500000</v>
      </c>
      <c r="AQ47" s="48">
        <v>39944444.439999998</v>
      </c>
      <c r="AR47" s="48">
        <v>52400000</v>
      </c>
      <c r="AS47" s="48">
        <v>0</v>
      </c>
      <c r="AT47" s="33">
        <v>448351390.80000001</v>
      </c>
      <c r="AU47" s="33">
        <v>351012832.19</v>
      </c>
      <c r="AV47" s="33">
        <v>81326909.859999999</v>
      </c>
      <c r="AW47" s="33">
        <v>699305561.45000005</v>
      </c>
      <c r="AX47" s="33">
        <v>567289149.54999995</v>
      </c>
      <c r="AY47" s="33">
        <v>458229135.86000001</v>
      </c>
      <c r="AZ47" s="33">
        <v>127530403.13</v>
      </c>
      <c r="BA47" s="33">
        <v>1093937000</v>
      </c>
      <c r="BB47" s="33">
        <v>741837000</v>
      </c>
      <c r="BC47" s="33">
        <v>611337000</v>
      </c>
      <c r="BD47" s="33">
        <v>249100000</v>
      </c>
      <c r="BE47" s="33">
        <v>1249308312</v>
      </c>
      <c r="BF47" s="33">
        <v>819943970.54999995</v>
      </c>
      <c r="BG47" s="33">
        <v>657530000</v>
      </c>
      <c r="BH47" s="33">
        <v>309300000</v>
      </c>
      <c r="BI47" s="33">
        <v>1774057000</v>
      </c>
      <c r="BJ47" s="33">
        <v>1403407000</v>
      </c>
      <c r="BK47" s="33">
        <v>883307000</v>
      </c>
      <c r="BL47" s="33">
        <v>286825633.25</v>
      </c>
      <c r="BM47" s="33">
        <v>1404572000</v>
      </c>
      <c r="BN47" s="33">
        <v>598117200</v>
      </c>
      <c r="BO47" s="33">
        <v>904921200</v>
      </c>
      <c r="BP47" s="33">
        <v>416192587</v>
      </c>
      <c r="BQ47" s="33">
        <v>1366971380</v>
      </c>
      <c r="BR47" s="33">
        <v>677586562.88</v>
      </c>
      <c r="BS47" s="33">
        <v>1121086840</v>
      </c>
      <c r="BT47" s="33">
        <v>465202780</v>
      </c>
      <c r="BU47" s="33">
        <v>1350144890</v>
      </c>
      <c r="BV47" s="33">
        <v>0</v>
      </c>
    </row>
    <row r="48" spans="1:74" s="33" customFormat="1">
      <c r="A48" s="33" t="s">
        <v>324</v>
      </c>
      <c r="E48" s="33">
        <f>E44-E45-E46-E47</f>
        <v>0</v>
      </c>
      <c r="F48" s="33">
        <f t="shared" ref="F48:BQ48" si="14">F44-F45-F46-F47</f>
        <v>0</v>
      </c>
      <c r="G48" s="33">
        <f t="shared" si="14"/>
        <v>0</v>
      </c>
      <c r="H48" s="33">
        <f t="shared" si="14"/>
        <v>0</v>
      </c>
      <c r="I48" s="33">
        <f t="shared" si="14"/>
        <v>0</v>
      </c>
      <c r="J48" s="33">
        <f t="shared" si="14"/>
        <v>0</v>
      </c>
      <c r="K48" s="33">
        <f t="shared" si="14"/>
        <v>0</v>
      </c>
      <c r="L48" s="33">
        <f t="shared" si="14"/>
        <v>0</v>
      </c>
      <c r="M48" s="33">
        <f t="shared" si="14"/>
        <v>0</v>
      </c>
      <c r="N48" s="33">
        <f t="shared" si="14"/>
        <v>0</v>
      </c>
      <c r="O48" s="33">
        <f t="shared" si="14"/>
        <v>0</v>
      </c>
      <c r="P48" s="33">
        <f t="shared" si="14"/>
        <v>0</v>
      </c>
      <c r="Q48" s="33">
        <f t="shared" si="14"/>
        <v>0</v>
      </c>
      <c r="R48" s="33">
        <f t="shared" si="14"/>
        <v>0</v>
      </c>
      <c r="S48" s="33">
        <f t="shared" si="14"/>
        <v>0</v>
      </c>
      <c r="T48" s="33">
        <f t="shared" si="14"/>
        <v>0</v>
      </c>
      <c r="U48" s="33">
        <f t="shared" si="14"/>
        <v>0</v>
      </c>
      <c r="V48" s="33">
        <f t="shared" si="14"/>
        <v>0</v>
      </c>
      <c r="W48" s="33">
        <f t="shared" si="14"/>
        <v>0</v>
      </c>
      <c r="X48" s="33">
        <f t="shared" si="14"/>
        <v>0</v>
      </c>
      <c r="Y48" s="33">
        <f t="shared" si="14"/>
        <v>0</v>
      </c>
      <c r="Z48" s="33">
        <f t="shared" si="14"/>
        <v>0</v>
      </c>
      <c r="AA48" s="33">
        <f t="shared" si="14"/>
        <v>0</v>
      </c>
      <c r="AB48" s="33">
        <f t="shared" si="14"/>
        <v>0</v>
      </c>
      <c r="AC48" s="33">
        <f t="shared" si="14"/>
        <v>-30083666.66</v>
      </c>
      <c r="AD48" s="33">
        <f t="shared" si="14"/>
        <v>-30000000</v>
      </c>
      <c r="AE48" s="33">
        <f t="shared" si="14"/>
        <v>-30000000</v>
      </c>
      <c r="AF48" s="33">
        <f t="shared" si="14"/>
        <v>-30000000</v>
      </c>
      <c r="AG48" s="33">
        <f t="shared" si="14"/>
        <v>29505652.289999999</v>
      </c>
      <c r="AH48" s="33">
        <f t="shared" si="14"/>
        <v>30000000</v>
      </c>
      <c r="AI48" s="33">
        <f t="shared" si="14"/>
        <v>0</v>
      </c>
      <c r="AJ48" s="33">
        <f t="shared" si="14"/>
        <v>0</v>
      </c>
      <c r="AK48" s="33">
        <f t="shared" si="14"/>
        <v>-67958965.140000001</v>
      </c>
      <c r="AL48" s="33">
        <f t="shared" si="14"/>
        <v>-57222222.229999997</v>
      </c>
      <c r="AM48" s="33">
        <f t="shared" si="14"/>
        <v>-44222222.229999997</v>
      </c>
      <c r="AN48" s="33">
        <f t="shared" si="14"/>
        <v>-28000000</v>
      </c>
      <c r="AO48" s="33">
        <f t="shared" si="14"/>
        <v>-30761664.369999997</v>
      </c>
      <c r="AP48" s="33">
        <f t="shared" si="14"/>
        <v>-2500000</v>
      </c>
      <c r="AQ48" s="33">
        <f t="shared" si="14"/>
        <v>30055555.560000002</v>
      </c>
      <c r="AR48" s="33">
        <f t="shared" si="14"/>
        <v>10600000</v>
      </c>
      <c r="AS48" s="33">
        <f t="shared" si="14"/>
        <v>0</v>
      </c>
      <c r="AT48" s="33">
        <f t="shared" si="14"/>
        <v>3648609.1999999881</v>
      </c>
      <c r="AU48" s="33">
        <f t="shared" si="14"/>
        <v>26987167.810000002</v>
      </c>
      <c r="AV48" s="33">
        <f t="shared" si="14"/>
        <v>29673090.140000001</v>
      </c>
      <c r="AW48" s="33">
        <f t="shared" si="14"/>
        <v>-215529681.45000005</v>
      </c>
      <c r="AX48" s="33">
        <f t="shared" si="14"/>
        <v>-220489149.54999995</v>
      </c>
      <c r="AY48" s="33">
        <f t="shared" si="14"/>
        <v>-164429135.86000001</v>
      </c>
      <c r="AZ48" s="33">
        <f t="shared" si="14"/>
        <v>-35230403.129999995</v>
      </c>
      <c r="BA48" s="33">
        <f t="shared" si="14"/>
        <v>-113037000</v>
      </c>
      <c r="BB48" s="33">
        <f t="shared" si="14"/>
        <v>-107237000</v>
      </c>
      <c r="BC48" s="33">
        <f t="shared" si="14"/>
        <v>-50237000</v>
      </c>
      <c r="BD48" s="33">
        <f t="shared" si="14"/>
        <v>41500000</v>
      </c>
      <c r="BE48" s="33">
        <f t="shared" si="14"/>
        <v>-187768312</v>
      </c>
      <c r="BF48" s="33">
        <f t="shared" si="14"/>
        <v>-184343970.54999995</v>
      </c>
      <c r="BG48" s="33">
        <f t="shared" si="14"/>
        <v>-80430000</v>
      </c>
      <c r="BH48" s="33">
        <f t="shared" si="14"/>
        <v>-14200000</v>
      </c>
      <c r="BI48" s="33">
        <f t="shared" si="14"/>
        <v>-540662200</v>
      </c>
      <c r="BJ48" s="33">
        <f t="shared" si="14"/>
        <v>-447642200</v>
      </c>
      <c r="BK48" s="33">
        <f t="shared" si="14"/>
        <v>-21542200</v>
      </c>
      <c r="BL48" s="33">
        <f t="shared" si="14"/>
        <v>82274366.75</v>
      </c>
      <c r="BM48" s="33">
        <f t="shared" si="14"/>
        <v>148040000</v>
      </c>
      <c r="BN48" s="33">
        <f t="shared" si="14"/>
        <v>114522800</v>
      </c>
      <c r="BO48" s="33">
        <f t="shared" si="14"/>
        <v>109635300</v>
      </c>
      <c r="BP48" s="33">
        <f t="shared" si="14"/>
        <v>141914913</v>
      </c>
      <c r="BQ48" s="33">
        <f t="shared" si="14"/>
        <v>22683640</v>
      </c>
      <c r="BR48" s="33">
        <f>BR44-BR45-BR46-BR47</f>
        <v>47487217.120000005</v>
      </c>
      <c r="BS48" s="33">
        <f>BS44-BS45-BS46-BS47</f>
        <v>-6618460.6700000763</v>
      </c>
      <c r="BT48" s="33">
        <f>BT44-BT45-BT46-BT47</f>
        <v>55617800</v>
      </c>
      <c r="BU48" s="33">
        <f>BU44-BU45-BU46-BU47</f>
        <v>52296680</v>
      </c>
    </row>
    <row r="49" spans="1:37" s="22" customFormat="1" ht="42.75" customHeight="1">
      <c r="A49" s="165" t="s">
        <v>584</v>
      </c>
      <c r="B49" s="166"/>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row>
  </sheetData>
  <mergeCells count="2">
    <mergeCell ref="A25:AK25"/>
    <mergeCell ref="A49:AK49"/>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abSelected="1" workbookViewId="0">
      <selection activeCell="I24" sqref="I24"/>
    </sheetView>
  </sheetViews>
  <sheetFormatPr defaultRowHeight="13.5"/>
  <cols>
    <col min="1" max="1" width="61.25" style="23"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7.25" hidden="1" customWidth="1"/>
    <col min="41" max="41" width="17.25" bestFit="1" customWidth="1"/>
    <col min="42" max="42" width="17.25" hidden="1" customWidth="1"/>
    <col min="43" max="43" width="9.5" bestFit="1" customWidth="1"/>
    <col min="44" max="44" width="19.375" bestFit="1" customWidth="1"/>
    <col min="45" max="45" width="19.375" hidden="1" customWidth="1"/>
    <col min="46" max="73" width="19.375" bestFit="1" customWidth="1"/>
    <col min="74" max="74" width="8.5" bestFit="1" customWidth="1"/>
  </cols>
  <sheetData>
    <row r="1" spans="1:74">
      <c r="A1" s="2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56" customFormat="1">
      <c r="A2" s="56" t="s">
        <v>329</v>
      </c>
    </row>
    <row r="3" spans="1:74" s="33" customFormat="1">
      <c r="A3" s="33" t="s">
        <v>330</v>
      </c>
      <c r="B3" s="33">
        <f>平均资本成本表!E53</f>
        <v>0</v>
      </c>
      <c r="E3" s="33">
        <f>股权价值增加表!E53</f>
        <v>0</v>
      </c>
      <c r="F3" s="33">
        <f>股权价值增加表!F53</f>
        <v>0</v>
      </c>
      <c r="G3" s="33">
        <f>股权价值增加表!G53</f>
        <v>0</v>
      </c>
      <c r="H3" s="33">
        <f>股权价值增加表!H53</f>
        <v>0</v>
      </c>
      <c r="I3" s="33">
        <f>股权价值增加表!I53</f>
        <v>0</v>
      </c>
      <c r="J3" s="33">
        <f>股权价值增加表!J53</f>
        <v>0</v>
      </c>
      <c r="K3" s="33">
        <f>股权价值增加表!K53</f>
        <v>0</v>
      </c>
      <c r="L3" s="33">
        <f>股权价值增加表!L53</f>
        <v>0</v>
      </c>
      <c r="M3" s="33">
        <f>股权价值增加表!M53</f>
        <v>0</v>
      </c>
      <c r="N3" s="33">
        <f>股权价值增加表!N53</f>
        <v>0</v>
      </c>
      <c r="O3" s="33">
        <f>股权价值增加表!O53</f>
        <v>0</v>
      </c>
      <c r="P3" s="33">
        <f>股权价值增加表!P53</f>
        <v>0</v>
      </c>
      <c r="Q3" s="33">
        <f>股权价值增加表!Q53</f>
        <v>0</v>
      </c>
      <c r="R3" s="33">
        <f>股权价值增加表!R53</f>
        <v>0</v>
      </c>
      <c r="S3" s="33">
        <f>股权价值增加表!S53</f>
        <v>0</v>
      </c>
      <c r="T3" s="33">
        <f>股权价值增加表!T53</f>
        <v>0</v>
      </c>
      <c r="U3" s="33">
        <f>股权价值增加表!U53</f>
        <v>0</v>
      </c>
      <c r="V3" s="33">
        <f>股权价值增加表!V53</f>
        <v>0</v>
      </c>
      <c r="W3" s="33">
        <f>股权价值增加表!W53</f>
        <v>0</v>
      </c>
      <c r="X3" s="33">
        <f>股权价值增加表!X53</f>
        <v>0</v>
      </c>
      <c r="Y3" s="33">
        <f>股权价值增加表!Y53</f>
        <v>0</v>
      </c>
      <c r="Z3" s="33">
        <f>股权价值增加表!Z53</f>
        <v>0</v>
      </c>
      <c r="AA3" s="33">
        <f>股权价值增加表!AA53</f>
        <v>0</v>
      </c>
      <c r="AB3" s="33">
        <f>股权价值增加表!AB53</f>
        <v>0</v>
      </c>
      <c r="AC3" s="33">
        <f>股权价值增加表!AC53</f>
        <v>83666.66</v>
      </c>
      <c r="AD3" s="33">
        <f>股权价值增加表!AD53</f>
        <v>0</v>
      </c>
      <c r="AE3" s="33">
        <f>股权价值增加表!AE53</f>
        <v>0</v>
      </c>
      <c r="AF3" s="33">
        <f>股权价值增加表!AF53</f>
        <v>0</v>
      </c>
      <c r="AG3" s="33">
        <f>股权价值增加表!AG53</f>
        <v>494347.71</v>
      </c>
      <c r="AH3" s="33">
        <f>股权价值增加表!AH53</f>
        <v>0</v>
      </c>
      <c r="AI3" s="33">
        <f>股权价值增加表!AI53</f>
        <v>0</v>
      </c>
      <c r="AJ3" s="33">
        <f>股权价值增加表!AJ53</f>
        <v>0</v>
      </c>
      <c r="AK3" s="33">
        <f>股权价值增加表!AK53</f>
        <v>2736742.91</v>
      </c>
      <c r="AL3" s="33">
        <f>股权价值增加表!AL53</f>
        <v>0</v>
      </c>
      <c r="AM3" s="33">
        <f>股权价值增加表!AM53</f>
        <v>0</v>
      </c>
      <c r="AN3" s="33">
        <f>股权价值增加表!AN53</f>
        <v>0</v>
      </c>
      <c r="AO3" s="33">
        <f>股权价值增加表!AO53</f>
        <v>5261664.37</v>
      </c>
      <c r="AP3" s="33">
        <f>股权价值增加表!AP53</f>
        <v>0</v>
      </c>
      <c r="AQ3" s="33">
        <f>股权价值增加表!AQ53</f>
        <v>0</v>
      </c>
      <c r="AR3" s="33">
        <f>股权价值增加表!AR53</f>
        <v>0</v>
      </c>
      <c r="AS3" s="33">
        <f>股权价值增加表!AS53</f>
        <v>0</v>
      </c>
      <c r="AT3" s="33">
        <f>股权价值增加表!AT53</f>
        <v>0</v>
      </c>
      <c r="AU3" s="33">
        <f>股权价值增加表!AU53</f>
        <v>0</v>
      </c>
      <c r="AV3" s="33">
        <f>股权价值增加表!AV53</f>
        <v>0</v>
      </c>
      <c r="AW3" s="33">
        <f>股权价值增加表!AW53</f>
        <v>0</v>
      </c>
      <c r="AX3" s="33">
        <f>股权价值增加表!AX53</f>
        <v>0</v>
      </c>
      <c r="AY3" s="33">
        <f>股权价值增加表!AY53</f>
        <v>0</v>
      </c>
      <c r="AZ3" s="33">
        <f>股权价值增加表!AZ53</f>
        <v>0</v>
      </c>
      <c r="BA3" s="33">
        <f>股权价值增加表!BA53</f>
        <v>0</v>
      </c>
      <c r="BB3" s="33">
        <f>股权价值增加表!BB53</f>
        <v>0</v>
      </c>
      <c r="BC3" s="33">
        <f>股权价值增加表!BC53</f>
        <v>0</v>
      </c>
      <c r="BD3" s="33">
        <f>股权价值增加表!BD53</f>
        <v>0</v>
      </c>
      <c r="BE3" s="33">
        <f>股权价值增加表!BE53</f>
        <v>0</v>
      </c>
      <c r="BF3" s="33">
        <f>股权价值增加表!BF53</f>
        <v>0</v>
      </c>
      <c r="BG3" s="33">
        <f>股权价值增加表!BG53</f>
        <v>0</v>
      </c>
      <c r="BH3" s="33">
        <f>股权价值增加表!BH53</f>
        <v>0</v>
      </c>
      <c r="BI3" s="33">
        <f>股权价值增加表!BI53</f>
        <v>0</v>
      </c>
      <c r="BJ3" s="33">
        <f>股权价值增加表!BJ53</f>
        <v>0</v>
      </c>
      <c r="BK3" s="33">
        <f>股权价值增加表!BK53</f>
        <v>0</v>
      </c>
      <c r="BL3" s="33">
        <f>股权价值增加表!BL53</f>
        <v>0</v>
      </c>
      <c r="BM3" s="33">
        <f>股权价值增加表!BM53</f>
        <v>0</v>
      </c>
      <c r="BN3" s="33">
        <f>股权价值增加表!BN53</f>
        <v>0</v>
      </c>
      <c r="BO3" s="33">
        <f>股权价值增加表!BO53</f>
        <v>0</v>
      </c>
      <c r="BP3" s="33">
        <f>股权价值增加表!BP53</f>
        <v>0</v>
      </c>
      <c r="BQ3" s="33">
        <f>股权价值增加表!BQ53</f>
        <v>0</v>
      </c>
      <c r="BR3" s="33">
        <f>股权价值增加表!BR53</f>
        <v>0</v>
      </c>
      <c r="BS3" s="33">
        <f>股权价值增加表!BS53</f>
        <v>0</v>
      </c>
      <c r="BT3" s="33">
        <f>股权价值增加表!BT53</f>
        <v>0</v>
      </c>
      <c r="BU3" s="33">
        <f>股权价值增加表!BU53</f>
        <v>0</v>
      </c>
      <c r="BV3" s="33">
        <f>股权价值增加表!BV53</f>
        <v>0</v>
      </c>
    </row>
    <row r="4" spans="1:74" s="33" customFormat="1">
      <c r="A4" s="33" t="s">
        <v>331</v>
      </c>
      <c r="E4" s="33">
        <f>资产资本表!E89</f>
        <v>0</v>
      </c>
      <c r="F4" s="33">
        <f>资产资本表!F89</f>
        <v>0</v>
      </c>
      <c r="G4" s="33">
        <f>资产资本表!G89</f>
        <v>0</v>
      </c>
      <c r="H4" s="33">
        <f>资产资本表!H89</f>
        <v>0</v>
      </c>
      <c r="I4" s="33">
        <f>资产资本表!I89</f>
        <v>0</v>
      </c>
      <c r="J4" s="33">
        <f>资产资本表!J89</f>
        <v>0</v>
      </c>
      <c r="K4" s="33">
        <f>资产资本表!K89</f>
        <v>0</v>
      </c>
      <c r="L4" s="33">
        <f>资产资本表!L89</f>
        <v>0</v>
      </c>
      <c r="M4" s="33">
        <f>资产资本表!M89</f>
        <v>0</v>
      </c>
      <c r="N4" s="33">
        <f>资产资本表!N89</f>
        <v>0</v>
      </c>
      <c r="O4" s="33">
        <f>资产资本表!O89</f>
        <v>0</v>
      </c>
      <c r="P4" s="33">
        <f>资产资本表!P89</f>
        <v>0</v>
      </c>
      <c r="Q4" s="33">
        <f>资产资本表!Q89</f>
        <v>0</v>
      </c>
      <c r="R4" s="33">
        <f>资产资本表!R89</f>
        <v>15762074.5</v>
      </c>
      <c r="S4" s="33">
        <f>资产资本表!S89</f>
        <v>15959574.5</v>
      </c>
      <c r="T4" s="33">
        <f>资产资本表!T89</f>
        <v>16613909.34</v>
      </c>
      <c r="U4" s="33">
        <f>资产资本表!U89</f>
        <v>16353506.119999999</v>
      </c>
      <c r="V4" s="33">
        <f>资产资本表!V89</f>
        <v>2990750</v>
      </c>
      <c r="W4" s="33">
        <f>资产资本表!W89</f>
        <v>18190750</v>
      </c>
      <c r="X4" s="33">
        <f>资产资本表!X89</f>
        <v>18190750</v>
      </c>
      <c r="Y4" s="33">
        <f>资产资本表!Y89</f>
        <v>18190750</v>
      </c>
      <c r="Z4" s="33">
        <f>资产资本表!Z89</f>
        <v>18006473.920000002</v>
      </c>
      <c r="AA4" s="33">
        <f>资产资本表!AA89</f>
        <v>18200000</v>
      </c>
      <c r="AB4" s="33">
        <f>资产资本表!AB89</f>
        <v>18200000</v>
      </c>
      <c r="AC4" s="33">
        <f>资产资本表!AC89</f>
        <v>18200000</v>
      </c>
      <c r="AD4" s="33">
        <f>资产资本表!AD89</f>
        <v>15200000</v>
      </c>
      <c r="AE4" s="33">
        <f>资产资本表!AE89</f>
        <v>15200000</v>
      </c>
      <c r="AF4" s="33">
        <f>资产资本表!AF89</f>
        <v>14373100</v>
      </c>
      <c r="AG4" s="33">
        <f>资产资本表!AG89</f>
        <v>45900000</v>
      </c>
      <c r="AH4" s="33">
        <f>资产资本表!AH89</f>
        <v>30000000</v>
      </c>
      <c r="AI4" s="33">
        <f>资产资本表!AI89</f>
        <v>0</v>
      </c>
      <c r="AJ4" s="33">
        <f>资产资本表!AJ89</f>
        <v>0</v>
      </c>
      <c r="AK4" s="33">
        <f>资产资本表!AK89</f>
        <v>0</v>
      </c>
      <c r="AL4" s="33">
        <f>资产资本表!AL89</f>
        <v>8000000</v>
      </c>
      <c r="AM4" s="33">
        <f>资产资本表!AM89</f>
        <v>21000000</v>
      </c>
      <c r="AN4" s="33">
        <f>资产资本表!AN89</f>
        <v>65222222.230000004</v>
      </c>
      <c r="AO4" s="33">
        <f>资产资本表!AO89</f>
        <v>90722222.229999989</v>
      </c>
      <c r="AP4" s="33">
        <f>资产资本表!AP89</f>
        <v>61000000</v>
      </c>
      <c r="AQ4" s="33">
        <f>资产资本表!AQ89</f>
        <v>0</v>
      </c>
      <c r="AR4" s="33">
        <f>资产资本表!AR89</f>
        <v>0</v>
      </c>
      <c r="AS4" s="33">
        <f>资产资本表!AS89</f>
        <v>0</v>
      </c>
      <c r="AT4" s="33">
        <f>资产资本表!AT89</f>
        <v>0</v>
      </c>
      <c r="AU4" s="33">
        <f>资产资本表!AU89</f>
        <v>0</v>
      </c>
      <c r="AV4" s="33">
        <f>资产资本表!AV89</f>
        <v>0</v>
      </c>
      <c r="AW4" s="33">
        <f>资产资本表!AW89</f>
        <v>0</v>
      </c>
      <c r="AX4" s="33">
        <f>资产资本表!AX89</f>
        <v>0</v>
      </c>
      <c r="AY4" s="33">
        <f>资产资本表!AY89</f>
        <v>0</v>
      </c>
      <c r="AZ4" s="33">
        <f>资产资本表!AZ89</f>
        <v>0</v>
      </c>
      <c r="BA4" s="33">
        <f>资产资本表!BA89</f>
        <v>0</v>
      </c>
      <c r="BB4" s="33">
        <f>资产资本表!BB89</f>
        <v>0</v>
      </c>
      <c r="BC4" s="33">
        <f>资产资本表!BC89</f>
        <v>0</v>
      </c>
      <c r="BD4" s="33">
        <f>资产资本表!BD89</f>
        <v>0</v>
      </c>
      <c r="BE4" s="33">
        <f>资产资本表!BE89</f>
        <v>0</v>
      </c>
      <c r="BF4" s="33">
        <f>资产资本表!BF89</f>
        <v>0</v>
      </c>
      <c r="BG4" s="33">
        <f>资产资本表!BG89</f>
        <v>0</v>
      </c>
      <c r="BH4" s="33">
        <f>资产资本表!BH89</f>
        <v>0</v>
      </c>
      <c r="BI4" s="33">
        <f>资产资本表!BI89</f>
        <v>0</v>
      </c>
      <c r="BJ4" s="33">
        <f>资产资本表!BJ89</f>
        <v>0</v>
      </c>
      <c r="BK4" s="33">
        <f>资产资本表!BK89</f>
        <v>0</v>
      </c>
      <c r="BL4" s="33">
        <f>资产资本表!BL89</f>
        <v>0</v>
      </c>
      <c r="BM4" s="33">
        <f>资产资本表!BM89</f>
        <v>0</v>
      </c>
      <c r="BN4" s="33">
        <f>资产资本表!BN89</f>
        <v>0</v>
      </c>
      <c r="BO4" s="33">
        <f>资产资本表!BO89</f>
        <v>0</v>
      </c>
      <c r="BP4" s="33">
        <f>资产资本表!BP89</f>
        <v>0</v>
      </c>
      <c r="BQ4" s="33">
        <f>资产资本表!BQ89</f>
        <v>0</v>
      </c>
      <c r="BR4" s="33">
        <f>资产资本表!BR89</f>
        <v>0</v>
      </c>
      <c r="BS4" s="33">
        <f>资产资本表!BS89</f>
        <v>0</v>
      </c>
      <c r="BT4" s="33">
        <f>资产资本表!BT89</f>
        <v>0</v>
      </c>
      <c r="BU4" s="33">
        <f>资产资本表!BU89</f>
        <v>0</v>
      </c>
      <c r="BV4" s="33">
        <f>资产资本表!BV89</f>
        <v>0</v>
      </c>
    </row>
    <row r="5" spans="1:74" s="73" customFormat="1">
      <c r="A5" s="73" t="s">
        <v>335</v>
      </c>
      <c r="E5" s="73" t="e">
        <f>E3/((E4+I4)/2)</f>
        <v>#DIV/0!</v>
      </c>
      <c r="F5" s="73" t="e">
        <f t="shared" ref="F5:N5" si="0">F3/((F4+J4)/2)*100</f>
        <v>#DIV/0!</v>
      </c>
      <c r="G5" s="73" t="e">
        <f t="shared" si="0"/>
        <v>#DIV/0!</v>
      </c>
      <c r="H5" s="73" t="e">
        <f t="shared" si="0"/>
        <v>#DIV/0!</v>
      </c>
      <c r="I5" s="73" t="e">
        <f t="shared" si="0"/>
        <v>#DIV/0!</v>
      </c>
      <c r="J5" s="73" t="e">
        <f t="shared" si="0"/>
        <v>#DIV/0!</v>
      </c>
      <c r="K5" s="73" t="e">
        <f t="shared" si="0"/>
        <v>#DIV/0!</v>
      </c>
      <c r="L5" s="73" t="e">
        <f t="shared" si="0"/>
        <v>#DIV/0!</v>
      </c>
      <c r="M5" s="73" t="e">
        <f t="shared" si="0"/>
        <v>#DIV/0!</v>
      </c>
      <c r="N5" s="73">
        <f t="shared" si="0"/>
        <v>0</v>
      </c>
      <c r="O5" s="73">
        <f t="shared" ref="O5:AT5" si="1">O3/((O4+S4)/2)*100</f>
        <v>0</v>
      </c>
      <c r="P5" s="73">
        <f t="shared" si="1"/>
        <v>0</v>
      </c>
      <c r="Q5" s="73">
        <f t="shared" si="1"/>
        <v>0</v>
      </c>
      <c r="R5" s="73">
        <f t="shared" si="1"/>
        <v>0</v>
      </c>
      <c r="S5" s="73">
        <f t="shared" si="1"/>
        <v>0</v>
      </c>
      <c r="T5" s="73">
        <f t="shared" si="1"/>
        <v>0</v>
      </c>
      <c r="U5" s="73">
        <f t="shared" si="1"/>
        <v>0</v>
      </c>
      <c r="V5" s="73">
        <f t="shared" si="1"/>
        <v>0</v>
      </c>
      <c r="W5" s="73">
        <f t="shared" si="1"/>
        <v>0</v>
      </c>
      <c r="X5" s="73">
        <f t="shared" si="1"/>
        <v>0</v>
      </c>
      <c r="Y5" s="73">
        <f t="shared" si="1"/>
        <v>0</v>
      </c>
      <c r="Z5" s="73">
        <f t="shared" si="1"/>
        <v>0</v>
      </c>
      <c r="AA5" s="73">
        <f t="shared" si="1"/>
        <v>0</v>
      </c>
      <c r="AB5" s="73">
        <f t="shared" si="1"/>
        <v>0</v>
      </c>
      <c r="AC5" s="73">
        <f t="shared" si="1"/>
        <v>0.26105042121684868</v>
      </c>
      <c r="AD5" s="73">
        <f t="shared" si="1"/>
        <v>0</v>
      </c>
      <c r="AE5" s="73">
        <f t="shared" si="1"/>
        <v>0</v>
      </c>
      <c r="AF5" s="73">
        <f t="shared" si="1"/>
        <v>0</v>
      </c>
      <c r="AG5" s="73">
        <f t="shared" si="1"/>
        <v>2.1540205228758174</v>
      </c>
      <c r="AH5" s="73">
        <f t="shared" si="1"/>
        <v>0</v>
      </c>
      <c r="AI5" s="73">
        <f t="shared" si="1"/>
        <v>0</v>
      </c>
      <c r="AJ5" s="73">
        <f t="shared" si="1"/>
        <v>0</v>
      </c>
      <c r="AK5" s="73">
        <f t="shared" si="1"/>
        <v>6.0332360533713096</v>
      </c>
      <c r="AL5" s="73">
        <f t="shared" si="1"/>
        <v>0</v>
      </c>
      <c r="AM5" s="73">
        <f t="shared" si="1"/>
        <v>0</v>
      </c>
      <c r="AN5" s="73">
        <f t="shared" si="1"/>
        <v>0</v>
      </c>
      <c r="AO5" s="73">
        <f t="shared" si="1"/>
        <v>11.599505040034337</v>
      </c>
      <c r="AP5" s="73">
        <f t="shared" si="1"/>
        <v>0</v>
      </c>
      <c r="AQ5" s="73" t="e">
        <f t="shared" si="1"/>
        <v>#DIV/0!</v>
      </c>
      <c r="AR5" s="73" t="e">
        <f t="shared" si="1"/>
        <v>#DIV/0!</v>
      </c>
      <c r="AS5" s="73" t="e">
        <f t="shared" si="1"/>
        <v>#DIV/0!</v>
      </c>
      <c r="AT5" s="73" t="e">
        <f t="shared" si="1"/>
        <v>#DIV/0!</v>
      </c>
      <c r="AU5" s="73" t="e">
        <f t="shared" ref="AU5:BV5" si="2">AU3/((AU4+AY4)/2)*100</f>
        <v>#DIV/0!</v>
      </c>
      <c r="AV5" s="73" t="e">
        <f t="shared" si="2"/>
        <v>#DIV/0!</v>
      </c>
      <c r="AW5" s="73" t="e">
        <f t="shared" si="2"/>
        <v>#DIV/0!</v>
      </c>
      <c r="AX5" s="73" t="e">
        <f t="shared" si="2"/>
        <v>#DIV/0!</v>
      </c>
      <c r="AY5" s="73" t="e">
        <f t="shared" si="2"/>
        <v>#DIV/0!</v>
      </c>
      <c r="AZ5" s="73" t="e">
        <f t="shared" si="2"/>
        <v>#DIV/0!</v>
      </c>
      <c r="BA5" s="73" t="e">
        <f t="shared" si="2"/>
        <v>#DIV/0!</v>
      </c>
      <c r="BB5" s="73" t="e">
        <f t="shared" si="2"/>
        <v>#DIV/0!</v>
      </c>
      <c r="BC5" s="73" t="e">
        <f t="shared" si="2"/>
        <v>#DIV/0!</v>
      </c>
      <c r="BD5" s="73" t="e">
        <f t="shared" si="2"/>
        <v>#DIV/0!</v>
      </c>
      <c r="BE5" s="73" t="e">
        <f t="shared" si="2"/>
        <v>#DIV/0!</v>
      </c>
      <c r="BF5" s="73" t="e">
        <f t="shared" si="2"/>
        <v>#DIV/0!</v>
      </c>
      <c r="BG5" s="73" t="e">
        <f t="shared" si="2"/>
        <v>#DIV/0!</v>
      </c>
      <c r="BH5" s="73" t="e">
        <f t="shared" si="2"/>
        <v>#DIV/0!</v>
      </c>
      <c r="BI5" s="73" t="e">
        <f t="shared" si="2"/>
        <v>#DIV/0!</v>
      </c>
      <c r="BJ5" s="73" t="e">
        <f t="shared" si="2"/>
        <v>#DIV/0!</v>
      </c>
      <c r="BK5" s="73" t="e">
        <f t="shared" si="2"/>
        <v>#DIV/0!</v>
      </c>
      <c r="BL5" s="73" t="e">
        <f t="shared" si="2"/>
        <v>#DIV/0!</v>
      </c>
      <c r="BM5" s="73" t="e">
        <f t="shared" si="2"/>
        <v>#DIV/0!</v>
      </c>
      <c r="BN5" s="73" t="e">
        <f t="shared" si="2"/>
        <v>#DIV/0!</v>
      </c>
      <c r="BO5" s="73" t="e">
        <f t="shared" si="2"/>
        <v>#DIV/0!</v>
      </c>
      <c r="BP5" s="73" t="e">
        <f t="shared" si="2"/>
        <v>#DIV/0!</v>
      </c>
      <c r="BQ5" s="73" t="e">
        <f t="shared" si="2"/>
        <v>#DIV/0!</v>
      </c>
      <c r="BR5" s="73" t="e">
        <f t="shared" si="2"/>
        <v>#DIV/0!</v>
      </c>
      <c r="BS5" s="73" t="e">
        <f t="shared" si="2"/>
        <v>#DIV/0!</v>
      </c>
      <c r="BT5" s="73" t="e">
        <f t="shared" si="2"/>
        <v>#DIV/0!</v>
      </c>
      <c r="BU5" s="73" t="e">
        <f t="shared" si="2"/>
        <v>#DIV/0!</v>
      </c>
      <c r="BV5" s="73" t="e">
        <f t="shared" si="2"/>
        <v>#DIV/0!</v>
      </c>
    </row>
    <row r="6" spans="1:74" s="73" customFormat="1">
      <c r="A6" s="73" t="s">
        <v>351</v>
      </c>
      <c r="E6" s="73">
        <f>股权价值增加表!E41</f>
        <v>0.18111498642757382</v>
      </c>
      <c r="F6" s="73">
        <f>股权价值增加表!F41</f>
        <v>0.21799312826933731</v>
      </c>
      <c r="G6" s="73">
        <f>股权价值增加表!G41</f>
        <v>0.21684810082768602</v>
      </c>
      <c r="H6" s="73">
        <f>股权价值增加表!H41</f>
        <v>0.21938809108952617</v>
      </c>
      <c r="I6" s="73">
        <f>股权价值增加表!I41</f>
        <v>0.21244610939875114</v>
      </c>
      <c r="J6" s="73">
        <f>股权价值增加表!J41</f>
        <v>0.21258070818195424</v>
      </c>
      <c r="K6" s="73">
        <f>股权价值增加表!K41</f>
        <v>0.21323977667205574</v>
      </c>
      <c r="L6" s="73">
        <f>股权价值增加表!L41</f>
        <v>0.22068628377613517</v>
      </c>
      <c r="M6" s="73">
        <f>股权价值增加表!M41</f>
        <v>0.18404531943614003</v>
      </c>
      <c r="N6" s="73">
        <f>股权价值增加表!N41</f>
        <v>0.2177218415865052</v>
      </c>
      <c r="O6" s="73">
        <f>股权价值增加表!O41</f>
        <v>0.21798810840838545</v>
      </c>
      <c r="P6" s="73">
        <f>股权价值增加表!P41</f>
        <v>0.22409323162064118</v>
      </c>
      <c r="Q6" s="73">
        <f>股权价值增加表!Q41</f>
        <v>0.23324011175185003</v>
      </c>
      <c r="R6" s="73">
        <f>股权价值增加表!R41</f>
        <v>0.2365995029180929</v>
      </c>
      <c r="S6" s="73">
        <f>股权价值增加表!S41</f>
        <v>0.2386923527935067</v>
      </c>
      <c r="T6" s="73">
        <f>股权价值增加表!T41</f>
        <v>0.24485362811314798</v>
      </c>
      <c r="U6" s="73">
        <f>股权价值增加表!U41</f>
        <v>0.25561457586086944</v>
      </c>
      <c r="V6" s="73">
        <f>股权价值增加表!V41</f>
        <v>0.24981987417727125</v>
      </c>
      <c r="W6" s="73">
        <f>股权价值增加表!W41</f>
        <v>0.24919147077485931</v>
      </c>
      <c r="X6" s="73">
        <f>股权价值增加表!X41</f>
        <v>0.24906369657569935</v>
      </c>
      <c r="Y6" s="73">
        <f>股权价值增加表!Y41</f>
        <v>0.26472011770041881</v>
      </c>
      <c r="Z6" s="73">
        <f>股权价值增加表!Z41</f>
        <v>0.25024841456839142</v>
      </c>
      <c r="AA6" s="73">
        <f>股权价值增加表!AA41</f>
        <v>0.2503327954695822</v>
      </c>
      <c r="AB6" s="73">
        <f>股权价值增加表!AB41</f>
        <v>0.25016244482847577</v>
      </c>
      <c r="AC6" s="73">
        <f>股权价值增加表!AC41</f>
        <v>0.24237055305683775</v>
      </c>
      <c r="AD6" s="73">
        <f>股权价值增加表!AD41</f>
        <v>0.23331099109933084</v>
      </c>
      <c r="AE6" s="73">
        <f>股权价值增加表!AE41</f>
        <v>0.23614648292934889</v>
      </c>
      <c r="AF6" s="73">
        <f>股权价值增加表!AF41</f>
        <v>0.23358575165858142</v>
      </c>
      <c r="AG6" s="73">
        <f>股权价值增加表!AG41</f>
        <v>0.21082926447027187</v>
      </c>
      <c r="AH6" s="73">
        <f>股权价值增加表!AH41</f>
        <v>0.21767707219576227</v>
      </c>
      <c r="AI6" s="73">
        <f>股权价值增加表!AI41</f>
        <v>0.21985221838437047</v>
      </c>
      <c r="AJ6" s="73">
        <f>股权价值增加表!AJ41</f>
        <v>0.21603770775413197</v>
      </c>
      <c r="AK6" s="73">
        <f>股权价值增加表!AK41</f>
        <v>0.20987424390866002</v>
      </c>
      <c r="AL6" s="73">
        <f>股权价值增加表!AL41</f>
        <v>0.20399244682240869</v>
      </c>
      <c r="AM6" s="73">
        <f>股权价值增加表!AM41</f>
        <v>0.2173644777640881</v>
      </c>
      <c r="AN6" s="73">
        <f>股权价值增加表!AN41</f>
        <v>0.21490968061623356</v>
      </c>
      <c r="AO6" s="73">
        <f>股权价值增加表!AO41</f>
        <v>0.17404310713577636</v>
      </c>
      <c r="AP6" s="73">
        <f>股权价值增加表!AP41</f>
        <v>0.16638766983922085</v>
      </c>
      <c r="AQ6" s="73">
        <f>股权价值增加表!AQ41</f>
        <v>7.4053477465103032E-2</v>
      </c>
      <c r="AR6" s="73">
        <f>股权价值增加表!AR41</f>
        <v>0.14922801498833946</v>
      </c>
      <c r="AS6" s="73" t="e">
        <f>股权价值增加表!AS41</f>
        <v>#DIV/0!</v>
      </c>
      <c r="AT6" s="73">
        <f>股权价值增加表!AT41</f>
        <v>5.1332968378154469</v>
      </c>
      <c r="AU6" s="73">
        <f>股权价值增加表!AU41</f>
        <v>7.2924414182151729</v>
      </c>
      <c r="AV6" s="73">
        <f>股权价值增加表!AV41</f>
        <v>4.7146615153439262</v>
      </c>
      <c r="AW6" s="73">
        <f>股权价值增加表!AW41</f>
        <v>0.87180087503841486</v>
      </c>
      <c r="AX6" s="73">
        <f>股权价值增加表!AX41</f>
        <v>0.74447056790029142</v>
      </c>
      <c r="AY6" s="73">
        <f>股权价值增加表!AY41</f>
        <v>1.0451658867707241</v>
      </c>
      <c r="AZ6" s="73">
        <f>股权价值增加表!AZ41</f>
        <v>2.0551845510368487</v>
      </c>
      <c r="BA6" s="73">
        <f>股权价值增加表!BA41</f>
        <v>-2.4638497240987847</v>
      </c>
      <c r="BB6" s="73">
        <f>股权价值增加表!BB41</f>
        <v>-2.01752412620819</v>
      </c>
      <c r="BC6" s="73">
        <f>股权价值增加表!BC41</f>
        <v>-28.219198084406898</v>
      </c>
      <c r="BD6" s="73">
        <f>股权价值增加表!BD41</f>
        <v>1.668592578247527</v>
      </c>
      <c r="BE6" s="73">
        <f>股权价值增加表!BE41</f>
        <v>1.5286582897360992</v>
      </c>
      <c r="BF6" s="73">
        <f>股权价值增加表!BF41</f>
        <v>1.5408987587015193</v>
      </c>
      <c r="BG6" s="73">
        <f>股权价值增加表!BG41</f>
        <v>1.3820546251148127</v>
      </c>
      <c r="BH6" s="73">
        <f>股权价值增加表!BH41</f>
        <v>2.1220982625406397</v>
      </c>
      <c r="BI6" s="73">
        <f>股权价值增加表!BI41</f>
        <v>1.2930199499076394</v>
      </c>
      <c r="BJ6" s="73">
        <f>股权价值增加表!BJ41</f>
        <v>0.97118672925503446</v>
      </c>
      <c r="BK6" s="73">
        <f>股权价值增加表!BK41</f>
        <v>0.82762499243431464</v>
      </c>
      <c r="BL6" s="73">
        <f>股权价值增加表!BL41</f>
        <v>1.9097060621102897</v>
      </c>
      <c r="BM6" s="73">
        <f>股权价值增加表!BM41</f>
        <v>1.9621875617636653</v>
      </c>
      <c r="BN6" s="73">
        <f>股权价值增加表!BN41</f>
        <v>1.6537405499343196</v>
      </c>
      <c r="BO6" s="73">
        <f>股权价值增加表!BO41</f>
        <v>1.503350984455353</v>
      </c>
      <c r="BP6" s="73">
        <f>股权价值增加表!BP41</f>
        <v>1.6660992340809904</v>
      </c>
      <c r="BQ6" s="73">
        <f>股权价值增加表!BQ41</f>
        <v>2.7271567271639197</v>
      </c>
      <c r="BR6" s="73">
        <f>股权价值增加表!BR41</f>
        <v>1.33203395096035</v>
      </c>
      <c r="BS6" s="73">
        <f>股权价值增加表!BS41</f>
        <v>0.93999259928271384</v>
      </c>
      <c r="BT6" s="73">
        <f>股权价值增加表!BT41</f>
        <v>0.84977292824216455</v>
      </c>
      <c r="BU6" s="73">
        <f>股权价值增加表!BU41</f>
        <v>1.9961652323281276</v>
      </c>
    </row>
    <row r="7" spans="1:74" s="33" customFormat="1">
      <c r="A7" s="33" t="s">
        <v>332</v>
      </c>
      <c r="E7" s="33" t="e">
        <f>E5*(1-E6)</f>
        <v>#DIV/0!</v>
      </c>
      <c r="F7" s="33" t="e">
        <f t="shared" ref="F7:BQ7" si="3">F5*(1-F6)</f>
        <v>#DIV/0!</v>
      </c>
      <c r="G7" s="33" t="e">
        <f t="shared" si="3"/>
        <v>#DIV/0!</v>
      </c>
      <c r="H7" s="33" t="e">
        <f t="shared" si="3"/>
        <v>#DIV/0!</v>
      </c>
      <c r="I7" s="33" t="e">
        <f t="shared" si="3"/>
        <v>#DIV/0!</v>
      </c>
      <c r="J7" s="33" t="e">
        <f t="shared" si="3"/>
        <v>#DIV/0!</v>
      </c>
      <c r="K7" s="33" t="e">
        <f t="shared" si="3"/>
        <v>#DIV/0!</v>
      </c>
      <c r="L7" s="33" t="e">
        <f t="shared" si="3"/>
        <v>#DIV/0!</v>
      </c>
      <c r="M7" s="33" t="e">
        <f t="shared" si="3"/>
        <v>#DIV/0!</v>
      </c>
      <c r="N7" s="33">
        <f t="shared" si="3"/>
        <v>0</v>
      </c>
      <c r="O7" s="33">
        <f t="shared" si="3"/>
        <v>0</v>
      </c>
      <c r="P7" s="33">
        <f t="shared" si="3"/>
        <v>0</v>
      </c>
      <c r="Q7" s="33">
        <f t="shared" si="3"/>
        <v>0</v>
      </c>
      <c r="R7" s="33">
        <f t="shared" si="3"/>
        <v>0</v>
      </c>
      <c r="S7" s="33">
        <f t="shared" si="3"/>
        <v>0</v>
      </c>
      <c r="T7" s="33">
        <f t="shared" si="3"/>
        <v>0</v>
      </c>
      <c r="U7" s="33">
        <f t="shared" si="3"/>
        <v>0</v>
      </c>
      <c r="V7" s="33">
        <f t="shared" si="3"/>
        <v>0</v>
      </c>
      <c r="W7" s="33">
        <f t="shared" si="3"/>
        <v>0</v>
      </c>
      <c r="X7" s="33">
        <f t="shared" si="3"/>
        <v>0</v>
      </c>
      <c r="Y7" s="33">
        <f t="shared" si="3"/>
        <v>0</v>
      </c>
      <c r="Z7" s="33">
        <f t="shared" si="3"/>
        <v>0</v>
      </c>
      <c r="AA7" s="33">
        <f t="shared" si="3"/>
        <v>0</v>
      </c>
      <c r="AB7" s="33">
        <f t="shared" si="3"/>
        <v>0</v>
      </c>
      <c r="AC7" s="33">
        <f t="shared" si="3"/>
        <v>0.19777948625080061</v>
      </c>
      <c r="AD7" s="33">
        <f t="shared" si="3"/>
        <v>0</v>
      </c>
      <c r="AE7" s="33">
        <f t="shared" si="3"/>
        <v>0</v>
      </c>
      <c r="AF7" s="33">
        <f t="shared" si="3"/>
        <v>0</v>
      </c>
      <c r="AG7" s="33">
        <f t="shared" si="3"/>
        <v>1.6998899603840385</v>
      </c>
      <c r="AH7" s="33">
        <f t="shared" si="3"/>
        <v>0</v>
      </c>
      <c r="AI7" s="33">
        <f t="shared" si="3"/>
        <v>0</v>
      </c>
      <c r="AJ7" s="33">
        <f t="shared" si="3"/>
        <v>0</v>
      </c>
      <c r="AK7" s="33">
        <f t="shared" si="3"/>
        <v>4.7670151983475382</v>
      </c>
      <c r="AL7" s="33">
        <f t="shared" si="3"/>
        <v>0</v>
      </c>
      <c r="AM7" s="33">
        <f t="shared" si="3"/>
        <v>0</v>
      </c>
      <c r="AN7" s="33">
        <f t="shared" si="3"/>
        <v>0</v>
      </c>
      <c r="AO7" s="33">
        <f t="shared" si="3"/>
        <v>9.5806911416296625</v>
      </c>
      <c r="AP7" s="33">
        <f t="shared" si="3"/>
        <v>0</v>
      </c>
      <c r="AQ7" s="33" t="e">
        <f t="shared" si="3"/>
        <v>#DIV/0!</v>
      </c>
      <c r="AR7" s="33" t="e">
        <f t="shared" si="3"/>
        <v>#DIV/0!</v>
      </c>
      <c r="AS7" s="33" t="e">
        <f t="shared" si="3"/>
        <v>#DIV/0!</v>
      </c>
      <c r="AT7" s="33" t="e">
        <f t="shared" si="3"/>
        <v>#DIV/0!</v>
      </c>
      <c r="AU7" s="33" t="e">
        <f t="shared" si="3"/>
        <v>#DIV/0!</v>
      </c>
      <c r="AV7" s="33" t="e">
        <f t="shared" si="3"/>
        <v>#DIV/0!</v>
      </c>
      <c r="AW7" s="33" t="e">
        <f t="shared" si="3"/>
        <v>#DIV/0!</v>
      </c>
      <c r="AX7" s="33" t="e">
        <f t="shared" si="3"/>
        <v>#DIV/0!</v>
      </c>
      <c r="AY7" s="33" t="e">
        <f t="shared" si="3"/>
        <v>#DIV/0!</v>
      </c>
      <c r="AZ7" s="33" t="e">
        <f t="shared" si="3"/>
        <v>#DIV/0!</v>
      </c>
      <c r="BA7" s="33" t="e">
        <f t="shared" si="3"/>
        <v>#DIV/0!</v>
      </c>
      <c r="BB7" s="33" t="e">
        <f t="shared" si="3"/>
        <v>#DIV/0!</v>
      </c>
      <c r="BC7" s="33" t="e">
        <f t="shared" si="3"/>
        <v>#DIV/0!</v>
      </c>
      <c r="BD7" s="33" t="e">
        <f t="shared" si="3"/>
        <v>#DIV/0!</v>
      </c>
      <c r="BE7" s="33" t="e">
        <f t="shared" si="3"/>
        <v>#DIV/0!</v>
      </c>
      <c r="BF7" s="33" t="e">
        <f t="shared" si="3"/>
        <v>#DIV/0!</v>
      </c>
      <c r="BG7" s="33" t="e">
        <f t="shared" si="3"/>
        <v>#DIV/0!</v>
      </c>
      <c r="BH7" s="33" t="e">
        <f t="shared" si="3"/>
        <v>#DIV/0!</v>
      </c>
      <c r="BI7" s="33" t="e">
        <f t="shared" si="3"/>
        <v>#DIV/0!</v>
      </c>
      <c r="BJ7" s="33" t="e">
        <f t="shared" si="3"/>
        <v>#DIV/0!</v>
      </c>
      <c r="BK7" s="33" t="e">
        <f t="shared" si="3"/>
        <v>#DIV/0!</v>
      </c>
      <c r="BL7" s="33" t="e">
        <f t="shared" si="3"/>
        <v>#DIV/0!</v>
      </c>
      <c r="BM7" s="33" t="e">
        <f t="shared" si="3"/>
        <v>#DIV/0!</v>
      </c>
      <c r="BN7" s="33" t="e">
        <f t="shared" si="3"/>
        <v>#DIV/0!</v>
      </c>
      <c r="BO7" s="33" t="e">
        <f t="shared" si="3"/>
        <v>#DIV/0!</v>
      </c>
      <c r="BP7" s="33" t="e">
        <f t="shared" si="3"/>
        <v>#DIV/0!</v>
      </c>
      <c r="BQ7" s="33" t="e">
        <f t="shared" si="3"/>
        <v>#DIV/0!</v>
      </c>
      <c r="BR7" s="33" t="e">
        <f>BR5*(1-BR6)</f>
        <v>#DIV/0!</v>
      </c>
      <c r="BS7" s="33" t="e">
        <f>BS5*(1-BS6)</f>
        <v>#DIV/0!</v>
      </c>
      <c r="BT7" s="33" t="e">
        <f>BT5*(1-BT6)</f>
        <v>#DIV/0!</v>
      </c>
      <c r="BU7" s="33" t="e">
        <f>BU5*(1-BU6)</f>
        <v>#DIV/0!</v>
      </c>
      <c r="BV7" s="33" t="e">
        <f>BV5*(1-BV6)</f>
        <v>#DIV/0!</v>
      </c>
    </row>
    <row r="8" spans="1:74" s="33" customFormat="1">
      <c r="A8" s="33" t="s">
        <v>333</v>
      </c>
      <c r="E8" s="33">
        <f>资产资本表!E107</f>
        <v>3141352694.0599999</v>
      </c>
      <c r="F8" s="33">
        <f>资产资本表!F107</f>
        <v>2851929728.1700001</v>
      </c>
      <c r="G8" s="33">
        <f>资产资本表!G107</f>
        <v>2825085179.6399999</v>
      </c>
      <c r="H8" s="33">
        <f>资产资本表!H107</f>
        <v>2815207173.3899999</v>
      </c>
      <c r="I8" s="33">
        <f>资产资本表!I107</f>
        <v>2660625702.8400002</v>
      </c>
      <c r="J8" s="33">
        <f>资产资本表!J107</f>
        <v>2457893286.4000001</v>
      </c>
      <c r="K8" s="33">
        <f>资产资本表!K107</f>
        <v>2371786628.6999998</v>
      </c>
      <c r="L8" s="33">
        <f>资产资本表!L107</f>
        <v>2373480275.8400002</v>
      </c>
      <c r="M8" s="33">
        <f>资产资本表!M107</f>
        <v>2288181417.8499999</v>
      </c>
      <c r="N8" s="33">
        <f>资产资本表!N107</f>
        <v>2388833667.1500001</v>
      </c>
      <c r="O8" s="33">
        <f>资产资本表!O107</f>
        <v>2308061567.1199999</v>
      </c>
      <c r="P8" s="33">
        <f>资产资本表!P107</f>
        <v>2265663252.5700002</v>
      </c>
      <c r="Q8" s="33">
        <f>资产资本表!Q107</f>
        <v>2164648515.4099998</v>
      </c>
      <c r="R8" s="33">
        <f>资产资本表!R107</f>
        <v>2083485285.74</v>
      </c>
      <c r="S8" s="33">
        <f>资产资本表!S107</f>
        <v>1988890812.8900001</v>
      </c>
      <c r="T8" s="33">
        <f>资产资本表!T107</f>
        <v>1907477032.6099999</v>
      </c>
      <c r="U8" s="33">
        <f>资产资本表!U107</f>
        <v>1801859544.03</v>
      </c>
      <c r="V8" s="33">
        <f>资产资本表!V107</f>
        <v>1688018358.1300001</v>
      </c>
      <c r="W8" s="33">
        <f>资产资本表!W107</f>
        <v>1607851610.3299999</v>
      </c>
      <c r="X8" s="33">
        <f>资产资本表!X107</f>
        <v>1603955723.71</v>
      </c>
      <c r="Y8" s="33">
        <f>资产资本表!Y107</f>
        <v>1512197594.1800001</v>
      </c>
      <c r="Z8" s="33">
        <f>资产资本表!Z107</f>
        <v>1406994898.47</v>
      </c>
      <c r="AA8" s="33">
        <f>资产资本表!AA107</f>
        <v>1351359834.1500001</v>
      </c>
      <c r="AB8" s="33">
        <f>资产资本表!AB107</f>
        <v>1316894462.9100001</v>
      </c>
      <c r="AC8" s="33">
        <f>资产资本表!AC107</f>
        <v>1237915332.5799999</v>
      </c>
      <c r="AD8" s="33">
        <f>资产资本表!AD107</f>
        <v>1159611682.0999999</v>
      </c>
      <c r="AE8" s="33">
        <f>资产资本表!AE107</f>
        <v>1207582308.1800001</v>
      </c>
      <c r="AF8" s="33">
        <f>资产资本表!AF107</f>
        <v>1177796114.9100001</v>
      </c>
      <c r="AG8" s="33">
        <f>资产资本表!AG107</f>
        <v>1118526039.3800001</v>
      </c>
      <c r="AH8" s="33">
        <f>资产资本表!AH107</f>
        <v>1059776525.36</v>
      </c>
      <c r="AI8" s="33">
        <f>资产资本表!AI107</f>
        <v>1090054243.6500001</v>
      </c>
      <c r="AJ8" s="33">
        <f>资产资本表!AJ107</f>
        <v>1078573513.4300001</v>
      </c>
      <c r="AK8" s="33">
        <f>资产资本表!AK107</f>
        <v>1042268233.27</v>
      </c>
      <c r="AL8" s="33">
        <f>资产资本表!AL107</f>
        <v>271944455.62</v>
      </c>
      <c r="AM8" s="33">
        <f>资产资本表!AM107</f>
        <v>254897792.94999999</v>
      </c>
      <c r="AN8" s="33">
        <f>资产资本表!AN107</f>
        <v>221190622.33000001</v>
      </c>
      <c r="AO8" s="33">
        <f>资产资本表!AO107</f>
        <v>170816910.18000001</v>
      </c>
      <c r="AP8" s="33">
        <f>资产资本表!AP107</f>
        <v>115441126.05</v>
      </c>
      <c r="AQ8" s="33">
        <f>资产资本表!AQ107</f>
        <v>0</v>
      </c>
      <c r="AR8" s="33">
        <f>资产资本表!AR107</f>
        <v>5856405893.5</v>
      </c>
      <c r="AS8" s="33">
        <f>资产资本表!AS107</f>
        <v>5658752935.3099995</v>
      </c>
      <c r="AT8" s="33">
        <f>资产资本表!AT107</f>
        <v>5557397185.8000002</v>
      </c>
      <c r="AU8" s="33">
        <f>资产资本表!AU107</f>
        <v>5294185121.96</v>
      </c>
      <c r="AV8" s="33">
        <f>资产资本表!AV107</f>
        <v>5276800465.9200001</v>
      </c>
      <c r="AW8" s="33">
        <f>资产资本表!AW107</f>
        <v>5181853244.1599998</v>
      </c>
      <c r="AX8" s="33">
        <f>资产资本表!AX107</f>
        <v>5011911653.6700001</v>
      </c>
      <c r="AY8" s="33">
        <f>资产资本表!AY107</f>
        <v>4820276191.9800005</v>
      </c>
      <c r="AZ8" s="33">
        <f>资产资本表!AZ107</f>
        <v>5010338103.3099995</v>
      </c>
      <c r="BA8" s="33">
        <f>资产资本表!BA107</f>
        <v>4895309580.54</v>
      </c>
      <c r="BB8" s="33">
        <f>资产资本表!BB107</f>
        <v>4888570328.4099998</v>
      </c>
      <c r="BC8" s="33">
        <f>资产资本表!BC107</f>
        <v>4807601462.5599995</v>
      </c>
      <c r="BD8" s="33">
        <f>资产资本表!BD107</f>
        <v>5068821027.4499998</v>
      </c>
      <c r="BE8" s="33">
        <f>资产资本表!BE107</f>
        <v>4926753550.1099997</v>
      </c>
      <c r="BF8" s="33">
        <f>资产资本表!BF107</f>
        <v>4808299542.9399996</v>
      </c>
      <c r="BG8" s="33">
        <f>资产资本表!BG107</f>
        <v>4751398778.0100002</v>
      </c>
      <c r="BH8" s="33">
        <f>资产资本表!BH107</f>
        <v>4805853655.8899994</v>
      </c>
      <c r="BI8" s="33">
        <f>资产资本表!BI107</f>
        <v>4648133672.2799997</v>
      </c>
      <c r="BJ8" s="33">
        <f>资产资本表!BJ107</f>
        <v>4488942480.3800001</v>
      </c>
      <c r="BK8" s="33">
        <f>资产资本表!BK107</f>
        <v>4292913533.4400001</v>
      </c>
      <c r="BL8" s="33">
        <f>资产资本表!BL107</f>
        <v>4290589554.0599995</v>
      </c>
      <c r="BM8" s="33">
        <f>资产资本表!BM107</f>
        <v>4205781132.7200003</v>
      </c>
      <c r="BN8" s="33">
        <f>资产资本表!BN107</f>
        <v>4125320111.8000002</v>
      </c>
      <c r="BO8" s="33">
        <f>资产资本表!BO107</f>
        <v>3954027963.8899999</v>
      </c>
      <c r="BP8" s="33">
        <f>资产资本表!BP107</f>
        <v>3988477317.79</v>
      </c>
      <c r="BQ8" s="33">
        <f>资产资本表!BQ107</f>
        <v>3875929168.1599998</v>
      </c>
      <c r="BR8" s="33">
        <f>资产资本表!BR107</f>
        <v>3795371454.2599998</v>
      </c>
      <c r="BS8" s="33">
        <f>资产资本表!BS107</f>
        <v>3599541620.5700002</v>
      </c>
      <c r="BT8" s="33">
        <f>资产资本表!BT107</f>
        <v>3730682761.7999997</v>
      </c>
      <c r="BU8" s="33">
        <f>资产资本表!BU107</f>
        <v>3598065094.6499996</v>
      </c>
    </row>
    <row r="9" spans="1:74" s="73" customFormat="1">
      <c r="A9" s="73" t="s">
        <v>350</v>
      </c>
      <c r="E9" s="73">
        <f>$E$16</f>
        <v>0.08</v>
      </c>
      <c r="F9" s="73">
        <f t="shared" ref="F9:BQ9" si="4">$E$16</f>
        <v>0.08</v>
      </c>
      <c r="G9" s="73">
        <f t="shared" si="4"/>
        <v>0.08</v>
      </c>
      <c r="H9" s="73">
        <f t="shared" si="4"/>
        <v>0.08</v>
      </c>
      <c r="I9" s="73">
        <f t="shared" si="4"/>
        <v>0.08</v>
      </c>
      <c r="J9" s="73">
        <f t="shared" si="4"/>
        <v>0.08</v>
      </c>
      <c r="K9" s="73">
        <f t="shared" si="4"/>
        <v>0.08</v>
      </c>
      <c r="L9" s="73">
        <f t="shared" si="4"/>
        <v>0.08</v>
      </c>
      <c r="M9" s="73">
        <f t="shared" si="4"/>
        <v>0.08</v>
      </c>
      <c r="N9" s="73">
        <f t="shared" si="4"/>
        <v>0.08</v>
      </c>
      <c r="O9" s="73">
        <f t="shared" si="4"/>
        <v>0.08</v>
      </c>
      <c r="P9" s="73">
        <f t="shared" si="4"/>
        <v>0.08</v>
      </c>
      <c r="Q9" s="73">
        <f t="shared" si="4"/>
        <v>0.08</v>
      </c>
      <c r="R9" s="73">
        <f t="shared" si="4"/>
        <v>0.08</v>
      </c>
      <c r="S9" s="73">
        <f t="shared" si="4"/>
        <v>0.08</v>
      </c>
      <c r="T9" s="73">
        <f t="shared" si="4"/>
        <v>0.08</v>
      </c>
      <c r="U9" s="73">
        <f t="shared" si="4"/>
        <v>0.08</v>
      </c>
      <c r="V9" s="73">
        <f t="shared" si="4"/>
        <v>0.08</v>
      </c>
      <c r="W9" s="73">
        <f t="shared" si="4"/>
        <v>0.08</v>
      </c>
      <c r="X9" s="73">
        <f t="shared" si="4"/>
        <v>0.08</v>
      </c>
      <c r="Y9" s="73">
        <f t="shared" si="4"/>
        <v>0.08</v>
      </c>
      <c r="Z9" s="73">
        <f t="shared" si="4"/>
        <v>0.08</v>
      </c>
      <c r="AA9" s="73">
        <f t="shared" si="4"/>
        <v>0.08</v>
      </c>
      <c r="AB9" s="73">
        <f t="shared" si="4"/>
        <v>0.08</v>
      </c>
      <c r="AC9" s="73">
        <f t="shared" si="4"/>
        <v>0.08</v>
      </c>
      <c r="AD9" s="73">
        <f t="shared" si="4"/>
        <v>0.08</v>
      </c>
      <c r="AE9" s="73">
        <f t="shared" si="4"/>
        <v>0.08</v>
      </c>
      <c r="AF9" s="73">
        <f t="shared" si="4"/>
        <v>0.08</v>
      </c>
      <c r="AG9" s="73">
        <f t="shared" si="4"/>
        <v>0.08</v>
      </c>
      <c r="AH9" s="73">
        <f t="shared" si="4"/>
        <v>0.08</v>
      </c>
      <c r="AI9" s="73">
        <f t="shared" si="4"/>
        <v>0.08</v>
      </c>
      <c r="AJ9" s="73">
        <f t="shared" si="4"/>
        <v>0.08</v>
      </c>
      <c r="AK9" s="73">
        <f t="shared" si="4"/>
        <v>0.08</v>
      </c>
      <c r="AL9" s="73">
        <f t="shared" si="4"/>
        <v>0.08</v>
      </c>
      <c r="AM9" s="73">
        <f t="shared" si="4"/>
        <v>0.08</v>
      </c>
      <c r="AN9" s="73">
        <f t="shared" si="4"/>
        <v>0.08</v>
      </c>
      <c r="AO9" s="73">
        <f t="shared" si="4"/>
        <v>0.08</v>
      </c>
      <c r="AP9" s="73">
        <f t="shared" si="4"/>
        <v>0.08</v>
      </c>
      <c r="AQ9" s="73">
        <f t="shared" si="4"/>
        <v>0.08</v>
      </c>
      <c r="AR9" s="73">
        <f t="shared" si="4"/>
        <v>0.08</v>
      </c>
      <c r="AS9" s="73">
        <f t="shared" si="4"/>
        <v>0.08</v>
      </c>
      <c r="AT9" s="73">
        <f t="shared" si="4"/>
        <v>0.08</v>
      </c>
      <c r="AU9" s="73">
        <f t="shared" si="4"/>
        <v>0.08</v>
      </c>
      <c r="AV9" s="73">
        <f t="shared" si="4"/>
        <v>0.08</v>
      </c>
      <c r="AW9" s="73">
        <f t="shared" si="4"/>
        <v>0.08</v>
      </c>
      <c r="AX9" s="73">
        <f t="shared" si="4"/>
        <v>0.08</v>
      </c>
      <c r="AY9" s="73">
        <f t="shared" si="4"/>
        <v>0.08</v>
      </c>
      <c r="AZ9" s="73">
        <f t="shared" si="4"/>
        <v>0.08</v>
      </c>
      <c r="BA9" s="73">
        <f t="shared" si="4"/>
        <v>0.08</v>
      </c>
      <c r="BB9" s="73">
        <f t="shared" si="4"/>
        <v>0.08</v>
      </c>
      <c r="BC9" s="73">
        <f t="shared" si="4"/>
        <v>0.08</v>
      </c>
      <c r="BD9" s="73">
        <f t="shared" si="4"/>
        <v>0.08</v>
      </c>
      <c r="BE9" s="73">
        <f t="shared" si="4"/>
        <v>0.08</v>
      </c>
      <c r="BF9" s="73">
        <f t="shared" si="4"/>
        <v>0.08</v>
      </c>
      <c r="BG9" s="73">
        <f t="shared" si="4"/>
        <v>0.08</v>
      </c>
      <c r="BH9" s="73">
        <f t="shared" si="4"/>
        <v>0.08</v>
      </c>
      <c r="BI9" s="73">
        <f t="shared" si="4"/>
        <v>0.08</v>
      </c>
      <c r="BJ9" s="73">
        <f t="shared" si="4"/>
        <v>0.08</v>
      </c>
      <c r="BK9" s="73">
        <f t="shared" si="4"/>
        <v>0.08</v>
      </c>
      <c r="BL9" s="73">
        <f t="shared" si="4"/>
        <v>0.08</v>
      </c>
      <c r="BM9" s="73">
        <f t="shared" si="4"/>
        <v>0.08</v>
      </c>
      <c r="BN9" s="73">
        <f t="shared" si="4"/>
        <v>0.08</v>
      </c>
      <c r="BO9" s="73">
        <f t="shared" si="4"/>
        <v>0.08</v>
      </c>
      <c r="BP9" s="73">
        <f t="shared" si="4"/>
        <v>0.08</v>
      </c>
      <c r="BQ9" s="73">
        <f t="shared" si="4"/>
        <v>0.08</v>
      </c>
      <c r="BR9" s="73">
        <f>$E$16</f>
        <v>0.08</v>
      </c>
      <c r="BS9" s="73">
        <f>$E$16</f>
        <v>0.08</v>
      </c>
      <c r="BT9" s="73">
        <f>$E$16</f>
        <v>0.08</v>
      </c>
      <c r="BU9" s="73">
        <f>$E$16</f>
        <v>0.08</v>
      </c>
      <c r="BV9" s="73">
        <f>$E$16</f>
        <v>0.08</v>
      </c>
    </row>
    <row r="10" spans="1:74" s="33" customFormat="1">
      <c r="A10" s="33" t="s">
        <v>334</v>
      </c>
      <c r="E10" s="33">
        <f>资产资本表!E70</f>
        <v>3142600621.71</v>
      </c>
      <c r="F10" s="33">
        <f>资产资本表!F70</f>
        <v>2878602667.3699999</v>
      </c>
      <c r="G10" s="33">
        <f>资产资本表!G70</f>
        <v>2826319730.0599999</v>
      </c>
      <c r="H10" s="33">
        <f>资产资本表!H70</f>
        <v>2818837247.4099998</v>
      </c>
      <c r="I10" s="33">
        <f>资产资本表!I70</f>
        <v>2675938555.8599997</v>
      </c>
      <c r="J10" s="33">
        <f>资产资本表!J70</f>
        <v>2481069353.3800001</v>
      </c>
      <c r="K10" s="33">
        <f>资产资本表!K70</f>
        <v>2412665046.25</v>
      </c>
      <c r="L10" s="33">
        <f>资产资本表!L70</f>
        <v>2396074303.0099998</v>
      </c>
      <c r="M10" s="33">
        <f>资产资本表!M70</f>
        <v>2317738642.3800001</v>
      </c>
      <c r="N10" s="33">
        <f>资产资本表!N70</f>
        <v>2421025785.71</v>
      </c>
      <c r="O10" s="33">
        <f>资产资本表!O70</f>
        <v>2341178198.3400002</v>
      </c>
      <c r="P10" s="33">
        <f>资产资本表!P70</f>
        <v>2273863141.6999998</v>
      </c>
      <c r="Q10" s="33">
        <f>资产资本表!Q70</f>
        <v>2178237444.5100002</v>
      </c>
      <c r="R10" s="33">
        <f>资产资本表!R70</f>
        <v>2114883689.3400002</v>
      </c>
      <c r="S10" s="33">
        <f>资产资本表!S70</f>
        <v>2021693966.1800001</v>
      </c>
      <c r="T10" s="33">
        <f>资产资本表!T70</f>
        <v>1937396091.1999998</v>
      </c>
      <c r="U10" s="33">
        <f>资产资本表!U70</f>
        <v>1833442434.9799998</v>
      </c>
      <c r="V10" s="33">
        <f>资产资本表!V70</f>
        <v>1712305039.8399999</v>
      </c>
      <c r="W10" s="33">
        <f>资产资本表!W70</f>
        <v>1670648053.1299996</v>
      </c>
      <c r="X10" s="33">
        <f>资产资本表!X70</f>
        <v>1638567680.2799997</v>
      </c>
      <c r="Y10" s="33">
        <f>资产资本表!Y70</f>
        <v>1549878078.1500001</v>
      </c>
      <c r="Z10" s="33">
        <f>资产资本表!Z70</f>
        <v>1461224977.1499999</v>
      </c>
      <c r="AA10" s="33">
        <f>资产资本表!AA70</f>
        <v>1409038993.3400002</v>
      </c>
      <c r="AB10" s="33">
        <f>资产资本表!AB70</f>
        <v>1383220839.3899999</v>
      </c>
      <c r="AC10" s="33">
        <f>资产资本表!AC70</f>
        <v>1309009725.8400002</v>
      </c>
      <c r="AD10" s="33">
        <f>资产资本表!AD70</f>
        <v>1239758866.7800002</v>
      </c>
      <c r="AE10" s="33">
        <f>资产资本表!AE70</f>
        <v>1235535716.5799999</v>
      </c>
      <c r="AF10" s="33">
        <f>资产资本表!AF70</f>
        <v>1222382470.0700002</v>
      </c>
      <c r="AG10" s="33">
        <f>资产资本表!AG70</f>
        <v>1196125960.6500001</v>
      </c>
      <c r="AH10" s="33">
        <f>资产资本表!AH70</f>
        <v>1122582438.8600001</v>
      </c>
      <c r="AI10" s="33">
        <f>资产资本表!AI70</f>
        <v>1090054243.6499999</v>
      </c>
      <c r="AJ10" s="33">
        <f>资产资本表!AJ70</f>
        <v>1078573513.4300001</v>
      </c>
      <c r="AK10" s="33">
        <f>资产资本表!AK70</f>
        <v>1042268233.27</v>
      </c>
      <c r="AL10" s="33">
        <f>资产资本表!AL70</f>
        <v>279944455.62</v>
      </c>
      <c r="AM10" s="33">
        <f>资产资本表!AM70</f>
        <v>275897792.94999999</v>
      </c>
      <c r="AN10" s="33">
        <f>资产资本表!AN70</f>
        <v>286412844.55999994</v>
      </c>
      <c r="AO10" s="33">
        <f>资产资本表!AO70</f>
        <v>261539132.41000003</v>
      </c>
      <c r="AP10" s="33">
        <f>资产资本表!AP70</f>
        <v>176441126.05000001</v>
      </c>
      <c r="AQ10" s="33">
        <f>资产资本表!AQ70</f>
        <v>0</v>
      </c>
      <c r="AR10" s="33">
        <f>资产资本表!AR70</f>
        <v>0</v>
      </c>
      <c r="AS10" s="33">
        <f>资产资本表!AS70</f>
        <v>0</v>
      </c>
      <c r="AT10" s="33">
        <f>资产资本表!AT70</f>
        <v>0</v>
      </c>
      <c r="AU10" s="33">
        <f>资产资本表!AU70</f>
        <v>0</v>
      </c>
      <c r="AV10" s="33">
        <f>资产资本表!AV70</f>
        <v>0</v>
      </c>
      <c r="AW10" s="33">
        <f>资产资本表!AW70</f>
        <v>0</v>
      </c>
      <c r="AX10" s="33">
        <f>资产资本表!AX70</f>
        <v>0</v>
      </c>
      <c r="AY10" s="33">
        <f>资产资本表!AY70</f>
        <v>0</v>
      </c>
      <c r="AZ10" s="33">
        <f>资产资本表!AZ70</f>
        <v>0</v>
      </c>
      <c r="BA10" s="33">
        <f>资产资本表!BA70</f>
        <v>0</v>
      </c>
      <c r="BB10" s="33">
        <f>资产资本表!BB70</f>
        <v>0</v>
      </c>
      <c r="BC10" s="33">
        <f>资产资本表!BC70</f>
        <v>0</v>
      </c>
      <c r="BD10" s="33">
        <f>资产资本表!BD70</f>
        <v>0</v>
      </c>
      <c r="BE10" s="33">
        <f>资产资本表!BE70</f>
        <v>0</v>
      </c>
      <c r="BF10" s="33">
        <f>资产资本表!BF70</f>
        <v>0</v>
      </c>
      <c r="BG10" s="33">
        <f>资产资本表!BG70</f>
        <v>0</v>
      </c>
      <c r="BH10" s="33">
        <f>资产资本表!BH70</f>
        <v>0</v>
      </c>
      <c r="BI10" s="33">
        <f>资产资本表!BI70</f>
        <v>0</v>
      </c>
      <c r="BJ10" s="33">
        <f>资产资本表!BJ70</f>
        <v>0</v>
      </c>
      <c r="BK10" s="33">
        <f>资产资本表!BK70</f>
        <v>0</v>
      </c>
      <c r="BL10" s="33">
        <f>资产资本表!BL70</f>
        <v>0</v>
      </c>
      <c r="BM10" s="33">
        <f>资产资本表!BM70</f>
        <v>0</v>
      </c>
      <c r="BN10" s="33">
        <f>资产资本表!BN70</f>
        <v>0</v>
      </c>
      <c r="BO10" s="33">
        <f>资产资本表!BO70</f>
        <v>0</v>
      </c>
      <c r="BP10" s="33">
        <f>资产资本表!BP70</f>
        <v>0</v>
      </c>
      <c r="BQ10" s="33">
        <f>资产资本表!BQ70</f>
        <v>0</v>
      </c>
      <c r="BR10" s="33">
        <f>资产资本表!BR70</f>
        <v>0</v>
      </c>
      <c r="BS10" s="33">
        <f>资产资本表!BS70</f>
        <v>0</v>
      </c>
      <c r="BT10" s="33">
        <f>资产资本表!BT70</f>
        <v>0</v>
      </c>
      <c r="BU10" s="33">
        <f>资产资本表!BU70</f>
        <v>0</v>
      </c>
    </row>
    <row r="11" spans="1:74" s="73" customFormat="1">
      <c r="A11" s="73" t="s">
        <v>352</v>
      </c>
      <c r="E11" s="73">
        <f>E4/E10</f>
        <v>0</v>
      </c>
      <c r="F11" s="73">
        <f t="shared" ref="F11:BQ11" si="5">F4/F10</f>
        <v>0</v>
      </c>
      <c r="G11" s="73">
        <f t="shared" si="5"/>
        <v>0</v>
      </c>
      <c r="H11" s="73">
        <f t="shared" si="5"/>
        <v>0</v>
      </c>
      <c r="I11" s="73">
        <f t="shared" si="5"/>
        <v>0</v>
      </c>
      <c r="J11" s="73">
        <f t="shared" si="5"/>
        <v>0</v>
      </c>
      <c r="K11" s="73">
        <f t="shared" si="5"/>
        <v>0</v>
      </c>
      <c r="L11" s="73">
        <f t="shared" si="5"/>
        <v>0</v>
      </c>
      <c r="M11" s="73">
        <f t="shared" si="5"/>
        <v>0</v>
      </c>
      <c r="N11" s="73">
        <f t="shared" si="5"/>
        <v>0</v>
      </c>
      <c r="O11" s="73">
        <f t="shared" si="5"/>
        <v>0</v>
      </c>
      <c r="P11" s="73">
        <f t="shared" si="5"/>
        <v>0</v>
      </c>
      <c r="Q11" s="73">
        <f t="shared" si="5"/>
        <v>0</v>
      </c>
      <c r="R11" s="73">
        <f t="shared" si="5"/>
        <v>7.4529273545624304E-3</v>
      </c>
      <c r="S11" s="73">
        <f t="shared" si="5"/>
        <v>7.8941594360869994E-3</v>
      </c>
      <c r="T11" s="73">
        <f t="shared" si="5"/>
        <v>8.575380850339976E-3</v>
      </c>
      <c r="U11" s="73">
        <f t="shared" si="5"/>
        <v>8.9195634441494708E-3</v>
      </c>
      <c r="V11" s="73">
        <f t="shared" si="5"/>
        <v>1.7466222024782802E-3</v>
      </c>
      <c r="W11" s="73">
        <f t="shared" si="5"/>
        <v>1.0888439348981486E-2</v>
      </c>
      <c r="X11" s="73">
        <f t="shared" si="5"/>
        <v>1.1101616502585692E-2</v>
      </c>
      <c r="Y11" s="73">
        <f t="shared" si="5"/>
        <v>1.173689095707015E-2</v>
      </c>
      <c r="Z11" s="73">
        <f t="shared" si="5"/>
        <v>1.2322862120191895E-2</v>
      </c>
      <c r="AA11" s="73">
        <f t="shared" si="5"/>
        <v>1.2916604924366599E-2</v>
      </c>
      <c r="AB11" s="73">
        <f t="shared" si="5"/>
        <v>1.315769650204677E-2</v>
      </c>
      <c r="AC11" s="73">
        <f t="shared" si="5"/>
        <v>1.390364001178138E-2</v>
      </c>
      <c r="AD11" s="73">
        <f t="shared" si="5"/>
        <v>1.2260448710867979E-2</v>
      </c>
      <c r="AE11" s="73">
        <f t="shared" si="5"/>
        <v>1.2302355808923159E-2</v>
      </c>
      <c r="AF11" s="73">
        <f t="shared" si="5"/>
        <v>1.1758267442412618E-2</v>
      </c>
      <c r="AG11" s="73">
        <f t="shared" si="5"/>
        <v>3.8373884950258057E-2</v>
      </c>
      <c r="AH11" s="73">
        <f t="shared" si="5"/>
        <v>2.6724095230338241E-2</v>
      </c>
      <c r="AI11" s="73">
        <f t="shared" si="5"/>
        <v>0</v>
      </c>
      <c r="AJ11" s="73">
        <f t="shared" si="5"/>
        <v>0</v>
      </c>
      <c r="AK11" s="73">
        <f t="shared" si="5"/>
        <v>0</v>
      </c>
      <c r="AL11" s="73">
        <f t="shared" si="5"/>
        <v>2.8577097489865266E-2</v>
      </c>
      <c r="AM11" s="73">
        <f t="shared" si="5"/>
        <v>7.6115143131303548E-2</v>
      </c>
      <c r="AN11" s="73">
        <f t="shared" si="5"/>
        <v>0.2277210099644702</v>
      </c>
      <c r="AO11" s="73">
        <f t="shared" si="5"/>
        <v>0.34687819522082042</v>
      </c>
      <c r="AP11" s="73">
        <f t="shared" si="5"/>
        <v>0.34572438617691531</v>
      </c>
      <c r="AQ11" s="73" t="e">
        <f t="shared" si="5"/>
        <v>#DIV/0!</v>
      </c>
      <c r="AR11" s="73" t="e">
        <f t="shared" si="5"/>
        <v>#DIV/0!</v>
      </c>
      <c r="AS11" s="73" t="e">
        <f t="shared" si="5"/>
        <v>#DIV/0!</v>
      </c>
      <c r="AT11" s="73" t="e">
        <f t="shared" si="5"/>
        <v>#DIV/0!</v>
      </c>
      <c r="AU11" s="73" t="e">
        <f t="shared" si="5"/>
        <v>#DIV/0!</v>
      </c>
      <c r="AV11" s="73" t="e">
        <f t="shared" si="5"/>
        <v>#DIV/0!</v>
      </c>
      <c r="AW11" s="73" t="e">
        <f t="shared" si="5"/>
        <v>#DIV/0!</v>
      </c>
      <c r="AX11" s="73" t="e">
        <f t="shared" si="5"/>
        <v>#DIV/0!</v>
      </c>
      <c r="AY11" s="73" t="e">
        <f t="shared" si="5"/>
        <v>#DIV/0!</v>
      </c>
      <c r="AZ11" s="73" t="e">
        <f t="shared" si="5"/>
        <v>#DIV/0!</v>
      </c>
      <c r="BA11" s="73" t="e">
        <f t="shared" si="5"/>
        <v>#DIV/0!</v>
      </c>
      <c r="BB11" s="73" t="e">
        <f t="shared" si="5"/>
        <v>#DIV/0!</v>
      </c>
      <c r="BC11" s="73" t="e">
        <f t="shared" si="5"/>
        <v>#DIV/0!</v>
      </c>
      <c r="BD11" s="73" t="e">
        <f t="shared" si="5"/>
        <v>#DIV/0!</v>
      </c>
      <c r="BE11" s="73" t="e">
        <f t="shared" si="5"/>
        <v>#DIV/0!</v>
      </c>
      <c r="BF11" s="73" t="e">
        <f t="shared" si="5"/>
        <v>#DIV/0!</v>
      </c>
      <c r="BG11" s="73" t="e">
        <f t="shared" si="5"/>
        <v>#DIV/0!</v>
      </c>
      <c r="BH11" s="73" t="e">
        <f t="shared" si="5"/>
        <v>#DIV/0!</v>
      </c>
      <c r="BI11" s="73" t="e">
        <f t="shared" si="5"/>
        <v>#DIV/0!</v>
      </c>
      <c r="BJ11" s="73" t="e">
        <f t="shared" si="5"/>
        <v>#DIV/0!</v>
      </c>
      <c r="BK11" s="73" t="e">
        <f t="shared" si="5"/>
        <v>#DIV/0!</v>
      </c>
      <c r="BL11" s="73" t="e">
        <f t="shared" si="5"/>
        <v>#DIV/0!</v>
      </c>
      <c r="BM11" s="73" t="e">
        <f t="shared" si="5"/>
        <v>#DIV/0!</v>
      </c>
      <c r="BN11" s="73" t="e">
        <f t="shared" si="5"/>
        <v>#DIV/0!</v>
      </c>
      <c r="BO11" s="73" t="e">
        <f t="shared" si="5"/>
        <v>#DIV/0!</v>
      </c>
      <c r="BP11" s="73" t="e">
        <f t="shared" si="5"/>
        <v>#DIV/0!</v>
      </c>
      <c r="BQ11" s="73" t="e">
        <f t="shared" si="5"/>
        <v>#DIV/0!</v>
      </c>
      <c r="BR11" s="73" t="e">
        <f>BR4/BR10</f>
        <v>#DIV/0!</v>
      </c>
      <c r="BS11" s="73" t="e">
        <f>BS4/BS10</f>
        <v>#DIV/0!</v>
      </c>
      <c r="BT11" s="73" t="e">
        <f>BT4/BT10</f>
        <v>#DIV/0!</v>
      </c>
      <c r="BU11" s="73" t="e">
        <f>BU4/BU10</f>
        <v>#DIV/0!</v>
      </c>
      <c r="BV11" s="73" t="e">
        <f>BV4/BV10*100</f>
        <v>#DIV/0!</v>
      </c>
    </row>
    <row r="12" spans="1:74" s="73" customFormat="1">
      <c r="A12" s="73" t="s">
        <v>353</v>
      </c>
      <c r="E12" s="73">
        <f>E8/E10</f>
        <v>0.99960289969989213</v>
      </c>
      <c r="F12" s="73">
        <f t="shared" ref="F12:BQ12" si="6">F8/F10</f>
        <v>0.99073406708666423</v>
      </c>
      <c r="G12" s="73">
        <f t="shared" si="6"/>
        <v>0.99956319506003877</v>
      </c>
      <c r="H12" s="73">
        <f t="shared" si="6"/>
        <v>0.99871220872246691</v>
      </c>
      <c r="I12" s="73">
        <f t="shared" si="6"/>
        <v>0.99427757674537554</v>
      </c>
      <c r="J12" s="73">
        <f t="shared" si="6"/>
        <v>0.99065883952480938</v>
      </c>
      <c r="K12" s="73">
        <f t="shared" si="6"/>
        <v>0.98305673735625365</v>
      </c>
      <c r="L12" s="73">
        <f t="shared" si="6"/>
        <v>0.99057039794566615</v>
      </c>
      <c r="M12" s="73">
        <f t="shared" si="6"/>
        <v>0.98724738674605306</v>
      </c>
      <c r="N12" s="73">
        <f t="shared" si="6"/>
        <v>0.98670310793465621</v>
      </c>
      <c r="O12" s="73">
        <f t="shared" si="6"/>
        <v>0.98585471569678829</v>
      </c>
      <c r="P12" s="73">
        <f t="shared" si="6"/>
        <v>0.99639385107237843</v>
      </c>
      <c r="Q12" s="73">
        <f t="shared" si="6"/>
        <v>0.99376150238613803</v>
      </c>
      <c r="R12" s="73">
        <f t="shared" si="6"/>
        <v>0.98515360265046126</v>
      </c>
      <c r="S12" s="73">
        <f t="shared" si="6"/>
        <v>0.98377442192599418</v>
      </c>
      <c r="T12" s="73">
        <f t="shared" si="6"/>
        <v>0.98455707703453221</v>
      </c>
      <c r="U12" s="73">
        <f t="shared" si="6"/>
        <v>0.98277399369217489</v>
      </c>
      <c r="V12" s="73">
        <f t="shared" si="6"/>
        <v>0.98581638134273719</v>
      </c>
      <c r="W12" s="73">
        <f t="shared" si="6"/>
        <v>0.96241192590961988</v>
      </c>
      <c r="X12" s="73">
        <f t="shared" si="6"/>
        <v>0.97887670006765592</v>
      </c>
      <c r="Y12" s="73">
        <f t="shared" si="6"/>
        <v>0.97568809798576084</v>
      </c>
      <c r="Z12" s="73">
        <f t="shared" si="6"/>
        <v>0.96288724903555156</v>
      </c>
      <c r="AA12" s="73">
        <f t="shared" si="6"/>
        <v>0.95906489496555603</v>
      </c>
      <c r="AB12" s="73">
        <f t="shared" si="6"/>
        <v>0.95204932242833351</v>
      </c>
      <c r="AC12" s="73">
        <f t="shared" si="6"/>
        <v>0.94568841479433741</v>
      </c>
      <c r="AD12" s="73">
        <f t="shared" si="6"/>
        <v>0.93535260216515737</v>
      </c>
      <c r="AE12" s="73">
        <f t="shared" si="6"/>
        <v>0.97737547524941182</v>
      </c>
      <c r="AF12" s="73">
        <f t="shared" si="6"/>
        <v>0.96352503716987459</v>
      </c>
      <c r="AG12" s="73">
        <f t="shared" si="6"/>
        <v>0.93512395531668713</v>
      </c>
      <c r="AH12" s="73">
        <f t="shared" si="6"/>
        <v>0.94405229288658699</v>
      </c>
      <c r="AI12" s="73">
        <f t="shared" si="6"/>
        <v>1.0000000000000002</v>
      </c>
      <c r="AJ12" s="73">
        <f t="shared" si="6"/>
        <v>1</v>
      </c>
      <c r="AK12" s="73">
        <f t="shared" si="6"/>
        <v>1</v>
      </c>
      <c r="AL12" s="73">
        <f t="shared" si="6"/>
        <v>0.97142290251013474</v>
      </c>
      <c r="AM12" s="73">
        <f t="shared" si="6"/>
        <v>0.92388485686869648</v>
      </c>
      <c r="AN12" s="73">
        <f t="shared" si="6"/>
        <v>0.77227899003553002</v>
      </c>
      <c r="AO12" s="73">
        <f t="shared" si="6"/>
        <v>0.65312180477917947</v>
      </c>
      <c r="AP12" s="73">
        <f t="shared" si="6"/>
        <v>0.65427561382308463</v>
      </c>
      <c r="AQ12" s="73" t="e">
        <f t="shared" si="6"/>
        <v>#DIV/0!</v>
      </c>
      <c r="AR12" s="73" t="e">
        <f t="shared" si="6"/>
        <v>#DIV/0!</v>
      </c>
      <c r="AS12" s="73" t="e">
        <f t="shared" si="6"/>
        <v>#DIV/0!</v>
      </c>
      <c r="AT12" s="73" t="e">
        <f t="shared" si="6"/>
        <v>#DIV/0!</v>
      </c>
      <c r="AU12" s="73" t="e">
        <f t="shared" si="6"/>
        <v>#DIV/0!</v>
      </c>
      <c r="AV12" s="73" t="e">
        <f t="shared" si="6"/>
        <v>#DIV/0!</v>
      </c>
      <c r="AW12" s="73" t="e">
        <f t="shared" si="6"/>
        <v>#DIV/0!</v>
      </c>
      <c r="AX12" s="73" t="e">
        <f t="shared" si="6"/>
        <v>#DIV/0!</v>
      </c>
      <c r="AY12" s="73" t="e">
        <f t="shared" si="6"/>
        <v>#DIV/0!</v>
      </c>
      <c r="AZ12" s="73" t="e">
        <f t="shared" si="6"/>
        <v>#DIV/0!</v>
      </c>
      <c r="BA12" s="73" t="e">
        <f t="shared" si="6"/>
        <v>#DIV/0!</v>
      </c>
      <c r="BB12" s="73" t="e">
        <f t="shared" si="6"/>
        <v>#DIV/0!</v>
      </c>
      <c r="BC12" s="73" t="e">
        <f t="shared" si="6"/>
        <v>#DIV/0!</v>
      </c>
      <c r="BD12" s="73" t="e">
        <f t="shared" si="6"/>
        <v>#DIV/0!</v>
      </c>
      <c r="BE12" s="73" t="e">
        <f t="shared" si="6"/>
        <v>#DIV/0!</v>
      </c>
      <c r="BF12" s="73" t="e">
        <f t="shared" si="6"/>
        <v>#DIV/0!</v>
      </c>
      <c r="BG12" s="73" t="e">
        <f t="shared" si="6"/>
        <v>#DIV/0!</v>
      </c>
      <c r="BH12" s="73" t="e">
        <f t="shared" si="6"/>
        <v>#DIV/0!</v>
      </c>
      <c r="BI12" s="73" t="e">
        <f t="shared" si="6"/>
        <v>#DIV/0!</v>
      </c>
      <c r="BJ12" s="73" t="e">
        <f t="shared" si="6"/>
        <v>#DIV/0!</v>
      </c>
      <c r="BK12" s="73" t="e">
        <f t="shared" si="6"/>
        <v>#DIV/0!</v>
      </c>
      <c r="BL12" s="73" t="e">
        <f t="shared" si="6"/>
        <v>#DIV/0!</v>
      </c>
      <c r="BM12" s="73" t="e">
        <f t="shared" si="6"/>
        <v>#DIV/0!</v>
      </c>
      <c r="BN12" s="73" t="e">
        <f t="shared" si="6"/>
        <v>#DIV/0!</v>
      </c>
      <c r="BO12" s="73" t="e">
        <f t="shared" si="6"/>
        <v>#DIV/0!</v>
      </c>
      <c r="BP12" s="73" t="e">
        <f t="shared" si="6"/>
        <v>#DIV/0!</v>
      </c>
      <c r="BQ12" s="73" t="e">
        <f t="shared" si="6"/>
        <v>#DIV/0!</v>
      </c>
      <c r="BR12" s="73" t="e">
        <f>BR8/BR10</f>
        <v>#DIV/0!</v>
      </c>
      <c r="BS12" s="73" t="e">
        <f>BS8/BS10</f>
        <v>#DIV/0!</v>
      </c>
      <c r="BT12" s="73" t="e">
        <f>BT8/BT10</f>
        <v>#DIV/0!</v>
      </c>
      <c r="BU12" s="73" t="e">
        <f>BU8/BU10</f>
        <v>#DIV/0!</v>
      </c>
      <c r="BV12" s="73" t="e">
        <f>BV8/BV10*100</f>
        <v>#DIV/0!</v>
      </c>
    </row>
    <row r="13" spans="1:74" s="73" customFormat="1">
      <c r="A13" s="73" t="s">
        <v>354</v>
      </c>
      <c r="E13" s="73" t="e">
        <f>(E4/E10*E7+E8/E10*E9)</f>
        <v>#DIV/0!</v>
      </c>
      <c r="F13" s="73" t="e">
        <f t="shared" ref="F13:BQ13" si="7">(F4/F10*F7+F8/F10*F9)</f>
        <v>#DIV/0!</v>
      </c>
      <c r="G13" s="73" t="e">
        <f t="shared" si="7"/>
        <v>#DIV/0!</v>
      </c>
      <c r="H13" s="73" t="e">
        <f t="shared" si="7"/>
        <v>#DIV/0!</v>
      </c>
      <c r="I13" s="73" t="e">
        <f t="shared" si="7"/>
        <v>#DIV/0!</v>
      </c>
      <c r="J13" s="73" t="e">
        <f t="shared" si="7"/>
        <v>#DIV/0!</v>
      </c>
      <c r="K13" s="73" t="e">
        <f t="shared" si="7"/>
        <v>#DIV/0!</v>
      </c>
      <c r="L13" s="73" t="e">
        <f t="shared" si="7"/>
        <v>#DIV/0!</v>
      </c>
      <c r="M13" s="73" t="e">
        <f t="shared" si="7"/>
        <v>#DIV/0!</v>
      </c>
      <c r="N13" s="73">
        <f t="shared" si="7"/>
        <v>7.8936248634772499E-2</v>
      </c>
      <c r="O13" s="73">
        <f t="shared" si="7"/>
        <v>7.8868377255743069E-2</v>
      </c>
      <c r="P13" s="73">
        <f t="shared" si="7"/>
        <v>7.9711508085790278E-2</v>
      </c>
      <c r="Q13" s="73">
        <f t="shared" si="7"/>
        <v>7.9500920190891042E-2</v>
      </c>
      <c r="R13" s="73">
        <f t="shared" si="7"/>
        <v>7.8812288212036896E-2</v>
      </c>
      <c r="S13" s="73">
        <f t="shared" si="7"/>
        <v>7.870195375407954E-2</v>
      </c>
      <c r="T13" s="73">
        <f t="shared" si="7"/>
        <v>7.8764566162762575E-2</v>
      </c>
      <c r="U13" s="73">
        <f t="shared" si="7"/>
        <v>7.862191949537399E-2</v>
      </c>
      <c r="V13" s="73">
        <f t="shared" si="7"/>
        <v>7.8865310507418976E-2</v>
      </c>
      <c r="W13" s="73">
        <f t="shared" si="7"/>
        <v>7.6992954072769598E-2</v>
      </c>
      <c r="X13" s="73">
        <f t="shared" si="7"/>
        <v>7.8310136005412478E-2</v>
      </c>
      <c r="Y13" s="73">
        <f t="shared" si="7"/>
        <v>7.8055047838860872E-2</v>
      </c>
      <c r="Z13" s="73">
        <f t="shared" si="7"/>
        <v>7.703097992284412E-2</v>
      </c>
      <c r="AA13" s="73">
        <f t="shared" si="7"/>
        <v>7.6725191597244488E-2</v>
      </c>
      <c r="AB13" s="73">
        <f t="shared" si="7"/>
        <v>7.6163945794266677E-2</v>
      </c>
      <c r="AC13" s="73">
        <f t="shared" si="7"/>
        <v>7.8404927962093196E-2</v>
      </c>
      <c r="AD13" s="73">
        <f t="shared" si="7"/>
        <v>7.482820817321259E-2</v>
      </c>
      <c r="AE13" s="73">
        <f t="shared" si="7"/>
        <v>7.8190038019952945E-2</v>
      </c>
      <c r="AF13" s="73">
        <f t="shared" si="7"/>
        <v>7.7082002973589969E-2</v>
      </c>
      <c r="AG13" s="73">
        <f t="shared" si="7"/>
        <v>0.14004129819321079</v>
      </c>
      <c r="AH13" s="73">
        <f t="shared" si="7"/>
        <v>7.5524183430926956E-2</v>
      </c>
      <c r="AI13" s="73">
        <f t="shared" si="7"/>
        <v>8.0000000000000016E-2</v>
      </c>
      <c r="AJ13" s="73">
        <f t="shared" si="7"/>
        <v>0.08</v>
      </c>
      <c r="AK13" s="73">
        <f t="shared" si="7"/>
        <v>0.08</v>
      </c>
      <c r="AL13" s="73">
        <f t="shared" si="7"/>
        <v>7.7713832200810781E-2</v>
      </c>
      <c r="AM13" s="73">
        <f t="shared" si="7"/>
        <v>7.3910788549495718E-2</v>
      </c>
      <c r="AN13" s="73">
        <f t="shared" si="7"/>
        <v>6.1782319202842405E-2</v>
      </c>
      <c r="AO13" s="73">
        <f t="shared" si="7"/>
        <v>3.375582596558933</v>
      </c>
      <c r="AP13" s="73">
        <f t="shared" si="7"/>
        <v>5.234204910584677E-2</v>
      </c>
      <c r="AQ13" s="73" t="e">
        <f t="shared" si="7"/>
        <v>#DIV/0!</v>
      </c>
      <c r="AR13" s="73" t="e">
        <f t="shared" si="7"/>
        <v>#DIV/0!</v>
      </c>
      <c r="AS13" s="73" t="e">
        <f t="shared" si="7"/>
        <v>#DIV/0!</v>
      </c>
      <c r="AT13" s="73" t="e">
        <f t="shared" si="7"/>
        <v>#DIV/0!</v>
      </c>
      <c r="AU13" s="73" t="e">
        <f t="shared" si="7"/>
        <v>#DIV/0!</v>
      </c>
      <c r="AV13" s="73" t="e">
        <f t="shared" si="7"/>
        <v>#DIV/0!</v>
      </c>
      <c r="AW13" s="73" t="e">
        <f t="shared" si="7"/>
        <v>#DIV/0!</v>
      </c>
      <c r="AX13" s="73" t="e">
        <f t="shared" si="7"/>
        <v>#DIV/0!</v>
      </c>
      <c r="AY13" s="73" t="e">
        <f t="shared" si="7"/>
        <v>#DIV/0!</v>
      </c>
      <c r="AZ13" s="73" t="e">
        <f t="shared" si="7"/>
        <v>#DIV/0!</v>
      </c>
      <c r="BA13" s="73" t="e">
        <f t="shared" si="7"/>
        <v>#DIV/0!</v>
      </c>
      <c r="BB13" s="73" t="e">
        <f t="shared" si="7"/>
        <v>#DIV/0!</v>
      </c>
      <c r="BC13" s="73" t="e">
        <f t="shared" si="7"/>
        <v>#DIV/0!</v>
      </c>
      <c r="BD13" s="73" t="e">
        <f t="shared" si="7"/>
        <v>#DIV/0!</v>
      </c>
      <c r="BE13" s="73" t="e">
        <f t="shared" si="7"/>
        <v>#DIV/0!</v>
      </c>
      <c r="BF13" s="73" t="e">
        <f t="shared" si="7"/>
        <v>#DIV/0!</v>
      </c>
      <c r="BG13" s="73" t="e">
        <f t="shared" si="7"/>
        <v>#DIV/0!</v>
      </c>
      <c r="BH13" s="73" t="e">
        <f t="shared" si="7"/>
        <v>#DIV/0!</v>
      </c>
      <c r="BI13" s="73" t="e">
        <f t="shared" si="7"/>
        <v>#DIV/0!</v>
      </c>
      <c r="BJ13" s="73" t="e">
        <f t="shared" si="7"/>
        <v>#DIV/0!</v>
      </c>
      <c r="BK13" s="73" t="e">
        <f t="shared" si="7"/>
        <v>#DIV/0!</v>
      </c>
      <c r="BL13" s="73" t="e">
        <f t="shared" si="7"/>
        <v>#DIV/0!</v>
      </c>
      <c r="BM13" s="73" t="e">
        <f t="shared" si="7"/>
        <v>#DIV/0!</v>
      </c>
      <c r="BN13" s="73" t="e">
        <f t="shared" si="7"/>
        <v>#DIV/0!</v>
      </c>
      <c r="BO13" s="73" t="e">
        <f t="shared" si="7"/>
        <v>#DIV/0!</v>
      </c>
      <c r="BP13" s="73" t="e">
        <f t="shared" si="7"/>
        <v>#DIV/0!</v>
      </c>
      <c r="BQ13" s="73" t="e">
        <f t="shared" si="7"/>
        <v>#DIV/0!</v>
      </c>
      <c r="BR13" s="73" t="e">
        <f t="shared" ref="BR13:BV13" si="8">(BR4/BR10*BR7+BR8/BR10*BR9)</f>
        <v>#DIV/0!</v>
      </c>
      <c r="BS13" s="73" t="e">
        <f t="shared" si="8"/>
        <v>#DIV/0!</v>
      </c>
      <c r="BT13" s="73" t="e">
        <f t="shared" si="8"/>
        <v>#DIV/0!</v>
      </c>
      <c r="BU13" s="73" t="e">
        <f t="shared" si="8"/>
        <v>#DIV/0!</v>
      </c>
      <c r="BV13" s="73" t="e">
        <f t="shared" si="8"/>
        <v>#DIV/0!</v>
      </c>
    </row>
    <row r="14" spans="1:74" s="22" customFormat="1" ht="40.5" customHeight="1">
      <c r="A14" s="165" t="s">
        <v>585</v>
      </c>
      <c r="B14" s="166"/>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row>
    <row r="16" spans="1:74" s="53" customFormat="1">
      <c r="A16" s="54" t="s">
        <v>336</v>
      </c>
      <c r="E16" s="53">
        <v>0.08</v>
      </c>
    </row>
  </sheetData>
  <mergeCells count="1">
    <mergeCell ref="A14:AG14"/>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7"/>
  <sheetViews>
    <sheetView topLeftCell="A16" workbookViewId="0">
      <selection activeCell="M21" sqref="M21"/>
    </sheetView>
  </sheetViews>
  <sheetFormatPr defaultRowHeight="13.5"/>
  <cols>
    <col min="1" max="1" width="38" style="23"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39" width="19.5" hidden="1" customWidth="1"/>
    <col min="40" max="42" width="19.5" bestFit="1" customWidth="1"/>
    <col min="43" max="43" width="9.5" hidden="1" customWidth="1"/>
    <col min="44" max="90" width="8.5" bestFit="1" customWidth="1"/>
  </cols>
  <sheetData>
    <row r="1" spans="1:90" s="33" customFormat="1">
      <c r="A1" s="3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39082</v>
      </c>
      <c r="AQ1" s="1">
        <v>25569</v>
      </c>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row>
    <row r="2" spans="1:90" s="33" customFormat="1">
      <c r="A2" s="33" t="s">
        <v>562</v>
      </c>
      <c r="E2" s="33">
        <f>资产资本表!E17</f>
        <v>712293476.29999995</v>
      </c>
      <c r="F2" s="33">
        <f>资产资本表!F17</f>
        <v>679069334.74000001</v>
      </c>
      <c r="G2" s="33">
        <f>资产资本表!G17</f>
        <v>505175249.07999998</v>
      </c>
      <c r="H2" s="33">
        <f>资产资本表!H17</f>
        <v>678095364.05999994</v>
      </c>
      <c r="I2" s="33">
        <f>资产资本表!I17</f>
        <v>777942517.54999995</v>
      </c>
      <c r="J2" s="33">
        <f>资产资本表!J17</f>
        <v>623681233.03000009</v>
      </c>
      <c r="K2" s="33">
        <f>资产资本表!K17</f>
        <v>656787777.10000002</v>
      </c>
      <c r="L2" s="33">
        <f>资产资本表!L17</f>
        <v>795373187.23999989</v>
      </c>
      <c r="M2" s="33">
        <f>资产资本表!M17</f>
        <v>973286905.5</v>
      </c>
      <c r="N2" s="33">
        <f>资产资本表!N17</f>
        <v>809711157.58999991</v>
      </c>
      <c r="O2" s="33">
        <f>资产资本表!O17</f>
        <v>570581984.97000003</v>
      </c>
      <c r="P2" s="33">
        <f>资产资本表!P17</f>
        <v>909436222.82000005</v>
      </c>
      <c r="Q2" s="33">
        <f>资产资本表!Q17</f>
        <v>964978678.83000004</v>
      </c>
      <c r="R2" s="33">
        <f>资产资本表!R17</f>
        <v>755741642.29999995</v>
      </c>
      <c r="S2" s="33">
        <f>资产资本表!S17</f>
        <v>665116750.71000004</v>
      </c>
      <c r="T2" s="33">
        <f>资产资本表!T17</f>
        <v>763230395.60000002</v>
      </c>
      <c r="U2" s="33">
        <f>资产资本表!U17</f>
        <v>706490908.72000003</v>
      </c>
      <c r="V2" s="33">
        <f>资产资本表!V17</f>
        <v>501180113.66000003</v>
      </c>
      <c r="W2" s="33">
        <f>资产资本表!W17</f>
        <v>502241523.37</v>
      </c>
      <c r="X2" s="33">
        <f>资产资本表!X17</f>
        <v>602246499.29999995</v>
      </c>
      <c r="Y2" s="33">
        <f>资产资本表!Y17</f>
        <v>673380231.46000004</v>
      </c>
      <c r="Z2" s="33">
        <f>资产资本表!Z17</f>
        <v>643489726.26999998</v>
      </c>
      <c r="AA2" s="33">
        <f>资产资本表!AA17</f>
        <v>488036620.79000002</v>
      </c>
      <c r="AB2" s="33">
        <f>资产资本表!AB17</f>
        <v>510333384.02999997</v>
      </c>
      <c r="AC2" s="33">
        <f>资产资本表!AC17</f>
        <v>534179707.85000002</v>
      </c>
      <c r="AD2" s="33">
        <f>资产资本表!AD17</f>
        <v>523746129.82999998</v>
      </c>
      <c r="AE2" s="33">
        <f>资产资本表!AE17</f>
        <v>641391460.04999995</v>
      </c>
      <c r="AF2" s="33">
        <f>资产资本表!AF17</f>
        <v>665322811.37</v>
      </c>
      <c r="AG2" s="33">
        <f>资产资本表!AG17</f>
        <v>666518672.60000002</v>
      </c>
      <c r="AH2" s="33">
        <f>资产资本表!AH17</f>
        <v>628738523.15999997</v>
      </c>
      <c r="AI2" s="33">
        <f>资产资本表!AI17</f>
        <v>719788534.54999995</v>
      </c>
      <c r="AJ2" s="33">
        <f>资产资本表!AJ17</f>
        <v>836933325.63999999</v>
      </c>
      <c r="AK2" s="33">
        <f>资产资本表!AK17</f>
        <v>853443052.58000004</v>
      </c>
      <c r="AL2" s="33">
        <f>资产资本表!AL17</f>
        <v>79196016.939999998</v>
      </c>
      <c r="AM2" s="33">
        <f>资产资本表!AM17</f>
        <v>63469949.020000003</v>
      </c>
      <c r="AN2" s="33">
        <f>资产资本表!AN17</f>
        <v>78477223.810000002</v>
      </c>
      <c r="AO2" s="33">
        <f>资产资本表!AO17</f>
        <v>78997061.840000004</v>
      </c>
      <c r="AP2" s="33">
        <f>资产资本表!AP17</f>
        <v>44249685.200000003</v>
      </c>
      <c r="AQ2" s="33">
        <f>资产资本表!AQ17</f>
        <v>0</v>
      </c>
      <c r="AR2" s="33">
        <f>资产资本表!AR17</f>
        <v>0</v>
      </c>
      <c r="AS2" s="33">
        <f>资产资本表!AS17</f>
        <v>0</v>
      </c>
      <c r="AT2" s="33">
        <f>资产资本表!AT17</f>
        <v>0</v>
      </c>
      <c r="AU2" s="33">
        <f>资产资本表!AU17</f>
        <v>0</v>
      </c>
      <c r="AV2" s="33">
        <f>资产资本表!AV17</f>
        <v>0</v>
      </c>
      <c r="AW2" s="33">
        <f>资产资本表!AW17</f>
        <v>0</v>
      </c>
      <c r="AX2" s="33">
        <f>资产资本表!AX17</f>
        <v>0</v>
      </c>
      <c r="AY2" s="33">
        <f>资产资本表!AY17</f>
        <v>0</v>
      </c>
      <c r="AZ2" s="33">
        <f>资产资本表!AZ17</f>
        <v>0</v>
      </c>
      <c r="BA2" s="33">
        <f>资产资本表!BA17</f>
        <v>0</v>
      </c>
      <c r="BB2" s="33">
        <f>资产资本表!BB17</f>
        <v>0</v>
      </c>
      <c r="BC2" s="33">
        <f>资产资本表!BC17</f>
        <v>0</v>
      </c>
      <c r="BD2" s="33">
        <f>资产资本表!BD17</f>
        <v>0</v>
      </c>
      <c r="BE2" s="33">
        <f>资产资本表!BE17</f>
        <v>0</v>
      </c>
      <c r="BF2" s="33">
        <f>资产资本表!BF17</f>
        <v>0</v>
      </c>
      <c r="BG2" s="33">
        <f>资产资本表!BG17</f>
        <v>0</v>
      </c>
      <c r="BH2" s="33">
        <f>资产资本表!BH17</f>
        <v>0</v>
      </c>
      <c r="BI2" s="33">
        <f>资产资本表!BI17</f>
        <v>0</v>
      </c>
      <c r="BJ2" s="33">
        <f>资产资本表!BJ17</f>
        <v>0</v>
      </c>
      <c r="BK2" s="33">
        <f>资产资本表!BK17</f>
        <v>0</v>
      </c>
      <c r="BL2" s="33">
        <f>资产资本表!BL17</f>
        <v>0</v>
      </c>
      <c r="BM2" s="33">
        <f>资产资本表!BM17</f>
        <v>0</v>
      </c>
      <c r="BN2" s="33">
        <f>资产资本表!BN17</f>
        <v>0</v>
      </c>
      <c r="BO2" s="33">
        <f>资产资本表!BO17</f>
        <v>0</v>
      </c>
      <c r="BP2" s="33">
        <f>资产资本表!BP17</f>
        <v>0</v>
      </c>
      <c r="BQ2" s="33">
        <f>资产资本表!BQ17</f>
        <v>0</v>
      </c>
      <c r="BR2" s="33">
        <f>资产资本表!BR17</f>
        <v>0</v>
      </c>
      <c r="BS2" s="33">
        <f>资产资本表!BS17</f>
        <v>0</v>
      </c>
      <c r="BT2" s="33">
        <f>资产资本表!BT17</f>
        <v>0</v>
      </c>
      <c r="BU2" s="33">
        <f>资产资本表!BU17</f>
        <v>0</v>
      </c>
      <c r="BV2" s="33">
        <f>资产资本表!BV17</f>
        <v>0</v>
      </c>
      <c r="BW2" s="33">
        <f>资产资本表!BW17</f>
        <v>0</v>
      </c>
      <c r="BX2" s="33">
        <f>资产资本表!BX17</f>
        <v>0</v>
      </c>
      <c r="BY2" s="33">
        <f>资产资本表!BY17</f>
        <v>0</v>
      </c>
      <c r="BZ2" s="33">
        <f>资产资本表!BZ17</f>
        <v>0</v>
      </c>
      <c r="CA2" s="33">
        <f>资产资本表!CA17</f>
        <v>0</v>
      </c>
      <c r="CB2" s="33">
        <f>资产资本表!CB17</f>
        <v>0</v>
      </c>
      <c r="CC2" s="33">
        <f>资产资本表!CC17</f>
        <v>0</v>
      </c>
      <c r="CD2" s="33">
        <f>资产资本表!CD17</f>
        <v>0</v>
      </c>
      <c r="CE2" s="33">
        <f>资产资本表!CE17</f>
        <v>0</v>
      </c>
      <c r="CF2" s="33">
        <f>资产资本表!CF17</f>
        <v>0</v>
      </c>
      <c r="CG2" s="33">
        <f>资产资本表!CG17</f>
        <v>0</v>
      </c>
      <c r="CH2" s="33">
        <f>资产资本表!CH17</f>
        <v>0</v>
      </c>
      <c r="CI2" s="33">
        <f>资产资本表!CI17</f>
        <v>0</v>
      </c>
      <c r="CJ2" s="33">
        <f>资产资本表!CJ17</f>
        <v>0</v>
      </c>
      <c r="CK2" s="33">
        <f>资产资本表!CK17</f>
        <v>0</v>
      </c>
      <c r="CL2" s="33">
        <f>资产资本表!CL17</f>
        <v>0</v>
      </c>
    </row>
    <row r="3" spans="1:90" s="33" customFormat="1">
      <c r="A3" s="33" t="s">
        <v>563</v>
      </c>
      <c r="E3" s="33">
        <f>资产资本表!E19</f>
        <v>0</v>
      </c>
      <c r="F3" s="33">
        <f>资产资本表!F19</f>
        <v>0</v>
      </c>
      <c r="G3" s="33">
        <f>资产资本表!G19</f>
        <v>0</v>
      </c>
      <c r="H3" s="33">
        <f>资产资本表!H19</f>
        <v>0</v>
      </c>
      <c r="I3" s="33">
        <f>资产资本表!I19</f>
        <v>0</v>
      </c>
      <c r="J3" s="33">
        <f>资产资本表!J19</f>
        <v>0</v>
      </c>
      <c r="K3" s="33">
        <f>资产资本表!K19</f>
        <v>0</v>
      </c>
      <c r="L3" s="33">
        <f>资产资本表!L19</f>
        <v>0</v>
      </c>
      <c r="M3" s="33">
        <f>资产资本表!M19</f>
        <v>0</v>
      </c>
      <c r="N3" s="33">
        <f>资产资本表!N19</f>
        <v>224500000</v>
      </c>
      <c r="O3" s="33">
        <f>资产资本表!O19</f>
        <v>224500000</v>
      </c>
      <c r="P3" s="33">
        <f>资产资本表!P19</f>
        <v>0</v>
      </c>
      <c r="Q3" s="33">
        <f>资产资本表!Q19</f>
        <v>0</v>
      </c>
      <c r="R3" s="33">
        <f>资产资本表!R19</f>
        <v>0</v>
      </c>
      <c r="S3" s="33">
        <f>资产资本表!S19</f>
        <v>0</v>
      </c>
      <c r="T3" s="33">
        <f>资产资本表!T19</f>
        <v>0</v>
      </c>
      <c r="U3" s="33">
        <f>资产资本表!U19</f>
        <v>0</v>
      </c>
      <c r="V3" s="33">
        <f>资产资本表!V19</f>
        <v>0</v>
      </c>
      <c r="W3" s="33">
        <f>资产资本表!W19</f>
        <v>0</v>
      </c>
      <c r="X3" s="33">
        <f>资产资本表!X19</f>
        <v>0</v>
      </c>
      <c r="Y3" s="33">
        <f>资产资本表!Y19</f>
        <v>0</v>
      </c>
      <c r="Z3" s="33">
        <f>资产资本表!Z19</f>
        <v>0</v>
      </c>
      <c r="AA3" s="33">
        <f>资产资本表!AA19</f>
        <v>0</v>
      </c>
      <c r="AB3" s="33">
        <f>资产资本表!AB19</f>
        <v>0</v>
      </c>
      <c r="AC3" s="33">
        <f>资产资本表!AC19</f>
        <v>0</v>
      </c>
      <c r="AD3" s="33">
        <f>资产资本表!AD19</f>
        <v>0</v>
      </c>
      <c r="AE3" s="33">
        <f>资产资本表!AE19</f>
        <v>0</v>
      </c>
      <c r="AF3" s="33">
        <f>资产资本表!AF19</f>
        <v>0</v>
      </c>
      <c r="AG3" s="33">
        <f>资产资本表!AG19</f>
        <v>0</v>
      </c>
      <c r="AH3" s="33">
        <f>资产资本表!AH19</f>
        <v>0</v>
      </c>
      <c r="AI3" s="33">
        <f>资产资本表!AI19</f>
        <v>0</v>
      </c>
      <c r="AJ3" s="33">
        <f>资产资本表!AJ19</f>
        <v>0</v>
      </c>
      <c r="AK3" s="33">
        <f>资产资本表!AK19</f>
        <v>0</v>
      </c>
      <c r="AL3" s="33">
        <f>资产资本表!AL19</f>
        <v>0</v>
      </c>
      <c r="AM3" s="33">
        <f>资产资本表!AM19</f>
        <v>0</v>
      </c>
      <c r="AN3" s="33">
        <f>资产资本表!AN19</f>
        <v>0</v>
      </c>
      <c r="AO3" s="33">
        <f>资产资本表!AO19</f>
        <v>0</v>
      </c>
      <c r="AP3" s="33">
        <f>资产资本表!AP19</f>
        <v>0</v>
      </c>
      <c r="AQ3" s="33">
        <f>资产资本表!AQ19</f>
        <v>0</v>
      </c>
      <c r="AR3" s="33">
        <f>资产资本表!AR19</f>
        <v>0</v>
      </c>
      <c r="AS3" s="33">
        <f>资产资本表!AS19</f>
        <v>0</v>
      </c>
      <c r="AT3" s="33">
        <f>资产资本表!AT19</f>
        <v>0</v>
      </c>
      <c r="AU3" s="33">
        <f>资产资本表!AU19</f>
        <v>0</v>
      </c>
      <c r="AV3" s="33">
        <f>资产资本表!AV19</f>
        <v>0</v>
      </c>
      <c r="AW3" s="33">
        <f>资产资本表!AW19</f>
        <v>0</v>
      </c>
      <c r="AX3" s="33">
        <f>资产资本表!AX19</f>
        <v>0</v>
      </c>
      <c r="AY3" s="33">
        <f>资产资本表!AY19</f>
        <v>0</v>
      </c>
      <c r="AZ3" s="33">
        <f>资产资本表!AZ19</f>
        <v>0</v>
      </c>
      <c r="BA3" s="33">
        <f>资产资本表!BA19</f>
        <v>0</v>
      </c>
      <c r="BB3" s="33">
        <f>资产资本表!BB19</f>
        <v>0</v>
      </c>
      <c r="BC3" s="33">
        <f>资产资本表!BC19</f>
        <v>0</v>
      </c>
      <c r="BD3" s="33">
        <f>资产资本表!BD19</f>
        <v>0</v>
      </c>
      <c r="BE3" s="33">
        <f>资产资本表!BE19</f>
        <v>0</v>
      </c>
      <c r="BF3" s="33">
        <f>资产资本表!BF19</f>
        <v>0</v>
      </c>
      <c r="BG3" s="33">
        <f>资产资本表!BG19</f>
        <v>0</v>
      </c>
      <c r="BH3" s="33">
        <f>资产资本表!BH19</f>
        <v>0</v>
      </c>
      <c r="BI3" s="33">
        <f>资产资本表!BI19</f>
        <v>0</v>
      </c>
      <c r="BJ3" s="33">
        <f>资产资本表!BJ19</f>
        <v>0</v>
      </c>
      <c r="BK3" s="33">
        <f>资产资本表!BK19</f>
        <v>0</v>
      </c>
      <c r="BL3" s="33">
        <f>资产资本表!BL19</f>
        <v>0</v>
      </c>
      <c r="BM3" s="33">
        <f>资产资本表!BM19</f>
        <v>0</v>
      </c>
      <c r="BN3" s="33">
        <f>资产资本表!BN19</f>
        <v>0</v>
      </c>
      <c r="BO3" s="33">
        <f>资产资本表!BO19</f>
        <v>0</v>
      </c>
      <c r="BP3" s="33">
        <f>资产资本表!BP19</f>
        <v>0</v>
      </c>
      <c r="BQ3" s="33">
        <f>资产资本表!BQ19</f>
        <v>0</v>
      </c>
      <c r="BR3" s="33">
        <f>资产资本表!BR19</f>
        <v>0</v>
      </c>
      <c r="BS3" s="33">
        <f>资产资本表!BS19</f>
        <v>0</v>
      </c>
      <c r="BT3" s="33">
        <f>资产资本表!BT19</f>
        <v>0</v>
      </c>
      <c r="BU3" s="33">
        <f>资产资本表!BU19</f>
        <v>0</v>
      </c>
      <c r="BV3" s="33">
        <f>资产资本表!BV19</f>
        <v>0</v>
      </c>
      <c r="BW3" s="33">
        <f>资产资本表!BW19</f>
        <v>0</v>
      </c>
      <c r="BX3" s="33">
        <f>资产资本表!BX19</f>
        <v>0</v>
      </c>
      <c r="BY3" s="33">
        <f>资产资本表!BY19</f>
        <v>0</v>
      </c>
      <c r="BZ3" s="33">
        <f>资产资本表!BZ19</f>
        <v>0</v>
      </c>
      <c r="CA3" s="33">
        <f>资产资本表!CA19</f>
        <v>0</v>
      </c>
      <c r="CB3" s="33">
        <f>资产资本表!CB19</f>
        <v>0</v>
      </c>
      <c r="CC3" s="33">
        <f>资产资本表!CC19</f>
        <v>0</v>
      </c>
      <c r="CD3" s="33">
        <f>资产资本表!CD19</f>
        <v>0</v>
      </c>
      <c r="CE3" s="33">
        <f>资产资本表!CE19</f>
        <v>0</v>
      </c>
      <c r="CF3" s="33">
        <f>资产资本表!CF19</f>
        <v>0</v>
      </c>
      <c r="CG3" s="33">
        <f>资产资本表!CG19</f>
        <v>0</v>
      </c>
      <c r="CH3" s="33">
        <f>资产资本表!CH19</f>
        <v>0</v>
      </c>
      <c r="CI3" s="33">
        <f>资产资本表!CI19</f>
        <v>0</v>
      </c>
      <c r="CJ3" s="33">
        <f>资产资本表!CJ19</f>
        <v>0</v>
      </c>
      <c r="CK3" s="33">
        <f>资产资本表!CK19</f>
        <v>0</v>
      </c>
    </row>
    <row r="4" spans="1:90" s="33" customFormat="1">
      <c r="A4" s="33" t="s">
        <v>568</v>
      </c>
      <c r="E4" s="33">
        <f>资产资本表!E50</f>
        <v>1019359342.77</v>
      </c>
      <c r="F4" s="33">
        <f>资产资本表!F50</f>
        <v>832380086.96000004</v>
      </c>
      <c r="G4" s="33">
        <f>资产资本表!G50</f>
        <v>1051578488.79</v>
      </c>
      <c r="H4" s="33">
        <f>资产资本表!H50</f>
        <v>887439335.81999981</v>
      </c>
      <c r="I4" s="33">
        <f>资产资本表!I50</f>
        <v>660996160.13999999</v>
      </c>
      <c r="J4" s="33">
        <f>资产资本表!J50</f>
        <v>822767964.97000003</v>
      </c>
      <c r="K4" s="33">
        <f>资产资本表!K50</f>
        <v>765383230.66000021</v>
      </c>
      <c r="L4" s="33">
        <f>资产资本表!L50</f>
        <v>640223137.68999994</v>
      </c>
      <c r="M4" s="33">
        <f>资产资本表!M50</f>
        <v>386525963.11999989</v>
      </c>
      <c r="N4" s="33">
        <f>资产资本表!N50</f>
        <v>512819312.0800001</v>
      </c>
      <c r="O4" s="33">
        <f>资产资本表!O50</f>
        <v>693038148.51999998</v>
      </c>
      <c r="P4" s="33">
        <f>资产资本表!P50</f>
        <v>525332145.76999992</v>
      </c>
      <c r="Q4" s="33">
        <f>资产资本表!Q50</f>
        <v>405527471.01999998</v>
      </c>
      <c r="R4" s="33">
        <f>资产资本表!R50</f>
        <v>609878065.87</v>
      </c>
      <c r="S4" s="33">
        <f>资产资本表!S50</f>
        <v>621077633.18000007</v>
      </c>
      <c r="T4" s="33">
        <f>资产资本表!T50</f>
        <v>463470781.43999994</v>
      </c>
      <c r="U4" s="33">
        <f>资产资本表!U50</f>
        <v>427689519.43999994</v>
      </c>
      <c r="V4" s="33">
        <f>资产资本表!V50</f>
        <v>542624943.00999999</v>
      </c>
      <c r="W4" s="33">
        <f>资产资本表!W50</f>
        <v>522165789.11999989</v>
      </c>
      <c r="X4" s="33">
        <f>资产资本表!X50</f>
        <v>403976638.93999994</v>
      </c>
      <c r="Y4" s="33">
        <f>资产资本表!Y50</f>
        <v>257468295.17000002</v>
      </c>
      <c r="Z4" s="33">
        <f>资产资本表!Z50</f>
        <v>252131513.39999992</v>
      </c>
      <c r="AA4" s="33">
        <f>资产资本表!AA50</f>
        <v>377330992.53000009</v>
      </c>
      <c r="AB4" s="33">
        <f>资产资本表!AB50</f>
        <v>363581719.30000001</v>
      </c>
      <c r="AC4" s="33">
        <f>资产资本表!AC50</f>
        <v>296555534.18000013</v>
      </c>
      <c r="AD4" s="33">
        <f>资产资本表!AD50</f>
        <v>339614478.26000011</v>
      </c>
      <c r="AE4" s="33">
        <f>资产资本表!AE50</f>
        <v>284453211.50999999</v>
      </c>
      <c r="AF4" s="33">
        <f>资产资本表!AF50</f>
        <v>261569156.52000001</v>
      </c>
      <c r="AG4" s="33">
        <f>资产资本表!AG50</f>
        <v>253325423.25999996</v>
      </c>
      <c r="AH4" s="33">
        <f>资产资本表!AH50</f>
        <v>260853074.94999999</v>
      </c>
      <c r="AI4" s="33">
        <f>资产资本表!AI50</f>
        <v>168459628.32999992</v>
      </c>
      <c r="AJ4" s="33">
        <f>资产资本表!AJ50</f>
        <v>53954488.209999979</v>
      </c>
      <c r="AK4" s="33">
        <f>资产资本表!AK50</f>
        <v>15067759.359999985</v>
      </c>
      <c r="AL4" s="33">
        <f>资产资本表!AL50</f>
        <v>41918088.459999979</v>
      </c>
      <c r="AM4" s="33">
        <f>资产资本表!AM50</f>
        <v>58662516.229999989</v>
      </c>
      <c r="AN4" s="33">
        <f>资产资本表!AN50</f>
        <v>46438378.349999964</v>
      </c>
      <c r="AO4" s="33">
        <f>资产资本表!AO50</f>
        <v>23875538.120000035</v>
      </c>
      <c r="AP4" s="33">
        <f>资产资本表!AP50</f>
        <v>24020537.819999993</v>
      </c>
      <c r="AQ4" s="33">
        <f>资产资本表!AQ50</f>
        <v>0</v>
      </c>
      <c r="AR4" s="33">
        <f>资产资本表!AR50</f>
        <v>0</v>
      </c>
      <c r="AS4" s="33">
        <f>资产资本表!AS50</f>
        <v>0</v>
      </c>
      <c r="AT4" s="33">
        <f>资产资本表!AT50</f>
        <v>0</v>
      </c>
      <c r="AU4" s="33">
        <f>资产资本表!AU50</f>
        <v>0</v>
      </c>
      <c r="AV4" s="33">
        <f>资产资本表!AV50</f>
        <v>0</v>
      </c>
      <c r="AW4" s="33">
        <f>资产资本表!AW50</f>
        <v>0</v>
      </c>
      <c r="AX4" s="33">
        <f>资产资本表!AX50</f>
        <v>0</v>
      </c>
      <c r="AY4" s="33">
        <f>资产资本表!AY50</f>
        <v>0</v>
      </c>
      <c r="AZ4" s="33">
        <f>资产资本表!AZ50</f>
        <v>0</v>
      </c>
      <c r="BA4" s="33">
        <f>资产资本表!BA50</f>
        <v>0</v>
      </c>
      <c r="BB4" s="33">
        <f>资产资本表!BB50</f>
        <v>0</v>
      </c>
      <c r="BC4" s="33">
        <f>资产资本表!BC50</f>
        <v>0</v>
      </c>
      <c r="BD4" s="33">
        <f>资产资本表!BD50</f>
        <v>0</v>
      </c>
      <c r="BE4" s="33">
        <f>资产资本表!BE50</f>
        <v>0</v>
      </c>
      <c r="BF4" s="33">
        <f>资产资本表!BF50</f>
        <v>0</v>
      </c>
      <c r="BG4" s="33">
        <f>资产资本表!BG50</f>
        <v>0</v>
      </c>
      <c r="BH4" s="33">
        <f>资产资本表!BH50</f>
        <v>0</v>
      </c>
      <c r="BI4" s="33">
        <f>资产资本表!BI50</f>
        <v>0</v>
      </c>
      <c r="BJ4" s="33">
        <f>资产资本表!BJ50</f>
        <v>0</v>
      </c>
      <c r="BK4" s="33">
        <f>资产资本表!BK50</f>
        <v>0</v>
      </c>
      <c r="BL4" s="33">
        <f>资产资本表!BL50</f>
        <v>0</v>
      </c>
      <c r="BM4" s="33">
        <f>资产资本表!BM50</f>
        <v>0</v>
      </c>
      <c r="BN4" s="33">
        <f>资产资本表!BN50</f>
        <v>0</v>
      </c>
      <c r="BO4" s="33">
        <f>资产资本表!BO50</f>
        <v>0</v>
      </c>
      <c r="BP4" s="33">
        <f>资产资本表!BP50</f>
        <v>0</v>
      </c>
      <c r="BQ4" s="33">
        <f>资产资本表!BQ50</f>
        <v>0</v>
      </c>
      <c r="BR4" s="33">
        <f>资产资本表!BR50</f>
        <v>0</v>
      </c>
      <c r="BS4" s="33">
        <f>资产资本表!BS50</f>
        <v>0</v>
      </c>
      <c r="BT4" s="33">
        <f>资产资本表!BT50</f>
        <v>0</v>
      </c>
      <c r="BU4" s="33">
        <f>资产资本表!BU50</f>
        <v>0</v>
      </c>
      <c r="BV4" s="33">
        <f>资产资本表!BV50</f>
        <v>0</v>
      </c>
      <c r="BW4" s="33">
        <f>资产资本表!BW50</f>
        <v>0</v>
      </c>
      <c r="BX4" s="33">
        <f>资产资本表!BX50</f>
        <v>0</v>
      </c>
      <c r="BY4" s="33">
        <f>资产资本表!BY50</f>
        <v>0</v>
      </c>
      <c r="BZ4" s="33">
        <f>资产资本表!BZ50</f>
        <v>0</v>
      </c>
      <c r="CA4" s="33">
        <f>资产资本表!CA50</f>
        <v>0</v>
      </c>
      <c r="CB4" s="33">
        <f>资产资本表!CB50</f>
        <v>0</v>
      </c>
      <c r="CC4" s="33">
        <f>资产资本表!CC50</f>
        <v>0</v>
      </c>
      <c r="CD4" s="33">
        <f>资产资本表!CD50</f>
        <v>0</v>
      </c>
      <c r="CE4" s="33">
        <f>资产资本表!CE50</f>
        <v>0</v>
      </c>
      <c r="CF4" s="33">
        <f>资产资本表!CF50</f>
        <v>0</v>
      </c>
      <c r="CG4" s="33">
        <f>资产资本表!CG50</f>
        <v>0</v>
      </c>
      <c r="CH4" s="33">
        <f>资产资本表!CH50</f>
        <v>0</v>
      </c>
      <c r="CI4" s="33">
        <f>资产资本表!CI50</f>
        <v>0</v>
      </c>
      <c r="CJ4" s="33">
        <f>资产资本表!CJ50</f>
        <v>0</v>
      </c>
      <c r="CK4" s="33">
        <f>资产资本表!CK50</f>
        <v>0</v>
      </c>
    </row>
    <row r="5" spans="1:90" s="33" customFormat="1">
      <c r="A5" s="33" t="s">
        <v>337</v>
      </c>
      <c r="E5" s="33">
        <f>资产资本表!E33</f>
        <v>1889350863.54</v>
      </c>
      <c r="F5" s="33">
        <f>资产资本表!F33</f>
        <v>1612358908.4400001</v>
      </c>
      <c r="G5" s="33">
        <f>资产资本表!G33</f>
        <v>1771101496.3199999</v>
      </c>
      <c r="H5" s="33">
        <f>资产资本表!H33</f>
        <v>1588134729.6799998</v>
      </c>
      <c r="I5" s="33">
        <f>资产资本表!I33</f>
        <v>1513283867</v>
      </c>
      <c r="J5" s="33">
        <f>资产资本表!J33</f>
        <v>1445279261.1900001</v>
      </c>
      <c r="K5" s="33">
        <f>资产资本表!K33</f>
        <v>1350473055.8400002</v>
      </c>
      <c r="L5" s="33">
        <f>资产资本表!L33</f>
        <v>1179163500.1199999</v>
      </c>
      <c r="M5" s="33">
        <f>资产资本表!M33</f>
        <v>996612618.21000004</v>
      </c>
      <c r="N5" s="33">
        <f>资产资本表!N33</f>
        <v>1034209922.84</v>
      </c>
      <c r="O5" s="33">
        <f>资产资本表!O33</f>
        <v>1173758608.3899999</v>
      </c>
      <c r="P5" s="33">
        <f>资产资本表!P33</f>
        <v>1055913377.8499999</v>
      </c>
      <c r="Q5" s="33">
        <f>资产资本表!Q33</f>
        <v>1016846692.79</v>
      </c>
      <c r="R5" s="33">
        <f>资产资本表!R33</f>
        <v>1042888972.99</v>
      </c>
      <c r="S5" s="33">
        <f>资产资本表!S33</f>
        <v>1007318682.2</v>
      </c>
      <c r="T5" s="33">
        <f>资产资本表!T33</f>
        <v>911113163.67999995</v>
      </c>
      <c r="U5" s="33">
        <f>资产资本表!U33</f>
        <v>976660450.74000001</v>
      </c>
      <c r="V5" s="33">
        <f>资产资本表!V33</f>
        <v>992737852.51999998</v>
      </c>
      <c r="W5" s="33">
        <f>资产资本表!W33</f>
        <v>1005885718.8199999</v>
      </c>
      <c r="X5" s="33">
        <f>资产资本表!X33</f>
        <v>873311222.43999994</v>
      </c>
      <c r="Y5" s="33">
        <f>资产资本表!Y33</f>
        <v>782003545.38</v>
      </c>
      <c r="Z5" s="33">
        <f>资产资本表!Z33</f>
        <v>584414139.04999995</v>
      </c>
      <c r="AA5" s="33">
        <f>资产资本表!AA33</f>
        <v>625628998.4000001</v>
      </c>
      <c r="AB5" s="33">
        <f>资产资本表!AB33</f>
        <v>675919838.63999999</v>
      </c>
      <c r="AC5" s="33">
        <f>资产资本表!AC33</f>
        <v>680678922.74000013</v>
      </c>
      <c r="AD5" s="33">
        <f>资产资本表!AD33</f>
        <v>654901141.94000006</v>
      </c>
      <c r="AE5" s="33">
        <f>资产资本表!AE33</f>
        <v>504661487.19999999</v>
      </c>
      <c r="AF5" s="33">
        <f>资产资本表!AF33</f>
        <v>461683088.99000001</v>
      </c>
      <c r="AG5" s="33">
        <f>资产资本表!AG33</f>
        <v>507953691.44999999</v>
      </c>
      <c r="AH5" s="33">
        <f>资产资本表!AH33</f>
        <v>513497683.94999999</v>
      </c>
      <c r="AI5" s="33">
        <f>资产资本表!AI33</f>
        <v>414792414.91999996</v>
      </c>
      <c r="AJ5" s="33">
        <f>资产资本表!AJ33</f>
        <v>287703547.13</v>
      </c>
      <c r="AK5" s="33">
        <f>资产资本表!AK33</f>
        <v>239772155.65000001</v>
      </c>
      <c r="AL5" s="33">
        <f>资产资本表!AL33</f>
        <v>252328591.16999996</v>
      </c>
      <c r="AM5" s="33">
        <f>资产资本表!AM33</f>
        <v>228420628.99000001</v>
      </c>
      <c r="AN5" s="33">
        <f>资产资本表!AN33</f>
        <v>257896923.69</v>
      </c>
      <c r="AO5" s="33">
        <f>资产资本表!AO33</f>
        <v>193479774.5</v>
      </c>
      <c r="AP5" s="33">
        <f>资产资本表!AP33</f>
        <v>170230402.78999999</v>
      </c>
      <c r="AQ5" s="33">
        <f>资产资本表!AQ33</f>
        <v>0</v>
      </c>
      <c r="AR5" s="33">
        <f>资产资本表!AR33</f>
        <v>0</v>
      </c>
      <c r="AS5" s="33">
        <f>资产资本表!AS33</f>
        <v>0</v>
      </c>
      <c r="AT5" s="33">
        <f>资产资本表!AT33</f>
        <v>0</v>
      </c>
      <c r="AU5" s="33">
        <f>资产资本表!AU33</f>
        <v>0</v>
      </c>
      <c r="AV5" s="33">
        <f>资产资本表!AV33</f>
        <v>0</v>
      </c>
      <c r="AW5" s="33">
        <f>资产资本表!AW33</f>
        <v>0</v>
      </c>
      <c r="AX5" s="33">
        <f>资产资本表!AX33</f>
        <v>0</v>
      </c>
      <c r="AY5" s="33">
        <f>资产资本表!AY33</f>
        <v>0</v>
      </c>
      <c r="AZ5" s="33">
        <f>资产资本表!AZ33</f>
        <v>0</v>
      </c>
      <c r="BA5" s="33">
        <f>资产资本表!BA33</f>
        <v>0</v>
      </c>
      <c r="BB5" s="33">
        <f>资产资本表!BB33</f>
        <v>0</v>
      </c>
      <c r="BC5" s="33">
        <f>资产资本表!BC33</f>
        <v>0</v>
      </c>
      <c r="BD5" s="33">
        <f>资产资本表!BD33</f>
        <v>0</v>
      </c>
      <c r="BE5" s="33">
        <f>资产资本表!BE33</f>
        <v>0</v>
      </c>
      <c r="BF5" s="33">
        <f>资产资本表!BF33</f>
        <v>0</v>
      </c>
      <c r="BG5" s="33">
        <f>资产资本表!BG33</f>
        <v>0</v>
      </c>
      <c r="BH5" s="33">
        <f>资产资本表!BH33</f>
        <v>0</v>
      </c>
      <c r="BI5" s="33">
        <f>资产资本表!BI33</f>
        <v>0</v>
      </c>
      <c r="BJ5" s="33">
        <f>资产资本表!BJ33</f>
        <v>0</v>
      </c>
      <c r="BK5" s="33">
        <f>资产资本表!BK33</f>
        <v>0</v>
      </c>
      <c r="BL5" s="33">
        <f>资产资本表!BL33</f>
        <v>0</v>
      </c>
      <c r="BM5" s="33">
        <f>资产资本表!BM33</f>
        <v>0</v>
      </c>
      <c r="BN5" s="33">
        <f>资产资本表!BN33</f>
        <v>0</v>
      </c>
      <c r="BO5" s="33">
        <f>资产资本表!BO33</f>
        <v>0</v>
      </c>
      <c r="BP5" s="33">
        <f>资产资本表!BP33</f>
        <v>0</v>
      </c>
      <c r="BQ5" s="33">
        <f>资产资本表!BQ33</f>
        <v>0</v>
      </c>
      <c r="BR5" s="33">
        <f>资产资本表!BR33</f>
        <v>0</v>
      </c>
      <c r="BS5" s="33">
        <f>资产资本表!BS33</f>
        <v>0</v>
      </c>
      <c r="BT5" s="33">
        <f>资产资本表!BT33</f>
        <v>0</v>
      </c>
      <c r="BU5" s="33">
        <f>资产资本表!BU33</f>
        <v>0</v>
      </c>
      <c r="BV5" s="33">
        <f>资产资本表!BV33</f>
        <v>0</v>
      </c>
      <c r="BW5" s="33">
        <f>资产资本表!BW33</f>
        <v>0</v>
      </c>
      <c r="BX5" s="33">
        <f>资产资本表!BX33</f>
        <v>0</v>
      </c>
      <c r="BY5" s="33">
        <f>资产资本表!BY33</f>
        <v>0</v>
      </c>
      <c r="BZ5" s="33">
        <f>资产资本表!BZ33</f>
        <v>0</v>
      </c>
      <c r="CA5" s="33">
        <f>资产资本表!CA33</f>
        <v>0</v>
      </c>
      <c r="CB5" s="33">
        <f>资产资本表!CB33</f>
        <v>0</v>
      </c>
      <c r="CC5" s="33">
        <f>资产资本表!CC33</f>
        <v>0</v>
      </c>
      <c r="CD5" s="33">
        <f>资产资本表!CD33</f>
        <v>0</v>
      </c>
      <c r="CE5" s="33">
        <f>资产资本表!CE33</f>
        <v>0</v>
      </c>
      <c r="CF5" s="33">
        <f>资产资本表!CF33</f>
        <v>0</v>
      </c>
      <c r="CG5" s="33">
        <f>资产资本表!CG33</f>
        <v>0</v>
      </c>
      <c r="CH5" s="33">
        <f>资产资本表!CH33</f>
        <v>0</v>
      </c>
      <c r="CI5" s="33">
        <f>资产资本表!CI33</f>
        <v>0</v>
      </c>
      <c r="CJ5" s="33">
        <f>资产资本表!CJ33</f>
        <v>0</v>
      </c>
      <c r="CK5" s="33">
        <f>资产资本表!CK33</f>
        <v>0</v>
      </c>
      <c r="CL5" s="33">
        <f>资产资本表!CL33</f>
        <v>0</v>
      </c>
    </row>
    <row r="6" spans="1:90" s="33" customFormat="1">
      <c r="A6" s="33" t="s">
        <v>338</v>
      </c>
      <c r="E6" s="33">
        <f>资产资本表!E49</f>
        <v>869991520.76999998</v>
      </c>
      <c r="F6" s="33">
        <f>资产资本表!F49</f>
        <v>779978821.48000002</v>
      </c>
      <c r="G6" s="33">
        <f>资产资本表!G49</f>
        <v>719523007.52999997</v>
      </c>
      <c r="H6" s="33">
        <f>资产资本表!H49</f>
        <v>700695393.86000001</v>
      </c>
      <c r="I6" s="33">
        <f>资产资本表!I49</f>
        <v>852287706.86000001</v>
      </c>
      <c r="J6" s="33">
        <f>资产资本表!J49</f>
        <v>622511296.22000003</v>
      </c>
      <c r="K6" s="33">
        <f>资产资本表!K49</f>
        <v>585089825.17999995</v>
      </c>
      <c r="L6" s="33">
        <f>资产资本表!L49</f>
        <v>538940362.42999995</v>
      </c>
      <c r="M6" s="33">
        <f>资产资本表!M49</f>
        <v>610086655.09000015</v>
      </c>
      <c r="N6" s="33">
        <f>资产资本表!N49</f>
        <v>521390610.75999993</v>
      </c>
      <c r="O6" s="33">
        <f>资产资本表!O49</f>
        <v>480720459.86999995</v>
      </c>
      <c r="P6" s="33">
        <f>资产资本表!P49</f>
        <v>530581232.07999998</v>
      </c>
      <c r="Q6" s="33">
        <f>资产资本表!Q49</f>
        <v>611319221.76999998</v>
      </c>
      <c r="R6" s="33">
        <f>资产资本表!R49</f>
        <v>433010907.12</v>
      </c>
      <c r="S6" s="33">
        <f>资产资本表!S49</f>
        <v>386241049.02000004</v>
      </c>
      <c r="T6" s="33">
        <f>资产资本表!T49</f>
        <v>447642382.24000001</v>
      </c>
      <c r="U6" s="33">
        <f>资产资本表!U49</f>
        <v>548970931.30000007</v>
      </c>
      <c r="V6" s="33">
        <f>资产资本表!V49</f>
        <v>450112909.50999999</v>
      </c>
      <c r="W6" s="33">
        <f>资产资本表!W49</f>
        <v>483719929.70000005</v>
      </c>
      <c r="X6" s="33">
        <f>资产资本表!X49</f>
        <v>469334583.5</v>
      </c>
      <c r="Y6" s="33">
        <f>资产资本表!Y49</f>
        <v>524535250.20999998</v>
      </c>
      <c r="Z6" s="33">
        <f>资产资本表!Z49</f>
        <v>332282625.65000004</v>
      </c>
      <c r="AA6" s="33">
        <f>资产资本表!AA49</f>
        <v>248298005.87</v>
      </c>
      <c r="AB6" s="33">
        <f>资产资本表!AB49</f>
        <v>312338119.33999997</v>
      </c>
      <c r="AC6" s="33">
        <f>资产资本表!AC49</f>
        <v>384123388.56</v>
      </c>
      <c r="AD6" s="33">
        <f>资产资本表!AD49</f>
        <v>315286663.67999995</v>
      </c>
      <c r="AE6" s="33">
        <f>资产资本表!AE49</f>
        <v>220208275.69000003</v>
      </c>
      <c r="AF6" s="33">
        <f>资产资本表!AF49</f>
        <v>200113932.47</v>
      </c>
      <c r="AG6" s="33">
        <f>资产资本表!AG49</f>
        <v>254628268.19000003</v>
      </c>
      <c r="AH6" s="33">
        <f>资产资本表!AH49</f>
        <v>252644609</v>
      </c>
      <c r="AI6" s="33">
        <f>资产资本表!AI49</f>
        <v>246332786.59000003</v>
      </c>
      <c r="AJ6" s="33">
        <f>资产资本表!AJ49</f>
        <v>233749058.92000002</v>
      </c>
      <c r="AK6" s="33">
        <f>资产资本表!AK49</f>
        <v>224704396.29000002</v>
      </c>
      <c r="AL6" s="33">
        <f>资产资本表!AL49</f>
        <v>210410502.70999998</v>
      </c>
      <c r="AM6" s="33">
        <f>资产资本表!AM49</f>
        <v>169758112.76000002</v>
      </c>
      <c r="AN6" s="33">
        <f>资产资本表!AN49</f>
        <v>211458545.34000003</v>
      </c>
      <c r="AO6" s="33">
        <f>资产资本表!AO49</f>
        <v>169604236.37999997</v>
      </c>
      <c r="AP6" s="33">
        <f>资产资本表!AP49</f>
        <v>146209864.97</v>
      </c>
      <c r="AQ6" s="33">
        <f>资产资本表!AQ49</f>
        <v>0</v>
      </c>
      <c r="AR6" s="33">
        <f>资产资本表!AR49</f>
        <v>0</v>
      </c>
      <c r="AS6" s="33">
        <f>资产资本表!AS49</f>
        <v>0</v>
      </c>
      <c r="AT6" s="33">
        <f>资产资本表!AT49</f>
        <v>0</v>
      </c>
      <c r="AU6" s="33">
        <f>资产资本表!AU49</f>
        <v>0</v>
      </c>
      <c r="AV6" s="33">
        <f>资产资本表!AV49</f>
        <v>0</v>
      </c>
      <c r="AW6" s="33">
        <f>资产资本表!AW49</f>
        <v>0</v>
      </c>
      <c r="AX6" s="33">
        <f>资产资本表!AX49</f>
        <v>0</v>
      </c>
      <c r="AY6" s="33">
        <f>资产资本表!AY49</f>
        <v>0</v>
      </c>
      <c r="AZ6" s="33">
        <f>资产资本表!AZ49</f>
        <v>0</v>
      </c>
      <c r="BA6" s="33">
        <f>资产资本表!BA49</f>
        <v>0</v>
      </c>
      <c r="BB6" s="33">
        <f>资产资本表!BB49</f>
        <v>0</v>
      </c>
      <c r="BC6" s="33">
        <f>资产资本表!BC49</f>
        <v>0</v>
      </c>
      <c r="BD6" s="33">
        <f>资产资本表!BD49</f>
        <v>0</v>
      </c>
      <c r="BE6" s="33">
        <f>资产资本表!BE49</f>
        <v>0</v>
      </c>
      <c r="BF6" s="33">
        <f>资产资本表!BF49</f>
        <v>0</v>
      </c>
      <c r="BG6" s="33">
        <f>资产资本表!BG49</f>
        <v>0</v>
      </c>
      <c r="BH6" s="33">
        <f>资产资本表!BH49</f>
        <v>0</v>
      </c>
      <c r="BI6" s="33">
        <f>资产资本表!BI49</f>
        <v>0</v>
      </c>
      <c r="BJ6" s="33">
        <f>资产资本表!BJ49</f>
        <v>0</v>
      </c>
      <c r="BK6" s="33">
        <f>资产资本表!BK49</f>
        <v>0</v>
      </c>
      <c r="BL6" s="33">
        <f>资产资本表!BL49</f>
        <v>0</v>
      </c>
      <c r="BM6" s="33">
        <f>资产资本表!BM49</f>
        <v>0</v>
      </c>
      <c r="BN6" s="33">
        <f>资产资本表!BN49</f>
        <v>0</v>
      </c>
      <c r="BO6" s="33">
        <f>资产资本表!BO49</f>
        <v>0</v>
      </c>
      <c r="BP6" s="33">
        <f>资产资本表!BP49</f>
        <v>0</v>
      </c>
      <c r="BQ6" s="33">
        <f>资产资本表!BQ49</f>
        <v>0</v>
      </c>
      <c r="BR6" s="33">
        <f>资产资本表!BR49</f>
        <v>0</v>
      </c>
      <c r="BS6" s="33">
        <f>资产资本表!BS49</f>
        <v>0</v>
      </c>
      <c r="BT6" s="33">
        <f>资产资本表!BT49</f>
        <v>0</v>
      </c>
      <c r="BU6" s="33">
        <f>资产资本表!BU49</f>
        <v>0</v>
      </c>
      <c r="BV6" s="33">
        <f>资产资本表!BV49</f>
        <v>0</v>
      </c>
      <c r="BW6" s="33">
        <f>资产资本表!BW49</f>
        <v>0</v>
      </c>
      <c r="BX6" s="33">
        <f>资产资本表!BX49</f>
        <v>0</v>
      </c>
      <c r="BY6" s="33">
        <f>资产资本表!BY49</f>
        <v>0</v>
      </c>
      <c r="BZ6" s="33">
        <f>资产资本表!BZ49</f>
        <v>0</v>
      </c>
      <c r="CA6" s="33">
        <f>资产资本表!CA49</f>
        <v>0</v>
      </c>
      <c r="CB6" s="33">
        <f>资产资本表!CB49</f>
        <v>0</v>
      </c>
      <c r="CC6" s="33">
        <f>资产资本表!CC49</f>
        <v>0</v>
      </c>
      <c r="CD6" s="33">
        <f>资产资本表!CD49</f>
        <v>0</v>
      </c>
      <c r="CE6" s="33">
        <f>资产资本表!CE49</f>
        <v>0</v>
      </c>
      <c r="CF6" s="33">
        <f>资产资本表!CF49</f>
        <v>0</v>
      </c>
      <c r="CG6" s="33">
        <f>资产资本表!CG49</f>
        <v>0</v>
      </c>
      <c r="CH6" s="33">
        <f>资产资本表!CH49</f>
        <v>0</v>
      </c>
      <c r="CI6" s="33">
        <f>资产资本表!CI49</f>
        <v>0</v>
      </c>
      <c r="CJ6" s="33">
        <f>资产资本表!CJ49</f>
        <v>0</v>
      </c>
      <c r="CK6" s="33">
        <f>资产资本表!CK49</f>
        <v>0</v>
      </c>
      <c r="CL6" s="33">
        <f>资产资本表!CL49</f>
        <v>0</v>
      </c>
    </row>
    <row r="7" spans="1:90" s="33" customFormat="1">
      <c r="A7" s="33" t="s">
        <v>339</v>
      </c>
      <c r="E7" s="33">
        <f>资产资本表!E68</f>
        <v>1410947802.6399999</v>
      </c>
      <c r="F7" s="33">
        <f>资产资本表!F68</f>
        <v>1367153245.6700003</v>
      </c>
      <c r="G7" s="33">
        <f>资产资本表!G68</f>
        <v>1269565992.1900001</v>
      </c>
      <c r="H7" s="33">
        <f>资产资本表!H68</f>
        <v>1253302547.5300002</v>
      </c>
      <c r="I7" s="33">
        <f>资产资本表!I68</f>
        <v>1236999878.1700001</v>
      </c>
      <c r="J7" s="33">
        <f>资产资本表!J68</f>
        <v>1034620155.38</v>
      </c>
      <c r="K7" s="33">
        <f>资产资本表!K68</f>
        <v>990494038.49000001</v>
      </c>
      <c r="L7" s="33">
        <f>资产资本表!L68</f>
        <v>960477978.07999992</v>
      </c>
      <c r="M7" s="33">
        <f>资产资本表!M68</f>
        <v>957925773.76000011</v>
      </c>
      <c r="N7" s="33">
        <f>资产资本表!N68</f>
        <v>873995316.04000008</v>
      </c>
      <c r="O7" s="33">
        <f>资产资本表!O68</f>
        <v>853058064.85000002</v>
      </c>
      <c r="P7" s="33">
        <f>资产资本表!P68</f>
        <v>839094773.1099999</v>
      </c>
      <c r="Q7" s="33">
        <f>资产资本表!Q68</f>
        <v>807731294.66000009</v>
      </c>
      <c r="R7" s="33">
        <f>资产资本表!R68</f>
        <v>749263981.1700002</v>
      </c>
      <c r="S7" s="33">
        <f>资产资本表!S68</f>
        <v>735499582.28999996</v>
      </c>
      <c r="T7" s="33">
        <f>资产资本表!T68</f>
        <v>710694914.16000009</v>
      </c>
      <c r="U7" s="33">
        <f>资产资本表!U68</f>
        <v>699262006.81999993</v>
      </c>
      <c r="V7" s="33">
        <f>资产资本表!V68</f>
        <v>668499983.16999996</v>
      </c>
      <c r="W7" s="33">
        <f>资产资本表!W68</f>
        <v>646240740.63999987</v>
      </c>
      <c r="X7" s="33">
        <f>资产资本表!X68</f>
        <v>632344542.03999996</v>
      </c>
      <c r="Y7" s="33">
        <f>资产资本表!Y68</f>
        <v>619029551.51999998</v>
      </c>
      <c r="Z7" s="33">
        <f>资产资本表!Z68</f>
        <v>565603737.48000002</v>
      </c>
      <c r="AA7" s="33">
        <f>资产资本表!AA68</f>
        <v>543671380.0200001</v>
      </c>
      <c r="AB7" s="33">
        <f>资产资本表!AB68</f>
        <v>509305736.06</v>
      </c>
      <c r="AC7" s="33">
        <f>资产资本表!AC68</f>
        <v>478274483.81</v>
      </c>
      <c r="AD7" s="33">
        <f>资产资本表!AD68</f>
        <v>376398258.69000006</v>
      </c>
      <c r="AE7" s="33">
        <f>资产资本表!AE68</f>
        <v>309691045.02000004</v>
      </c>
      <c r="AF7" s="33">
        <f>资产资本表!AF68</f>
        <v>295490502.18000001</v>
      </c>
      <c r="AG7" s="33">
        <f>资产资本表!AG68</f>
        <v>276281864.78999996</v>
      </c>
      <c r="AH7" s="33">
        <f>资产资本表!AH68</f>
        <v>232990840.75000003</v>
      </c>
      <c r="AI7" s="33">
        <f>资产资本表!AI68</f>
        <v>201806080.77000001</v>
      </c>
      <c r="AJ7" s="33">
        <f>资产资本表!AJ68</f>
        <v>187685699.58000001</v>
      </c>
      <c r="AK7" s="33">
        <f>资产资本表!AK68</f>
        <v>173757421.32999998</v>
      </c>
      <c r="AL7" s="33">
        <f>资产资本表!AL68</f>
        <v>158830350.22</v>
      </c>
      <c r="AM7" s="33">
        <f>资产资本表!AM68</f>
        <v>153765327.69999999</v>
      </c>
      <c r="AN7" s="33">
        <f>资产资本表!AN68</f>
        <v>161497242.40000001</v>
      </c>
      <c r="AO7" s="33">
        <f>资产资本表!AO68</f>
        <v>158666532.44999999</v>
      </c>
      <c r="AP7" s="33">
        <f>资产资本表!AP68</f>
        <v>108170903.03</v>
      </c>
      <c r="AQ7" s="33">
        <f>资产资本表!AQ68</f>
        <v>0</v>
      </c>
      <c r="AR7" s="33">
        <f>资产资本表!AR68</f>
        <v>0</v>
      </c>
      <c r="AS7" s="33">
        <f>资产资本表!AS68</f>
        <v>0</v>
      </c>
      <c r="AT7" s="33">
        <f>资产资本表!AT68</f>
        <v>0</v>
      </c>
      <c r="AU7" s="33">
        <f>资产资本表!AU68</f>
        <v>0</v>
      </c>
      <c r="AV7" s="33">
        <f>资产资本表!AV68</f>
        <v>0</v>
      </c>
      <c r="AW7" s="33">
        <f>资产资本表!AW68</f>
        <v>0</v>
      </c>
      <c r="AX7" s="33">
        <f>资产资本表!AX68</f>
        <v>0</v>
      </c>
      <c r="AY7" s="33">
        <f>资产资本表!AY68</f>
        <v>0</v>
      </c>
      <c r="AZ7" s="33">
        <f>资产资本表!AZ68</f>
        <v>0</v>
      </c>
      <c r="BA7" s="33">
        <f>资产资本表!BA68</f>
        <v>0</v>
      </c>
      <c r="BB7" s="33">
        <f>资产资本表!BB68</f>
        <v>0</v>
      </c>
      <c r="BC7" s="33">
        <f>资产资本表!BC68</f>
        <v>0</v>
      </c>
      <c r="BD7" s="33">
        <f>资产资本表!BD68</f>
        <v>0</v>
      </c>
      <c r="BE7" s="33">
        <f>资产资本表!BE68</f>
        <v>0</v>
      </c>
      <c r="BF7" s="33">
        <f>资产资本表!BF68</f>
        <v>0</v>
      </c>
      <c r="BG7" s="33">
        <f>资产资本表!BG68</f>
        <v>0</v>
      </c>
      <c r="BH7" s="33">
        <f>资产资本表!BH68</f>
        <v>0</v>
      </c>
      <c r="BI7" s="33">
        <f>资产资本表!BI68</f>
        <v>0</v>
      </c>
      <c r="BJ7" s="33">
        <f>资产资本表!BJ68</f>
        <v>0</v>
      </c>
      <c r="BK7" s="33">
        <f>资产资本表!BK68</f>
        <v>0</v>
      </c>
      <c r="BL7" s="33">
        <f>资产资本表!BL68</f>
        <v>0</v>
      </c>
      <c r="BM7" s="33">
        <f>资产资本表!BM68</f>
        <v>0</v>
      </c>
      <c r="BN7" s="33">
        <f>资产资本表!BN68</f>
        <v>0</v>
      </c>
      <c r="BO7" s="33">
        <f>资产资本表!BO68</f>
        <v>0</v>
      </c>
      <c r="BP7" s="33">
        <f>资产资本表!BP68</f>
        <v>0</v>
      </c>
      <c r="BQ7" s="33">
        <f>资产资本表!BQ68</f>
        <v>0</v>
      </c>
      <c r="BR7" s="33">
        <f>资产资本表!BR68</f>
        <v>0</v>
      </c>
      <c r="BS7" s="33">
        <f>资产资本表!BS68</f>
        <v>0</v>
      </c>
      <c r="BT7" s="33">
        <f>资产资本表!BT68</f>
        <v>0</v>
      </c>
      <c r="BU7" s="33">
        <f>资产资本表!BU68</f>
        <v>0</v>
      </c>
      <c r="BV7" s="33">
        <f>资产资本表!BV68</f>
        <v>0</v>
      </c>
      <c r="BW7" s="33">
        <f>资产资本表!BW68</f>
        <v>0</v>
      </c>
      <c r="BX7" s="33">
        <f>资产资本表!BX68</f>
        <v>0</v>
      </c>
      <c r="BY7" s="33">
        <f>资产资本表!BY68</f>
        <v>0</v>
      </c>
      <c r="BZ7" s="33">
        <f>资产资本表!BZ68</f>
        <v>0</v>
      </c>
      <c r="CA7" s="33">
        <f>资产资本表!CA68</f>
        <v>0</v>
      </c>
      <c r="CB7" s="33">
        <f>资产资本表!CB68</f>
        <v>0</v>
      </c>
      <c r="CC7" s="33">
        <f>资产资本表!CC68</f>
        <v>0</v>
      </c>
      <c r="CD7" s="33">
        <f>资产资本表!CD68</f>
        <v>0</v>
      </c>
      <c r="CE7" s="33">
        <f>资产资本表!CE68</f>
        <v>0</v>
      </c>
      <c r="CF7" s="33">
        <f>资产资本表!CF68</f>
        <v>0</v>
      </c>
      <c r="CG7" s="33">
        <f>资产资本表!CG68</f>
        <v>0</v>
      </c>
      <c r="CH7" s="33">
        <f>资产资本表!CH68</f>
        <v>0</v>
      </c>
      <c r="CI7" s="33">
        <f>资产资本表!CI68</f>
        <v>0</v>
      </c>
      <c r="CJ7" s="33">
        <f>资产资本表!CJ68</f>
        <v>0</v>
      </c>
      <c r="CK7" s="33">
        <f>资产资本表!CK68</f>
        <v>0</v>
      </c>
    </row>
    <row r="8" spans="1:90" s="33" customFormat="1">
      <c r="A8" s="33" t="s">
        <v>340</v>
      </c>
      <c r="E8" s="33">
        <f>资产资本表!E69</f>
        <v>2430307145.4099998</v>
      </c>
      <c r="F8" s="33">
        <f>资产资本表!F69</f>
        <v>2199533332.6300001</v>
      </c>
      <c r="G8" s="33">
        <f>资产资本表!G69</f>
        <v>2321144480.98</v>
      </c>
      <c r="H8" s="33">
        <f>资产资本表!H69</f>
        <v>2140741883.3499999</v>
      </c>
      <c r="I8" s="33">
        <f>资产资本表!I69</f>
        <v>1897996038.3099999</v>
      </c>
      <c r="J8" s="33">
        <f>资产资本表!J69</f>
        <v>1857388120.3499999</v>
      </c>
      <c r="K8" s="33">
        <f>资产资本表!K69</f>
        <v>1755877269.1500001</v>
      </c>
      <c r="L8" s="33">
        <f>资产资本表!L69</f>
        <v>1600701115.77</v>
      </c>
      <c r="M8" s="33">
        <f>资产资本表!M69</f>
        <v>1344451736.8800001</v>
      </c>
      <c r="N8" s="33">
        <f>资产资本表!N69</f>
        <v>1386814628.1200001</v>
      </c>
      <c r="O8" s="33">
        <f>资产资本表!O69</f>
        <v>1546096213.3699999</v>
      </c>
      <c r="P8" s="33">
        <f>资产资本表!P69</f>
        <v>1364426918.8799999</v>
      </c>
      <c r="Q8" s="33">
        <f>资产资本表!Q69</f>
        <v>1213258765.6800001</v>
      </c>
      <c r="R8" s="33">
        <f>资产资本表!R69</f>
        <v>1359142047.0400002</v>
      </c>
      <c r="S8" s="33">
        <f>资产资本表!S69</f>
        <v>1356577215.47</v>
      </c>
      <c r="T8" s="33">
        <f>资产资本表!T69</f>
        <v>1174165695.5999999</v>
      </c>
      <c r="U8" s="33">
        <f>资产资本表!U69</f>
        <v>1126951526.2599998</v>
      </c>
      <c r="V8" s="33">
        <f>资产资本表!V69</f>
        <v>1211124926.1799998</v>
      </c>
      <c r="W8" s="33">
        <f>资产资本表!W69</f>
        <v>1168406529.7599998</v>
      </c>
      <c r="X8" s="33">
        <f>资产资本表!X69</f>
        <v>1036321180.9799999</v>
      </c>
      <c r="Y8" s="33">
        <f>资产资本表!Y69</f>
        <v>876497846.69000006</v>
      </c>
      <c r="Z8" s="33">
        <f>资产资本表!Z69</f>
        <v>817735250.87999988</v>
      </c>
      <c r="AA8" s="33">
        <f>资产资本表!AA69</f>
        <v>921002372.55000019</v>
      </c>
      <c r="AB8" s="33">
        <f>资产资本表!AB69</f>
        <v>872887455.36000001</v>
      </c>
      <c r="AC8" s="33">
        <f>资产资本表!AC69</f>
        <v>774830017.99000013</v>
      </c>
      <c r="AD8" s="33">
        <f>资产资本表!AD69</f>
        <v>716012736.95000017</v>
      </c>
      <c r="AE8" s="33">
        <f>资产资本表!AE69</f>
        <v>594144256.52999997</v>
      </c>
      <c r="AF8" s="33">
        <f>资产资本表!AF69</f>
        <v>557059658.70000005</v>
      </c>
      <c r="AG8" s="33">
        <f>资产资本表!AG69</f>
        <v>529607288.04999995</v>
      </c>
      <c r="AH8" s="33">
        <f>资产资本表!AH69</f>
        <v>493843915.70000005</v>
      </c>
      <c r="AI8" s="33">
        <f>资产资本表!AI69</f>
        <v>370265709.0999999</v>
      </c>
      <c r="AJ8" s="33">
        <f>资产资本表!AJ69</f>
        <v>241640187.78999999</v>
      </c>
      <c r="AK8" s="33">
        <f>资产资本表!AK69</f>
        <v>188825180.68999997</v>
      </c>
      <c r="AL8" s="33">
        <f>资产资本表!AL69</f>
        <v>200748438.67999998</v>
      </c>
      <c r="AM8" s="33">
        <f>资产资本表!AM69</f>
        <v>212427843.92999998</v>
      </c>
      <c r="AN8" s="33">
        <f>资产资本表!AN69</f>
        <v>207935620.74999997</v>
      </c>
      <c r="AO8" s="33">
        <f>资产资本表!AO69</f>
        <v>182542070.57000002</v>
      </c>
      <c r="AP8" s="33">
        <f>资产资本表!AP69</f>
        <v>132191440.84999999</v>
      </c>
      <c r="AQ8" s="33">
        <f>资产资本表!AQ69</f>
        <v>0</v>
      </c>
      <c r="AR8" s="33">
        <f>资产资本表!AR69</f>
        <v>0</v>
      </c>
      <c r="AS8" s="33">
        <f>资产资本表!AS69</f>
        <v>0</v>
      </c>
      <c r="AT8" s="33">
        <f>资产资本表!AT69</f>
        <v>0</v>
      </c>
      <c r="AU8" s="33">
        <f>资产资本表!AU69</f>
        <v>0</v>
      </c>
      <c r="AV8" s="33">
        <f>资产资本表!AV69</f>
        <v>0</v>
      </c>
      <c r="AW8" s="33">
        <f>资产资本表!AW69</f>
        <v>0</v>
      </c>
      <c r="AX8" s="33">
        <f>资产资本表!AX69</f>
        <v>0</v>
      </c>
      <c r="AY8" s="33">
        <f>资产资本表!AY69</f>
        <v>0</v>
      </c>
      <c r="AZ8" s="33">
        <f>资产资本表!AZ69</f>
        <v>0</v>
      </c>
      <c r="BA8" s="33">
        <f>资产资本表!BA69</f>
        <v>0</v>
      </c>
      <c r="BB8" s="33">
        <f>资产资本表!BB69</f>
        <v>0</v>
      </c>
      <c r="BC8" s="33">
        <f>资产资本表!BC69</f>
        <v>0</v>
      </c>
      <c r="BD8" s="33">
        <f>资产资本表!BD69</f>
        <v>0</v>
      </c>
      <c r="BE8" s="33">
        <f>资产资本表!BE69</f>
        <v>0</v>
      </c>
      <c r="BF8" s="33">
        <f>资产资本表!BF69</f>
        <v>0</v>
      </c>
      <c r="BG8" s="33">
        <f>资产资本表!BG69</f>
        <v>0</v>
      </c>
      <c r="BH8" s="33">
        <f>资产资本表!BH69</f>
        <v>0</v>
      </c>
      <c r="BI8" s="33">
        <f>资产资本表!BI69</f>
        <v>0</v>
      </c>
      <c r="BJ8" s="33">
        <f>资产资本表!BJ69</f>
        <v>0</v>
      </c>
      <c r="BK8" s="33">
        <f>资产资本表!BK69</f>
        <v>0</v>
      </c>
      <c r="BL8" s="33">
        <f>资产资本表!BL69</f>
        <v>0</v>
      </c>
      <c r="BM8" s="33">
        <f>资产资本表!BM69</f>
        <v>0</v>
      </c>
      <c r="BN8" s="33">
        <f>资产资本表!BN69</f>
        <v>0</v>
      </c>
      <c r="BO8" s="33">
        <f>资产资本表!BO69</f>
        <v>0</v>
      </c>
      <c r="BP8" s="33">
        <f>资产资本表!BP69</f>
        <v>0</v>
      </c>
      <c r="BQ8" s="33">
        <f>资产资本表!BQ69</f>
        <v>0</v>
      </c>
      <c r="BR8" s="33">
        <f>资产资本表!BR69</f>
        <v>0</v>
      </c>
      <c r="BS8" s="33">
        <f>资产资本表!BS69</f>
        <v>0</v>
      </c>
      <c r="BT8" s="33">
        <f>资产资本表!BT69</f>
        <v>0</v>
      </c>
      <c r="BU8" s="33">
        <f>资产资本表!BU69</f>
        <v>0</v>
      </c>
      <c r="BV8" s="33">
        <f>资产资本表!BV69</f>
        <v>0</v>
      </c>
      <c r="BW8" s="33">
        <f>资产资本表!BW69</f>
        <v>0</v>
      </c>
      <c r="BX8" s="33">
        <f>资产资本表!BX69</f>
        <v>0</v>
      </c>
      <c r="BY8" s="33">
        <f>资产资本表!BY69</f>
        <v>0</v>
      </c>
      <c r="BZ8" s="33">
        <f>资产资本表!BZ69</f>
        <v>0</v>
      </c>
      <c r="CA8" s="33">
        <f>资产资本表!CA69</f>
        <v>0</v>
      </c>
      <c r="CB8" s="33">
        <f>资产资本表!CB69</f>
        <v>0</v>
      </c>
      <c r="CC8" s="33">
        <f>资产资本表!CC69</f>
        <v>0</v>
      </c>
      <c r="CD8" s="33">
        <f>资产资本表!CD69</f>
        <v>0</v>
      </c>
      <c r="CE8" s="33">
        <f>资产资本表!CE69</f>
        <v>0</v>
      </c>
      <c r="CF8" s="33">
        <f>资产资本表!CF69</f>
        <v>0</v>
      </c>
      <c r="CG8" s="33">
        <f>资产资本表!CG69</f>
        <v>0</v>
      </c>
      <c r="CH8" s="33">
        <f>资产资本表!CH69</f>
        <v>0</v>
      </c>
      <c r="CI8" s="33">
        <f>资产资本表!CI69</f>
        <v>0</v>
      </c>
      <c r="CJ8" s="33">
        <f>资产资本表!CJ69</f>
        <v>0</v>
      </c>
      <c r="CK8" s="33">
        <f>资产资本表!CK69</f>
        <v>0</v>
      </c>
      <c r="CL8" s="33">
        <f>资产资本表!CL69</f>
        <v>0</v>
      </c>
    </row>
    <row r="9" spans="1:90" s="56" customFormat="1">
      <c r="A9" s="56" t="s">
        <v>341</v>
      </c>
      <c r="E9" s="56">
        <f>资产资本表!E70</f>
        <v>3142600621.71</v>
      </c>
      <c r="F9" s="56">
        <f>资产资本表!F70</f>
        <v>2878602667.3699999</v>
      </c>
      <c r="G9" s="56">
        <f>资产资本表!G70</f>
        <v>2826319730.0599999</v>
      </c>
      <c r="H9" s="56">
        <f>资产资本表!H70</f>
        <v>2818837247.4099998</v>
      </c>
      <c r="I9" s="56">
        <f>资产资本表!I70</f>
        <v>2675938555.8599997</v>
      </c>
      <c r="J9" s="56">
        <f>资产资本表!J70</f>
        <v>2481069353.3800001</v>
      </c>
      <c r="K9" s="56">
        <f>资产资本表!K70</f>
        <v>2412665046.25</v>
      </c>
      <c r="L9" s="56">
        <f>资产资本表!L70</f>
        <v>2396074303.0099998</v>
      </c>
      <c r="M9" s="56">
        <f>资产资本表!M70</f>
        <v>2317738642.3800001</v>
      </c>
      <c r="N9" s="56">
        <f>资产资本表!N70</f>
        <v>2421025785.71</v>
      </c>
      <c r="O9" s="56">
        <f>资产资本表!O70</f>
        <v>2341178198.3400002</v>
      </c>
      <c r="P9" s="56">
        <f>资产资本表!P70</f>
        <v>2273863141.6999998</v>
      </c>
      <c r="Q9" s="56">
        <f>资产资本表!Q70</f>
        <v>2178237444.5100002</v>
      </c>
      <c r="R9" s="56">
        <f>资产资本表!R70</f>
        <v>2114883689.3400002</v>
      </c>
      <c r="S9" s="56">
        <f>资产资本表!S70</f>
        <v>2021693966.1800001</v>
      </c>
      <c r="T9" s="56">
        <f>资产资本表!T70</f>
        <v>1937396091.1999998</v>
      </c>
      <c r="U9" s="56">
        <f>资产资本表!U70</f>
        <v>1833442434.9799998</v>
      </c>
      <c r="V9" s="56">
        <f>资产资本表!V70</f>
        <v>1712305039.8399999</v>
      </c>
      <c r="W9" s="56">
        <f>资产资本表!W70</f>
        <v>1670648053.1299996</v>
      </c>
      <c r="X9" s="56">
        <f>资产资本表!X70</f>
        <v>1638567680.2799997</v>
      </c>
      <c r="Y9" s="56">
        <f>资产资本表!Y70</f>
        <v>1549878078.1500001</v>
      </c>
      <c r="Z9" s="56">
        <f>资产资本表!Z70</f>
        <v>1461224977.1499999</v>
      </c>
      <c r="AA9" s="56">
        <f>资产资本表!AA70</f>
        <v>1409038993.3400002</v>
      </c>
      <c r="AB9" s="56">
        <f>资产资本表!AB70</f>
        <v>1383220839.3899999</v>
      </c>
      <c r="AC9" s="56">
        <f>资产资本表!AC70</f>
        <v>1309009725.8400002</v>
      </c>
      <c r="AD9" s="56">
        <f>资产资本表!AD70</f>
        <v>1239758866.7800002</v>
      </c>
      <c r="AE9" s="56">
        <f>资产资本表!AE70</f>
        <v>1235535716.5799999</v>
      </c>
      <c r="AF9" s="56">
        <f>资产资本表!AF70</f>
        <v>1222382470.0700002</v>
      </c>
      <c r="AG9" s="56">
        <f>资产资本表!AG70</f>
        <v>1196125960.6500001</v>
      </c>
      <c r="AH9" s="56">
        <f>资产资本表!AH70</f>
        <v>1122582438.8600001</v>
      </c>
      <c r="AI9" s="56">
        <f>资产资本表!AI70</f>
        <v>1090054243.6499999</v>
      </c>
      <c r="AJ9" s="56">
        <f>资产资本表!AJ70</f>
        <v>1078573513.4300001</v>
      </c>
      <c r="AK9" s="56">
        <f>资产资本表!AK70</f>
        <v>1042268233.27</v>
      </c>
      <c r="AL9" s="56">
        <f>资产资本表!AL70</f>
        <v>279944455.62</v>
      </c>
      <c r="AM9" s="56">
        <f>资产资本表!AM70</f>
        <v>275897792.94999999</v>
      </c>
      <c r="AN9" s="56">
        <f>资产资本表!AN70</f>
        <v>286412844.55999994</v>
      </c>
      <c r="AO9" s="56">
        <f>资产资本表!AO70</f>
        <v>261539132.41000003</v>
      </c>
      <c r="AP9" s="56">
        <f>资产资本表!AP70</f>
        <v>176441126.05000001</v>
      </c>
      <c r="AQ9" s="56">
        <f>资产资本表!AQ70</f>
        <v>0</v>
      </c>
      <c r="AR9" s="56">
        <f>资产资本表!AR70</f>
        <v>0</v>
      </c>
      <c r="AS9" s="56">
        <f>资产资本表!AS70</f>
        <v>0</v>
      </c>
      <c r="AT9" s="56">
        <f>资产资本表!AT70</f>
        <v>0</v>
      </c>
      <c r="AU9" s="56">
        <f>资产资本表!AU70</f>
        <v>0</v>
      </c>
      <c r="AV9" s="56">
        <f>资产资本表!AV70</f>
        <v>0</v>
      </c>
      <c r="AW9" s="56">
        <f>资产资本表!AW70</f>
        <v>0</v>
      </c>
      <c r="AX9" s="56">
        <f>资产资本表!AX70</f>
        <v>0</v>
      </c>
      <c r="AY9" s="56">
        <f>资产资本表!AY70</f>
        <v>0</v>
      </c>
      <c r="AZ9" s="56">
        <f>资产资本表!AZ70</f>
        <v>0</v>
      </c>
      <c r="BA9" s="56">
        <f>资产资本表!BA70</f>
        <v>0</v>
      </c>
      <c r="BB9" s="56">
        <f>资产资本表!BB70</f>
        <v>0</v>
      </c>
      <c r="BC9" s="56">
        <f>资产资本表!BC70</f>
        <v>0</v>
      </c>
      <c r="BD9" s="56">
        <f>资产资本表!BD70</f>
        <v>0</v>
      </c>
      <c r="BE9" s="56">
        <f>资产资本表!BE70</f>
        <v>0</v>
      </c>
      <c r="BF9" s="56">
        <f>资产资本表!BF70</f>
        <v>0</v>
      </c>
      <c r="BG9" s="56">
        <f>资产资本表!BG70</f>
        <v>0</v>
      </c>
      <c r="BH9" s="56">
        <f>资产资本表!BH70</f>
        <v>0</v>
      </c>
      <c r="BI9" s="56">
        <f>资产资本表!BI70</f>
        <v>0</v>
      </c>
      <c r="BJ9" s="56">
        <f>资产资本表!BJ70</f>
        <v>0</v>
      </c>
      <c r="BK9" s="56">
        <f>资产资本表!BK70</f>
        <v>0</v>
      </c>
      <c r="BL9" s="56">
        <f>资产资本表!BL70</f>
        <v>0</v>
      </c>
      <c r="BM9" s="56">
        <f>资产资本表!BM70</f>
        <v>0</v>
      </c>
      <c r="BN9" s="56">
        <f>资产资本表!BN70</f>
        <v>0</v>
      </c>
      <c r="BO9" s="56">
        <f>资产资本表!BO70</f>
        <v>0</v>
      </c>
      <c r="BP9" s="56">
        <f>资产资本表!BP70</f>
        <v>0</v>
      </c>
      <c r="BQ9" s="56">
        <f>资产资本表!BQ70</f>
        <v>0</v>
      </c>
      <c r="BR9" s="56">
        <f>资产资本表!BR70</f>
        <v>0</v>
      </c>
      <c r="BS9" s="56">
        <f>资产资本表!BS70</f>
        <v>0</v>
      </c>
      <c r="BT9" s="56">
        <f>资产资本表!BT70</f>
        <v>0</v>
      </c>
      <c r="BU9" s="56">
        <f>资产资本表!BU70</f>
        <v>0</v>
      </c>
      <c r="BV9" s="56">
        <f>资产资本表!BV70</f>
        <v>0</v>
      </c>
      <c r="BW9" s="56">
        <f>资产资本表!BW70</f>
        <v>0</v>
      </c>
      <c r="BX9" s="56">
        <f>资产资本表!BX70</f>
        <v>0</v>
      </c>
      <c r="BY9" s="56">
        <f>资产资本表!BY70</f>
        <v>0</v>
      </c>
      <c r="BZ9" s="56">
        <f>资产资本表!BZ70</f>
        <v>0</v>
      </c>
      <c r="CA9" s="56">
        <f>资产资本表!CA70</f>
        <v>0</v>
      </c>
      <c r="CB9" s="56">
        <f>资产资本表!CB70</f>
        <v>0</v>
      </c>
      <c r="CC9" s="56">
        <f>资产资本表!CC70</f>
        <v>0</v>
      </c>
      <c r="CD9" s="56">
        <f>资产资本表!CD70</f>
        <v>0</v>
      </c>
      <c r="CE9" s="56">
        <f>资产资本表!CE70</f>
        <v>0</v>
      </c>
      <c r="CF9" s="56">
        <f>资产资本表!CF70</f>
        <v>0</v>
      </c>
      <c r="CG9" s="56">
        <f>资产资本表!CG70</f>
        <v>0</v>
      </c>
      <c r="CH9" s="56">
        <f>资产资本表!CH70</f>
        <v>0</v>
      </c>
      <c r="CI9" s="56">
        <f>资产资本表!CI70</f>
        <v>0</v>
      </c>
      <c r="CJ9" s="56">
        <f>资产资本表!CJ70</f>
        <v>0</v>
      </c>
      <c r="CK9" s="56">
        <f>资产资本表!CK70</f>
        <v>0</v>
      </c>
      <c r="CL9" s="56">
        <f>资产资本表!CL70</f>
        <v>0</v>
      </c>
    </row>
    <row r="10" spans="1:90" s="33" customFormat="1">
      <c r="A10" s="33" t="s">
        <v>342</v>
      </c>
      <c r="E10" s="33">
        <f>资产资本表!E72</f>
        <v>0</v>
      </c>
      <c r="F10" s="33">
        <f>资产资本表!F72</f>
        <v>0</v>
      </c>
      <c r="G10" s="33">
        <f>资产资本表!G72</f>
        <v>0</v>
      </c>
      <c r="H10" s="33">
        <f>资产资本表!H72</f>
        <v>0</v>
      </c>
      <c r="I10" s="33">
        <f>资产资本表!I72</f>
        <v>0</v>
      </c>
      <c r="J10" s="33">
        <f>资产资本表!J72</f>
        <v>0</v>
      </c>
      <c r="K10" s="33">
        <f>资产资本表!K72</f>
        <v>0</v>
      </c>
      <c r="L10" s="33">
        <f>资产资本表!L72</f>
        <v>0</v>
      </c>
      <c r="M10" s="33">
        <f>资产资本表!M72</f>
        <v>0</v>
      </c>
      <c r="N10" s="33">
        <f>资产资本表!N72</f>
        <v>0</v>
      </c>
      <c r="O10" s="33">
        <f>资产资本表!O72</f>
        <v>0</v>
      </c>
      <c r="P10" s="33">
        <f>资产资本表!P72</f>
        <v>0</v>
      </c>
      <c r="Q10" s="33">
        <f>资产资本表!Q72</f>
        <v>0</v>
      </c>
      <c r="R10" s="33">
        <f>资产资本表!R72</f>
        <v>0</v>
      </c>
      <c r="S10" s="33">
        <f>资产资本表!S72</f>
        <v>0</v>
      </c>
      <c r="T10" s="33">
        <f>资产资本表!T72</f>
        <v>0</v>
      </c>
      <c r="U10" s="33">
        <f>资产资本表!U72</f>
        <v>0</v>
      </c>
      <c r="V10" s="33">
        <f>资产资本表!V72</f>
        <v>0</v>
      </c>
      <c r="W10" s="33">
        <f>资产资本表!W72</f>
        <v>0</v>
      </c>
      <c r="X10" s="33">
        <f>资产资本表!X72</f>
        <v>0</v>
      </c>
      <c r="Y10" s="33">
        <f>资产资本表!Y72</f>
        <v>0</v>
      </c>
      <c r="Z10" s="33">
        <f>资产资本表!Z72</f>
        <v>0</v>
      </c>
      <c r="AA10" s="33">
        <f>资产资本表!AA72</f>
        <v>0</v>
      </c>
      <c r="AB10" s="33">
        <f>资产资本表!AB72</f>
        <v>0</v>
      </c>
      <c r="AC10" s="33">
        <f>资产资本表!AC72</f>
        <v>0</v>
      </c>
      <c r="AD10" s="33">
        <f>资产资本表!AD72</f>
        <v>0</v>
      </c>
      <c r="AE10" s="33">
        <f>资产资本表!AE72</f>
        <v>0</v>
      </c>
      <c r="AF10" s="33">
        <f>资产资本表!AF72</f>
        <v>0</v>
      </c>
      <c r="AG10" s="33">
        <f>资产资本表!AG72</f>
        <v>30000000</v>
      </c>
      <c r="AH10" s="33">
        <f>资产资本表!AH72</f>
        <v>30000000</v>
      </c>
      <c r="AI10" s="33">
        <f>资产资本表!AI72</f>
        <v>0</v>
      </c>
      <c r="AJ10" s="33">
        <f>资产资本表!AJ72</f>
        <v>0</v>
      </c>
      <c r="AK10" s="33">
        <f>资产资本表!AK72</f>
        <v>0</v>
      </c>
      <c r="AL10" s="33">
        <f>资产资本表!AL72</f>
        <v>8000000</v>
      </c>
      <c r="AM10" s="33">
        <f>资产资本表!AM72</f>
        <v>12000000</v>
      </c>
      <c r="AN10" s="33">
        <f>资产资本表!AN72</f>
        <v>37000000</v>
      </c>
      <c r="AO10" s="33">
        <f>资产资本表!AO72</f>
        <v>50500000</v>
      </c>
      <c r="AP10" s="33">
        <f>资产资本表!AP72</f>
        <v>53000000</v>
      </c>
      <c r="AQ10" s="33">
        <f>资产资本表!AQ72</f>
        <v>0</v>
      </c>
      <c r="AR10" s="33">
        <f>资产资本表!AR72</f>
        <v>0</v>
      </c>
      <c r="AS10" s="33">
        <f>资产资本表!AS72</f>
        <v>0</v>
      </c>
      <c r="AT10" s="33">
        <f>资产资本表!AT72</f>
        <v>0</v>
      </c>
      <c r="AU10" s="33">
        <f>资产资本表!AU72</f>
        <v>0</v>
      </c>
      <c r="AV10" s="33">
        <f>资产资本表!AV72</f>
        <v>0</v>
      </c>
      <c r="AW10" s="33">
        <f>资产资本表!AW72</f>
        <v>0</v>
      </c>
      <c r="AX10" s="33">
        <f>资产资本表!AX72</f>
        <v>0</v>
      </c>
      <c r="AY10" s="33">
        <f>资产资本表!AY72</f>
        <v>0</v>
      </c>
      <c r="AZ10" s="33">
        <f>资产资本表!AZ72</f>
        <v>0</v>
      </c>
      <c r="BA10" s="33">
        <f>资产资本表!BA72</f>
        <v>0</v>
      </c>
      <c r="BB10" s="33">
        <f>资产资本表!BB72</f>
        <v>0</v>
      </c>
      <c r="BC10" s="33">
        <f>资产资本表!BC72</f>
        <v>0</v>
      </c>
      <c r="BD10" s="33">
        <f>资产资本表!BD72</f>
        <v>0</v>
      </c>
      <c r="BE10" s="33">
        <f>资产资本表!BE72</f>
        <v>0</v>
      </c>
      <c r="BF10" s="33">
        <f>资产资本表!BF72</f>
        <v>0</v>
      </c>
      <c r="BG10" s="33">
        <f>资产资本表!BG72</f>
        <v>0</v>
      </c>
      <c r="BH10" s="33">
        <f>资产资本表!BH72</f>
        <v>0</v>
      </c>
      <c r="BI10" s="33">
        <f>资产资本表!BI72</f>
        <v>0</v>
      </c>
      <c r="BJ10" s="33">
        <f>资产资本表!BJ72</f>
        <v>0</v>
      </c>
      <c r="BK10" s="33">
        <f>资产资本表!BK72</f>
        <v>0</v>
      </c>
      <c r="BL10" s="33">
        <f>资产资本表!BL72</f>
        <v>0</v>
      </c>
      <c r="BM10" s="33">
        <f>资产资本表!BM72</f>
        <v>0</v>
      </c>
      <c r="BN10" s="33">
        <f>资产资本表!BN72</f>
        <v>0</v>
      </c>
      <c r="BO10" s="33">
        <f>资产资本表!BO72</f>
        <v>0</v>
      </c>
      <c r="BP10" s="33">
        <f>资产资本表!BP72</f>
        <v>0</v>
      </c>
      <c r="BQ10" s="33">
        <f>资产资本表!BQ72</f>
        <v>0</v>
      </c>
      <c r="BR10" s="33">
        <f>资产资本表!BR72</f>
        <v>0</v>
      </c>
      <c r="BS10" s="33">
        <f>资产资本表!BS72</f>
        <v>0</v>
      </c>
      <c r="BT10" s="33">
        <f>资产资本表!BT72</f>
        <v>0</v>
      </c>
      <c r="BU10" s="33">
        <f>资产资本表!BU72</f>
        <v>0</v>
      </c>
      <c r="BV10" s="33">
        <f>资产资本表!BV72</f>
        <v>0</v>
      </c>
      <c r="BW10" s="33">
        <f>资产资本表!BW72</f>
        <v>0</v>
      </c>
      <c r="BX10" s="33">
        <f>资产资本表!BX72</f>
        <v>0</v>
      </c>
      <c r="BY10" s="33">
        <f>资产资本表!BY72</f>
        <v>0</v>
      </c>
      <c r="BZ10" s="33">
        <f>资产资本表!BZ72</f>
        <v>0</v>
      </c>
      <c r="CA10" s="33">
        <f>资产资本表!CA72</f>
        <v>0</v>
      </c>
      <c r="CB10" s="33">
        <f>资产资本表!CB72</f>
        <v>0</v>
      </c>
      <c r="CC10" s="33">
        <f>资产资本表!CC72</f>
        <v>0</v>
      </c>
      <c r="CD10" s="33">
        <f>资产资本表!CD72</f>
        <v>0</v>
      </c>
      <c r="CE10" s="33">
        <f>资产资本表!CE72</f>
        <v>0</v>
      </c>
      <c r="CF10" s="33">
        <f>资产资本表!CF72</f>
        <v>0</v>
      </c>
      <c r="CG10" s="33">
        <f>资产资本表!CG72</f>
        <v>0</v>
      </c>
      <c r="CH10" s="33">
        <f>资产资本表!CH72</f>
        <v>0</v>
      </c>
      <c r="CI10" s="33">
        <f>资产资本表!CI72</f>
        <v>0</v>
      </c>
      <c r="CJ10" s="33">
        <f>资产资本表!CJ72</f>
        <v>0</v>
      </c>
      <c r="CK10" s="33">
        <f>资产资本表!CK72</f>
        <v>0</v>
      </c>
    </row>
    <row r="11" spans="1:90" s="33" customFormat="1">
      <c r="A11" s="33" t="s">
        <v>343</v>
      </c>
      <c r="E11" s="33">
        <f>资产资本表!E81</f>
        <v>0</v>
      </c>
      <c r="F11" s="33">
        <f>资产资本表!F81</f>
        <v>0</v>
      </c>
      <c r="G11" s="33">
        <f>资产资本表!G81</f>
        <v>0</v>
      </c>
      <c r="H11" s="33">
        <f>资产资本表!H81</f>
        <v>0</v>
      </c>
      <c r="I11" s="33">
        <f>资产资本表!I81</f>
        <v>0</v>
      </c>
      <c r="J11" s="33">
        <f>资产资本表!J81</f>
        <v>0</v>
      </c>
      <c r="K11" s="33">
        <f>资产资本表!K81</f>
        <v>0</v>
      </c>
      <c r="L11" s="33">
        <f>资产资本表!L81</f>
        <v>0</v>
      </c>
      <c r="M11" s="33">
        <f>资产资本表!M81</f>
        <v>0</v>
      </c>
      <c r="N11" s="33">
        <f>资产资本表!N81</f>
        <v>0</v>
      </c>
      <c r="O11" s="33">
        <f>资产资本表!O81</f>
        <v>0</v>
      </c>
      <c r="P11" s="33">
        <f>资产资本表!P81</f>
        <v>0</v>
      </c>
      <c r="Q11" s="33">
        <f>资产资本表!Q81</f>
        <v>0</v>
      </c>
      <c r="R11" s="33">
        <f>资产资本表!R81</f>
        <v>15762074.5</v>
      </c>
      <c r="S11" s="33">
        <f>资产资本表!S81</f>
        <v>15959574.5</v>
      </c>
      <c r="T11" s="33">
        <f>资产资本表!T81</f>
        <v>16613909.34</v>
      </c>
      <c r="U11" s="33">
        <f>资产资本表!U81</f>
        <v>16353506.119999999</v>
      </c>
      <c r="V11" s="33">
        <f>资产资本表!V81</f>
        <v>2990750</v>
      </c>
      <c r="W11" s="33">
        <f>资产资本表!W81</f>
        <v>18190750</v>
      </c>
      <c r="X11" s="33">
        <f>资产资本表!X81</f>
        <v>18190750</v>
      </c>
      <c r="Y11" s="33">
        <f>资产资本表!Y81</f>
        <v>18190750</v>
      </c>
      <c r="Z11" s="33">
        <f>资产资本表!Z81</f>
        <v>18006473.920000002</v>
      </c>
      <c r="AA11" s="33">
        <f>资产资本表!AA81</f>
        <v>18200000</v>
      </c>
      <c r="AB11" s="33">
        <f>资产资本表!AB81</f>
        <v>18200000</v>
      </c>
      <c r="AC11" s="33">
        <f>资产资本表!AC81</f>
        <v>18200000</v>
      </c>
      <c r="AD11" s="33">
        <f>资产资本表!AD81</f>
        <v>15200000</v>
      </c>
      <c r="AE11" s="33">
        <f>资产资本表!AE81</f>
        <v>15200000</v>
      </c>
      <c r="AF11" s="33">
        <f>资产资本表!AF81</f>
        <v>14373100</v>
      </c>
      <c r="AG11" s="33">
        <f>资产资本表!AG81</f>
        <v>15900000</v>
      </c>
      <c r="AH11" s="33">
        <f>资产资本表!AH81</f>
        <v>0</v>
      </c>
      <c r="AI11" s="33">
        <f>资产资本表!AI81</f>
        <v>0</v>
      </c>
      <c r="AJ11" s="33">
        <f>资产资本表!AJ81</f>
        <v>0</v>
      </c>
      <c r="AK11" s="33">
        <f>资产资本表!AK81</f>
        <v>0</v>
      </c>
      <c r="AL11" s="33">
        <f>资产资本表!AL81</f>
        <v>0</v>
      </c>
      <c r="AM11" s="33">
        <f>资产资本表!AM81</f>
        <v>9000000</v>
      </c>
      <c r="AN11" s="33">
        <f>资产资本表!AN81</f>
        <v>28222222.23</v>
      </c>
      <c r="AO11" s="33">
        <f>资产资本表!AO81</f>
        <v>40222222.229999997</v>
      </c>
      <c r="AP11" s="33">
        <f>资产资本表!AP81</f>
        <v>8000000</v>
      </c>
      <c r="AQ11" s="33">
        <f>资产资本表!AQ81</f>
        <v>0</v>
      </c>
      <c r="AR11" s="33">
        <f>资产资本表!AR81</f>
        <v>0</v>
      </c>
      <c r="AS11" s="33">
        <f>资产资本表!AS81</f>
        <v>0</v>
      </c>
      <c r="AT11" s="33">
        <f>资产资本表!AT81</f>
        <v>0</v>
      </c>
      <c r="AU11" s="33">
        <f>资产资本表!AU81</f>
        <v>0</v>
      </c>
      <c r="AV11" s="33">
        <f>资产资本表!AV81</f>
        <v>0</v>
      </c>
      <c r="AW11" s="33">
        <f>资产资本表!AW81</f>
        <v>0</v>
      </c>
      <c r="AX11" s="33">
        <f>资产资本表!AX81</f>
        <v>0</v>
      </c>
      <c r="AY11" s="33">
        <f>资产资本表!AY81</f>
        <v>0</v>
      </c>
      <c r="AZ11" s="33">
        <f>资产资本表!AZ81</f>
        <v>0</v>
      </c>
      <c r="BA11" s="33">
        <f>资产资本表!BA81</f>
        <v>0</v>
      </c>
      <c r="BB11" s="33">
        <f>资产资本表!BB81</f>
        <v>0</v>
      </c>
      <c r="BC11" s="33">
        <f>资产资本表!BC81</f>
        <v>0</v>
      </c>
      <c r="BD11" s="33">
        <f>资产资本表!BD81</f>
        <v>0</v>
      </c>
      <c r="BE11" s="33">
        <f>资产资本表!BE81</f>
        <v>0</v>
      </c>
      <c r="BF11" s="33">
        <f>资产资本表!BF81</f>
        <v>0</v>
      </c>
      <c r="BG11" s="33">
        <f>资产资本表!BG81</f>
        <v>0</v>
      </c>
      <c r="BH11" s="33">
        <f>资产资本表!BH81</f>
        <v>0</v>
      </c>
      <c r="BI11" s="33">
        <f>资产资本表!BI81</f>
        <v>0</v>
      </c>
      <c r="BJ11" s="33">
        <f>资产资本表!BJ81</f>
        <v>0</v>
      </c>
      <c r="BK11" s="33">
        <f>资产资本表!BK81</f>
        <v>0</v>
      </c>
      <c r="BL11" s="33">
        <f>资产资本表!BL81</f>
        <v>0</v>
      </c>
      <c r="BM11" s="33">
        <f>资产资本表!BM81</f>
        <v>0</v>
      </c>
      <c r="BN11" s="33">
        <f>资产资本表!BN81</f>
        <v>0</v>
      </c>
      <c r="BO11" s="33">
        <f>资产资本表!BO81</f>
        <v>0</v>
      </c>
      <c r="BP11" s="33">
        <f>资产资本表!BP81</f>
        <v>0</v>
      </c>
      <c r="BQ11" s="33">
        <f>资产资本表!BQ81</f>
        <v>0</v>
      </c>
      <c r="BR11" s="33">
        <f>资产资本表!BR81</f>
        <v>0</v>
      </c>
      <c r="BS11" s="33">
        <f>资产资本表!BS81</f>
        <v>0</v>
      </c>
      <c r="BT11" s="33">
        <f>资产资本表!BT81</f>
        <v>0</v>
      </c>
      <c r="BU11" s="33">
        <f>资产资本表!BU81</f>
        <v>0</v>
      </c>
      <c r="BV11" s="33">
        <f>资产资本表!BV81</f>
        <v>0</v>
      </c>
      <c r="BW11" s="33">
        <f>资产资本表!BW81</f>
        <v>0</v>
      </c>
      <c r="BX11" s="33">
        <f>资产资本表!BX81</f>
        <v>0</v>
      </c>
      <c r="BY11" s="33">
        <f>资产资本表!BY81</f>
        <v>0</v>
      </c>
      <c r="BZ11" s="33">
        <f>资产资本表!BZ81</f>
        <v>0</v>
      </c>
      <c r="CA11" s="33">
        <f>资产资本表!CA81</f>
        <v>0</v>
      </c>
      <c r="CB11" s="33">
        <f>资产资本表!CB81</f>
        <v>0</v>
      </c>
      <c r="CC11" s="33">
        <f>资产资本表!CC81</f>
        <v>0</v>
      </c>
      <c r="CD11" s="33">
        <f>资产资本表!CD81</f>
        <v>0</v>
      </c>
      <c r="CE11" s="33">
        <f>资产资本表!CE81</f>
        <v>0</v>
      </c>
      <c r="CF11" s="33">
        <f>资产资本表!CF81</f>
        <v>0</v>
      </c>
      <c r="CG11" s="33">
        <f>资产资本表!CG81</f>
        <v>0</v>
      </c>
      <c r="CH11" s="33">
        <f>资产资本表!CH81</f>
        <v>0</v>
      </c>
      <c r="CI11" s="33">
        <f>资产资本表!CI81</f>
        <v>0</v>
      </c>
      <c r="CJ11" s="33">
        <f>资产资本表!CJ81</f>
        <v>0</v>
      </c>
      <c r="CK11" s="33">
        <f>资产资本表!CK81</f>
        <v>0</v>
      </c>
    </row>
    <row r="12" spans="1:90" s="33" customFormat="1">
      <c r="A12" s="33" t="s">
        <v>344</v>
      </c>
      <c r="E12" s="33">
        <f>资产资本表!E89</f>
        <v>0</v>
      </c>
      <c r="F12" s="33">
        <f>资产资本表!F89</f>
        <v>0</v>
      </c>
      <c r="G12" s="33">
        <f>资产资本表!G89</f>
        <v>0</v>
      </c>
      <c r="H12" s="33">
        <f>资产资本表!H89</f>
        <v>0</v>
      </c>
      <c r="I12" s="33">
        <f>资产资本表!I89</f>
        <v>0</v>
      </c>
      <c r="J12" s="33">
        <f>资产资本表!J89</f>
        <v>0</v>
      </c>
      <c r="K12" s="33">
        <f>资产资本表!K89</f>
        <v>0</v>
      </c>
      <c r="L12" s="33">
        <f>资产资本表!L89</f>
        <v>0</v>
      </c>
      <c r="M12" s="33">
        <f>资产资本表!M89</f>
        <v>0</v>
      </c>
      <c r="N12" s="33">
        <f>资产资本表!N89</f>
        <v>0</v>
      </c>
      <c r="O12" s="33">
        <f>资产资本表!O89</f>
        <v>0</v>
      </c>
      <c r="P12" s="33">
        <f>资产资本表!P89</f>
        <v>0</v>
      </c>
      <c r="Q12" s="33">
        <f>资产资本表!Q89</f>
        <v>0</v>
      </c>
      <c r="R12" s="33">
        <f>资产资本表!R89</f>
        <v>15762074.5</v>
      </c>
      <c r="S12" s="33">
        <f>资产资本表!S89</f>
        <v>15959574.5</v>
      </c>
      <c r="T12" s="33">
        <f>资产资本表!T89</f>
        <v>16613909.34</v>
      </c>
      <c r="U12" s="33">
        <f>资产资本表!U89</f>
        <v>16353506.119999999</v>
      </c>
      <c r="V12" s="33">
        <f>资产资本表!V89</f>
        <v>2990750</v>
      </c>
      <c r="W12" s="33">
        <f>资产资本表!W89</f>
        <v>18190750</v>
      </c>
      <c r="X12" s="33">
        <f>资产资本表!X89</f>
        <v>18190750</v>
      </c>
      <c r="Y12" s="33">
        <f>资产资本表!Y89</f>
        <v>18190750</v>
      </c>
      <c r="Z12" s="33">
        <f>资产资本表!Z89</f>
        <v>18006473.920000002</v>
      </c>
      <c r="AA12" s="33">
        <f>资产资本表!AA89</f>
        <v>18200000</v>
      </c>
      <c r="AB12" s="33">
        <f>资产资本表!AB89</f>
        <v>18200000</v>
      </c>
      <c r="AC12" s="33">
        <f>资产资本表!AC89</f>
        <v>18200000</v>
      </c>
      <c r="AD12" s="33">
        <f>资产资本表!AD89</f>
        <v>15200000</v>
      </c>
      <c r="AE12" s="33">
        <f>资产资本表!AE89</f>
        <v>15200000</v>
      </c>
      <c r="AF12" s="33">
        <f>资产资本表!AF89</f>
        <v>14373100</v>
      </c>
      <c r="AG12" s="33">
        <f>资产资本表!AG89</f>
        <v>45900000</v>
      </c>
      <c r="AH12" s="33">
        <f>资产资本表!AH89</f>
        <v>30000000</v>
      </c>
      <c r="AI12" s="33">
        <f>资产资本表!AI89</f>
        <v>0</v>
      </c>
      <c r="AJ12" s="33">
        <f>资产资本表!AJ89</f>
        <v>0</v>
      </c>
      <c r="AK12" s="33">
        <f>资产资本表!AK89</f>
        <v>0</v>
      </c>
      <c r="AL12" s="33">
        <f>资产资本表!AL89</f>
        <v>8000000</v>
      </c>
      <c r="AM12" s="33">
        <f>资产资本表!AM89</f>
        <v>21000000</v>
      </c>
      <c r="AN12" s="33">
        <f>资产资本表!AN89</f>
        <v>65222222.230000004</v>
      </c>
      <c r="AO12" s="33">
        <f>资产资本表!AO89</f>
        <v>90722222.229999989</v>
      </c>
      <c r="AP12" s="33">
        <f>资产资本表!AP89</f>
        <v>61000000</v>
      </c>
      <c r="AQ12" s="33">
        <f>资产资本表!AQ89</f>
        <v>0</v>
      </c>
      <c r="AR12" s="33">
        <f>资产资本表!AR89</f>
        <v>0</v>
      </c>
      <c r="AS12" s="33">
        <f>资产资本表!AS89</f>
        <v>0</v>
      </c>
      <c r="AT12" s="33">
        <f>资产资本表!AT89</f>
        <v>0</v>
      </c>
      <c r="AU12" s="33">
        <f>资产资本表!AU89</f>
        <v>0</v>
      </c>
      <c r="AV12" s="33">
        <f>资产资本表!AV89</f>
        <v>0</v>
      </c>
      <c r="AW12" s="33">
        <f>资产资本表!AW89</f>
        <v>0</v>
      </c>
      <c r="AX12" s="33">
        <f>资产资本表!AX89</f>
        <v>0</v>
      </c>
      <c r="AY12" s="33">
        <f>资产资本表!AY89</f>
        <v>0</v>
      </c>
      <c r="AZ12" s="33">
        <f>资产资本表!AZ89</f>
        <v>0</v>
      </c>
      <c r="BA12" s="33">
        <f>资产资本表!BA89</f>
        <v>0</v>
      </c>
      <c r="BB12" s="33">
        <f>资产资本表!BB89</f>
        <v>0</v>
      </c>
      <c r="BC12" s="33">
        <f>资产资本表!BC89</f>
        <v>0</v>
      </c>
      <c r="BD12" s="33">
        <f>资产资本表!BD89</f>
        <v>0</v>
      </c>
      <c r="BE12" s="33">
        <f>资产资本表!BE89</f>
        <v>0</v>
      </c>
      <c r="BF12" s="33">
        <f>资产资本表!BF89</f>
        <v>0</v>
      </c>
      <c r="BG12" s="33">
        <f>资产资本表!BG89</f>
        <v>0</v>
      </c>
      <c r="BH12" s="33">
        <f>资产资本表!BH89</f>
        <v>0</v>
      </c>
      <c r="BI12" s="33">
        <f>资产资本表!BI89</f>
        <v>0</v>
      </c>
      <c r="BJ12" s="33">
        <f>资产资本表!BJ89</f>
        <v>0</v>
      </c>
      <c r="BK12" s="33">
        <f>资产资本表!BK89</f>
        <v>0</v>
      </c>
      <c r="BL12" s="33">
        <f>资产资本表!BL89</f>
        <v>0</v>
      </c>
      <c r="BM12" s="33">
        <f>资产资本表!BM89</f>
        <v>0</v>
      </c>
      <c r="BN12" s="33">
        <f>资产资本表!BN89</f>
        <v>0</v>
      </c>
      <c r="BO12" s="33">
        <f>资产资本表!BO89</f>
        <v>0</v>
      </c>
      <c r="BP12" s="33">
        <f>资产资本表!BP89</f>
        <v>0</v>
      </c>
      <c r="BQ12" s="33">
        <f>资产资本表!BQ89</f>
        <v>0</v>
      </c>
      <c r="BR12" s="33">
        <f>资产资本表!BR89</f>
        <v>0</v>
      </c>
      <c r="BS12" s="33">
        <f>资产资本表!BS89</f>
        <v>0</v>
      </c>
      <c r="BT12" s="33">
        <f>资产资本表!BT89</f>
        <v>0</v>
      </c>
      <c r="BU12" s="33">
        <f>资产资本表!BU89</f>
        <v>0</v>
      </c>
      <c r="BV12" s="33">
        <f>资产资本表!BV89</f>
        <v>0</v>
      </c>
      <c r="BW12" s="33">
        <f>资产资本表!BW89</f>
        <v>0</v>
      </c>
      <c r="BX12" s="33">
        <f>资产资本表!BX89</f>
        <v>0</v>
      </c>
      <c r="BY12" s="33">
        <f>资产资本表!BY89</f>
        <v>0</v>
      </c>
      <c r="BZ12" s="33">
        <f>资产资本表!BZ89</f>
        <v>0</v>
      </c>
      <c r="CA12" s="33">
        <f>资产资本表!CA89</f>
        <v>0</v>
      </c>
      <c r="CB12" s="33">
        <f>资产资本表!CB89</f>
        <v>0</v>
      </c>
      <c r="CC12" s="33">
        <f>资产资本表!CC89</f>
        <v>0</v>
      </c>
      <c r="CD12" s="33">
        <f>资产资本表!CD89</f>
        <v>0</v>
      </c>
      <c r="CE12" s="33">
        <f>资产资本表!CE89</f>
        <v>0</v>
      </c>
      <c r="CF12" s="33">
        <f>资产资本表!CF89</f>
        <v>0</v>
      </c>
      <c r="CG12" s="33">
        <f>资产资本表!CG89</f>
        <v>0</v>
      </c>
      <c r="CH12" s="33">
        <f>资产资本表!CH89</f>
        <v>0</v>
      </c>
      <c r="CI12" s="33">
        <f>资产资本表!CI89</f>
        <v>0</v>
      </c>
      <c r="CJ12" s="33">
        <f>资产资本表!CJ89</f>
        <v>0</v>
      </c>
      <c r="CK12" s="33">
        <f>资产资本表!CK89</f>
        <v>0</v>
      </c>
      <c r="CL12" s="33">
        <f>资产资本表!CL89</f>
        <v>0</v>
      </c>
    </row>
    <row r="13" spans="1:90" s="33" customFormat="1">
      <c r="A13" s="33" t="s">
        <v>348</v>
      </c>
      <c r="E13" s="33">
        <f>E9-E12</f>
        <v>3142600621.71</v>
      </c>
      <c r="F13" s="33">
        <f t="shared" ref="F13:BQ13" si="0">F9-F12</f>
        <v>2878602667.3699999</v>
      </c>
      <c r="G13" s="33">
        <f t="shared" si="0"/>
        <v>2826319730.0599999</v>
      </c>
      <c r="H13" s="33">
        <f t="shared" si="0"/>
        <v>2818837247.4099998</v>
      </c>
      <c r="I13" s="33">
        <f t="shared" si="0"/>
        <v>2675938555.8599997</v>
      </c>
      <c r="J13" s="33">
        <f t="shared" si="0"/>
        <v>2481069353.3800001</v>
      </c>
      <c r="K13" s="33">
        <f t="shared" si="0"/>
        <v>2412665046.25</v>
      </c>
      <c r="L13" s="33">
        <f t="shared" si="0"/>
        <v>2396074303.0099998</v>
      </c>
      <c r="M13" s="33">
        <f t="shared" si="0"/>
        <v>2317738642.3800001</v>
      </c>
      <c r="N13" s="33">
        <f t="shared" si="0"/>
        <v>2421025785.71</v>
      </c>
      <c r="O13" s="33">
        <f t="shared" si="0"/>
        <v>2341178198.3400002</v>
      </c>
      <c r="P13" s="33">
        <f t="shared" si="0"/>
        <v>2273863141.6999998</v>
      </c>
      <c r="Q13" s="33">
        <f t="shared" si="0"/>
        <v>2178237444.5100002</v>
      </c>
      <c r="R13" s="33">
        <f t="shared" si="0"/>
        <v>2099121614.8400002</v>
      </c>
      <c r="S13" s="33">
        <f t="shared" si="0"/>
        <v>2005734391.6800001</v>
      </c>
      <c r="T13" s="33">
        <f t="shared" si="0"/>
        <v>1920782181.8599999</v>
      </c>
      <c r="U13" s="33">
        <f t="shared" si="0"/>
        <v>1817088928.8599999</v>
      </c>
      <c r="V13" s="33">
        <f t="shared" si="0"/>
        <v>1709314289.8399999</v>
      </c>
      <c r="W13" s="33">
        <f t="shared" si="0"/>
        <v>1652457303.1299996</v>
      </c>
      <c r="X13" s="33">
        <f t="shared" si="0"/>
        <v>1620376930.2799997</v>
      </c>
      <c r="Y13" s="33">
        <f t="shared" si="0"/>
        <v>1531687328.1500001</v>
      </c>
      <c r="Z13" s="33">
        <f t="shared" si="0"/>
        <v>1443218503.2299998</v>
      </c>
      <c r="AA13" s="33">
        <f t="shared" si="0"/>
        <v>1390838993.3400002</v>
      </c>
      <c r="AB13" s="33">
        <f t="shared" si="0"/>
        <v>1365020839.3899999</v>
      </c>
      <c r="AC13" s="33">
        <f t="shared" si="0"/>
        <v>1290809725.8400002</v>
      </c>
      <c r="AD13" s="33">
        <f t="shared" si="0"/>
        <v>1224558866.7800002</v>
      </c>
      <c r="AE13" s="33">
        <f t="shared" si="0"/>
        <v>1220335716.5799999</v>
      </c>
      <c r="AF13" s="33">
        <f t="shared" si="0"/>
        <v>1208009370.0700002</v>
      </c>
      <c r="AG13" s="33">
        <f t="shared" si="0"/>
        <v>1150225960.6500001</v>
      </c>
      <c r="AH13" s="33">
        <f t="shared" si="0"/>
        <v>1092582438.8600001</v>
      </c>
      <c r="AI13" s="33">
        <f t="shared" si="0"/>
        <v>1090054243.6499999</v>
      </c>
      <c r="AJ13" s="33">
        <f t="shared" si="0"/>
        <v>1078573513.4300001</v>
      </c>
      <c r="AK13" s="33">
        <f t="shared" si="0"/>
        <v>1042268233.27</v>
      </c>
      <c r="AL13" s="33">
        <f t="shared" si="0"/>
        <v>271944455.62</v>
      </c>
      <c r="AM13" s="33">
        <f t="shared" si="0"/>
        <v>254897792.94999999</v>
      </c>
      <c r="AN13" s="33">
        <f t="shared" si="0"/>
        <v>221190622.32999992</v>
      </c>
      <c r="AO13" s="33">
        <f t="shared" si="0"/>
        <v>170816910.18000004</v>
      </c>
      <c r="AP13" s="33">
        <f t="shared" si="0"/>
        <v>115441126.05000001</v>
      </c>
      <c r="AQ13" s="33">
        <f t="shared" si="0"/>
        <v>0</v>
      </c>
      <c r="AR13" s="33">
        <f t="shared" si="0"/>
        <v>0</v>
      </c>
      <c r="AS13" s="33">
        <f t="shared" si="0"/>
        <v>0</v>
      </c>
      <c r="AT13" s="33">
        <f t="shared" si="0"/>
        <v>0</v>
      </c>
      <c r="AU13" s="33">
        <f t="shared" si="0"/>
        <v>0</v>
      </c>
      <c r="AV13" s="33">
        <f t="shared" si="0"/>
        <v>0</v>
      </c>
      <c r="AW13" s="33">
        <f t="shared" si="0"/>
        <v>0</v>
      </c>
      <c r="AX13" s="33">
        <f t="shared" si="0"/>
        <v>0</v>
      </c>
      <c r="AY13" s="33">
        <f t="shared" si="0"/>
        <v>0</v>
      </c>
      <c r="AZ13" s="33">
        <f t="shared" si="0"/>
        <v>0</v>
      </c>
      <c r="BA13" s="33">
        <f t="shared" si="0"/>
        <v>0</v>
      </c>
      <c r="BB13" s="33">
        <f t="shared" si="0"/>
        <v>0</v>
      </c>
      <c r="BC13" s="33">
        <f t="shared" si="0"/>
        <v>0</v>
      </c>
      <c r="BD13" s="33">
        <f t="shared" si="0"/>
        <v>0</v>
      </c>
      <c r="BE13" s="33">
        <f t="shared" si="0"/>
        <v>0</v>
      </c>
      <c r="BF13" s="33">
        <f t="shared" si="0"/>
        <v>0</v>
      </c>
      <c r="BG13" s="33">
        <f t="shared" si="0"/>
        <v>0</v>
      </c>
      <c r="BH13" s="33">
        <f t="shared" si="0"/>
        <v>0</v>
      </c>
      <c r="BI13" s="33">
        <f t="shared" si="0"/>
        <v>0</v>
      </c>
      <c r="BJ13" s="33">
        <f t="shared" si="0"/>
        <v>0</v>
      </c>
      <c r="BK13" s="33">
        <f t="shared" si="0"/>
        <v>0</v>
      </c>
      <c r="BL13" s="33">
        <f t="shared" si="0"/>
        <v>0</v>
      </c>
      <c r="BM13" s="33">
        <f t="shared" si="0"/>
        <v>0</v>
      </c>
      <c r="BN13" s="33">
        <f t="shared" si="0"/>
        <v>0</v>
      </c>
      <c r="BO13" s="33">
        <f t="shared" si="0"/>
        <v>0</v>
      </c>
      <c r="BP13" s="33">
        <f t="shared" si="0"/>
        <v>0</v>
      </c>
      <c r="BQ13" s="33">
        <f t="shared" si="0"/>
        <v>0</v>
      </c>
      <c r="BR13" s="33">
        <f t="shared" ref="BR13:CL13" si="1">BR9-BR12</f>
        <v>0</v>
      </c>
      <c r="BS13" s="33">
        <f t="shared" si="1"/>
        <v>0</v>
      </c>
      <c r="BT13" s="33">
        <f t="shared" si="1"/>
        <v>0</v>
      </c>
      <c r="BU13" s="33">
        <f t="shared" si="1"/>
        <v>0</v>
      </c>
      <c r="BV13" s="33">
        <f t="shared" si="1"/>
        <v>0</v>
      </c>
      <c r="BW13" s="33">
        <f t="shared" si="1"/>
        <v>0</v>
      </c>
      <c r="BX13" s="33">
        <f t="shared" si="1"/>
        <v>0</v>
      </c>
      <c r="BY13" s="33">
        <f t="shared" si="1"/>
        <v>0</v>
      </c>
      <c r="BZ13" s="33">
        <f t="shared" si="1"/>
        <v>0</v>
      </c>
      <c r="CA13" s="33">
        <f t="shared" si="1"/>
        <v>0</v>
      </c>
      <c r="CB13" s="33">
        <f t="shared" si="1"/>
        <v>0</v>
      </c>
      <c r="CC13" s="33">
        <f t="shared" si="1"/>
        <v>0</v>
      </c>
      <c r="CD13" s="33">
        <f t="shared" si="1"/>
        <v>0</v>
      </c>
      <c r="CE13" s="33">
        <f t="shared" si="1"/>
        <v>0</v>
      </c>
      <c r="CF13" s="33">
        <f t="shared" si="1"/>
        <v>0</v>
      </c>
      <c r="CG13" s="33">
        <f t="shared" si="1"/>
        <v>0</v>
      </c>
      <c r="CH13" s="33">
        <f t="shared" si="1"/>
        <v>0</v>
      </c>
      <c r="CI13" s="33">
        <f t="shared" si="1"/>
        <v>0</v>
      </c>
      <c r="CJ13" s="33">
        <f t="shared" si="1"/>
        <v>0</v>
      </c>
      <c r="CK13" s="33">
        <f t="shared" si="1"/>
        <v>0</v>
      </c>
      <c r="CL13" s="33">
        <f t="shared" si="1"/>
        <v>0</v>
      </c>
    </row>
    <row r="14" spans="1:90" s="56" customFormat="1">
      <c r="A14" s="56" t="s">
        <v>345</v>
      </c>
      <c r="E14" s="56">
        <f>E9</f>
        <v>3142600621.71</v>
      </c>
      <c r="F14" s="56">
        <f t="shared" ref="F14:BQ14" si="2">F9</f>
        <v>2878602667.3699999</v>
      </c>
      <c r="G14" s="56">
        <f t="shared" si="2"/>
        <v>2826319730.0599999</v>
      </c>
      <c r="H14" s="56">
        <f t="shared" si="2"/>
        <v>2818837247.4099998</v>
      </c>
      <c r="I14" s="56">
        <f t="shared" si="2"/>
        <v>2675938555.8599997</v>
      </c>
      <c r="J14" s="56">
        <f t="shared" si="2"/>
        <v>2481069353.3800001</v>
      </c>
      <c r="K14" s="56">
        <f t="shared" si="2"/>
        <v>2412665046.25</v>
      </c>
      <c r="L14" s="56">
        <f t="shared" si="2"/>
        <v>2396074303.0099998</v>
      </c>
      <c r="M14" s="56">
        <f t="shared" si="2"/>
        <v>2317738642.3800001</v>
      </c>
      <c r="N14" s="56">
        <f t="shared" si="2"/>
        <v>2421025785.71</v>
      </c>
      <c r="O14" s="56">
        <f t="shared" si="2"/>
        <v>2341178198.3400002</v>
      </c>
      <c r="P14" s="56">
        <f t="shared" si="2"/>
        <v>2273863141.6999998</v>
      </c>
      <c r="Q14" s="56">
        <f t="shared" si="2"/>
        <v>2178237444.5100002</v>
      </c>
      <c r="R14" s="56">
        <f t="shared" si="2"/>
        <v>2114883689.3400002</v>
      </c>
      <c r="S14" s="56">
        <f t="shared" si="2"/>
        <v>2021693966.1800001</v>
      </c>
      <c r="T14" s="56">
        <f t="shared" si="2"/>
        <v>1937396091.1999998</v>
      </c>
      <c r="U14" s="56">
        <f t="shared" si="2"/>
        <v>1833442434.9799998</v>
      </c>
      <c r="V14" s="56">
        <f t="shared" si="2"/>
        <v>1712305039.8399999</v>
      </c>
      <c r="W14" s="56">
        <f t="shared" si="2"/>
        <v>1670648053.1299996</v>
      </c>
      <c r="X14" s="56">
        <f t="shared" si="2"/>
        <v>1638567680.2799997</v>
      </c>
      <c r="Y14" s="56">
        <f t="shared" si="2"/>
        <v>1549878078.1500001</v>
      </c>
      <c r="Z14" s="56">
        <f t="shared" si="2"/>
        <v>1461224977.1499999</v>
      </c>
      <c r="AA14" s="56">
        <f t="shared" si="2"/>
        <v>1409038993.3400002</v>
      </c>
      <c r="AB14" s="56">
        <f t="shared" si="2"/>
        <v>1383220839.3899999</v>
      </c>
      <c r="AC14" s="56">
        <f t="shared" si="2"/>
        <v>1309009725.8400002</v>
      </c>
      <c r="AD14" s="56">
        <f t="shared" si="2"/>
        <v>1239758866.7800002</v>
      </c>
      <c r="AE14" s="56">
        <f t="shared" si="2"/>
        <v>1235535716.5799999</v>
      </c>
      <c r="AF14" s="56">
        <f t="shared" si="2"/>
        <v>1222382470.0700002</v>
      </c>
      <c r="AG14" s="56">
        <f t="shared" si="2"/>
        <v>1196125960.6500001</v>
      </c>
      <c r="AH14" s="56">
        <f t="shared" si="2"/>
        <v>1122582438.8600001</v>
      </c>
      <c r="AI14" s="56">
        <f t="shared" si="2"/>
        <v>1090054243.6499999</v>
      </c>
      <c r="AJ14" s="56">
        <f t="shared" si="2"/>
        <v>1078573513.4300001</v>
      </c>
      <c r="AK14" s="56">
        <f t="shared" si="2"/>
        <v>1042268233.27</v>
      </c>
      <c r="AL14" s="56">
        <f t="shared" si="2"/>
        <v>279944455.62</v>
      </c>
      <c r="AM14" s="56">
        <f t="shared" si="2"/>
        <v>275897792.94999999</v>
      </c>
      <c r="AN14" s="56">
        <f t="shared" si="2"/>
        <v>286412844.55999994</v>
      </c>
      <c r="AO14" s="56">
        <f t="shared" si="2"/>
        <v>261539132.41000003</v>
      </c>
      <c r="AP14" s="56">
        <f t="shared" si="2"/>
        <v>176441126.05000001</v>
      </c>
      <c r="AQ14" s="56">
        <f t="shared" si="2"/>
        <v>0</v>
      </c>
      <c r="AR14" s="56">
        <f t="shared" si="2"/>
        <v>0</v>
      </c>
      <c r="AS14" s="56">
        <f t="shared" si="2"/>
        <v>0</v>
      </c>
      <c r="AT14" s="56">
        <f t="shared" si="2"/>
        <v>0</v>
      </c>
      <c r="AU14" s="56">
        <f t="shared" si="2"/>
        <v>0</v>
      </c>
      <c r="AV14" s="56">
        <f t="shared" si="2"/>
        <v>0</v>
      </c>
      <c r="AW14" s="56">
        <f t="shared" si="2"/>
        <v>0</v>
      </c>
      <c r="AX14" s="56">
        <f t="shared" si="2"/>
        <v>0</v>
      </c>
      <c r="AY14" s="56">
        <f t="shared" si="2"/>
        <v>0</v>
      </c>
      <c r="AZ14" s="56">
        <f t="shared" si="2"/>
        <v>0</v>
      </c>
      <c r="BA14" s="56">
        <f t="shared" si="2"/>
        <v>0</v>
      </c>
      <c r="BB14" s="56">
        <f t="shared" si="2"/>
        <v>0</v>
      </c>
      <c r="BC14" s="56">
        <f t="shared" si="2"/>
        <v>0</v>
      </c>
      <c r="BD14" s="56">
        <f t="shared" si="2"/>
        <v>0</v>
      </c>
      <c r="BE14" s="56">
        <f t="shared" si="2"/>
        <v>0</v>
      </c>
      <c r="BF14" s="56">
        <f t="shared" si="2"/>
        <v>0</v>
      </c>
      <c r="BG14" s="56">
        <f t="shared" si="2"/>
        <v>0</v>
      </c>
      <c r="BH14" s="56">
        <f t="shared" si="2"/>
        <v>0</v>
      </c>
      <c r="BI14" s="56">
        <f t="shared" si="2"/>
        <v>0</v>
      </c>
      <c r="BJ14" s="56">
        <f t="shared" si="2"/>
        <v>0</v>
      </c>
      <c r="BK14" s="56">
        <f t="shared" si="2"/>
        <v>0</v>
      </c>
      <c r="BL14" s="56">
        <f t="shared" si="2"/>
        <v>0</v>
      </c>
      <c r="BM14" s="56">
        <f t="shared" si="2"/>
        <v>0</v>
      </c>
      <c r="BN14" s="56">
        <f t="shared" si="2"/>
        <v>0</v>
      </c>
      <c r="BO14" s="56">
        <f t="shared" si="2"/>
        <v>0</v>
      </c>
      <c r="BP14" s="56">
        <f t="shared" si="2"/>
        <v>0</v>
      </c>
      <c r="BQ14" s="56">
        <f t="shared" si="2"/>
        <v>0</v>
      </c>
      <c r="BR14" s="56">
        <f t="shared" ref="BR14:CL14" si="3">BR9</f>
        <v>0</v>
      </c>
      <c r="BS14" s="56">
        <f t="shared" si="3"/>
        <v>0</v>
      </c>
      <c r="BT14" s="56">
        <f t="shared" si="3"/>
        <v>0</v>
      </c>
      <c r="BU14" s="56">
        <f t="shared" si="3"/>
        <v>0</v>
      </c>
      <c r="BV14" s="56">
        <f t="shared" si="3"/>
        <v>0</v>
      </c>
      <c r="BW14" s="56">
        <f t="shared" si="3"/>
        <v>0</v>
      </c>
      <c r="BX14" s="56">
        <f t="shared" si="3"/>
        <v>0</v>
      </c>
      <c r="BY14" s="56">
        <f t="shared" si="3"/>
        <v>0</v>
      </c>
      <c r="BZ14" s="56">
        <f t="shared" si="3"/>
        <v>0</v>
      </c>
      <c r="CA14" s="56">
        <f t="shared" si="3"/>
        <v>0</v>
      </c>
      <c r="CB14" s="56">
        <f t="shared" si="3"/>
        <v>0</v>
      </c>
      <c r="CC14" s="56">
        <f t="shared" si="3"/>
        <v>0</v>
      </c>
      <c r="CD14" s="56">
        <f t="shared" si="3"/>
        <v>0</v>
      </c>
      <c r="CE14" s="56">
        <f t="shared" si="3"/>
        <v>0</v>
      </c>
      <c r="CF14" s="56">
        <f t="shared" si="3"/>
        <v>0</v>
      </c>
      <c r="CG14" s="56">
        <f t="shared" si="3"/>
        <v>0</v>
      </c>
      <c r="CH14" s="56">
        <f t="shared" si="3"/>
        <v>0</v>
      </c>
      <c r="CI14" s="56">
        <f t="shared" si="3"/>
        <v>0</v>
      </c>
      <c r="CJ14" s="56">
        <f t="shared" si="3"/>
        <v>0</v>
      </c>
      <c r="CK14" s="56">
        <f t="shared" si="3"/>
        <v>0</v>
      </c>
      <c r="CL14" s="56">
        <f t="shared" si="3"/>
        <v>0</v>
      </c>
    </row>
    <row r="15" spans="1:90" s="33" customFormat="1">
      <c r="A15" s="35" t="s">
        <v>346</v>
      </c>
      <c r="E15" s="33">
        <f>E11+E13-E3-E4-E7</f>
        <v>712293476.30000019</v>
      </c>
      <c r="F15" s="33">
        <f t="shared" ref="F15:BQ15" si="4">F11+F13-F3-F4-F7</f>
        <v>679069334.73999953</v>
      </c>
      <c r="G15" s="33">
        <f t="shared" si="4"/>
        <v>505175249.07999992</v>
      </c>
      <c r="H15" s="33">
        <f t="shared" si="4"/>
        <v>678095364.05999994</v>
      </c>
      <c r="I15" s="33">
        <f t="shared" si="4"/>
        <v>777942517.54999971</v>
      </c>
      <c r="J15" s="33">
        <f t="shared" si="4"/>
        <v>623681233.03000009</v>
      </c>
      <c r="K15" s="33">
        <f t="shared" si="4"/>
        <v>656787777.09999967</v>
      </c>
      <c r="L15" s="33">
        <f t="shared" si="4"/>
        <v>795373187.23999977</v>
      </c>
      <c r="M15" s="33">
        <f t="shared" si="4"/>
        <v>973286905.50000012</v>
      </c>
      <c r="N15" s="33">
        <f t="shared" si="4"/>
        <v>809711157.58999979</v>
      </c>
      <c r="O15" s="33">
        <f t="shared" si="4"/>
        <v>570581984.97000015</v>
      </c>
      <c r="P15" s="33">
        <f t="shared" si="4"/>
        <v>909436222.81999993</v>
      </c>
      <c r="Q15" s="33">
        <f t="shared" si="4"/>
        <v>964978678.83000016</v>
      </c>
      <c r="R15" s="33">
        <f t="shared" si="4"/>
        <v>755741642.30000007</v>
      </c>
      <c r="S15" s="33">
        <f t="shared" si="4"/>
        <v>665116750.71000004</v>
      </c>
      <c r="T15" s="33">
        <f t="shared" si="4"/>
        <v>763230395.59999967</v>
      </c>
      <c r="U15" s="33">
        <f t="shared" si="4"/>
        <v>706490908.72000003</v>
      </c>
      <c r="V15" s="33">
        <f t="shared" si="4"/>
        <v>501180113.65999997</v>
      </c>
      <c r="W15" s="33">
        <f t="shared" si="4"/>
        <v>502241523.36999989</v>
      </c>
      <c r="X15" s="33">
        <f t="shared" si="4"/>
        <v>602246499.29999971</v>
      </c>
      <c r="Y15" s="33">
        <f t="shared" si="4"/>
        <v>673380231.46000004</v>
      </c>
      <c r="Z15" s="33">
        <f t="shared" si="4"/>
        <v>643489726.26999998</v>
      </c>
      <c r="AA15" s="33">
        <f t="shared" si="4"/>
        <v>488036620.78999996</v>
      </c>
      <c r="AB15" s="33">
        <f t="shared" si="4"/>
        <v>510333384.02999991</v>
      </c>
      <c r="AC15" s="33">
        <f t="shared" si="4"/>
        <v>534179707.85000008</v>
      </c>
      <c r="AD15" s="33">
        <f t="shared" si="4"/>
        <v>523746129.83000004</v>
      </c>
      <c r="AE15" s="33">
        <f t="shared" si="4"/>
        <v>641391460.04999995</v>
      </c>
      <c r="AF15" s="33">
        <f t="shared" si="4"/>
        <v>665322811.37000012</v>
      </c>
      <c r="AG15" s="33">
        <f t="shared" si="4"/>
        <v>636518672.60000014</v>
      </c>
      <c r="AH15" s="33">
        <f t="shared" si="4"/>
        <v>598738523.16000009</v>
      </c>
      <c r="AI15" s="33">
        <f t="shared" si="4"/>
        <v>719788534.54999995</v>
      </c>
      <c r="AJ15" s="33">
        <f t="shared" si="4"/>
        <v>836933325.63999999</v>
      </c>
      <c r="AK15" s="33">
        <f t="shared" si="4"/>
        <v>853443052.57999992</v>
      </c>
      <c r="AL15" s="33">
        <f t="shared" si="4"/>
        <v>71196016.940000027</v>
      </c>
      <c r="AM15" s="33">
        <f t="shared" si="4"/>
        <v>51469949.020000011</v>
      </c>
      <c r="AN15" s="33">
        <f t="shared" si="4"/>
        <v>41477223.809999943</v>
      </c>
      <c r="AO15" s="33">
        <f t="shared" si="4"/>
        <v>28497061.840000004</v>
      </c>
      <c r="AP15" s="33">
        <f t="shared" si="4"/>
        <v>-8750314.7999999821</v>
      </c>
      <c r="AQ15" s="33">
        <f t="shared" si="4"/>
        <v>0</v>
      </c>
      <c r="AR15" s="33">
        <f t="shared" si="4"/>
        <v>0</v>
      </c>
      <c r="AS15" s="33">
        <f t="shared" si="4"/>
        <v>0</v>
      </c>
      <c r="AT15" s="33">
        <f t="shared" si="4"/>
        <v>0</v>
      </c>
      <c r="AU15" s="33">
        <f t="shared" si="4"/>
        <v>0</v>
      </c>
      <c r="AV15" s="33">
        <f t="shared" si="4"/>
        <v>0</v>
      </c>
      <c r="AW15" s="33">
        <f t="shared" si="4"/>
        <v>0</v>
      </c>
      <c r="AX15" s="33">
        <f t="shared" si="4"/>
        <v>0</v>
      </c>
      <c r="AY15" s="33">
        <f t="shared" si="4"/>
        <v>0</v>
      </c>
      <c r="AZ15" s="33">
        <f t="shared" si="4"/>
        <v>0</v>
      </c>
      <c r="BA15" s="33">
        <f t="shared" si="4"/>
        <v>0</v>
      </c>
      <c r="BB15" s="33">
        <f t="shared" si="4"/>
        <v>0</v>
      </c>
      <c r="BC15" s="33">
        <f t="shared" si="4"/>
        <v>0</v>
      </c>
      <c r="BD15" s="33">
        <f t="shared" si="4"/>
        <v>0</v>
      </c>
      <c r="BE15" s="33">
        <f t="shared" si="4"/>
        <v>0</v>
      </c>
      <c r="BF15" s="33">
        <f t="shared" si="4"/>
        <v>0</v>
      </c>
      <c r="BG15" s="33">
        <f t="shared" si="4"/>
        <v>0</v>
      </c>
      <c r="BH15" s="33">
        <f t="shared" si="4"/>
        <v>0</v>
      </c>
      <c r="BI15" s="33">
        <f t="shared" si="4"/>
        <v>0</v>
      </c>
      <c r="BJ15" s="33">
        <f t="shared" si="4"/>
        <v>0</v>
      </c>
      <c r="BK15" s="33">
        <f t="shared" si="4"/>
        <v>0</v>
      </c>
      <c r="BL15" s="33">
        <f t="shared" si="4"/>
        <v>0</v>
      </c>
      <c r="BM15" s="33">
        <f t="shared" si="4"/>
        <v>0</v>
      </c>
      <c r="BN15" s="33">
        <f t="shared" si="4"/>
        <v>0</v>
      </c>
      <c r="BO15" s="33">
        <f t="shared" si="4"/>
        <v>0</v>
      </c>
      <c r="BP15" s="33">
        <f t="shared" si="4"/>
        <v>0</v>
      </c>
      <c r="BQ15" s="33">
        <f t="shared" si="4"/>
        <v>0</v>
      </c>
      <c r="BR15" s="33">
        <f t="shared" ref="BR15:CL15" si="5">BR11+BR13-BR3-BR4-BR7</f>
        <v>0</v>
      </c>
      <c r="BS15" s="33">
        <f t="shared" si="5"/>
        <v>0</v>
      </c>
      <c r="BT15" s="33">
        <f t="shared" si="5"/>
        <v>0</v>
      </c>
      <c r="BU15" s="33">
        <f t="shared" si="5"/>
        <v>0</v>
      </c>
      <c r="BV15" s="33">
        <f t="shared" si="5"/>
        <v>0</v>
      </c>
      <c r="BW15" s="33">
        <f t="shared" si="5"/>
        <v>0</v>
      </c>
      <c r="BX15" s="33">
        <f t="shared" si="5"/>
        <v>0</v>
      </c>
      <c r="BY15" s="33">
        <f t="shared" si="5"/>
        <v>0</v>
      </c>
      <c r="BZ15" s="33">
        <f t="shared" si="5"/>
        <v>0</v>
      </c>
      <c r="CA15" s="33">
        <f t="shared" si="5"/>
        <v>0</v>
      </c>
      <c r="CB15" s="33">
        <f t="shared" si="5"/>
        <v>0</v>
      </c>
      <c r="CC15" s="33">
        <f t="shared" si="5"/>
        <v>0</v>
      </c>
      <c r="CD15" s="33">
        <f t="shared" si="5"/>
        <v>0</v>
      </c>
      <c r="CE15" s="33">
        <f t="shared" si="5"/>
        <v>0</v>
      </c>
      <c r="CF15" s="33">
        <f t="shared" si="5"/>
        <v>0</v>
      </c>
      <c r="CG15" s="33">
        <f t="shared" si="5"/>
        <v>0</v>
      </c>
      <c r="CH15" s="33">
        <f t="shared" si="5"/>
        <v>0</v>
      </c>
      <c r="CI15" s="33">
        <f t="shared" si="5"/>
        <v>0</v>
      </c>
      <c r="CJ15" s="33">
        <f t="shared" si="5"/>
        <v>0</v>
      </c>
      <c r="CK15" s="33">
        <f t="shared" si="5"/>
        <v>0</v>
      </c>
      <c r="CL15" s="33">
        <f t="shared" si="5"/>
        <v>0</v>
      </c>
    </row>
    <row r="16" spans="1:90" s="33" customFormat="1">
      <c r="A16" s="35" t="s">
        <v>347</v>
      </c>
      <c r="E16" s="33">
        <f>E10-E2</f>
        <v>-712293476.29999995</v>
      </c>
      <c r="F16" s="33">
        <f t="shared" ref="F16:BQ16" si="6">F10-F2</f>
        <v>-679069334.74000001</v>
      </c>
      <c r="G16" s="33">
        <f t="shared" si="6"/>
        <v>-505175249.07999998</v>
      </c>
      <c r="H16" s="33">
        <f t="shared" si="6"/>
        <v>-678095364.05999994</v>
      </c>
      <c r="I16" s="33">
        <f t="shared" si="6"/>
        <v>-777942517.54999995</v>
      </c>
      <c r="J16" s="33">
        <f t="shared" si="6"/>
        <v>-623681233.03000009</v>
      </c>
      <c r="K16" s="33">
        <f t="shared" si="6"/>
        <v>-656787777.10000002</v>
      </c>
      <c r="L16" s="33">
        <f t="shared" si="6"/>
        <v>-795373187.23999989</v>
      </c>
      <c r="M16" s="33">
        <f t="shared" si="6"/>
        <v>-973286905.5</v>
      </c>
      <c r="N16" s="33">
        <f t="shared" si="6"/>
        <v>-809711157.58999991</v>
      </c>
      <c r="O16" s="33">
        <f t="shared" si="6"/>
        <v>-570581984.97000003</v>
      </c>
      <c r="P16" s="33">
        <f t="shared" si="6"/>
        <v>-909436222.82000005</v>
      </c>
      <c r="Q16" s="33">
        <f t="shared" si="6"/>
        <v>-964978678.83000004</v>
      </c>
      <c r="R16" s="33">
        <f t="shared" si="6"/>
        <v>-755741642.29999995</v>
      </c>
      <c r="S16" s="33">
        <f t="shared" si="6"/>
        <v>-665116750.71000004</v>
      </c>
      <c r="T16" s="33">
        <f t="shared" si="6"/>
        <v>-763230395.60000002</v>
      </c>
      <c r="U16" s="33">
        <f t="shared" si="6"/>
        <v>-706490908.72000003</v>
      </c>
      <c r="V16" s="33">
        <f t="shared" si="6"/>
        <v>-501180113.66000003</v>
      </c>
      <c r="W16" s="33">
        <f t="shared" si="6"/>
        <v>-502241523.37</v>
      </c>
      <c r="X16" s="33">
        <f t="shared" si="6"/>
        <v>-602246499.29999995</v>
      </c>
      <c r="Y16" s="33">
        <f t="shared" si="6"/>
        <v>-673380231.46000004</v>
      </c>
      <c r="Z16" s="33">
        <f t="shared" si="6"/>
        <v>-643489726.26999998</v>
      </c>
      <c r="AA16" s="33">
        <f t="shared" si="6"/>
        <v>-488036620.79000002</v>
      </c>
      <c r="AB16" s="33">
        <f t="shared" si="6"/>
        <v>-510333384.02999997</v>
      </c>
      <c r="AC16" s="33">
        <f t="shared" si="6"/>
        <v>-534179707.85000002</v>
      </c>
      <c r="AD16" s="33">
        <f t="shared" si="6"/>
        <v>-523746129.82999998</v>
      </c>
      <c r="AE16" s="33">
        <f t="shared" si="6"/>
        <v>-641391460.04999995</v>
      </c>
      <c r="AF16" s="33">
        <f t="shared" si="6"/>
        <v>-665322811.37</v>
      </c>
      <c r="AG16" s="33">
        <f t="shared" si="6"/>
        <v>-636518672.60000002</v>
      </c>
      <c r="AH16" s="33">
        <f t="shared" si="6"/>
        <v>-598738523.15999997</v>
      </c>
      <c r="AI16" s="33">
        <f t="shared" si="6"/>
        <v>-719788534.54999995</v>
      </c>
      <c r="AJ16" s="33">
        <f t="shared" si="6"/>
        <v>-836933325.63999999</v>
      </c>
      <c r="AK16" s="33">
        <f t="shared" si="6"/>
        <v>-853443052.58000004</v>
      </c>
      <c r="AL16" s="33">
        <f t="shared" si="6"/>
        <v>-71196016.939999998</v>
      </c>
      <c r="AM16" s="33">
        <f t="shared" si="6"/>
        <v>-51469949.020000003</v>
      </c>
      <c r="AN16" s="33">
        <f t="shared" si="6"/>
        <v>-41477223.810000002</v>
      </c>
      <c r="AO16" s="33">
        <f t="shared" si="6"/>
        <v>-28497061.840000004</v>
      </c>
      <c r="AP16" s="33">
        <f t="shared" si="6"/>
        <v>8750314.799999997</v>
      </c>
      <c r="AQ16" s="33">
        <f t="shared" si="6"/>
        <v>0</v>
      </c>
      <c r="AR16" s="33">
        <f t="shared" si="6"/>
        <v>0</v>
      </c>
      <c r="AS16" s="33">
        <f t="shared" si="6"/>
        <v>0</v>
      </c>
      <c r="AT16" s="33">
        <f t="shared" si="6"/>
        <v>0</v>
      </c>
      <c r="AU16" s="33">
        <f t="shared" si="6"/>
        <v>0</v>
      </c>
      <c r="AV16" s="33">
        <f t="shared" si="6"/>
        <v>0</v>
      </c>
      <c r="AW16" s="33">
        <f t="shared" si="6"/>
        <v>0</v>
      </c>
      <c r="AX16" s="33">
        <f t="shared" si="6"/>
        <v>0</v>
      </c>
      <c r="AY16" s="33">
        <f t="shared" si="6"/>
        <v>0</v>
      </c>
      <c r="AZ16" s="33">
        <f t="shared" si="6"/>
        <v>0</v>
      </c>
      <c r="BA16" s="33">
        <f t="shared" si="6"/>
        <v>0</v>
      </c>
      <c r="BB16" s="33">
        <f t="shared" si="6"/>
        <v>0</v>
      </c>
      <c r="BC16" s="33">
        <f t="shared" si="6"/>
        <v>0</v>
      </c>
      <c r="BD16" s="33">
        <f t="shared" si="6"/>
        <v>0</v>
      </c>
      <c r="BE16" s="33">
        <f t="shared" si="6"/>
        <v>0</v>
      </c>
      <c r="BF16" s="33">
        <f t="shared" si="6"/>
        <v>0</v>
      </c>
      <c r="BG16" s="33">
        <f t="shared" si="6"/>
        <v>0</v>
      </c>
      <c r="BH16" s="33">
        <f t="shared" si="6"/>
        <v>0</v>
      </c>
      <c r="BI16" s="33">
        <f t="shared" si="6"/>
        <v>0</v>
      </c>
      <c r="BJ16" s="33">
        <f t="shared" si="6"/>
        <v>0</v>
      </c>
      <c r="BK16" s="33">
        <f t="shared" si="6"/>
        <v>0</v>
      </c>
      <c r="BL16" s="33">
        <f t="shared" si="6"/>
        <v>0</v>
      </c>
      <c r="BM16" s="33">
        <f t="shared" si="6"/>
        <v>0</v>
      </c>
      <c r="BN16" s="33">
        <f t="shared" si="6"/>
        <v>0</v>
      </c>
      <c r="BO16" s="33">
        <f t="shared" si="6"/>
        <v>0</v>
      </c>
      <c r="BP16" s="33">
        <f t="shared" si="6"/>
        <v>0</v>
      </c>
      <c r="BQ16" s="33">
        <f t="shared" si="6"/>
        <v>0</v>
      </c>
      <c r="BR16" s="33">
        <f t="shared" ref="BR16:CL16" si="7">BR10-BR2</f>
        <v>0</v>
      </c>
      <c r="BS16" s="33">
        <f t="shared" si="7"/>
        <v>0</v>
      </c>
      <c r="BT16" s="33">
        <f t="shared" si="7"/>
        <v>0</v>
      </c>
      <c r="BU16" s="33">
        <f t="shared" si="7"/>
        <v>0</v>
      </c>
      <c r="BV16" s="33">
        <f t="shared" si="7"/>
        <v>0</v>
      </c>
      <c r="BW16" s="33">
        <f t="shared" si="7"/>
        <v>0</v>
      </c>
      <c r="BX16" s="33">
        <f t="shared" si="7"/>
        <v>0</v>
      </c>
      <c r="BY16" s="33">
        <f t="shared" si="7"/>
        <v>0</v>
      </c>
      <c r="BZ16" s="33">
        <f t="shared" si="7"/>
        <v>0</v>
      </c>
      <c r="CA16" s="33">
        <f t="shared" si="7"/>
        <v>0</v>
      </c>
      <c r="CB16" s="33">
        <f t="shared" si="7"/>
        <v>0</v>
      </c>
      <c r="CC16" s="33">
        <f t="shared" si="7"/>
        <v>0</v>
      </c>
      <c r="CD16" s="33">
        <f t="shared" si="7"/>
        <v>0</v>
      </c>
      <c r="CE16" s="33">
        <f t="shared" si="7"/>
        <v>0</v>
      </c>
      <c r="CF16" s="33">
        <f t="shared" si="7"/>
        <v>0</v>
      </c>
      <c r="CG16" s="33">
        <f t="shared" si="7"/>
        <v>0</v>
      </c>
      <c r="CH16" s="33">
        <f t="shared" si="7"/>
        <v>0</v>
      </c>
      <c r="CI16" s="33">
        <f t="shared" si="7"/>
        <v>0</v>
      </c>
      <c r="CJ16" s="33">
        <f t="shared" si="7"/>
        <v>0</v>
      </c>
      <c r="CK16" s="33">
        <f t="shared" si="7"/>
        <v>0</v>
      </c>
      <c r="CL16" s="33">
        <f t="shared" si="7"/>
        <v>0</v>
      </c>
    </row>
    <row r="17" spans="1:90" s="73" customFormat="1">
      <c r="A17" s="66" t="s">
        <v>349</v>
      </c>
      <c r="E17" s="73">
        <f>(E11+E13-E7-E3)/E4</f>
        <v>1.6987658290985188</v>
      </c>
      <c r="F17" s="73">
        <f t="shared" ref="F17:BQ17" si="8">(F11+F13-F7-F3)/F4</f>
        <v>1.8158164105295711</v>
      </c>
      <c r="G17" s="73">
        <f t="shared" si="8"/>
        <v>1.4803970930037571</v>
      </c>
      <c r="H17" s="73">
        <f t="shared" si="8"/>
        <v>1.7641033439580804</v>
      </c>
      <c r="I17" s="73">
        <f t="shared" si="8"/>
        <v>2.1769244126701586</v>
      </c>
      <c r="J17" s="73">
        <f t="shared" si="8"/>
        <v>1.7580280948988343</v>
      </c>
      <c r="K17" s="73">
        <f t="shared" si="8"/>
        <v>1.858116236141786</v>
      </c>
      <c r="L17" s="73">
        <f t="shared" si="8"/>
        <v>2.2423374608262354</v>
      </c>
      <c r="M17" s="73">
        <f t="shared" si="8"/>
        <v>3.5180375922065443</v>
      </c>
      <c r="N17" s="73">
        <f t="shared" si="8"/>
        <v>2.5789404543011529</v>
      </c>
      <c r="O17" s="73">
        <f t="shared" si="8"/>
        <v>1.8233053060477149</v>
      </c>
      <c r="P17" s="73">
        <f t="shared" si="8"/>
        <v>2.73116423607964</v>
      </c>
      <c r="Q17" s="73">
        <f t="shared" si="8"/>
        <v>3.3795642657767293</v>
      </c>
      <c r="R17" s="73">
        <f t="shared" si="8"/>
        <v>2.2391684249570831</v>
      </c>
      <c r="S17" s="73">
        <f t="shared" si="8"/>
        <v>2.0709075889667994</v>
      </c>
      <c r="T17" s="73">
        <f t="shared" si="8"/>
        <v>2.6467713309319074</v>
      </c>
      <c r="U17" s="73">
        <f t="shared" si="8"/>
        <v>2.6518780016986425</v>
      </c>
      <c r="V17" s="73">
        <f t="shared" si="8"/>
        <v>1.923621591886099</v>
      </c>
      <c r="W17" s="73">
        <f t="shared" si="8"/>
        <v>1.9618430273197749</v>
      </c>
      <c r="X17" s="73">
        <f t="shared" si="8"/>
        <v>2.4907953610392992</v>
      </c>
      <c r="Y17" s="73">
        <f t="shared" si="8"/>
        <v>3.6153908814884708</v>
      </c>
      <c r="Z17" s="73">
        <f t="shared" si="8"/>
        <v>3.5521987219785598</v>
      </c>
      <c r="AA17" s="73">
        <f t="shared" si="8"/>
        <v>2.2933912942526131</v>
      </c>
      <c r="AB17" s="73">
        <f t="shared" si="8"/>
        <v>2.4036277319237591</v>
      </c>
      <c r="AC17" s="73">
        <f t="shared" si="8"/>
        <v>2.8012805234845808</v>
      </c>
      <c r="AD17" s="73">
        <f t="shared" si="8"/>
        <v>2.5421784504400118</v>
      </c>
      <c r="AE17" s="73">
        <f t="shared" si="8"/>
        <v>3.2548223542466554</v>
      </c>
      <c r="AF17" s="73">
        <f t="shared" si="8"/>
        <v>3.5435828146623565</v>
      </c>
      <c r="AG17" s="73">
        <f t="shared" si="8"/>
        <v>3.512652162616583</v>
      </c>
      <c r="AH17" s="73">
        <f t="shared" si="8"/>
        <v>3.2953094314673717</v>
      </c>
      <c r="AI17" s="73">
        <f t="shared" si="8"/>
        <v>5.2727657759044062</v>
      </c>
      <c r="AJ17" s="73">
        <f t="shared" si="8"/>
        <v>16.511838836882564</v>
      </c>
      <c r="AK17" s="73">
        <f t="shared" si="8"/>
        <v>57.640342614285082</v>
      </c>
      <c r="AL17" s="73">
        <f t="shared" si="8"/>
        <v>2.6984557157929157</v>
      </c>
      <c r="AM17" s="73">
        <f t="shared" si="8"/>
        <v>1.8773907484329542</v>
      </c>
      <c r="AN17" s="73">
        <f t="shared" si="8"/>
        <v>1.8931669296759579</v>
      </c>
      <c r="AO17" s="73">
        <f t="shared" si="8"/>
        <v>2.1935673113113467</v>
      </c>
      <c r="AP17" s="73">
        <f t="shared" si="8"/>
        <v>0.63571528391365617</v>
      </c>
      <c r="AQ17" s="73" t="e">
        <f t="shared" si="8"/>
        <v>#DIV/0!</v>
      </c>
      <c r="AR17" s="73" t="e">
        <f t="shared" si="8"/>
        <v>#DIV/0!</v>
      </c>
      <c r="AS17" s="73" t="e">
        <f t="shared" si="8"/>
        <v>#DIV/0!</v>
      </c>
      <c r="AT17" s="73" t="e">
        <f t="shared" si="8"/>
        <v>#DIV/0!</v>
      </c>
      <c r="AU17" s="73" t="e">
        <f t="shared" si="8"/>
        <v>#DIV/0!</v>
      </c>
      <c r="AV17" s="73" t="e">
        <f t="shared" si="8"/>
        <v>#DIV/0!</v>
      </c>
      <c r="AW17" s="73" t="e">
        <f t="shared" si="8"/>
        <v>#DIV/0!</v>
      </c>
      <c r="AX17" s="73" t="e">
        <f t="shared" si="8"/>
        <v>#DIV/0!</v>
      </c>
      <c r="AY17" s="73" t="e">
        <f t="shared" si="8"/>
        <v>#DIV/0!</v>
      </c>
      <c r="AZ17" s="73" t="e">
        <f t="shared" si="8"/>
        <v>#DIV/0!</v>
      </c>
      <c r="BA17" s="73" t="e">
        <f t="shared" si="8"/>
        <v>#DIV/0!</v>
      </c>
      <c r="BB17" s="73" t="e">
        <f t="shared" si="8"/>
        <v>#DIV/0!</v>
      </c>
      <c r="BC17" s="73" t="e">
        <f t="shared" si="8"/>
        <v>#DIV/0!</v>
      </c>
      <c r="BD17" s="73" t="e">
        <f t="shared" si="8"/>
        <v>#DIV/0!</v>
      </c>
      <c r="BE17" s="73" t="e">
        <f t="shared" si="8"/>
        <v>#DIV/0!</v>
      </c>
      <c r="BF17" s="73" t="e">
        <f t="shared" si="8"/>
        <v>#DIV/0!</v>
      </c>
      <c r="BG17" s="73" t="e">
        <f t="shared" si="8"/>
        <v>#DIV/0!</v>
      </c>
      <c r="BH17" s="73" t="e">
        <f t="shared" si="8"/>
        <v>#DIV/0!</v>
      </c>
      <c r="BI17" s="73" t="e">
        <f t="shared" si="8"/>
        <v>#DIV/0!</v>
      </c>
      <c r="BJ17" s="73" t="e">
        <f t="shared" si="8"/>
        <v>#DIV/0!</v>
      </c>
      <c r="BK17" s="73" t="e">
        <f t="shared" si="8"/>
        <v>#DIV/0!</v>
      </c>
      <c r="BL17" s="73" t="e">
        <f t="shared" si="8"/>
        <v>#DIV/0!</v>
      </c>
      <c r="BM17" s="73" t="e">
        <f t="shared" si="8"/>
        <v>#DIV/0!</v>
      </c>
      <c r="BN17" s="73" t="e">
        <f t="shared" si="8"/>
        <v>#DIV/0!</v>
      </c>
      <c r="BO17" s="73" t="e">
        <f t="shared" si="8"/>
        <v>#DIV/0!</v>
      </c>
      <c r="BP17" s="73" t="e">
        <f t="shared" si="8"/>
        <v>#DIV/0!</v>
      </c>
      <c r="BQ17" s="73" t="e">
        <f t="shared" si="8"/>
        <v>#DIV/0!</v>
      </c>
      <c r="BR17" s="73" t="e">
        <f t="shared" ref="BR17:CL17" si="9">(BR11+BR13-BR7-BR3)/BR4</f>
        <v>#DIV/0!</v>
      </c>
      <c r="BS17" s="73" t="e">
        <f t="shared" si="9"/>
        <v>#DIV/0!</v>
      </c>
      <c r="BT17" s="73" t="e">
        <f t="shared" si="9"/>
        <v>#DIV/0!</v>
      </c>
      <c r="BU17" s="73" t="e">
        <f t="shared" si="9"/>
        <v>#DIV/0!</v>
      </c>
      <c r="BV17" s="73" t="e">
        <f t="shared" si="9"/>
        <v>#DIV/0!</v>
      </c>
      <c r="BW17" s="73" t="e">
        <f t="shared" si="9"/>
        <v>#DIV/0!</v>
      </c>
      <c r="BX17" s="73" t="e">
        <f t="shared" si="9"/>
        <v>#DIV/0!</v>
      </c>
      <c r="BY17" s="73" t="e">
        <f t="shared" si="9"/>
        <v>#DIV/0!</v>
      </c>
      <c r="BZ17" s="73" t="e">
        <f t="shared" si="9"/>
        <v>#DIV/0!</v>
      </c>
      <c r="CA17" s="73" t="e">
        <f t="shared" si="9"/>
        <v>#DIV/0!</v>
      </c>
      <c r="CB17" s="73" t="e">
        <f t="shared" si="9"/>
        <v>#DIV/0!</v>
      </c>
      <c r="CC17" s="73" t="e">
        <f t="shared" si="9"/>
        <v>#DIV/0!</v>
      </c>
      <c r="CD17" s="73" t="e">
        <f t="shared" si="9"/>
        <v>#DIV/0!</v>
      </c>
      <c r="CE17" s="73" t="e">
        <f t="shared" si="9"/>
        <v>#DIV/0!</v>
      </c>
      <c r="CF17" s="73" t="e">
        <f t="shared" si="9"/>
        <v>#DIV/0!</v>
      </c>
      <c r="CG17" s="73" t="e">
        <f t="shared" si="9"/>
        <v>#DIV/0!</v>
      </c>
      <c r="CH17" s="73" t="e">
        <f t="shared" si="9"/>
        <v>#DIV/0!</v>
      </c>
      <c r="CI17" s="73" t="e">
        <f t="shared" si="9"/>
        <v>#DIV/0!</v>
      </c>
      <c r="CJ17" s="73" t="e">
        <f t="shared" si="9"/>
        <v>#DIV/0!</v>
      </c>
      <c r="CK17" s="73" t="e">
        <f t="shared" si="9"/>
        <v>#DIV/0!</v>
      </c>
      <c r="CL17" s="73" t="e">
        <f t="shared" si="9"/>
        <v>#DIV/0!</v>
      </c>
    </row>
    <row r="18" spans="1:90" s="22" customFormat="1" ht="96.75" customHeight="1">
      <c r="A18" s="165" t="s">
        <v>586</v>
      </c>
      <c r="B18" s="166"/>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row>
    <row r="19" spans="1:90">
      <c r="A19" s="144" t="s">
        <v>589</v>
      </c>
      <c r="B19" s="145"/>
      <c r="C19" s="145"/>
      <c r="D19" s="145"/>
      <c r="E19" s="145" t="s">
        <v>577</v>
      </c>
      <c r="F19" s="145"/>
      <c r="G19" s="145"/>
      <c r="H19" s="145"/>
      <c r="I19" s="145" t="s">
        <v>579</v>
      </c>
      <c r="M19" s="73"/>
      <c r="N19" s="73"/>
      <c r="O19" s="73"/>
      <c r="P19" s="73"/>
      <c r="Q19" s="73"/>
      <c r="R19" s="73"/>
      <c r="S19" s="73"/>
      <c r="T19" s="73"/>
      <c r="U19" s="73"/>
    </row>
    <row r="20" spans="1:90" s="73" customFormat="1" ht="14.25" customHeight="1">
      <c r="A20" s="146" t="s">
        <v>590</v>
      </c>
      <c r="B20" s="146"/>
      <c r="C20" s="146"/>
      <c r="D20" s="146"/>
      <c r="E20" s="146">
        <f>POWER(E9/U9,1/5)-1</f>
        <v>0.11379273981881965</v>
      </c>
      <c r="F20" s="146"/>
      <c r="G20" s="146"/>
      <c r="H20" s="146"/>
      <c r="I20" s="146">
        <f>POWER(E9/AC9,1/7)-1</f>
        <v>0.13327468696388189</v>
      </c>
    </row>
    <row r="21" spans="1:90" s="73" customFormat="1" ht="14.25" customHeight="1">
      <c r="A21" s="146" t="s">
        <v>588</v>
      </c>
      <c r="B21" s="146"/>
      <c r="C21" s="146"/>
      <c r="D21" s="146"/>
      <c r="E21" s="146">
        <f>POWER(E4/U4,1/5)-1</f>
        <v>0.18970624133763514</v>
      </c>
      <c r="F21" s="146"/>
      <c r="G21" s="146"/>
      <c r="H21" s="146"/>
      <c r="I21" s="146">
        <f>POWER(E4/AC4,1/7)-1</f>
        <v>0.1928972550535295</v>
      </c>
    </row>
    <row r="22" spans="1:90" s="73" customFormat="1" ht="14.25" customHeight="1">
      <c r="A22" s="146" t="s">
        <v>591</v>
      </c>
      <c r="B22" s="146"/>
      <c r="C22" s="146"/>
      <c r="D22" s="146"/>
      <c r="E22" s="146">
        <f>POWER(E5/U5,1/5)-1</f>
        <v>0.14107398194513543</v>
      </c>
      <c r="F22" s="146"/>
      <c r="G22" s="146"/>
      <c r="H22" s="146"/>
      <c r="I22" s="146">
        <f>POWER(E5/AC5,1/7)-1</f>
        <v>0.15701400594239012</v>
      </c>
    </row>
    <row r="23" spans="1:90" s="73" customFormat="1" ht="14.25" customHeight="1">
      <c r="A23" s="146" t="s">
        <v>592</v>
      </c>
      <c r="B23" s="146"/>
      <c r="C23" s="146"/>
      <c r="D23" s="146"/>
      <c r="E23" s="146">
        <f>POWER(E6/U6,1/5)-1</f>
        <v>9.6460862079417842E-2</v>
      </c>
      <c r="F23" s="146"/>
      <c r="G23" s="146"/>
      <c r="H23" s="146"/>
      <c r="I23" s="146">
        <f>POWER(E6/AC6,1/7)-1</f>
        <v>0.12388172605092462</v>
      </c>
    </row>
    <row r="24" spans="1:90" s="73" customFormat="1" ht="14.25" customHeight="1">
      <c r="A24" s="146" t="s">
        <v>593</v>
      </c>
      <c r="B24" s="146"/>
      <c r="C24" s="146"/>
      <c r="D24" s="146"/>
      <c r="E24" s="146">
        <f>POWER(E7/U7,1/5)-1</f>
        <v>0.15073203382396927</v>
      </c>
      <c r="F24" s="146"/>
      <c r="G24" s="146"/>
      <c r="H24" s="146"/>
      <c r="I24" s="146">
        <f>POWER(E7/AC7,1/7)-1</f>
        <v>0.16712965811396763</v>
      </c>
    </row>
    <row r="25" spans="1:90" s="133" customFormat="1">
      <c r="A25" s="134" t="s">
        <v>564</v>
      </c>
      <c r="B25" s="135"/>
      <c r="C25" s="135"/>
      <c r="D25" s="135"/>
      <c r="E25" s="135">
        <f>(E2-I2)/I2</f>
        <v>-8.4388036093914362E-2</v>
      </c>
      <c r="F25" s="135">
        <f t="shared" ref="F25:BQ25" si="10">(F2-J2)/J2</f>
        <v>8.8808350767443506E-2</v>
      </c>
      <c r="G25" s="135">
        <f t="shared" si="10"/>
        <v>-0.23083944815391425</v>
      </c>
      <c r="H25" s="135">
        <f t="shared" si="10"/>
        <v>-0.1474500587415602</v>
      </c>
      <c r="I25" s="135">
        <f t="shared" si="10"/>
        <v>-0.20070586262500584</v>
      </c>
      <c r="J25" s="133">
        <f t="shared" si="10"/>
        <v>-0.22974850082799123</v>
      </c>
      <c r="K25" s="133">
        <f t="shared" si="10"/>
        <v>0.15108397110457755</v>
      </c>
      <c r="L25" s="133">
        <f t="shared" si="10"/>
        <v>-0.12542169832020872</v>
      </c>
      <c r="M25" s="135">
        <f t="shared" si="10"/>
        <v>8.6097515440168755E-3</v>
      </c>
      <c r="N25" s="135">
        <f t="shared" si="10"/>
        <v>7.1412652511446725E-2</v>
      </c>
      <c r="O25" s="135">
        <f t="shared" si="10"/>
        <v>-0.14213258896139042</v>
      </c>
      <c r="P25" s="135">
        <f t="shared" si="10"/>
        <v>0.19156185086819416</v>
      </c>
      <c r="Q25" s="135">
        <f t="shared" si="10"/>
        <v>0.36587557875064625</v>
      </c>
      <c r="R25" s="135">
        <f t="shared" si="10"/>
        <v>0.50792424061081987</v>
      </c>
      <c r="S25" s="135">
        <f t="shared" si="10"/>
        <v>0.3242966177848467</v>
      </c>
      <c r="T25" s="135">
        <f t="shared" si="10"/>
        <v>0.26730565721363936</v>
      </c>
      <c r="U25" s="135">
        <f t="shared" si="10"/>
        <v>4.9170848375234527E-2</v>
      </c>
      <c r="V25" s="133">
        <f t="shared" si="10"/>
        <v>-0.22115288993796411</v>
      </c>
      <c r="W25" s="133">
        <f t="shared" si="10"/>
        <v>2.9106222719528847E-2</v>
      </c>
      <c r="X25" s="133">
        <f t="shared" si="10"/>
        <v>0.18010406167078591</v>
      </c>
      <c r="Y25" s="133">
        <f t="shared" si="10"/>
        <v>0.26058744194956973</v>
      </c>
      <c r="Z25" s="133">
        <f t="shared" si="10"/>
        <v>0.22862908119028383</v>
      </c>
      <c r="AA25" s="133">
        <f t="shared" si="10"/>
        <v>-0.23909710186669009</v>
      </c>
      <c r="AB25" s="133">
        <f t="shared" si="10"/>
        <v>-0.23295372515614401</v>
      </c>
      <c r="AC25" s="133">
        <f t="shared" si="10"/>
        <v>-0.19855252401821458</v>
      </c>
      <c r="AD25" s="133">
        <f t="shared" si="10"/>
        <v>-0.16698896196516616</v>
      </c>
      <c r="AE25" s="133">
        <f t="shared" si="10"/>
        <v>-0.10891681478229237</v>
      </c>
      <c r="AF25" s="133">
        <f t="shared" si="10"/>
        <v>-0.20504681676855205</v>
      </c>
      <c r="AG25" s="133">
        <f t="shared" si="10"/>
        <v>-0.21902384630693106</v>
      </c>
      <c r="AH25" s="133">
        <f t="shared" si="10"/>
        <v>6.9390169790526341</v>
      </c>
      <c r="AI25" s="133">
        <f t="shared" si="10"/>
        <v>10.340619390180818</v>
      </c>
      <c r="AJ25" s="133">
        <f t="shared" si="10"/>
        <v>9.6646653004225325</v>
      </c>
      <c r="AK25" s="133">
        <f t="shared" si="10"/>
        <v>9.8034784168119629</v>
      </c>
      <c r="AL25" s="133">
        <f t="shared" si="10"/>
        <v>0.78975322834613049</v>
      </c>
      <c r="AM25" s="133" t="e">
        <f t="shared" si="10"/>
        <v>#DIV/0!</v>
      </c>
      <c r="AN25" s="133" t="e">
        <f t="shared" si="10"/>
        <v>#DIV/0!</v>
      </c>
      <c r="AO25" s="133" t="e">
        <f t="shared" si="10"/>
        <v>#DIV/0!</v>
      </c>
      <c r="AP25" s="133" t="e">
        <f t="shared" si="10"/>
        <v>#DIV/0!</v>
      </c>
      <c r="AQ25" s="133" t="e">
        <f t="shared" si="10"/>
        <v>#DIV/0!</v>
      </c>
      <c r="AR25" s="133" t="e">
        <f t="shared" si="10"/>
        <v>#DIV/0!</v>
      </c>
      <c r="AS25" s="133" t="e">
        <f t="shared" si="10"/>
        <v>#DIV/0!</v>
      </c>
      <c r="AT25" s="133" t="e">
        <f t="shared" si="10"/>
        <v>#DIV/0!</v>
      </c>
      <c r="AU25" s="133" t="e">
        <f t="shared" si="10"/>
        <v>#DIV/0!</v>
      </c>
      <c r="AV25" s="133" t="e">
        <f t="shared" si="10"/>
        <v>#DIV/0!</v>
      </c>
      <c r="AW25" s="133" t="e">
        <f t="shared" si="10"/>
        <v>#DIV/0!</v>
      </c>
      <c r="AX25" s="133" t="e">
        <f t="shared" si="10"/>
        <v>#DIV/0!</v>
      </c>
      <c r="AY25" s="133" t="e">
        <f t="shared" si="10"/>
        <v>#DIV/0!</v>
      </c>
      <c r="AZ25" s="133" t="e">
        <f t="shared" si="10"/>
        <v>#DIV/0!</v>
      </c>
      <c r="BA25" s="133" t="e">
        <f t="shared" si="10"/>
        <v>#DIV/0!</v>
      </c>
      <c r="BB25" s="133" t="e">
        <f t="shared" si="10"/>
        <v>#DIV/0!</v>
      </c>
      <c r="BC25" s="133" t="e">
        <f t="shared" si="10"/>
        <v>#DIV/0!</v>
      </c>
      <c r="BD25" s="133" t="e">
        <f t="shared" si="10"/>
        <v>#DIV/0!</v>
      </c>
      <c r="BE25" s="133" t="e">
        <f t="shared" si="10"/>
        <v>#DIV/0!</v>
      </c>
      <c r="BF25" s="133" t="e">
        <f t="shared" si="10"/>
        <v>#DIV/0!</v>
      </c>
      <c r="BG25" s="133" t="e">
        <f t="shared" si="10"/>
        <v>#DIV/0!</v>
      </c>
      <c r="BH25" s="133" t="e">
        <f t="shared" si="10"/>
        <v>#DIV/0!</v>
      </c>
      <c r="BI25" s="133" t="e">
        <f t="shared" si="10"/>
        <v>#DIV/0!</v>
      </c>
      <c r="BJ25" s="133" t="e">
        <f t="shared" si="10"/>
        <v>#DIV/0!</v>
      </c>
      <c r="BK25" s="133" t="e">
        <f t="shared" si="10"/>
        <v>#DIV/0!</v>
      </c>
      <c r="BL25" s="133" t="e">
        <f t="shared" si="10"/>
        <v>#DIV/0!</v>
      </c>
      <c r="BM25" s="133" t="e">
        <f t="shared" si="10"/>
        <v>#DIV/0!</v>
      </c>
      <c r="BN25" s="133" t="e">
        <f t="shared" si="10"/>
        <v>#DIV/0!</v>
      </c>
      <c r="BO25" s="133" t="e">
        <f t="shared" si="10"/>
        <v>#DIV/0!</v>
      </c>
      <c r="BP25" s="133" t="e">
        <f t="shared" si="10"/>
        <v>#DIV/0!</v>
      </c>
      <c r="BQ25" s="133" t="e">
        <f t="shared" si="10"/>
        <v>#DIV/0!</v>
      </c>
      <c r="BR25" s="133" t="e">
        <f t="shared" ref="BR25:CK25" si="11">(BR2-BV2)/BV2</f>
        <v>#DIV/0!</v>
      </c>
      <c r="BS25" s="133" t="e">
        <f t="shared" si="11"/>
        <v>#DIV/0!</v>
      </c>
      <c r="BT25" s="133" t="e">
        <f t="shared" si="11"/>
        <v>#DIV/0!</v>
      </c>
      <c r="BU25" s="133" t="e">
        <f t="shared" si="11"/>
        <v>#DIV/0!</v>
      </c>
      <c r="BV25" s="133" t="e">
        <f t="shared" si="11"/>
        <v>#DIV/0!</v>
      </c>
      <c r="BW25" s="133" t="e">
        <f t="shared" si="11"/>
        <v>#DIV/0!</v>
      </c>
      <c r="BX25" s="133" t="e">
        <f t="shared" si="11"/>
        <v>#DIV/0!</v>
      </c>
      <c r="BY25" s="133" t="e">
        <f t="shared" si="11"/>
        <v>#DIV/0!</v>
      </c>
      <c r="BZ25" s="133" t="e">
        <f t="shared" si="11"/>
        <v>#DIV/0!</v>
      </c>
      <c r="CA25" s="133" t="e">
        <f t="shared" si="11"/>
        <v>#DIV/0!</v>
      </c>
      <c r="CB25" s="133" t="e">
        <f t="shared" si="11"/>
        <v>#DIV/0!</v>
      </c>
      <c r="CC25" s="133" t="e">
        <f t="shared" si="11"/>
        <v>#DIV/0!</v>
      </c>
      <c r="CD25" s="133" t="e">
        <f t="shared" si="11"/>
        <v>#DIV/0!</v>
      </c>
      <c r="CE25" s="133" t="e">
        <f t="shared" si="11"/>
        <v>#DIV/0!</v>
      </c>
      <c r="CF25" s="133" t="e">
        <f t="shared" si="11"/>
        <v>#DIV/0!</v>
      </c>
      <c r="CG25" s="133" t="e">
        <f t="shared" si="11"/>
        <v>#DIV/0!</v>
      </c>
      <c r="CH25" s="133" t="e">
        <f t="shared" si="11"/>
        <v>#DIV/0!</v>
      </c>
      <c r="CI25" s="133" t="e">
        <f t="shared" si="11"/>
        <v>#DIV/0!</v>
      </c>
      <c r="CJ25" s="133" t="e">
        <f t="shared" si="11"/>
        <v>#DIV/0!</v>
      </c>
      <c r="CK25" s="133" t="e">
        <f t="shared" si="11"/>
        <v>#DIV/0!</v>
      </c>
    </row>
    <row r="26" spans="1:90" s="135" customFormat="1">
      <c r="A26" s="134" t="s">
        <v>572</v>
      </c>
      <c r="E26" s="135">
        <f>E2/E9</f>
        <v>0.22665733322244935</v>
      </c>
      <c r="F26" s="135">
        <f t="shared" ref="F26:BQ26" si="12">F2/F9</f>
        <v>0.23590241975299195</v>
      </c>
      <c r="G26" s="135">
        <f t="shared" si="12"/>
        <v>0.17873959683580301</v>
      </c>
      <c r="H26" s="135">
        <f t="shared" si="12"/>
        <v>0.24055853692264303</v>
      </c>
      <c r="I26" s="135">
        <f t="shared" si="12"/>
        <v>0.29071763095845182</v>
      </c>
      <c r="J26" s="135">
        <f t="shared" si="12"/>
        <v>0.25137597712871235</v>
      </c>
      <c r="K26" s="135">
        <f t="shared" si="12"/>
        <v>0.27222501445894609</v>
      </c>
      <c r="L26" s="135">
        <f t="shared" si="12"/>
        <v>0.33194846513767751</v>
      </c>
      <c r="M26" s="135">
        <f t="shared" si="12"/>
        <v>0.41992953290909785</v>
      </c>
      <c r="N26" s="135">
        <f t="shared" si="12"/>
        <v>0.33444962146594431</v>
      </c>
      <c r="O26" s="135">
        <f t="shared" si="12"/>
        <v>0.24371574336996993</v>
      </c>
      <c r="P26" s="135">
        <f t="shared" si="12"/>
        <v>0.39995204906663012</v>
      </c>
      <c r="Q26" s="135">
        <f t="shared" si="12"/>
        <v>0.4430089480199319</v>
      </c>
      <c r="R26" s="135">
        <f t="shared" si="12"/>
        <v>0.35734430508367443</v>
      </c>
      <c r="S26" s="135">
        <f t="shared" si="12"/>
        <v>0.32898982825117751</v>
      </c>
      <c r="T26" s="135">
        <f t="shared" si="12"/>
        <v>0.39394649295863104</v>
      </c>
      <c r="U26" s="135">
        <f t="shared" si="12"/>
        <v>0.38533574615758626</v>
      </c>
      <c r="V26" s="135">
        <f t="shared" si="12"/>
        <v>0.29269324214967618</v>
      </c>
      <c r="W26" s="135">
        <f t="shared" si="12"/>
        <v>0.30062676721709181</v>
      </c>
      <c r="X26" s="135">
        <f t="shared" si="12"/>
        <v>0.36754447591514045</v>
      </c>
      <c r="Y26" s="135">
        <f t="shared" si="12"/>
        <v>0.43447303433298129</v>
      </c>
      <c r="Z26" s="135">
        <f t="shared" si="12"/>
        <v>0.44037690043122191</v>
      </c>
      <c r="AA26" s="135">
        <f t="shared" si="12"/>
        <v>0.34636133073446967</v>
      </c>
      <c r="AB26" s="135">
        <f t="shared" si="12"/>
        <v>0.36894570230380341</v>
      </c>
      <c r="AC26" s="135">
        <f t="shared" si="12"/>
        <v>0.40807925052444771</v>
      </c>
      <c r="AD26" s="135">
        <f t="shared" si="12"/>
        <v>0.42245806330896818</v>
      </c>
      <c r="AE26" s="135">
        <f t="shared" si="12"/>
        <v>0.51912012857498835</v>
      </c>
      <c r="AF26" s="135">
        <f t="shared" si="12"/>
        <v>0.54428366543239126</v>
      </c>
      <c r="AG26" s="135">
        <f t="shared" si="12"/>
        <v>0.55723117341069972</v>
      </c>
      <c r="AH26" s="135">
        <f t="shared" si="12"/>
        <v>0.5600822722636688</v>
      </c>
      <c r="AI26" s="135">
        <f t="shared" si="12"/>
        <v>0.66032359283315933</v>
      </c>
      <c r="AJ26" s="135">
        <f t="shared" si="12"/>
        <v>0.7759631728563835</v>
      </c>
      <c r="AK26" s="135">
        <f t="shared" si="12"/>
        <v>0.81883245151050799</v>
      </c>
      <c r="AL26" s="135">
        <f t="shared" si="12"/>
        <v>0.28289903711292513</v>
      </c>
      <c r="AM26" s="135">
        <f t="shared" si="12"/>
        <v>0.23004877400923046</v>
      </c>
      <c r="AN26" s="135">
        <f t="shared" si="12"/>
        <v>0.27400036451074733</v>
      </c>
      <c r="AO26" s="135">
        <f t="shared" si="12"/>
        <v>0.30204681460883948</v>
      </c>
      <c r="AP26" s="135">
        <f t="shared" si="12"/>
        <v>0.25079008613593012</v>
      </c>
      <c r="AQ26" s="135" t="e">
        <f t="shared" si="12"/>
        <v>#DIV/0!</v>
      </c>
      <c r="AR26" s="135" t="e">
        <f t="shared" si="12"/>
        <v>#DIV/0!</v>
      </c>
      <c r="AS26" s="135" t="e">
        <f t="shared" si="12"/>
        <v>#DIV/0!</v>
      </c>
      <c r="AT26" s="135" t="e">
        <f t="shared" si="12"/>
        <v>#DIV/0!</v>
      </c>
      <c r="AU26" s="135" t="e">
        <f t="shared" si="12"/>
        <v>#DIV/0!</v>
      </c>
      <c r="AV26" s="135" t="e">
        <f t="shared" si="12"/>
        <v>#DIV/0!</v>
      </c>
      <c r="AW26" s="135" t="e">
        <f t="shared" si="12"/>
        <v>#DIV/0!</v>
      </c>
      <c r="AX26" s="135" t="e">
        <f t="shared" si="12"/>
        <v>#DIV/0!</v>
      </c>
      <c r="AY26" s="135" t="e">
        <f t="shared" si="12"/>
        <v>#DIV/0!</v>
      </c>
      <c r="AZ26" s="135" t="e">
        <f t="shared" si="12"/>
        <v>#DIV/0!</v>
      </c>
      <c r="BA26" s="135" t="e">
        <f t="shared" si="12"/>
        <v>#DIV/0!</v>
      </c>
      <c r="BB26" s="135" t="e">
        <f t="shared" si="12"/>
        <v>#DIV/0!</v>
      </c>
      <c r="BC26" s="135" t="e">
        <f t="shared" si="12"/>
        <v>#DIV/0!</v>
      </c>
      <c r="BD26" s="135" t="e">
        <f t="shared" si="12"/>
        <v>#DIV/0!</v>
      </c>
      <c r="BE26" s="135" t="e">
        <f t="shared" si="12"/>
        <v>#DIV/0!</v>
      </c>
      <c r="BF26" s="135" t="e">
        <f t="shared" si="12"/>
        <v>#DIV/0!</v>
      </c>
      <c r="BG26" s="135" t="e">
        <f t="shared" si="12"/>
        <v>#DIV/0!</v>
      </c>
      <c r="BH26" s="135" t="e">
        <f t="shared" si="12"/>
        <v>#DIV/0!</v>
      </c>
      <c r="BI26" s="135" t="e">
        <f t="shared" si="12"/>
        <v>#DIV/0!</v>
      </c>
      <c r="BJ26" s="135" t="e">
        <f t="shared" si="12"/>
        <v>#DIV/0!</v>
      </c>
      <c r="BK26" s="135" t="e">
        <f t="shared" si="12"/>
        <v>#DIV/0!</v>
      </c>
      <c r="BL26" s="135" t="e">
        <f t="shared" si="12"/>
        <v>#DIV/0!</v>
      </c>
      <c r="BM26" s="135" t="e">
        <f t="shared" si="12"/>
        <v>#DIV/0!</v>
      </c>
      <c r="BN26" s="135" t="e">
        <f t="shared" si="12"/>
        <v>#DIV/0!</v>
      </c>
      <c r="BO26" s="135" t="e">
        <f t="shared" si="12"/>
        <v>#DIV/0!</v>
      </c>
      <c r="BP26" s="135" t="e">
        <f t="shared" si="12"/>
        <v>#DIV/0!</v>
      </c>
      <c r="BQ26" s="135" t="e">
        <f t="shared" si="12"/>
        <v>#DIV/0!</v>
      </c>
      <c r="BR26" s="135" t="e">
        <f t="shared" ref="BR26:CK26" si="13">BR2/BR9</f>
        <v>#DIV/0!</v>
      </c>
      <c r="BS26" s="135" t="e">
        <f t="shared" si="13"/>
        <v>#DIV/0!</v>
      </c>
      <c r="BT26" s="135" t="e">
        <f t="shared" si="13"/>
        <v>#DIV/0!</v>
      </c>
      <c r="BU26" s="135" t="e">
        <f t="shared" si="13"/>
        <v>#DIV/0!</v>
      </c>
      <c r="BV26" s="135" t="e">
        <f t="shared" si="13"/>
        <v>#DIV/0!</v>
      </c>
      <c r="BW26" s="135" t="e">
        <f t="shared" si="13"/>
        <v>#DIV/0!</v>
      </c>
      <c r="BX26" s="135" t="e">
        <f t="shared" si="13"/>
        <v>#DIV/0!</v>
      </c>
      <c r="BY26" s="135" t="e">
        <f t="shared" si="13"/>
        <v>#DIV/0!</v>
      </c>
      <c r="BZ26" s="135" t="e">
        <f t="shared" si="13"/>
        <v>#DIV/0!</v>
      </c>
      <c r="CA26" s="135" t="e">
        <f t="shared" si="13"/>
        <v>#DIV/0!</v>
      </c>
      <c r="CB26" s="135" t="e">
        <f t="shared" si="13"/>
        <v>#DIV/0!</v>
      </c>
      <c r="CC26" s="135" t="e">
        <f t="shared" si="13"/>
        <v>#DIV/0!</v>
      </c>
      <c r="CD26" s="135" t="e">
        <f t="shared" si="13"/>
        <v>#DIV/0!</v>
      </c>
      <c r="CE26" s="135" t="e">
        <f t="shared" si="13"/>
        <v>#DIV/0!</v>
      </c>
      <c r="CF26" s="135" t="e">
        <f t="shared" si="13"/>
        <v>#DIV/0!</v>
      </c>
      <c r="CG26" s="135" t="e">
        <f t="shared" si="13"/>
        <v>#DIV/0!</v>
      </c>
      <c r="CH26" s="135" t="e">
        <f t="shared" si="13"/>
        <v>#DIV/0!</v>
      </c>
      <c r="CI26" s="135" t="e">
        <f t="shared" si="13"/>
        <v>#DIV/0!</v>
      </c>
      <c r="CJ26" s="135" t="e">
        <f t="shared" si="13"/>
        <v>#DIV/0!</v>
      </c>
      <c r="CK26" s="135" t="e">
        <f t="shared" si="13"/>
        <v>#DIV/0!</v>
      </c>
    </row>
    <row r="27" spans="1:90" s="137" customFormat="1">
      <c r="A27" s="136" t="s">
        <v>565</v>
      </c>
      <c r="E27" s="137" t="e">
        <f>(E3-I3)/I3</f>
        <v>#DIV/0!</v>
      </c>
      <c r="F27" s="137" t="e">
        <f t="shared" ref="F27:BQ27" si="14">(F3-J3)/J3</f>
        <v>#DIV/0!</v>
      </c>
      <c r="G27" s="137" t="e">
        <f t="shared" si="14"/>
        <v>#DIV/0!</v>
      </c>
      <c r="H27" s="137" t="e">
        <f t="shared" si="14"/>
        <v>#DIV/0!</v>
      </c>
      <c r="I27" s="137" t="e">
        <f t="shared" si="14"/>
        <v>#DIV/0!</v>
      </c>
      <c r="J27" s="137">
        <f t="shared" si="14"/>
        <v>-1</v>
      </c>
      <c r="K27" s="137">
        <f t="shared" si="14"/>
        <v>-1</v>
      </c>
      <c r="L27" s="137" t="e">
        <f t="shared" si="14"/>
        <v>#DIV/0!</v>
      </c>
      <c r="M27" s="137" t="e">
        <f t="shared" si="14"/>
        <v>#DIV/0!</v>
      </c>
      <c r="N27" s="137" t="e">
        <f t="shared" si="14"/>
        <v>#DIV/0!</v>
      </c>
      <c r="O27" s="137" t="e">
        <f t="shared" si="14"/>
        <v>#DIV/0!</v>
      </c>
      <c r="P27" s="137" t="e">
        <f t="shared" si="14"/>
        <v>#DIV/0!</v>
      </c>
      <c r="Q27" s="137" t="e">
        <f t="shared" si="14"/>
        <v>#DIV/0!</v>
      </c>
      <c r="R27" s="137" t="e">
        <f t="shared" si="14"/>
        <v>#DIV/0!</v>
      </c>
      <c r="S27" s="137" t="e">
        <f t="shared" si="14"/>
        <v>#DIV/0!</v>
      </c>
      <c r="T27" s="137" t="e">
        <f t="shared" si="14"/>
        <v>#DIV/0!</v>
      </c>
      <c r="U27" s="137" t="e">
        <f t="shared" si="14"/>
        <v>#DIV/0!</v>
      </c>
      <c r="V27" s="137" t="e">
        <f t="shared" si="14"/>
        <v>#DIV/0!</v>
      </c>
      <c r="W27" s="137" t="e">
        <f t="shared" si="14"/>
        <v>#DIV/0!</v>
      </c>
      <c r="X27" s="137" t="e">
        <f t="shared" si="14"/>
        <v>#DIV/0!</v>
      </c>
      <c r="Y27" s="137" t="e">
        <f t="shared" si="14"/>
        <v>#DIV/0!</v>
      </c>
      <c r="Z27" s="137" t="e">
        <f t="shared" si="14"/>
        <v>#DIV/0!</v>
      </c>
      <c r="AA27" s="137" t="e">
        <f t="shared" si="14"/>
        <v>#DIV/0!</v>
      </c>
      <c r="AB27" s="137" t="e">
        <f t="shared" si="14"/>
        <v>#DIV/0!</v>
      </c>
      <c r="AC27" s="137" t="e">
        <f t="shared" si="14"/>
        <v>#DIV/0!</v>
      </c>
      <c r="AD27" s="137" t="e">
        <f t="shared" si="14"/>
        <v>#DIV/0!</v>
      </c>
      <c r="AE27" s="137" t="e">
        <f t="shared" si="14"/>
        <v>#DIV/0!</v>
      </c>
      <c r="AF27" s="137" t="e">
        <f t="shared" si="14"/>
        <v>#DIV/0!</v>
      </c>
      <c r="AG27" s="137" t="e">
        <f t="shared" si="14"/>
        <v>#DIV/0!</v>
      </c>
      <c r="AH27" s="137" t="e">
        <f t="shared" si="14"/>
        <v>#DIV/0!</v>
      </c>
      <c r="AI27" s="137" t="e">
        <f t="shared" si="14"/>
        <v>#DIV/0!</v>
      </c>
      <c r="AJ27" s="137" t="e">
        <f t="shared" si="14"/>
        <v>#DIV/0!</v>
      </c>
      <c r="AK27" s="137" t="e">
        <f t="shared" si="14"/>
        <v>#DIV/0!</v>
      </c>
      <c r="AL27" s="137" t="e">
        <f t="shared" si="14"/>
        <v>#DIV/0!</v>
      </c>
      <c r="AM27" s="137" t="e">
        <f t="shared" si="14"/>
        <v>#DIV/0!</v>
      </c>
      <c r="AN27" s="137" t="e">
        <f t="shared" si="14"/>
        <v>#DIV/0!</v>
      </c>
      <c r="AO27" s="137" t="e">
        <f t="shared" si="14"/>
        <v>#DIV/0!</v>
      </c>
      <c r="AP27" s="137" t="e">
        <f t="shared" si="14"/>
        <v>#DIV/0!</v>
      </c>
      <c r="AQ27" s="137" t="e">
        <f t="shared" si="14"/>
        <v>#DIV/0!</v>
      </c>
      <c r="AR27" s="137" t="e">
        <f t="shared" si="14"/>
        <v>#DIV/0!</v>
      </c>
      <c r="AS27" s="137" t="e">
        <f t="shared" si="14"/>
        <v>#DIV/0!</v>
      </c>
      <c r="AT27" s="137" t="e">
        <f t="shared" si="14"/>
        <v>#DIV/0!</v>
      </c>
      <c r="AU27" s="137" t="e">
        <f t="shared" si="14"/>
        <v>#DIV/0!</v>
      </c>
      <c r="AV27" s="137" t="e">
        <f t="shared" si="14"/>
        <v>#DIV/0!</v>
      </c>
      <c r="AW27" s="137" t="e">
        <f t="shared" si="14"/>
        <v>#DIV/0!</v>
      </c>
      <c r="AX27" s="137" t="e">
        <f t="shared" si="14"/>
        <v>#DIV/0!</v>
      </c>
      <c r="AY27" s="137" t="e">
        <f t="shared" si="14"/>
        <v>#DIV/0!</v>
      </c>
      <c r="AZ27" s="137" t="e">
        <f t="shared" si="14"/>
        <v>#DIV/0!</v>
      </c>
      <c r="BA27" s="137" t="e">
        <f t="shared" si="14"/>
        <v>#DIV/0!</v>
      </c>
      <c r="BB27" s="137" t="e">
        <f t="shared" si="14"/>
        <v>#DIV/0!</v>
      </c>
      <c r="BC27" s="137" t="e">
        <f t="shared" si="14"/>
        <v>#DIV/0!</v>
      </c>
      <c r="BD27" s="137" t="e">
        <f t="shared" si="14"/>
        <v>#DIV/0!</v>
      </c>
      <c r="BE27" s="137" t="e">
        <f t="shared" si="14"/>
        <v>#DIV/0!</v>
      </c>
      <c r="BF27" s="137" t="e">
        <f t="shared" si="14"/>
        <v>#DIV/0!</v>
      </c>
      <c r="BG27" s="137" t="e">
        <f t="shared" si="14"/>
        <v>#DIV/0!</v>
      </c>
      <c r="BH27" s="137" t="e">
        <f t="shared" si="14"/>
        <v>#DIV/0!</v>
      </c>
      <c r="BI27" s="137" t="e">
        <f t="shared" si="14"/>
        <v>#DIV/0!</v>
      </c>
      <c r="BJ27" s="137" t="e">
        <f t="shared" si="14"/>
        <v>#DIV/0!</v>
      </c>
      <c r="BK27" s="137" t="e">
        <f t="shared" si="14"/>
        <v>#DIV/0!</v>
      </c>
      <c r="BL27" s="137" t="e">
        <f t="shared" si="14"/>
        <v>#DIV/0!</v>
      </c>
      <c r="BM27" s="137" t="e">
        <f t="shared" si="14"/>
        <v>#DIV/0!</v>
      </c>
      <c r="BN27" s="137" t="e">
        <f t="shared" si="14"/>
        <v>#DIV/0!</v>
      </c>
      <c r="BO27" s="137" t="e">
        <f t="shared" si="14"/>
        <v>#DIV/0!</v>
      </c>
      <c r="BP27" s="137" t="e">
        <f t="shared" si="14"/>
        <v>#DIV/0!</v>
      </c>
      <c r="BQ27" s="137" t="e">
        <f t="shared" si="14"/>
        <v>#DIV/0!</v>
      </c>
      <c r="BR27" s="137" t="e">
        <f t="shared" ref="BR27:CL27" si="15">(BR3-BV3)/BV3</f>
        <v>#DIV/0!</v>
      </c>
      <c r="BS27" s="137" t="e">
        <f t="shared" si="15"/>
        <v>#DIV/0!</v>
      </c>
      <c r="BT27" s="137" t="e">
        <f t="shared" si="15"/>
        <v>#DIV/0!</v>
      </c>
      <c r="BU27" s="137" t="e">
        <f t="shared" si="15"/>
        <v>#DIV/0!</v>
      </c>
      <c r="BV27" s="137" t="e">
        <f t="shared" si="15"/>
        <v>#DIV/0!</v>
      </c>
      <c r="BW27" s="137" t="e">
        <f t="shared" si="15"/>
        <v>#DIV/0!</v>
      </c>
      <c r="BX27" s="137" t="e">
        <f t="shared" si="15"/>
        <v>#DIV/0!</v>
      </c>
      <c r="BY27" s="137" t="e">
        <f t="shared" si="15"/>
        <v>#DIV/0!</v>
      </c>
      <c r="BZ27" s="137" t="e">
        <f t="shared" si="15"/>
        <v>#DIV/0!</v>
      </c>
      <c r="CA27" s="137" t="e">
        <f t="shared" si="15"/>
        <v>#DIV/0!</v>
      </c>
      <c r="CB27" s="137" t="e">
        <f t="shared" si="15"/>
        <v>#DIV/0!</v>
      </c>
      <c r="CC27" s="137" t="e">
        <f t="shared" si="15"/>
        <v>#DIV/0!</v>
      </c>
      <c r="CD27" s="137" t="e">
        <f t="shared" si="15"/>
        <v>#DIV/0!</v>
      </c>
      <c r="CE27" s="137" t="e">
        <f t="shared" si="15"/>
        <v>#DIV/0!</v>
      </c>
      <c r="CF27" s="137" t="e">
        <f t="shared" si="15"/>
        <v>#DIV/0!</v>
      </c>
      <c r="CG27" s="137" t="e">
        <f t="shared" si="15"/>
        <v>#DIV/0!</v>
      </c>
      <c r="CH27" s="137" t="e">
        <f t="shared" si="15"/>
        <v>#DIV/0!</v>
      </c>
      <c r="CI27" s="137" t="e">
        <f t="shared" si="15"/>
        <v>#DIV/0!</v>
      </c>
      <c r="CJ27" s="137" t="e">
        <f t="shared" si="15"/>
        <v>#DIV/0!</v>
      </c>
      <c r="CK27" s="137" t="e">
        <f t="shared" si="15"/>
        <v>#DIV/0!</v>
      </c>
      <c r="CL27" s="137" t="e">
        <f t="shared" si="15"/>
        <v>#DIV/0!</v>
      </c>
    </row>
    <row r="28" spans="1:90" s="137" customFormat="1">
      <c r="A28" s="136" t="s">
        <v>573</v>
      </c>
      <c r="E28" s="137">
        <f>E3/E9</f>
        <v>0</v>
      </c>
      <c r="F28" s="137">
        <f t="shared" ref="F28:BQ28" si="16">F3/F9</f>
        <v>0</v>
      </c>
      <c r="G28" s="137">
        <f t="shared" si="16"/>
        <v>0</v>
      </c>
      <c r="H28" s="137">
        <f t="shared" si="16"/>
        <v>0</v>
      </c>
      <c r="I28" s="137">
        <f t="shared" si="16"/>
        <v>0</v>
      </c>
      <c r="J28" s="137">
        <f t="shared" si="16"/>
        <v>0</v>
      </c>
      <c r="K28" s="137">
        <f t="shared" si="16"/>
        <v>0</v>
      </c>
      <c r="L28" s="137">
        <f t="shared" si="16"/>
        <v>0</v>
      </c>
      <c r="M28" s="137">
        <f t="shared" si="16"/>
        <v>0</v>
      </c>
      <c r="N28" s="137">
        <f t="shared" si="16"/>
        <v>9.2729289099315479E-2</v>
      </c>
      <c r="O28" s="137">
        <f t="shared" si="16"/>
        <v>9.5891889032274649E-2</v>
      </c>
      <c r="P28" s="137">
        <f t="shared" si="16"/>
        <v>0</v>
      </c>
      <c r="Q28" s="137">
        <f t="shared" si="16"/>
        <v>0</v>
      </c>
      <c r="R28" s="137">
        <f t="shared" si="16"/>
        <v>0</v>
      </c>
      <c r="S28" s="137">
        <f t="shared" si="16"/>
        <v>0</v>
      </c>
      <c r="T28" s="137">
        <f t="shared" si="16"/>
        <v>0</v>
      </c>
      <c r="U28" s="137">
        <f t="shared" si="16"/>
        <v>0</v>
      </c>
      <c r="V28" s="137">
        <f t="shared" si="16"/>
        <v>0</v>
      </c>
      <c r="W28" s="137">
        <f t="shared" si="16"/>
        <v>0</v>
      </c>
      <c r="X28" s="137">
        <f t="shared" si="16"/>
        <v>0</v>
      </c>
      <c r="Y28" s="137">
        <f t="shared" si="16"/>
        <v>0</v>
      </c>
      <c r="Z28" s="137">
        <f t="shared" si="16"/>
        <v>0</v>
      </c>
      <c r="AA28" s="137">
        <f t="shared" si="16"/>
        <v>0</v>
      </c>
      <c r="AB28" s="137">
        <f t="shared" si="16"/>
        <v>0</v>
      </c>
      <c r="AC28" s="137">
        <f t="shared" si="16"/>
        <v>0</v>
      </c>
      <c r="AD28" s="137">
        <f t="shared" si="16"/>
        <v>0</v>
      </c>
      <c r="AE28" s="137">
        <f t="shared" si="16"/>
        <v>0</v>
      </c>
      <c r="AF28" s="137">
        <f t="shared" si="16"/>
        <v>0</v>
      </c>
      <c r="AG28" s="137">
        <f t="shared" si="16"/>
        <v>0</v>
      </c>
      <c r="AH28" s="137">
        <f t="shared" si="16"/>
        <v>0</v>
      </c>
      <c r="AI28" s="137">
        <f t="shared" si="16"/>
        <v>0</v>
      </c>
      <c r="AJ28" s="137">
        <f t="shared" si="16"/>
        <v>0</v>
      </c>
      <c r="AK28" s="137">
        <f t="shared" si="16"/>
        <v>0</v>
      </c>
      <c r="AL28" s="137">
        <f t="shared" si="16"/>
        <v>0</v>
      </c>
      <c r="AM28" s="137">
        <f t="shared" si="16"/>
        <v>0</v>
      </c>
      <c r="AN28" s="137">
        <f t="shared" si="16"/>
        <v>0</v>
      </c>
      <c r="AO28" s="137">
        <f t="shared" si="16"/>
        <v>0</v>
      </c>
      <c r="AP28" s="137">
        <f t="shared" si="16"/>
        <v>0</v>
      </c>
      <c r="AQ28" s="137" t="e">
        <f t="shared" si="16"/>
        <v>#DIV/0!</v>
      </c>
      <c r="AR28" s="137" t="e">
        <f t="shared" si="16"/>
        <v>#DIV/0!</v>
      </c>
      <c r="AS28" s="137" t="e">
        <f t="shared" si="16"/>
        <v>#DIV/0!</v>
      </c>
      <c r="AT28" s="137" t="e">
        <f t="shared" si="16"/>
        <v>#DIV/0!</v>
      </c>
      <c r="AU28" s="137" t="e">
        <f t="shared" si="16"/>
        <v>#DIV/0!</v>
      </c>
      <c r="AV28" s="137" t="e">
        <f t="shared" si="16"/>
        <v>#DIV/0!</v>
      </c>
      <c r="AW28" s="137" t="e">
        <f t="shared" si="16"/>
        <v>#DIV/0!</v>
      </c>
      <c r="AX28" s="137" t="e">
        <f t="shared" si="16"/>
        <v>#DIV/0!</v>
      </c>
      <c r="AY28" s="137" t="e">
        <f t="shared" si="16"/>
        <v>#DIV/0!</v>
      </c>
      <c r="AZ28" s="137" t="e">
        <f t="shared" si="16"/>
        <v>#DIV/0!</v>
      </c>
      <c r="BA28" s="137" t="e">
        <f t="shared" si="16"/>
        <v>#DIV/0!</v>
      </c>
      <c r="BB28" s="137" t="e">
        <f t="shared" si="16"/>
        <v>#DIV/0!</v>
      </c>
      <c r="BC28" s="137" t="e">
        <f t="shared" si="16"/>
        <v>#DIV/0!</v>
      </c>
      <c r="BD28" s="137" t="e">
        <f t="shared" si="16"/>
        <v>#DIV/0!</v>
      </c>
      <c r="BE28" s="137" t="e">
        <f t="shared" si="16"/>
        <v>#DIV/0!</v>
      </c>
      <c r="BF28" s="137" t="e">
        <f t="shared" si="16"/>
        <v>#DIV/0!</v>
      </c>
      <c r="BG28" s="137" t="e">
        <f t="shared" si="16"/>
        <v>#DIV/0!</v>
      </c>
      <c r="BH28" s="137" t="e">
        <f t="shared" si="16"/>
        <v>#DIV/0!</v>
      </c>
      <c r="BI28" s="137" t="e">
        <f t="shared" si="16"/>
        <v>#DIV/0!</v>
      </c>
      <c r="BJ28" s="137" t="e">
        <f t="shared" si="16"/>
        <v>#DIV/0!</v>
      </c>
      <c r="BK28" s="137" t="e">
        <f t="shared" si="16"/>
        <v>#DIV/0!</v>
      </c>
      <c r="BL28" s="137" t="e">
        <f t="shared" si="16"/>
        <v>#DIV/0!</v>
      </c>
      <c r="BM28" s="137" t="e">
        <f t="shared" si="16"/>
        <v>#DIV/0!</v>
      </c>
      <c r="BN28" s="137" t="e">
        <f t="shared" si="16"/>
        <v>#DIV/0!</v>
      </c>
      <c r="BO28" s="137" t="e">
        <f t="shared" si="16"/>
        <v>#DIV/0!</v>
      </c>
      <c r="BP28" s="137" t="e">
        <f t="shared" si="16"/>
        <v>#DIV/0!</v>
      </c>
      <c r="BQ28" s="137" t="e">
        <f t="shared" si="16"/>
        <v>#DIV/0!</v>
      </c>
      <c r="BR28" s="137" t="e">
        <f t="shared" ref="BR28:CK28" si="17">BR3/BR9</f>
        <v>#DIV/0!</v>
      </c>
      <c r="BS28" s="137" t="e">
        <f t="shared" si="17"/>
        <v>#DIV/0!</v>
      </c>
      <c r="BT28" s="137" t="e">
        <f t="shared" si="17"/>
        <v>#DIV/0!</v>
      </c>
      <c r="BU28" s="137" t="e">
        <f t="shared" si="17"/>
        <v>#DIV/0!</v>
      </c>
      <c r="BV28" s="137" t="e">
        <f t="shared" si="17"/>
        <v>#DIV/0!</v>
      </c>
      <c r="BW28" s="137" t="e">
        <f t="shared" si="17"/>
        <v>#DIV/0!</v>
      </c>
      <c r="BX28" s="137" t="e">
        <f t="shared" si="17"/>
        <v>#DIV/0!</v>
      </c>
      <c r="BY28" s="137" t="e">
        <f t="shared" si="17"/>
        <v>#DIV/0!</v>
      </c>
      <c r="BZ28" s="137" t="e">
        <f t="shared" si="17"/>
        <v>#DIV/0!</v>
      </c>
      <c r="CA28" s="137" t="e">
        <f t="shared" si="17"/>
        <v>#DIV/0!</v>
      </c>
      <c r="CB28" s="137" t="e">
        <f t="shared" si="17"/>
        <v>#DIV/0!</v>
      </c>
      <c r="CC28" s="137" t="e">
        <f t="shared" si="17"/>
        <v>#DIV/0!</v>
      </c>
      <c r="CD28" s="137" t="e">
        <f t="shared" si="17"/>
        <v>#DIV/0!</v>
      </c>
      <c r="CE28" s="137" t="e">
        <f t="shared" si="17"/>
        <v>#DIV/0!</v>
      </c>
      <c r="CF28" s="137" t="e">
        <f t="shared" si="17"/>
        <v>#DIV/0!</v>
      </c>
      <c r="CG28" s="137" t="e">
        <f t="shared" si="17"/>
        <v>#DIV/0!</v>
      </c>
      <c r="CH28" s="137" t="e">
        <f t="shared" si="17"/>
        <v>#DIV/0!</v>
      </c>
      <c r="CI28" s="137" t="e">
        <f t="shared" si="17"/>
        <v>#DIV/0!</v>
      </c>
      <c r="CJ28" s="137" t="e">
        <f t="shared" si="17"/>
        <v>#DIV/0!</v>
      </c>
      <c r="CK28" s="137" t="e">
        <f t="shared" si="17"/>
        <v>#DIV/0!</v>
      </c>
    </row>
    <row r="29" spans="1:90" s="135" customFormat="1">
      <c r="A29" s="134" t="s">
        <v>587</v>
      </c>
      <c r="E29" s="135">
        <f>(E4-I4)/I4</f>
        <v>0.54215622455975865</v>
      </c>
      <c r="F29" s="135">
        <f t="shared" ref="F29:BQ29" si="18">(F4-J4)/J4</f>
        <v>1.1682664371054467E-2</v>
      </c>
      <c r="G29" s="135">
        <f t="shared" si="18"/>
        <v>0.37392412933219055</v>
      </c>
      <c r="H29" s="135">
        <f t="shared" si="18"/>
        <v>0.38614068061017737</v>
      </c>
      <c r="I29" s="135">
        <f t="shared" si="18"/>
        <v>0.71009511186390539</v>
      </c>
      <c r="J29" s="135">
        <f t="shared" si="18"/>
        <v>0.6044012883072698</v>
      </c>
      <c r="K29" s="135">
        <f t="shared" si="18"/>
        <v>0.10438831151574401</v>
      </c>
      <c r="L29" s="135">
        <f t="shared" si="18"/>
        <v>0.21870162114598904</v>
      </c>
      <c r="M29" s="135">
        <f t="shared" si="18"/>
        <v>-4.6856277953764E-2</v>
      </c>
      <c r="N29" s="135">
        <f t="shared" si="18"/>
        <v>-0.15914452285071798</v>
      </c>
      <c r="O29" s="135">
        <f t="shared" si="18"/>
        <v>0.11586396208079899</v>
      </c>
      <c r="P29" s="135">
        <f t="shared" si="18"/>
        <v>0.1334741407814258</v>
      </c>
      <c r="Q29" s="135">
        <f t="shared" si="18"/>
        <v>-5.1818076928838663E-2</v>
      </c>
      <c r="R29" s="135">
        <f t="shared" si="18"/>
        <v>0.12394034540126293</v>
      </c>
      <c r="S29" s="135">
        <f t="shared" si="18"/>
        <v>0.18942612886741431</v>
      </c>
      <c r="T29" s="135">
        <f t="shared" si="18"/>
        <v>0.14727124483264065</v>
      </c>
      <c r="U29" s="135">
        <f t="shared" si="18"/>
        <v>0.66113470071181779</v>
      </c>
      <c r="V29" s="135">
        <f t="shared" si="18"/>
        <v>1.152150422185187</v>
      </c>
      <c r="W29" s="135">
        <f t="shared" si="18"/>
        <v>0.38384018131901676</v>
      </c>
      <c r="X29" s="135">
        <f t="shared" si="18"/>
        <v>0.11110272463030274</v>
      </c>
      <c r="Y29" s="135">
        <f t="shared" si="18"/>
        <v>-0.13180411256893068</v>
      </c>
      <c r="Z29" s="135">
        <f t="shared" si="18"/>
        <v>-0.25759492147748037</v>
      </c>
      <c r="AA29" s="135">
        <f t="shared" si="18"/>
        <v>0.32651338519598666</v>
      </c>
      <c r="AB29" s="135">
        <f t="shared" si="18"/>
        <v>0.39000226225908236</v>
      </c>
      <c r="AC29" s="135">
        <f t="shared" si="18"/>
        <v>0.1706505030710283</v>
      </c>
      <c r="AD29" s="135">
        <f t="shared" si="18"/>
        <v>0.30193779898932382</v>
      </c>
      <c r="AE29" s="135">
        <f t="shared" si="18"/>
        <v>0.68855419146940799</v>
      </c>
      <c r="AF29" s="135">
        <f t="shared" si="18"/>
        <v>3.8479591818558019</v>
      </c>
      <c r="AG29" s="135">
        <f t="shared" si="18"/>
        <v>15.812414985369147</v>
      </c>
      <c r="AH29" s="135">
        <f t="shared" si="18"/>
        <v>5.2229239102569549</v>
      </c>
      <c r="AI29" s="135">
        <f t="shared" si="18"/>
        <v>1.8716740971272849</v>
      </c>
      <c r="AJ29" s="135">
        <f t="shared" si="18"/>
        <v>0.16185125594507371</v>
      </c>
      <c r="AK29" s="135">
        <f t="shared" si="18"/>
        <v>-0.36890388462582796</v>
      </c>
      <c r="AL29" s="135">
        <f t="shared" si="18"/>
        <v>0.74509366834817981</v>
      </c>
      <c r="AM29" s="135" t="e">
        <f t="shared" si="18"/>
        <v>#DIV/0!</v>
      </c>
      <c r="AN29" s="135" t="e">
        <f t="shared" si="18"/>
        <v>#DIV/0!</v>
      </c>
      <c r="AO29" s="135" t="e">
        <f t="shared" si="18"/>
        <v>#DIV/0!</v>
      </c>
      <c r="AP29" s="135" t="e">
        <f t="shared" si="18"/>
        <v>#DIV/0!</v>
      </c>
      <c r="AQ29" s="135" t="e">
        <f t="shared" si="18"/>
        <v>#DIV/0!</v>
      </c>
      <c r="AR29" s="135" t="e">
        <f t="shared" si="18"/>
        <v>#DIV/0!</v>
      </c>
      <c r="AS29" s="135" t="e">
        <f t="shared" si="18"/>
        <v>#DIV/0!</v>
      </c>
      <c r="AT29" s="135" t="e">
        <f t="shared" si="18"/>
        <v>#DIV/0!</v>
      </c>
      <c r="AU29" s="135" t="e">
        <f t="shared" si="18"/>
        <v>#DIV/0!</v>
      </c>
      <c r="AV29" s="135" t="e">
        <f t="shared" si="18"/>
        <v>#DIV/0!</v>
      </c>
      <c r="AW29" s="135" t="e">
        <f t="shared" si="18"/>
        <v>#DIV/0!</v>
      </c>
      <c r="AX29" s="135" t="e">
        <f t="shared" si="18"/>
        <v>#DIV/0!</v>
      </c>
      <c r="AY29" s="135" t="e">
        <f t="shared" si="18"/>
        <v>#DIV/0!</v>
      </c>
      <c r="AZ29" s="135" t="e">
        <f t="shared" si="18"/>
        <v>#DIV/0!</v>
      </c>
      <c r="BA29" s="135" t="e">
        <f t="shared" si="18"/>
        <v>#DIV/0!</v>
      </c>
      <c r="BB29" s="135" t="e">
        <f t="shared" si="18"/>
        <v>#DIV/0!</v>
      </c>
      <c r="BC29" s="135" t="e">
        <f t="shared" si="18"/>
        <v>#DIV/0!</v>
      </c>
      <c r="BD29" s="135" t="e">
        <f t="shared" si="18"/>
        <v>#DIV/0!</v>
      </c>
      <c r="BE29" s="135" t="e">
        <f t="shared" si="18"/>
        <v>#DIV/0!</v>
      </c>
      <c r="BF29" s="135" t="e">
        <f t="shared" si="18"/>
        <v>#DIV/0!</v>
      </c>
      <c r="BG29" s="135" t="e">
        <f t="shared" si="18"/>
        <v>#DIV/0!</v>
      </c>
      <c r="BH29" s="135" t="e">
        <f t="shared" si="18"/>
        <v>#DIV/0!</v>
      </c>
      <c r="BI29" s="135" t="e">
        <f t="shared" si="18"/>
        <v>#DIV/0!</v>
      </c>
      <c r="BJ29" s="135" t="e">
        <f t="shared" si="18"/>
        <v>#DIV/0!</v>
      </c>
      <c r="BK29" s="135" t="e">
        <f t="shared" si="18"/>
        <v>#DIV/0!</v>
      </c>
      <c r="BL29" s="135" t="e">
        <f t="shared" si="18"/>
        <v>#DIV/0!</v>
      </c>
      <c r="BM29" s="135" t="e">
        <f t="shared" si="18"/>
        <v>#DIV/0!</v>
      </c>
      <c r="BN29" s="135" t="e">
        <f t="shared" si="18"/>
        <v>#DIV/0!</v>
      </c>
      <c r="BO29" s="135" t="e">
        <f t="shared" si="18"/>
        <v>#DIV/0!</v>
      </c>
      <c r="BP29" s="135" t="e">
        <f t="shared" si="18"/>
        <v>#DIV/0!</v>
      </c>
      <c r="BQ29" s="135" t="e">
        <f t="shared" si="18"/>
        <v>#DIV/0!</v>
      </c>
      <c r="BR29" s="135" t="e">
        <f t="shared" ref="BR29:CK29" si="19">(BR4-BV4)/BV4</f>
        <v>#DIV/0!</v>
      </c>
      <c r="BS29" s="135" t="e">
        <f t="shared" si="19"/>
        <v>#DIV/0!</v>
      </c>
      <c r="BT29" s="135" t="e">
        <f t="shared" si="19"/>
        <v>#DIV/0!</v>
      </c>
      <c r="BU29" s="135" t="e">
        <f t="shared" si="19"/>
        <v>#DIV/0!</v>
      </c>
      <c r="BV29" s="135" t="e">
        <f t="shared" si="19"/>
        <v>#DIV/0!</v>
      </c>
      <c r="BW29" s="135" t="e">
        <f t="shared" si="19"/>
        <v>#DIV/0!</v>
      </c>
      <c r="BX29" s="135" t="e">
        <f t="shared" si="19"/>
        <v>#DIV/0!</v>
      </c>
      <c r="BY29" s="135" t="e">
        <f t="shared" si="19"/>
        <v>#DIV/0!</v>
      </c>
      <c r="BZ29" s="135" t="e">
        <f t="shared" si="19"/>
        <v>#DIV/0!</v>
      </c>
      <c r="CA29" s="135" t="e">
        <f t="shared" si="19"/>
        <v>#DIV/0!</v>
      </c>
      <c r="CB29" s="135" t="e">
        <f t="shared" si="19"/>
        <v>#DIV/0!</v>
      </c>
      <c r="CC29" s="135" t="e">
        <f t="shared" si="19"/>
        <v>#DIV/0!</v>
      </c>
      <c r="CD29" s="135" t="e">
        <f t="shared" si="19"/>
        <v>#DIV/0!</v>
      </c>
      <c r="CE29" s="135" t="e">
        <f t="shared" si="19"/>
        <v>#DIV/0!</v>
      </c>
      <c r="CF29" s="135" t="e">
        <f t="shared" si="19"/>
        <v>#DIV/0!</v>
      </c>
      <c r="CG29" s="135" t="e">
        <f t="shared" si="19"/>
        <v>#DIV/0!</v>
      </c>
      <c r="CH29" s="135" t="e">
        <f t="shared" si="19"/>
        <v>#DIV/0!</v>
      </c>
      <c r="CI29" s="135" t="e">
        <f t="shared" si="19"/>
        <v>#DIV/0!</v>
      </c>
      <c r="CJ29" s="135" t="e">
        <f t="shared" si="19"/>
        <v>#DIV/0!</v>
      </c>
      <c r="CK29" s="135" t="e">
        <f t="shared" si="19"/>
        <v>#DIV/0!</v>
      </c>
    </row>
    <row r="30" spans="1:90" s="135" customFormat="1">
      <c r="A30" s="134" t="s">
        <v>566</v>
      </c>
      <c r="E30" s="135">
        <f>(E5-I5)/I5</f>
        <v>0.24851054368638159</v>
      </c>
      <c r="F30" s="135">
        <f t="shared" ref="F30:BQ30" si="20">(F5-J5)/J5</f>
        <v>0.11560371184765467</v>
      </c>
      <c r="G30" s="135">
        <f t="shared" si="20"/>
        <v>0.31146748071798225</v>
      </c>
      <c r="H30" s="135">
        <f t="shared" si="20"/>
        <v>0.34683165610060029</v>
      </c>
      <c r="I30" s="135">
        <f t="shared" si="20"/>
        <v>0.5184273601893431</v>
      </c>
      <c r="J30" s="135">
        <f t="shared" si="20"/>
        <v>0.39747185679787322</v>
      </c>
      <c r="K30" s="135">
        <f t="shared" si="20"/>
        <v>0.15055433560772158</v>
      </c>
      <c r="L30" s="135">
        <f t="shared" si="20"/>
        <v>0.11672370561395477</v>
      </c>
      <c r="M30" s="135">
        <f t="shared" si="20"/>
        <v>-1.989884485387089E-2</v>
      </c>
      <c r="N30" s="135">
        <f t="shared" si="20"/>
        <v>-8.3221228479545897E-3</v>
      </c>
      <c r="O30" s="135">
        <f t="shared" si="20"/>
        <v>0.16523065553246005</v>
      </c>
      <c r="P30" s="135">
        <f t="shared" si="20"/>
        <v>0.15892670629974184</v>
      </c>
      <c r="Q30" s="135">
        <f t="shared" si="20"/>
        <v>4.1146584792648745E-2</v>
      </c>
      <c r="R30" s="135">
        <f t="shared" si="20"/>
        <v>5.051798956058208E-2</v>
      </c>
      <c r="S30" s="135">
        <f t="shared" si="20"/>
        <v>1.4245787102744806E-3</v>
      </c>
      <c r="T30" s="135">
        <f t="shared" si="20"/>
        <v>4.3285761442962742E-2</v>
      </c>
      <c r="U30" s="135">
        <f t="shared" si="20"/>
        <v>0.24892074532144243</v>
      </c>
      <c r="V30" s="135">
        <f t="shared" si="20"/>
        <v>0.69868897103303251</v>
      </c>
      <c r="W30" s="135">
        <f t="shared" si="20"/>
        <v>0.60779906524869898</v>
      </c>
      <c r="X30" s="135">
        <f t="shared" si="20"/>
        <v>0.29203371837282632</v>
      </c>
      <c r="Y30" s="135">
        <f t="shared" si="20"/>
        <v>0.14885817564635093</v>
      </c>
      <c r="Z30" s="135">
        <f t="shared" si="20"/>
        <v>-0.10762998928540256</v>
      </c>
      <c r="AA30" s="135">
        <f t="shared" si="20"/>
        <v>0.23970030261504788</v>
      </c>
      <c r="AB30" s="135">
        <f t="shared" si="20"/>
        <v>0.46403421472221246</v>
      </c>
      <c r="AC30" s="135">
        <f t="shared" si="20"/>
        <v>0.34004129549081585</v>
      </c>
      <c r="AD30" s="135">
        <f t="shared" si="20"/>
        <v>0.2753731173669105</v>
      </c>
      <c r="AE30" s="135">
        <f t="shared" si="20"/>
        <v>0.21666035599357059</v>
      </c>
      <c r="AF30" s="135">
        <f t="shared" si="20"/>
        <v>0.6047180981796747</v>
      </c>
      <c r="AG30" s="135">
        <f t="shared" si="20"/>
        <v>1.1184849011053213</v>
      </c>
      <c r="AH30" s="135">
        <f t="shared" si="20"/>
        <v>1.0350356714195896</v>
      </c>
      <c r="AI30" s="135">
        <f t="shared" si="20"/>
        <v>0.81591486177966477</v>
      </c>
      <c r="AJ30" s="135">
        <f t="shared" si="20"/>
        <v>0.11557572309714122</v>
      </c>
      <c r="AK30" s="135">
        <f t="shared" si="20"/>
        <v>0.23926212065127256</v>
      </c>
      <c r="AL30" s="135">
        <f t="shared" si="20"/>
        <v>0.4822768849420988</v>
      </c>
      <c r="AM30" s="135" t="e">
        <f t="shared" si="20"/>
        <v>#DIV/0!</v>
      </c>
      <c r="AN30" s="135" t="e">
        <f t="shared" si="20"/>
        <v>#DIV/0!</v>
      </c>
      <c r="AO30" s="135" t="e">
        <f t="shared" si="20"/>
        <v>#DIV/0!</v>
      </c>
      <c r="AP30" s="135" t="e">
        <f t="shared" si="20"/>
        <v>#DIV/0!</v>
      </c>
      <c r="AQ30" s="135" t="e">
        <f t="shared" si="20"/>
        <v>#DIV/0!</v>
      </c>
      <c r="AR30" s="135" t="e">
        <f t="shared" si="20"/>
        <v>#DIV/0!</v>
      </c>
      <c r="AS30" s="135" t="e">
        <f t="shared" si="20"/>
        <v>#DIV/0!</v>
      </c>
      <c r="AT30" s="135" t="e">
        <f t="shared" si="20"/>
        <v>#DIV/0!</v>
      </c>
      <c r="AU30" s="135" t="e">
        <f t="shared" si="20"/>
        <v>#DIV/0!</v>
      </c>
      <c r="AV30" s="135" t="e">
        <f t="shared" si="20"/>
        <v>#DIV/0!</v>
      </c>
      <c r="AW30" s="135" t="e">
        <f t="shared" si="20"/>
        <v>#DIV/0!</v>
      </c>
      <c r="AX30" s="135" t="e">
        <f t="shared" si="20"/>
        <v>#DIV/0!</v>
      </c>
      <c r="AY30" s="135" t="e">
        <f t="shared" si="20"/>
        <v>#DIV/0!</v>
      </c>
      <c r="AZ30" s="135" t="e">
        <f t="shared" si="20"/>
        <v>#DIV/0!</v>
      </c>
      <c r="BA30" s="135" t="e">
        <f t="shared" si="20"/>
        <v>#DIV/0!</v>
      </c>
      <c r="BB30" s="135" t="e">
        <f t="shared" si="20"/>
        <v>#DIV/0!</v>
      </c>
      <c r="BC30" s="135" t="e">
        <f t="shared" si="20"/>
        <v>#DIV/0!</v>
      </c>
      <c r="BD30" s="135" t="e">
        <f t="shared" si="20"/>
        <v>#DIV/0!</v>
      </c>
      <c r="BE30" s="135" t="e">
        <f t="shared" si="20"/>
        <v>#DIV/0!</v>
      </c>
      <c r="BF30" s="135" t="e">
        <f t="shared" si="20"/>
        <v>#DIV/0!</v>
      </c>
      <c r="BG30" s="135" t="e">
        <f t="shared" si="20"/>
        <v>#DIV/0!</v>
      </c>
      <c r="BH30" s="135" t="e">
        <f t="shared" si="20"/>
        <v>#DIV/0!</v>
      </c>
      <c r="BI30" s="135" t="e">
        <f t="shared" si="20"/>
        <v>#DIV/0!</v>
      </c>
      <c r="BJ30" s="135" t="e">
        <f t="shared" si="20"/>
        <v>#DIV/0!</v>
      </c>
      <c r="BK30" s="135" t="e">
        <f t="shared" si="20"/>
        <v>#DIV/0!</v>
      </c>
      <c r="BL30" s="135" t="e">
        <f t="shared" si="20"/>
        <v>#DIV/0!</v>
      </c>
      <c r="BM30" s="135" t="e">
        <f t="shared" si="20"/>
        <v>#DIV/0!</v>
      </c>
      <c r="BN30" s="135" t="e">
        <f t="shared" si="20"/>
        <v>#DIV/0!</v>
      </c>
      <c r="BO30" s="135" t="e">
        <f t="shared" si="20"/>
        <v>#DIV/0!</v>
      </c>
      <c r="BP30" s="135" t="e">
        <f t="shared" si="20"/>
        <v>#DIV/0!</v>
      </c>
      <c r="BQ30" s="135" t="e">
        <f t="shared" si="20"/>
        <v>#DIV/0!</v>
      </c>
      <c r="BR30" s="135" t="e">
        <f t="shared" ref="BR30:CK30" si="21">(BR5-BV5)/BV5</f>
        <v>#DIV/0!</v>
      </c>
      <c r="BS30" s="135" t="e">
        <f t="shared" si="21"/>
        <v>#DIV/0!</v>
      </c>
      <c r="BT30" s="135" t="e">
        <f t="shared" si="21"/>
        <v>#DIV/0!</v>
      </c>
      <c r="BU30" s="135" t="e">
        <f t="shared" si="21"/>
        <v>#DIV/0!</v>
      </c>
      <c r="BV30" s="135" t="e">
        <f t="shared" si="21"/>
        <v>#DIV/0!</v>
      </c>
      <c r="BW30" s="135" t="e">
        <f t="shared" si="21"/>
        <v>#DIV/0!</v>
      </c>
      <c r="BX30" s="135" t="e">
        <f t="shared" si="21"/>
        <v>#DIV/0!</v>
      </c>
      <c r="BY30" s="135" t="e">
        <f t="shared" si="21"/>
        <v>#DIV/0!</v>
      </c>
      <c r="BZ30" s="135" t="e">
        <f t="shared" si="21"/>
        <v>#DIV/0!</v>
      </c>
      <c r="CA30" s="135" t="e">
        <f t="shared" si="21"/>
        <v>#DIV/0!</v>
      </c>
      <c r="CB30" s="135" t="e">
        <f t="shared" si="21"/>
        <v>#DIV/0!</v>
      </c>
      <c r="CC30" s="135" t="e">
        <f t="shared" si="21"/>
        <v>#DIV/0!</v>
      </c>
      <c r="CD30" s="135" t="e">
        <f t="shared" si="21"/>
        <v>#DIV/0!</v>
      </c>
      <c r="CE30" s="135" t="e">
        <f t="shared" si="21"/>
        <v>#DIV/0!</v>
      </c>
      <c r="CF30" s="135" t="e">
        <f t="shared" si="21"/>
        <v>#DIV/0!</v>
      </c>
      <c r="CG30" s="135" t="e">
        <f t="shared" si="21"/>
        <v>#DIV/0!</v>
      </c>
      <c r="CH30" s="135" t="e">
        <f t="shared" si="21"/>
        <v>#DIV/0!</v>
      </c>
      <c r="CI30" s="135" t="e">
        <f t="shared" si="21"/>
        <v>#DIV/0!</v>
      </c>
      <c r="CJ30" s="135" t="e">
        <f t="shared" si="21"/>
        <v>#DIV/0!</v>
      </c>
      <c r="CK30" s="135" t="e">
        <f t="shared" si="21"/>
        <v>#DIV/0!</v>
      </c>
    </row>
    <row r="31" spans="1:90" s="135" customFormat="1">
      <c r="A31" s="134" t="s">
        <v>567</v>
      </c>
      <c r="E31" s="135">
        <f>(E6-I6)/I6</f>
        <v>2.077210989611054E-2</v>
      </c>
      <c r="F31" s="135">
        <f t="shared" ref="F31:BQ31" si="22">(F6-J6)/J6</f>
        <v>0.25295528967292796</v>
      </c>
      <c r="G31" s="135">
        <f t="shared" si="22"/>
        <v>0.22976503190538705</v>
      </c>
      <c r="H31" s="135">
        <f t="shared" si="22"/>
        <v>0.30013530755178791</v>
      </c>
      <c r="I31" s="135">
        <f t="shared" si="22"/>
        <v>0.39699450848383216</v>
      </c>
      <c r="J31" s="135">
        <f t="shared" si="22"/>
        <v>0.19394420109062285</v>
      </c>
      <c r="K31" s="135">
        <f t="shared" si="22"/>
        <v>0.21711030426752453</v>
      </c>
      <c r="L31" s="135">
        <f t="shared" si="22"/>
        <v>1.5754666476291024E-2</v>
      </c>
      <c r="M31" s="135">
        <f t="shared" si="22"/>
        <v>-2.0162406744402414E-3</v>
      </c>
      <c r="N31" s="135">
        <f t="shared" si="22"/>
        <v>0.20410502873431621</v>
      </c>
      <c r="O31" s="135">
        <f t="shared" si="22"/>
        <v>0.24461255759769759</v>
      </c>
      <c r="P31" s="135">
        <f t="shared" si="22"/>
        <v>0.1852792611480942</v>
      </c>
      <c r="Q31" s="135">
        <f t="shared" si="22"/>
        <v>0.11357302712250167</v>
      </c>
      <c r="R31" s="135">
        <f t="shared" si="22"/>
        <v>-3.7994916450224667E-2</v>
      </c>
      <c r="S31" s="135">
        <f t="shared" si="22"/>
        <v>-0.20151925669148216</v>
      </c>
      <c r="T31" s="135">
        <f t="shared" si="22"/>
        <v>-4.6219055706982627E-2</v>
      </c>
      <c r="U31" s="135">
        <f t="shared" si="22"/>
        <v>4.6585393603608451E-2</v>
      </c>
      <c r="V31" s="135">
        <f t="shared" si="22"/>
        <v>0.35460862158984191</v>
      </c>
      <c r="W31" s="135">
        <f t="shared" si="22"/>
        <v>0.94814262806950844</v>
      </c>
      <c r="X31" s="135">
        <f t="shared" si="22"/>
        <v>0.50264906663249564</v>
      </c>
      <c r="Y31" s="135">
        <f t="shared" si="22"/>
        <v>0.36553843330492142</v>
      </c>
      <c r="Z31" s="135">
        <f t="shared" si="22"/>
        <v>5.3906377680630765E-2</v>
      </c>
      <c r="AA31" s="135">
        <f t="shared" si="22"/>
        <v>0.12755982985645609</v>
      </c>
      <c r="AB31" s="135">
        <f t="shared" si="22"/>
        <v>0.56080146686850008</v>
      </c>
      <c r="AC31" s="135">
        <f t="shared" si="22"/>
        <v>0.50856537371323018</v>
      </c>
      <c r="AD31" s="135">
        <f t="shared" si="22"/>
        <v>0.24794534475896909</v>
      </c>
      <c r="AE31" s="135">
        <f t="shared" si="22"/>
        <v>-0.10605373024696883</v>
      </c>
      <c r="AF31" s="135">
        <f t="shared" si="22"/>
        <v>-0.14389416841037014</v>
      </c>
      <c r="AG31" s="135">
        <f t="shared" si="22"/>
        <v>0.13316994413131428</v>
      </c>
      <c r="AH31" s="135">
        <f t="shared" si="22"/>
        <v>0.20072242471759849</v>
      </c>
      <c r="AI31" s="135">
        <f t="shared" si="22"/>
        <v>0.45108108581684969</v>
      </c>
      <c r="AJ31" s="135">
        <f t="shared" si="22"/>
        <v>0.10541316050462518</v>
      </c>
      <c r="AK31" s="135">
        <f t="shared" si="22"/>
        <v>0.32487490339891983</v>
      </c>
      <c r="AL31" s="135">
        <f t="shared" si="22"/>
        <v>0.43909922051547584</v>
      </c>
      <c r="AM31" s="135" t="e">
        <f t="shared" si="22"/>
        <v>#DIV/0!</v>
      </c>
      <c r="AN31" s="135" t="e">
        <f t="shared" si="22"/>
        <v>#DIV/0!</v>
      </c>
      <c r="AO31" s="135" t="e">
        <f t="shared" si="22"/>
        <v>#DIV/0!</v>
      </c>
      <c r="AP31" s="135" t="e">
        <f t="shared" si="22"/>
        <v>#DIV/0!</v>
      </c>
      <c r="AQ31" s="135" t="e">
        <f t="shared" si="22"/>
        <v>#DIV/0!</v>
      </c>
      <c r="AR31" s="135" t="e">
        <f t="shared" si="22"/>
        <v>#DIV/0!</v>
      </c>
      <c r="AS31" s="135" t="e">
        <f t="shared" si="22"/>
        <v>#DIV/0!</v>
      </c>
      <c r="AT31" s="135" t="e">
        <f t="shared" si="22"/>
        <v>#DIV/0!</v>
      </c>
      <c r="AU31" s="135" t="e">
        <f t="shared" si="22"/>
        <v>#DIV/0!</v>
      </c>
      <c r="AV31" s="135" t="e">
        <f t="shared" si="22"/>
        <v>#DIV/0!</v>
      </c>
      <c r="AW31" s="135" t="e">
        <f t="shared" si="22"/>
        <v>#DIV/0!</v>
      </c>
      <c r="AX31" s="135" t="e">
        <f t="shared" si="22"/>
        <v>#DIV/0!</v>
      </c>
      <c r="AY31" s="135" t="e">
        <f t="shared" si="22"/>
        <v>#DIV/0!</v>
      </c>
      <c r="AZ31" s="135" t="e">
        <f t="shared" si="22"/>
        <v>#DIV/0!</v>
      </c>
      <c r="BA31" s="135" t="e">
        <f t="shared" si="22"/>
        <v>#DIV/0!</v>
      </c>
      <c r="BB31" s="135" t="e">
        <f t="shared" si="22"/>
        <v>#DIV/0!</v>
      </c>
      <c r="BC31" s="135" t="e">
        <f t="shared" si="22"/>
        <v>#DIV/0!</v>
      </c>
      <c r="BD31" s="135" t="e">
        <f t="shared" si="22"/>
        <v>#DIV/0!</v>
      </c>
      <c r="BE31" s="135" t="e">
        <f t="shared" si="22"/>
        <v>#DIV/0!</v>
      </c>
      <c r="BF31" s="135" t="e">
        <f t="shared" si="22"/>
        <v>#DIV/0!</v>
      </c>
      <c r="BG31" s="135" t="e">
        <f t="shared" si="22"/>
        <v>#DIV/0!</v>
      </c>
      <c r="BH31" s="135" t="e">
        <f t="shared" si="22"/>
        <v>#DIV/0!</v>
      </c>
      <c r="BI31" s="135" t="e">
        <f t="shared" si="22"/>
        <v>#DIV/0!</v>
      </c>
      <c r="BJ31" s="135" t="e">
        <f t="shared" si="22"/>
        <v>#DIV/0!</v>
      </c>
      <c r="BK31" s="135" t="e">
        <f t="shared" si="22"/>
        <v>#DIV/0!</v>
      </c>
      <c r="BL31" s="135" t="e">
        <f t="shared" si="22"/>
        <v>#DIV/0!</v>
      </c>
      <c r="BM31" s="135" t="e">
        <f t="shared" si="22"/>
        <v>#DIV/0!</v>
      </c>
      <c r="BN31" s="135" t="e">
        <f t="shared" si="22"/>
        <v>#DIV/0!</v>
      </c>
      <c r="BO31" s="135" t="e">
        <f t="shared" si="22"/>
        <v>#DIV/0!</v>
      </c>
      <c r="BP31" s="135" t="e">
        <f t="shared" si="22"/>
        <v>#DIV/0!</v>
      </c>
      <c r="BQ31" s="135" t="e">
        <f t="shared" si="22"/>
        <v>#DIV/0!</v>
      </c>
      <c r="BR31" s="135" t="e">
        <f t="shared" ref="BR31:CK31" si="23">(BR6-BV6)/BV6</f>
        <v>#DIV/0!</v>
      </c>
      <c r="BS31" s="135" t="e">
        <f t="shared" si="23"/>
        <v>#DIV/0!</v>
      </c>
      <c r="BT31" s="135" t="e">
        <f t="shared" si="23"/>
        <v>#DIV/0!</v>
      </c>
      <c r="BU31" s="135" t="e">
        <f t="shared" si="23"/>
        <v>#DIV/0!</v>
      </c>
      <c r="BV31" s="135" t="e">
        <f t="shared" si="23"/>
        <v>#DIV/0!</v>
      </c>
      <c r="BW31" s="135" t="e">
        <f t="shared" si="23"/>
        <v>#DIV/0!</v>
      </c>
      <c r="BX31" s="135" t="e">
        <f t="shared" si="23"/>
        <v>#DIV/0!</v>
      </c>
      <c r="BY31" s="135" t="e">
        <f t="shared" si="23"/>
        <v>#DIV/0!</v>
      </c>
      <c r="BZ31" s="135" t="e">
        <f t="shared" si="23"/>
        <v>#DIV/0!</v>
      </c>
      <c r="CA31" s="135" t="e">
        <f t="shared" si="23"/>
        <v>#DIV/0!</v>
      </c>
      <c r="CB31" s="135" t="e">
        <f t="shared" si="23"/>
        <v>#DIV/0!</v>
      </c>
      <c r="CC31" s="135" t="e">
        <f t="shared" si="23"/>
        <v>#DIV/0!</v>
      </c>
      <c r="CD31" s="135" t="e">
        <f t="shared" si="23"/>
        <v>#DIV/0!</v>
      </c>
      <c r="CE31" s="135" t="e">
        <f t="shared" si="23"/>
        <v>#DIV/0!</v>
      </c>
      <c r="CF31" s="135" t="e">
        <f t="shared" si="23"/>
        <v>#DIV/0!</v>
      </c>
      <c r="CG31" s="135" t="e">
        <f t="shared" si="23"/>
        <v>#DIV/0!</v>
      </c>
      <c r="CH31" s="135" t="e">
        <f t="shared" si="23"/>
        <v>#DIV/0!</v>
      </c>
      <c r="CI31" s="135" t="e">
        <f t="shared" si="23"/>
        <v>#DIV/0!</v>
      </c>
      <c r="CJ31" s="135" t="e">
        <f t="shared" si="23"/>
        <v>#DIV/0!</v>
      </c>
      <c r="CK31" s="135" t="e">
        <f t="shared" si="23"/>
        <v>#DIV/0!</v>
      </c>
    </row>
    <row r="32" spans="1:90" s="137" customFormat="1">
      <c r="A32" s="136" t="s">
        <v>569</v>
      </c>
      <c r="E32" s="137">
        <f>(E7-I7)/I7</f>
        <v>0.14062080970237109</v>
      </c>
      <c r="F32" s="137">
        <f t="shared" ref="F32:BQ32" si="24">(F7-J7)/J7</f>
        <v>0.32140596581347874</v>
      </c>
      <c r="G32" s="137">
        <f t="shared" si="24"/>
        <v>0.28175026083492932</v>
      </c>
      <c r="H32" s="137">
        <f t="shared" si="24"/>
        <v>0.30487379839291889</v>
      </c>
      <c r="I32" s="137">
        <f t="shared" si="24"/>
        <v>0.29133165852150827</v>
      </c>
      <c r="J32" s="137">
        <f t="shared" si="24"/>
        <v>0.18378226563933736</v>
      </c>
      <c r="K32" s="137">
        <f t="shared" si="24"/>
        <v>0.16110975243422199</v>
      </c>
      <c r="L32" s="137">
        <f t="shared" si="24"/>
        <v>0.14465970812821102</v>
      </c>
      <c r="M32" s="137">
        <f t="shared" si="24"/>
        <v>0.18594609382223043</v>
      </c>
      <c r="N32" s="137">
        <f t="shared" si="24"/>
        <v>0.16647181501401925</v>
      </c>
      <c r="O32" s="137">
        <f t="shared" si="24"/>
        <v>0.15983487331696125</v>
      </c>
      <c r="P32" s="137">
        <f t="shared" si="24"/>
        <v>0.18066804249156748</v>
      </c>
      <c r="Q32" s="137">
        <f t="shared" si="24"/>
        <v>0.15511966442060923</v>
      </c>
      <c r="R32" s="137">
        <f t="shared" si="24"/>
        <v>0.12081376220388311</v>
      </c>
      <c r="S32" s="137">
        <f t="shared" si="24"/>
        <v>0.13812010917418058</v>
      </c>
      <c r="T32" s="137">
        <f t="shared" si="24"/>
        <v>0.12390455979462529</v>
      </c>
      <c r="U32" s="137">
        <f t="shared" si="24"/>
        <v>0.12961005674606757</v>
      </c>
      <c r="V32" s="137">
        <f t="shared" si="24"/>
        <v>0.18192285317711218</v>
      </c>
      <c r="W32" s="137">
        <f t="shared" si="24"/>
        <v>0.18866058503249986</v>
      </c>
      <c r="X32" s="137">
        <f t="shared" si="24"/>
        <v>0.24158142598555982</v>
      </c>
      <c r="Y32" s="137">
        <f t="shared" si="24"/>
        <v>0.29429767314519029</v>
      </c>
      <c r="Z32" s="137">
        <f t="shared" si="24"/>
        <v>0.50267362938527504</v>
      </c>
      <c r="AA32" s="137">
        <f t="shared" si="24"/>
        <v>0.75552825553896619</v>
      </c>
      <c r="AB32" s="137">
        <f t="shared" si="24"/>
        <v>0.72359426885996159</v>
      </c>
      <c r="AC32" s="137">
        <f t="shared" si="24"/>
        <v>0.73111066907534195</v>
      </c>
      <c r="AD32" s="137">
        <f t="shared" si="24"/>
        <v>0.61550667604945331</v>
      </c>
      <c r="AE32" s="137">
        <f t="shared" si="24"/>
        <v>0.53459719270281736</v>
      </c>
      <c r="AF32" s="137">
        <f t="shared" si="24"/>
        <v>0.5743900725587715</v>
      </c>
      <c r="AG32" s="137">
        <f t="shared" si="24"/>
        <v>0.59004353699106538</v>
      </c>
      <c r="AH32" s="137">
        <f t="shared" si="24"/>
        <v>0.46691636974468942</v>
      </c>
      <c r="AI32" s="137">
        <f t="shared" si="24"/>
        <v>0.31242903578190745</v>
      </c>
      <c r="AJ32" s="137">
        <f t="shared" si="24"/>
        <v>0.16216039847377609</v>
      </c>
      <c r="AK32" s="137">
        <f t="shared" si="24"/>
        <v>9.511072465616234E-2</v>
      </c>
      <c r="AL32" s="137">
        <f t="shared" si="24"/>
        <v>0.46832785685398376</v>
      </c>
      <c r="AM32" s="137" t="e">
        <f t="shared" si="24"/>
        <v>#DIV/0!</v>
      </c>
      <c r="AN32" s="137" t="e">
        <f t="shared" si="24"/>
        <v>#DIV/0!</v>
      </c>
      <c r="AO32" s="137" t="e">
        <f t="shared" si="24"/>
        <v>#DIV/0!</v>
      </c>
      <c r="AP32" s="137" t="e">
        <f t="shared" si="24"/>
        <v>#DIV/0!</v>
      </c>
      <c r="AQ32" s="137" t="e">
        <f t="shared" si="24"/>
        <v>#DIV/0!</v>
      </c>
      <c r="AR32" s="137" t="e">
        <f t="shared" si="24"/>
        <v>#DIV/0!</v>
      </c>
      <c r="AS32" s="137" t="e">
        <f t="shared" si="24"/>
        <v>#DIV/0!</v>
      </c>
      <c r="AT32" s="137" t="e">
        <f t="shared" si="24"/>
        <v>#DIV/0!</v>
      </c>
      <c r="AU32" s="137" t="e">
        <f t="shared" si="24"/>
        <v>#DIV/0!</v>
      </c>
      <c r="AV32" s="137" t="e">
        <f t="shared" si="24"/>
        <v>#DIV/0!</v>
      </c>
      <c r="AW32" s="137" t="e">
        <f t="shared" si="24"/>
        <v>#DIV/0!</v>
      </c>
      <c r="AX32" s="137" t="e">
        <f t="shared" si="24"/>
        <v>#DIV/0!</v>
      </c>
      <c r="AY32" s="137" t="e">
        <f t="shared" si="24"/>
        <v>#DIV/0!</v>
      </c>
      <c r="AZ32" s="137" t="e">
        <f t="shared" si="24"/>
        <v>#DIV/0!</v>
      </c>
      <c r="BA32" s="137" t="e">
        <f t="shared" si="24"/>
        <v>#DIV/0!</v>
      </c>
      <c r="BB32" s="137" t="e">
        <f t="shared" si="24"/>
        <v>#DIV/0!</v>
      </c>
      <c r="BC32" s="137" t="e">
        <f t="shared" si="24"/>
        <v>#DIV/0!</v>
      </c>
      <c r="BD32" s="137" t="e">
        <f t="shared" si="24"/>
        <v>#DIV/0!</v>
      </c>
      <c r="BE32" s="137" t="e">
        <f t="shared" si="24"/>
        <v>#DIV/0!</v>
      </c>
      <c r="BF32" s="137" t="e">
        <f t="shared" si="24"/>
        <v>#DIV/0!</v>
      </c>
      <c r="BG32" s="137" t="e">
        <f t="shared" si="24"/>
        <v>#DIV/0!</v>
      </c>
      <c r="BH32" s="137" t="e">
        <f t="shared" si="24"/>
        <v>#DIV/0!</v>
      </c>
      <c r="BI32" s="137" t="e">
        <f t="shared" si="24"/>
        <v>#DIV/0!</v>
      </c>
      <c r="BJ32" s="137" t="e">
        <f t="shared" si="24"/>
        <v>#DIV/0!</v>
      </c>
      <c r="BK32" s="137" t="e">
        <f t="shared" si="24"/>
        <v>#DIV/0!</v>
      </c>
      <c r="BL32" s="137" t="e">
        <f t="shared" si="24"/>
        <v>#DIV/0!</v>
      </c>
      <c r="BM32" s="137" t="e">
        <f t="shared" si="24"/>
        <v>#DIV/0!</v>
      </c>
      <c r="BN32" s="137" t="e">
        <f t="shared" si="24"/>
        <v>#DIV/0!</v>
      </c>
      <c r="BO32" s="137" t="e">
        <f t="shared" si="24"/>
        <v>#DIV/0!</v>
      </c>
      <c r="BP32" s="137" t="e">
        <f t="shared" si="24"/>
        <v>#DIV/0!</v>
      </c>
      <c r="BQ32" s="137" t="e">
        <f t="shared" si="24"/>
        <v>#DIV/0!</v>
      </c>
      <c r="BR32" s="137" t="e">
        <f t="shared" ref="BR32:CK32" si="25">(BR7-BV7)/BV7</f>
        <v>#DIV/0!</v>
      </c>
      <c r="BS32" s="137" t="e">
        <f t="shared" si="25"/>
        <v>#DIV/0!</v>
      </c>
      <c r="BT32" s="137" t="e">
        <f t="shared" si="25"/>
        <v>#DIV/0!</v>
      </c>
      <c r="BU32" s="137" t="e">
        <f t="shared" si="25"/>
        <v>#DIV/0!</v>
      </c>
      <c r="BV32" s="137" t="e">
        <f t="shared" si="25"/>
        <v>#DIV/0!</v>
      </c>
      <c r="BW32" s="137" t="e">
        <f t="shared" si="25"/>
        <v>#DIV/0!</v>
      </c>
      <c r="BX32" s="137" t="e">
        <f t="shared" si="25"/>
        <v>#DIV/0!</v>
      </c>
      <c r="BY32" s="137" t="e">
        <f t="shared" si="25"/>
        <v>#DIV/0!</v>
      </c>
      <c r="BZ32" s="137" t="e">
        <f t="shared" si="25"/>
        <v>#DIV/0!</v>
      </c>
      <c r="CA32" s="137" t="e">
        <f t="shared" si="25"/>
        <v>#DIV/0!</v>
      </c>
      <c r="CB32" s="137" t="e">
        <f t="shared" si="25"/>
        <v>#DIV/0!</v>
      </c>
      <c r="CC32" s="137" t="e">
        <f t="shared" si="25"/>
        <v>#DIV/0!</v>
      </c>
      <c r="CD32" s="137" t="e">
        <f t="shared" si="25"/>
        <v>#DIV/0!</v>
      </c>
      <c r="CE32" s="137" t="e">
        <f t="shared" si="25"/>
        <v>#DIV/0!</v>
      </c>
      <c r="CF32" s="137" t="e">
        <f t="shared" si="25"/>
        <v>#DIV/0!</v>
      </c>
      <c r="CG32" s="137" t="e">
        <f t="shared" si="25"/>
        <v>#DIV/0!</v>
      </c>
      <c r="CH32" s="137" t="e">
        <f t="shared" si="25"/>
        <v>#DIV/0!</v>
      </c>
      <c r="CI32" s="137" t="e">
        <f t="shared" si="25"/>
        <v>#DIV/0!</v>
      </c>
      <c r="CJ32" s="137" t="e">
        <f t="shared" si="25"/>
        <v>#DIV/0!</v>
      </c>
      <c r="CK32" s="137" t="e">
        <f t="shared" si="25"/>
        <v>#DIV/0!</v>
      </c>
    </row>
    <row r="33" spans="1:89" s="137" customFormat="1">
      <c r="A33" s="136" t="s">
        <v>576</v>
      </c>
      <c r="E33" s="137">
        <f>E7/E9</f>
        <v>0.44897458267294982</v>
      </c>
      <c r="F33" s="137">
        <f t="shared" ref="F33:BQ33" si="26">F7/F9</f>
        <v>0.47493642007880271</v>
      </c>
      <c r="G33" s="137">
        <f t="shared" si="26"/>
        <v>0.44919404506405525</v>
      </c>
      <c r="H33" s="137">
        <f t="shared" si="26"/>
        <v>0.44461685352056346</v>
      </c>
      <c r="I33" s="137">
        <f t="shared" si="26"/>
        <v>0.46226766883757914</v>
      </c>
      <c r="J33" s="137">
        <f t="shared" si="26"/>
        <v>0.4170057374536994</v>
      </c>
      <c r="K33" s="137">
        <f t="shared" si="26"/>
        <v>0.41053939088209646</v>
      </c>
      <c r="L33" s="137">
        <f t="shared" si="26"/>
        <v>0.40085483863059962</v>
      </c>
      <c r="M33" s="137">
        <f t="shared" si="26"/>
        <v>0.41330189532342676</v>
      </c>
      <c r="N33" s="137">
        <f t="shared" si="26"/>
        <v>0.36100206829630632</v>
      </c>
      <c r="O33" s="137">
        <f t="shared" si="26"/>
        <v>0.36437126633711875</v>
      </c>
      <c r="P33" s="137">
        <f t="shared" si="26"/>
        <v>0.3690172718498223</v>
      </c>
      <c r="Q33" s="137">
        <f t="shared" si="26"/>
        <v>0.37081875380289459</v>
      </c>
      <c r="R33" s="137">
        <f t="shared" si="26"/>
        <v>0.35428141270682639</v>
      </c>
      <c r="S33" s="137">
        <f t="shared" si="26"/>
        <v>0.36380361943688727</v>
      </c>
      <c r="T33" s="137">
        <f t="shared" si="26"/>
        <v>0.36682995149422659</v>
      </c>
      <c r="U33" s="137">
        <f t="shared" si="26"/>
        <v>0.38139294339373564</v>
      </c>
      <c r="V33" s="137">
        <f t="shared" si="26"/>
        <v>0.39040939997026786</v>
      </c>
      <c r="W33" s="137">
        <f t="shared" si="26"/>
        <v>0.38682039549218772</v>
      </c>
      <c r="X33" s="137">
        <f t="shared" si="26"/>
        <v>0.38591298342461167</v>
      </c>
      <c r="Y33" s="137">
        <f t="shared" si="26"/>
        <v>0.3994053211326789</v>
      </c>
      <c r="Z33" s="137">
        <f t="shared" si="26"/>
        <v>0.38707505437195849</v>
      </c>
      <c r="AA33" s="137">
        <f t="shared" si="26"/>
        <v>0.3858455178243691</v>
      </c>
      <c r="AB33" s="137">
        <f t="shared" si="26"/>
        <v>0.36820276383675926</v>
      </c>
      <c r="AC33" s="137">
        <f t="shared" si="26"/>
        <v>0.36537122251180226</v>
      </c>
      <c r="AD33" s="137">
        <f t="shared" si="26"/>
        <v>0.30360602273215548</v>
      </c>
      <c r="AE33" s="137">
        <f t="shared" si="26"/>
        <v>0.25065325175482112</v>
      </c>
      <c r="AF33" s="137">
        <f t="shared" si="26"/>
        <v>0.24173326222772046</v>
      </c>
      <c r="AG33" s="137">
        <f t="shared" si="26"/>
        <v>0.2309805771959523</v>
      </c>
      <c r="AH33" s="137">
        <f t="shared" si="26"/>
        <v>0.20754898053331908</v>
      </c>
      <c r="AI33" s="137">
        <f t="shared" si="26"/>
        <v>0.18513398020841698</v>
      </c>
      <c r="AJ33" s="137">
        <f t="shared" si="26"/>
        <v>0.17401289503497613</v>
      </c>
      <c r="AK33" s="137">
        <f t="shared" si="26"/>
        <v>0.16671084830519636</v>
      </c>
      <c r="AL33" s="137">
        <f t="shared" si="26"/>
        <v>0.56736380032329781</v>
      </c>
      <c r="AM33" s="137">
        <f t="shared" si="26"/>
        <v>0.55732713935796629</v>
      </c>
      <c r="AN33" s="137">
        <f t="shared" si="26"/>
        <v>0.56386173129944361</v>
      </c>
      <c r="AO33" s="137">
        <f t="shared" si="26"/>
        <v>0.60666459733171973</v>
      </c>
      <c r="AP33" s="137">
        <f t="shared" si="26"/>
        <v>0.61307080413523574</v>
      </c>
      <c r="AQ33" s="137" t="e">
        <f t="shared" si="26"/>
        <v>#DIV/0!</v>
      </c>
      <c r="AR33" s="137" t="e">
        <f t="shared" si="26"/>
        <v>#DIV/0!</v>
      </c>
      <c r="AS33" s="137" t="e">
        <f t="shared" si="26"/>
        <v>#DIV/0!</v>
      </c>
      <c r="AT33" s="137" t="e">
        <f t="shared" si="26"/>
        <v>#DIV/0!</v>
      </c>
      <c r="AU33" s="137" t="e">
        <f t="shared" si="26"/>
        <v>#DIV/0!</v>
      </c>
      <c r="AV33" s="137" t="e">
        <f t="shared" si="26"/>
        <v>#DIV/0!</v>
      </c>
      <c r="AW33" s="137" t="e">
        <f t="shared" si="26"/>
        <v>#DIV/0!</v>
      </c>
      <c r="AX33" s="137" t="e">
        <f t="shared" si="26"/>
        <v>#DIV/0!</v>
      </c>
      <c r="AY33" s="137" t="e">
        <f t="shared" si="26"/>
        <v>#DIV/0!</v>
      </c>
      <c r="AZ33" s="137" t="e">
        <f t="shared" si="26"/>
        <v>#DIV/0!</v>
      </c>
      <c r="BA33" s="137" t="e">
        <f t="shared" si="26"/>
        <v>#DIV/0!</v>
      </c>
      <c r="BB33" s="137" t="e">
        <f t="shared" si="26"/>
        <v>#DIV/0!</v>
      </c>
      <c r="BC33" s="137" t="e">
        <f t="shared" si="26"/>
        <v>#DIV/0!</v>
      </c>
      <c r="BD33" s="137" t="e">
        <f t="shared" si="26"/>
        <v>#DIV/0!</v>
      </c>
      <c r="BE33" s="137" t="e">
        <f t="shared" si="26"/>
        <v>#DIV/0!</v>
      </c>
      <c r="BF33" s="137" t="e">
        <f t="shared" si="26"/>
        <v>#DIV/0!</v>
      </c>
      <c r="BG33" s="137" t="e">
        <f t="shared" si="26"/>
        <v>#DIV/0!</v>
      </c>
      <c r="BH33" s="137" t="e">
        <f t="shared" si="26"/>
        <v>#DIV/0!</v>
      </c>
      <c r="BI33" s="137" t="e">
        <f t="shared" si="26"/>
        <v>#DIV/0!</v>
      </c>
      <c r="BJ33" s="137" t="e">
        <f t="shared" si="26"/>
        <v>#DIV/0!</v>
      </c>
      <c r="BK33" s="137" t="e">
        <f t="shared" si="26"/>
        <v>#DIV/0!</v>
      </c>
      <c r="BL33" s="137" t="e">
        <f t="shared" si="26"/>
        <v>#DIV/0!</v>
      </c>
      <c r="BM33" s="137" t="e">
        <f t="shared" si="26"/>
        <v>#DIV/0!</v>
      </c>
      <c r="BN33" s="137" t="e">
        <f t="shared" si="26"/>
        <v>#DIV/0!</v>
      </c>
      <c r="BO33" s="137" t="e">
        <f t="shared" si="26"/>
        <v>#DIV/0!</v>
      </c>
      <c r="BP33" s="137" t="e">
        <f t="shared" si="26"/>
        <v>#DIV/0!</v>
      </c>
      <c r="BQ33" s="137" t="e">
        <f t="shared" si="26"/>
        <v>#DIV/0!</v>
      </c>
      <c r="BR33" s="137" t="e">
        <f t="shared" ref="BR33:CK33" si="27">BR7/BR9</f>
        <v>#DIV/0!</v>
      </c>
      <c r="BS33" s="137" t="e">
        <f t="shared" si="27"/>
        <v>#DIV/0!</v>
      </c>
      <c r="BT33" s="137" t="e">
        <f t="shared" si="27"/>
        <v>#DIV/0!</v>
      </c>
      <c r="BU33" s="137" t="e">
        <f t="shared" si="27"/>
        <v>#DIV/0!</v>
      </c>
      <c r="BV33" s="137" t="e">
        <f t="shared" si="27"/>
        <v>#DIV/0!</v>
      </c>
      <c r="BW33" s="137" t="e">
        <f t="shared" si="27"/>
        <v>#DIV/0!</v>
      </c>
      <c r="BX33" s="137" t="e">
        <f t="shared" si="27"/>
        <v>#DIV/0!</v>
      </c>
      <c r="BY33" s="137" t="e">
        <f t="shared" si="27"/>
        <v>#DIV/0!</v>
      </c>
      <c r="BZ33" s="137" t="e">
        <f t="shared" si="27"/>
        <v>#DIV/0!</v>
      </c>
      <c r="CA33" s="137" t="e">
        <f t="shared" si="27"/>
        <v>#DIV/0!</v>
      </c>
      <c r="CB33" s="137" t="e">
        <f t="shared" si="27"/>
        <v>#DIV/0!</v>
      </c>
      <c r="CC33" s="137" t="e">
        <f t="shared" si="27"/>
        <v>#DIV/0!</v>
      </c>
      <c r="CD33" s="137" t="e">
        <f t="shared" si="27"/>
        <v>#DIV/0!</v>
      </c>
      <c r="CE33" s="137" t="e">
        <f t="shared" si="27"/>
        <v>#DIV/0!</v>
      </c>
      <c r="CF33" s="137" t="e">
        <f t="shared" si="27"/>
        <v>#DIV/0!</v>
      </c>
      <c r="CG33" s="137" t="e">
        <f t="shared" si="27"/>
        <v>#DIV/0!</v>
      </c>
      <c r="CH33" s="137" t="e">
        <f t="shared" si="27"/>
        <v>#DIV/0!</v>
      </c>
      <c r="CI33" s="137" t="e">
        <f t="shared" si="27"/>
        <v>#DIV/0!</v>
      </c>
      <c r="CJ33" s="137" t="e">
        <f t="shared" si="27"/>
        <v>#DIV/0!</v>
      </c>
      <c r="CK33" s="137" t="e">
        <f t="shared" si="27"/>
        <v>#DIV/0!</v>
      </c>
    </row>
    <row r="34" spans="1:89" s="135" customFormat="1">
      <c r="A34" s="134" t="s">
        <v>570</v>
      </c>
      <c r="E34" s="135" t="e">
        <f>(E10-I10)/I10</f>
        <v>#DIV/0!</v>
      </c>
      <c r="F34" s="135" t="e">
        <f t="shared" ref="F34:BQ34" si="28">(F10-J10)/J10</f>
        <v>#DIV/0!</v>
      </c>
      <c r="G34" s="135" t="e">
        <f t="shared" si="28"/>
        <v>#DIV/0!</v>
      </c>
      <c r="H34" s="135" t="e">
        <f t="shared" si="28"/>
        <v>#DIV/0!</v>
      </c>
      <c r="I34" s="135" t="e">
        <f t="shared" si="28"/>
        <v>#DIV/0!</v>
      </c>
      <c r="J34" s="135" t="e">
        <f t="shared" si="28"/>
        <v>#DIV/0!</v>
      </c>
      <c r="K34" s="135" t="e">
        <f t="shared" si="28"/>
        <v>#DIV/0!</v>
      </c>
      <c r="L34" s="135" t="e">
        <f t="shared" si="28"/>
        <v>#DIV/0!</v>
      </c>
      <c r="M34" s="135" t="e">
        <f t="shared" si="28"/>
        <v>#DIV/0!</v>
      </c>
      <c r="N34" s="135" t="e">
        <f t="shared" si="28"/>
        <v>#DIV/0!</v>
      </c>
      <c r="O34" s="135" t="e">
        <f t="shared" si="28"/>
        <v>#DIV/0!</v>
      </c>
      <c r="P34" s="135" t="e">
        <f t="shared" si="28"/>
        <v>#DIV/0!</v>
      </c>
      <c r="Q34" s="135" t="e">
        <f t="shared" si="28"/>
        <v>#DIV/0!</v>
      </c>
      <c r="R34" s="135" t="e">
        <f t="shared" si="28"/>
        <v>#DIV/0!</v>
      </c>
      <c r="S34" s="135" t="e">
        <f t="shared" si="28"/>
        <v>#DIV/0!</v>
      </c>
      <c r="T34" s="135" t="e">
        <f t="shared" si="28"/>
        <v>#DIV/0!</v>
      </c>
      <c r="U34" s="135" t="e">
        <f t="shared" si="28"/>
        <v>#DIV/0!</v>
      </c>
      <c r="V34" s="135" t="e">
        <f t="shared" si="28"/>
        <v>#DIV/0!</v>
      </c>
      <c r="W34" s="135" t="e">
        <f t="shared" si="28"/>
        <v>#DIV/0!</v>
      </c>
      <c r="X34" s="135" t="e">
        <f t="shared" si="28"/>
        <v>#DIV/0!</v>
      </c>
      <c r="Y34" s="135" t="e">
        <f t="shared" si="28"/>
        <v>#DIV/0!</v>
      </c>
      <c r="Z34" s="135" t="e">
        <f t="shared" si="28"/>
        <v>#DIV/0!</v>
      </c>
      <c r="AA34" s="135" t="e">
        <f t="shared" si="28"/>
        <v>#DIV/0!</v>
      </c>
      <c r="AB34" s="135" t="e">
        <f t="shared" si="28"/>
        <v>#DIV/0!</v>
      </c>
      <c r="AC34" s="135">
        <f t="shared" si="28"/>
        <v>-1</v>
      </c>
      <c r="AD34" s="135">
        <f t="shared" si="28"/>
        <v>-1</v>
      </c>
      <c r="AE34" s="135" t="e">
        <f t="shared" si="28"/>
        <v>#DIV/0!</v>
      </c>
      <c r="AF34" s="135" t="e">
        <f t="shared" si="28"/>
        <v>#DIV/0!</v>
      </c>
      <c r="AG34" s="135" t="e">
        <f t="shared" si="28"/>
        <v>#DIV/0!</v>
      </c>
      <c r="AH34" s="135">
        <f t="shared" si="28"/>
        <v>2.75</v>
      </c>
      <c r="AI34" s="135">
        <f t="shared" si="28"/>
        <v>-1</v>
      </c>
      <c r="AJ34" s="135">
        <f t="shared" si="28"/>
        <v>-1</v>
      </c>
      <c r="AK34" s="135">
        <f t="shared" si="28"/>
        <v>-1</v>
      </c>
      <c r="AL34" s="135">
        <f t="shared" si="28"/>
        <v>-0.84905660377358494</v>
      </c>
      <c r="AM34" s="135" t="e">
        <f t="shared" si="28"/>
        <v>#DIV/0!</v>
      </c>
      <c r="AN34" s="135" t="e">
        <f t="shared" si="28"/>
        <v>#DIV/0!</v>
      </c>
      <c r="AO34" s="135" t="e">
        <f t="shared" si="28"/>
        <v>#DIV/0!</v>
      </c>
      <c r="AP34" s="135" t="e">
        <f t="shared" si="28"/>
        <v>#DIV/0!</v>
      </c>
      <c r="AQ34" s="135" t="e">
        <f t="shared" si="28"/>
        <v>#DIV/0!</v>
      </c>
      <c r="AR34" s="135" t="e">
        <f t="shared" si="28"/>
        <v>#DIV/0!</v>
      </c>
      <c r="AS34" s="135" t="e">
        <f t="shared" si="28"/>
        <v>#DIV/0!</v>
      </c>
      <c r="AT34" s="135" t="e">
        <f t="shared" si="28"/>
        <v>#DIV/0!</v>
      </c>
      <c r="AU34" s="135" t="e">
        <f t="shared" si="28"/>
        <v>#DIV/0!</v>
      </c>
      <c r="AV34" s="135" t="e">
        <f t="shared" si="28"/>
        <v>#DIV/0!</v>
      </c>
      <c r="AW34" s="135" t="e">
        <f t="shared" si="28"/>
        <v>#DIV/0!</v>
      </c>
      <c r="AX34" s="135" t="e">
        <f t="shared" si="28"/>
        <v>#DIV/0!</v>
      </c>
      <c r="AY34" s="135" t="e">
        <f t="shared" si="28"/>
        <v>#DIV/0!</v>
      </c>
      <c r="AZ34" s="135" t="e">
        <f t="shared" si="28"/>
        <v>#DIV/0!</v>
      </c>
      <c r="BA34" s="135" t="e">
        <f t="shared" si="28"/>
        <v>#DIV/0!</v>
      </c>
      <c r="BB34" s="135" t="e">
        <f t="shared" si="28"/>
        <v>#DIV/0!</v>
      </c>
      <c r="BC34" s="135" t="e">
        <f t="shared" si="28"/>
        <v>#DIV/0!</v>
      </c>
      <c r="BD34" s="135" t="e">
        <f t="shared" si="28"/>
        <v>#DIV/0!</v>
      </c>
      <c r="BE34" s="135" t="e">
        <f t="shared" si="28"/>
        <v>#DIV/0!</v>
      </c>
      <c r="BF34" s="135" t="e">
        <f t="shared" si="28"/>
        <v>#DIV/0!</v>
      </c>
      <c r="BG34" s="135" t="e">
        <f t="shared" si="28"/>
        <v>#DIV/0!</v>
      </c>
      <c r="BH34" s="135" t="e">
        <f t="shared" si="28"/>
        <v>#DIV/0!</v>
      </c>
      <c r="BI34" s="135" t="e">
        <f t="shared" si="28"/>
        <v>#DIV/0!</v>
      </c>
      <c r="BJ34" s="135" t="e">
        <f t="shared" si="28"/>
        <v>#DIV/0!</v>
      </c>
      <c r="BK34" s="135" t="e">
        <f t="shared" si="28"/>
        <v>#DIV/0!</v>
      </c>
      <c r="BL34" s="135" t="e">
        <f t="shared" si="28"/>
        <v>#DIV/0!</v>
      </c>
      <c r="BM34" s="135" t="e">
        <f t="shared" si="28"/>
        <v>#DIV/0!</v>
      </c>
      <c r="BN34" s="135" t="e">
        <f t="shared" si="28"/>
        <v>#DIV/0!</v>
      </c>
      <c r="BO34" s="135" t="e">
        <f t="shared" si="28"/>
        <v>#DIV/0!</v>
      </c>
      <c r="BP34" s="135" t="e">
        <f t="shared" si="28"/>
        <v>#DIV/0!</v>
      </c>
      <c r="BQ34" s="135" t="e">
        <f t="shared" si="28"/>
        <v>#DIV/0!</v>
      </c>
      <c r="BR34" s="135" t="e">
        <f t="shared" ref="BR34:CK34" si="29">(BR10-BV10)/BV10</f>
        <v>#DIV/0!</v>
      </c>
      <c r="BS34" s="135" t="e">
        <f t="shared" si="29"/>
        <v>#DIV/0!</v>
      </c>
      <c r="BT34" s="135" t="e">
        <f t="shared" si="29"/>
        <v>#DIV/0!</v>
      </c>
      <c r="BU34" s="135" t="e">
        <f t="shared" si="29"/>
        <v>#DIV/0!</v>
      </c>
      <c r="BV34" s="135" t="e">
        <f t="shared" si="29"/>
        <v>#DIV/0!</v>
      </c>
      <c r="BW34" s="135" t="e">
        <f t="shared" si="29"/>
        <v>#DIV/0!</v>
      </c>
      <c r="BX34" s="135" t="e">
        <f t="shared" si="29"/>
        <v>#DIV/0!</v>
      </c>
      <c r="BY34" s="135" t="e">
        <f t="shared" si="29"/>
        <v>#DIV/0!</v>
      </c>
      <c r="BZ34" s="135" t="e">
        <f t="shared" si="29"/>
        <v>#DIV/0!</v>
      </c>
      <c r="CA34" s="135" t="e">
        <f t="shared" si="29"/>
        <v>#DIV/0!</v>
      </c>
      <c r="CB34" s="135" t="e">
        <f t="shared" si="29"/>
        <v>#DIV/0!</v>
      </c>
      <c r="CC34" s="135" t="e">
        <f t="shared" si="29"/>
        <v>#DIV/0!</v>
      </c>
      <c r="CD34" s="135" t="e">
        <f t="shared" si="29"/>
        <v>#DIV/0!</v>
      </c>
      <c r="CE34" s="135" t="e">
        <f t="shared" si="29"/>
        <v>#DIV/0!</v>
      </c>
      <c r="CF34" s="135" t="e">
        <f t="shared" si="29"/>
        <v>#DIV/0!</v>
      </c>
      <c r="CG34" s="135" t="e">
        <f t="shared" si="29"/>
        <v>#DIV/0!</v>
      </c>
      <c r="CH34" s="135" t="e">
        <f t="shared" si="29"/>
        <v>#DIV/0!</v>
      </c>
      <c r="CI34" s="135" t="e">
        <f t="shared" si="29"/>
        <v>#DIV/0!</v>
      </c>
      <c r="CJ34" s="135" t="e">
        <f t="shared" si="29"/>
        <v>#DIV/0!</v>
      </c>
      <c r="CK34" s="135" t="e">
        <f t="shared" si="29"/>
        <v>#DIV/0!</v>
      </c>
    </row>
    <row r="35" spans="1:89" s="135" customFormat="1">
      <c r="A35" s="134" t="s">
        <v>574</v>
      </c>
      <c r="E35" s="135" t="e">
        <f>E10/E12</f>
        <v>#DIV/0!</v>
      </c>
      <c r="F35" s="135" t="e">
        <f t="shared" ref="F35:BQ35" si="30">F10/F12</f>
        <v>#DIV/0!</v>
      </c>
      <c r="G35" s="135" t="e">
        <f t="shared" si="30"/>
        <v>#DIV/0!</v>
      </c>
      <c r="H35" s="135" t="e">
        <f t="shared" si="30"/>
        <v>#DIV/0!</v>
      </c>
      <c r="I35" s="135" t="e">
        <f t="shared" si="30"/>
        <v>#DIV/0!</v>
      </c>
      <c r="J35" s="135" t="e">
        <f t="shared" si="30"/>
        <v>#DIV/0!</v>
      </c>
      <c r="K35" s="135" t="e">
        <f t="shared" si="30"/>
        <v>#DIV/0!</v>
      </c>
      <c r="L35" s="135" t="e">
        <f t="shared" si="30"/>
        <v>#DIV/0!</v>
      </c>
      <c r="M35" s="135" t="e">
        <f t="shared" si="30"/>
        <v>#DIV/0!</v>
      </c>
      <c r="N35" s="135" t="e">
        <f t="shared" si="30"/>
        <v>#DIV/0!</v>
      </c>
      <c r="O35" s="135" t="e">
        <f t="shared" si="30"/>
        <v>#DIV/0!</v>
      </c>
      <c r="P35" s="135" t="e">
        <f t="shared" si="30"/>
        <v>#DIV/0!</v>
      </c>
      <c r="Q35" s="135" t="e">
        <f t="shared" si="30"/>
        <v>#DIV/0!</v>
      </c>
      <c r="R35" s="135">
        <f t="shared" si="30"/>
        <v>0</v>
      </c>
      <c r="S35" s="135">
        <f t="shared" si="30"/>
        <v>0</v>
      </c>
      <c r="T35" s="135">
        <f t="shared" si="30"/>
        <v>0</v>
      </c>
      <c r="U35" s="135">
        <f t="shared" si="30"/>
        <v>0</v>
      </c>
      <c r="V35" s="135">
        <f t="shared" si="30"/>
        <v>0</v>
      </c>
      <c r="W35" s="135">
        <f t="shared" si="30"/>
        <v>0</v>
      </c>
      <c r="X35" s="135">
        <f t="shared" si="30"/>
        <v>0</v>
      </c>
      <c r="Y35" s="135">
        <f t="shared" si="30"/>
        <v>0</v>
      </c>
      <c r="Z35" s="135">
        <f t="shared" si="30"/>
        <v>0</v>
      </c>
      <c r="AA35" s="135">
        <f t="shared" si="30"/>
        <v>0</v>
      </c>
      <c r="AB35" s="135">
        <f t="shared" si="30"/>
        <v>0</v>
      </c>
      <c r="AC35" s="135">
        <f t="shared" si="30"/>
        <v>0</v>
      </c>
      <c r="AD35" s="135">
        <f t="shared" si="30"/>
        <v>0</v>
      </c>
      <c r="AE35" s="135">
        <f t="shared" si="30"/>
        <v>0</v>
      </c>
      <c r="AF35" s="135">
        <f t="shared" si="30"/>
        <v>0</v>
      </c>
      <c r="AG35" s="135">
        <f t="shared" si="30"/>
        <v>0.65359477124183007</v>
      </c>
      <c r="AH35" s="135">
        <f t="shared" si="30"/>
        <v>1</v>
      </c>
      <c r="AI35" s="135" t="e">
        <f t="shared" si="30"/>
        <v>#DIV/0!</v>
      </c>
      <c r="AJ35" s="135" t="e">
        <f t="shared" si="30"/>
        <v>#DIV/0!</v>
      </c>
      <c r="AK35" s="135" t="e">
        <f t="shared" si="30"/>
        <v>#DIV/0!</v>
      </c>
      <c r="AL35" s="135">
        <f t="shared" si="30"/>
        <v>1</v>
      </c>
      <c r="AM35" s="135">
        <f t="shared" si="30"/>
        <v>0.5714285714285714</v>
      </c>
      <c r="AN35" s="135">
        <f t="shared" si="30"/>
        <v>0.56729131168703506</v>
      </c>
      <c r="AO35" s="135">
        <f t="shared" si="30"/>
        <v>0.55664421305699319</v>
      </c>
      <c r="AP35" s="135">
        <f t="shared" si="30"/>
        <v>0.86885245901639341</v>
      </c>
      <c r="AQ35" s="135" t="e">
        <f t="shared" si="30"/>
        <v>#DIV/0!</v>
      </c>
      <c r="AR35" s="135" t="e">
        <f t="shared" si="30"/>
        <v>#DIV/0!</v>
      </c>
      <c r="AS35" s="135" t="e">
        <f t="shared" si="30"/>
        <v>#DIV/0!</v>
      </c>
      <c r="AT35" s="135" t="e">
        <f t="shared" si="30"/>
        <v>#DIV/0!</v>
      </c>
      <c r="AU35" s="135" t="e">
        <f t="shared" si="30"/>
        <v>#DIV/0!</v>
      </c>
      <c r="AV35" s="135" t="e">
        <f t="shared" si="30"/>
        <v>#DIV/0!</v>
      </c>
      <c r="AW35" s="135" t="e">
        <f t="shared" si="30"/>
        <v>#DIV/0!</v>
      </c>
      <c r="AX35" s="135" t="e">
        <f t="shared" si="30"/>
        <v>#DIV/0!</v>
      </c>
      <c r="AY35" s="135" t="e">
        <f t="shared" si="30"/>
        <v>#DIV/0!</v>
      </c>
      <c r="AZ35" s="135" t="e">
        <f t="shared" si="30"/>
        <v>#DIV/0!</v>
      </c>
      <c r="BA35" s="135" t="e">
        <f t="shared" si="30"/>
        <v>#DIV/0!</v>
      </c>
      <c r="BB35" s="135" t="e">
        <f t="shared" si="30"/>
        <v>#DIV/0!</v>
      </c>
      <c r="BC35" s="135" t="e">
        <f t="shared" si="30"/>
        <v>#DIV/0!</v>
      </c>
      <c r="BD35" s="135" t="e">
        <f t="shared" si="30"/>
        <v>#DIV/0!</v>
      </c>
      <c r="BE35" s="135" t="e">
        <f t="shared" si="30"/>
        <v>#DIV/0!</v>
      </c>
      <c r="BF35" s="135" t="e">
        <f t="shared" si="30"/>
        <v>#DIV/0!</v>
      </c>
      <c r="BG35" s="135" t="e">
        <f t="shared" si="30"/>
        <v>#DIV/0!</v>
      </c>
      <c r="BH35" s="135" t="e">
        <f t="shared" si="30"/>
        <v>#DIV/0!</v>
      </c>
      <c r="BI35" s="135" t="e">
        <f t="shared" si="30"/>
        <v>#DIV/0!</v>
      </c>
      <c r="BJ35" s="135" t="e">
        <f t="shared" si="30"/>
        <v>#DIV/0!</v>
      </c>
      <c r="BK35" s="135" t="e">
        <f t="shared" si="30"/>
        <v>#DIV/0!</v>
      </c>
      <c r="BL35" s="135" t="e">
        <f t="shared" si="30"/>
        <v>#DIV/0!</v>
      </c>
      <c r="BM35" s="135" t="e">
        <f t="shared" si="30"/>
        <v>#DIV/0!</v>
      </c>
      <c r="BN35" s="135" t="e">
        <f t="shared" si="30"/>
        <v>#DIV/0!</v>
      </c>
      <c r="BO35" s="135" t="e">
        <f t="shared" si="30"/>
        <v>#DIV/0!</v>
      </c>
      <c r="BP35" s="135" t="e">
        <f t="shared" si="30"/>
        <v>#DIV/0!</v>
      </c>
      <c r="BQ35" s="135" t="e">
        <f t="shared" si="30"/>
        <v>#DIV/0!</v>
      </c>
      <c r="BR35" s="135" t="e">
        <f t="shared" ref="BR35:CK35" si="31">BR10/BR12</f>
        <v>#DIV/0!</v>
      </c>
      <c r="BS35" s="135" t="e">
        <f t="shared" si="31"/>
        <v>#DIV/0!</v>
      </c>
      <c r="BT35" s="135" t="e">
        <f t="shared" si="31"/>
        <v>#DIV/0!</v>
      </c>
      <c r="BU35" s="135" t="e">
        <f t="shared" si="31"/>
        <v>#DIV/0!</v>
      </c>
      <c r="BV35" s="135" t="e">
        <f t="shared" si="31"/>
        <v>#DIV/0!</v>
      </c>
      <c r="BW35" s="135" t="e">
        <f t="shared" si="31"/>
        <v>#DIV/0!</v>
      </c>
      <c r="BX35" s="135" t="e">
        <f t="shared" si="31"/>
        <v>#DIV/0!</v>
      </c>
      <c r="BY35" s="135" t="e">
        <f t="shared" si="31"/>
        <v>#DIV/0!</v>
      </c>
      <c r="BZ35" s="135" t="e">
        <f t="shared" si="31"/>
        <v>#DIV/0!</v>
      </c>
      <c r="CA35" s="135" t="e">
        <f t="shared" si="31"/>
        <v>#DIV/0!</v>
      </c>
      <c r="CB35" s="135" t="e">
        <f t="shared" si="31"/>
        <v>#DIV/0!</v>
      </c>
      <c r="CC35" s="135" t="e">
        <f t="shared" si="31"/>
        <v>#DIV/0!</v>
      </c>
      <c r="CD35" s="135" t="e">
        <f t="shared" si="31"/>
        <v>#DIV/0!</v>
      </c>
      <c r="CE35" s="135" t="e">
        <f t="shared" si="31"/>
        <v>#DIV/0!</v>
      </c>
      <c r="CF35" s="135" t="e">
        <f t="shared" si="31"/>
        <v>#DIV/0!</v>
      </c>
      <c r="CG35" s="135" t="e">
        <f t="shared" si="31"/>
        <v>#DIV/0!</v>
      </c>
      <c r="CH35" s="135" t="e">
        <f t="shared" si="31"/>
        <v>#DIV/0!</v>
      </c>
      <c r="CI35" s="135" t="e">
        <f t="shared" si="31"/>
        <v>#DIV/0!</v>
      </c>
      <c r="CJ35" s="135" t="e">
        <f t="shared" si="31"/>
        <v>#DIV/0!</v>
      </c>
      <c r="CK35" s="135" t="e">
        <f t="shared" si="31"/>
        <v>#DIV/0!</v>
      </c>
    </row>
    <row r="36" spans="1:89" s="135" customFormat="1">
      <c r="A36" s="134" t="s">
        <v>571</v>
      </c>
      <c r="E36" s="135" t="e">
        <f>(E11-I11)/I11</f>
        <v>#DIV/0!</v>
      </c>
      <c r="F36" s="135" t="e">
        <f t="shared" ref="F36:BQ36" si="32">(F11-J11)/J11</f>
        <v>#DIV/0!</v>
      </c>
      <c r="G36" s="135" t="e">
        <f t="shared" si="32"/>
        <v>#DIV/0!</v>
      </c>
      <c r="H36" s="135" t="e">
        <f t="shared" si="32"/>
        <v>#DIV/0!</v>
      </c>
      <c r="I36" s="135" t="e">
        <f t="shared" si="32"/>
        <v>#DIV/0!</v>
      </c>
      <c r="J36" s="135" t="e">
        <f t="shared" si="32"/>
        <v>#DIV/0!</v>
      </c>
      <c r="K36" s="135" t="e">
        <f t="shared" si="32"/>
        <v>#DIV/0!</v>
      </c>
      <c r="L36" s="135" t="e">
        <f t="shared" si="32"/>
        <v>#DIV/0!</v>
      </c>
      <c r="M36" s="135" t="e">
        <f t="shared" si="32"/>
        <v>#DIV/0!</v>
      </c>
      <c r="N36" s="135">
        <f t="shared" si="32"/>
        <v>-1</v>
      </c>
      <c r="O36" s="135">
        <f t="shared" si="32"/>
        <v>-1</v>
      </c>
      <c r="P36" s="135">
        <f t="shared" si="32"/>
        <v>-1</v>
      </c>
      <c r="Q36" s="135">
        <f t="shared" si="32"/>
        <v>-1</v>
      </c>
      <c r="R36" s="135">
        <f t="shared" si="32"/>
        <v>4.2702748474462924</v>
      </c>
      <c r="S36" s="135">
        <f t="shared" si="32"/>
        <v>-0.12265439852672375</v>
      </c>
      <c r="T36" s="135">
        <f t="shared" si="32"/>
        <v>-8.6683652955485621E-2</v>
      </c>
      <c r="U36" s="135">
        <f t="shared" si="32"/>
        <v>-0.10099879774060996</v>
      </c>
      <c r="V36" s="135">
        <f t="shared" si="32"/>
        <v>-0.83390695961422301</v>
      </c>
      <c r="W36" s="135">
        <f t="shared" si="32"/>
        <v>-5.0824175824175821E-4</v>
      </c>
      <c r="X36" s="135">
        <f t="shared" si="32"/>
        <v>-5.0824175824175821E-4</v>
      </c>
      <c r="Y36" s="135">
        <f t="shared" si="32"/>
        <v>-5.0824175824175821E-4</v>
      </c>
      <c r="Z36" s="135">
        <f t="shared" si="32"/>
        <v>0.18463644210526328</v>
      </c>
      <c r="AA36" s="135">
        <f t="shared" si="32"/>
        <v>0.19736842105263158</v>
      </c>
      <c r="AB36" s="135">
        <f t="shared" si="32"/>
        <v>0.26625432231042712</v>
      </c>
      <c r="AC36" s="135">
        <f t="shared" si="32"/>
        <v>0.14465408805031446</v>
      </c>
      <c r="AD36" s="135" t="e">
        <f t="shared" si="32"/>
        <v>#DIV/0!</v>
      </c>
      <c r="AE36" s="135" t="e">
        <f t="shared" si="32"/>
        <v>#DIV/0!</v>
      </c>
      <c r="AF36" s="135" t="e">
        <f t="shared" si="32"/>
        <v>#DIV/0!</v>
      </c>
      <c r="AG36" s="135" t="e">
        <f t="shared" si="32"/>
        <v>#DIV/0!</v>
      </c>
      <c r="AH36" s="135" t="e">
        <f t="shared" si="32"/>
        <v>#DIV/0!</v>
      </c>
      <c r="AI36" s="135">
        <f t="shared" si="32"/>
        <v>-1</v>
      </c>
      <c r="AJ36" s="135">
        <f t="shared" si="32"/>
        <v>-1</v>
      </c>
      <c r="AK36" s="135">
        <f t="shared" si="32"/>
        <v>-1</v>
      </c>
      <c r="AL36" s="135">
        <f t="shared" si="32"/>
        <v>-1</v>
      </c>
      <c r="AM36" s="135" t="e">
        <f t="shared" si="32"/>
        <v>#DIV/0!</v>
      </c>
      <c r="AN36" s="135" t="e">
        <f t="shared" si="32"/>
        <v>#DIV/0!</v>
      </c>
      <c r="AO36" s="135" t="e">
        <f t="shared" si="32"/>
        <v>#DIV/0!</v>
      </c>
      <c r="AP36" s="135" t="e">
        <f t="shared" si="32"/>
        <v>#DIV/0!</v>
      </c>
      <c r="AQ36" s="135" t="e">
        <f t="shared" si="32"/>
        <v>#DIV/0!</v>
      </c>
      <c r="AR36" s="135" t="e">
        <f t="shared" si="32"/>
        <v>#DIV/0!</v>
      </c>
      <c r="AS36" s="135" t="e">
        <f t="shared" si="32"/>
        <v>#DIV/0!</v>
      </c>
      <c r="AT36" s="135" t="e">
        <f t="shared" si="32"/>
        <v>#DIV/0!</v>
      </c>
      <c r="AU36" s="135" t="e">
        <f t="shared" si="32"/>
        <v>#DIV/0!</v>
      </c>
      <c r="AV36" s="135" t="e">
        <f t="shared" si="32"/>
        <v>#DIV/0!</v>
      </c>
      <c r="AW36" s="135" t="e">
        <f t="shared" si="32"/>
        <v>#DIV/0!</v>
      </c>
      <c r="AX36" s="135" t="e">
        <f t="shared" si="32"/>
        <v>#DIV/0!</v>
      </c>
      <c r="AY36" s="135" t="e">
        <f t="shared" si="32"/>
        <v>#DIV/0!</v>
      </c>
      <c r="AZ36" s="135" t="e">
        <f t="shared" si="32"/>
        <v>#DIV/0!</v>
      </c>
      <c r="BA36" s="135" t="e">
        <f t="shared" si="32"/>
        <v>#DIV/0!</v>
      </c>
      <c r="BB36" s="135" t="e">
        <f t="shared" si="32"/>
        <v>#DIV/0!</v>
      </c>
      <c r="BC36" s="135" t="e">
        <f t="shared" si="32"/>
        <v>#DIV/0!</v>
      </c>
      <c r="BD36" s="135" t="e">
        <f t="shared" si="32"/>
        <v>#DIV/0!</v>
      </c>
      <c r="BE36" s="135" t="e">
        <f t="shared" si="32"/>
        <v>#DIV/0!</v>
      </c>
      <c r="BF36" s="135" t="e">
        <f t="shared" si="32"/>
        <v>#DIV/0!</v>
      </c>
      <c r="BG36" s="135" t="e">
        <f t="shared" si="32"/>
        <v>#DIV/0!</v>
      </c>
      <c r="BH36" s="135" t="e">
        <f t="shared" si="32"/>
        <v>#DIV/0!</v>
      </c>
      <c r="BI36" s="135" t="e">
        <f t="shared" si="32"/>
        <v>#DIV/0!</v>
      </c>
      <c r="BJ36" s="135" t="e">
        <f t="shared" si="32"/>
        <v>#DIV/0!</v>
      </c>
      <c r="BK36" s="135" t="e">
        <f t="shared" si="32"/>
        <v>#DIV/0!</v>
      </c>
      <c r="BL36" s="135" t="e">
        <f t="shared" si="32"/>
        <v>#DIV/0!</v>
      </c>
      <c r="BM36" s="135" t="e">
        <f t="shared" si="32"/>
        <v>#DIV/0!</v>
      </c>
      <c r="BN36" s="135" t="e">
        <f t="shared" si="32"/>
        <v>#DIV/0!</v>
      </c>
      <c r="BO36" s="135" t="e">
        <f t="shared" si="32"/>
        <v>#DIV/0!</v>
      </c>
      <c r="BP36" s="135" t="e">
        <f t="shared" si="32"/>
        <v>#DIV/0!</v>
      </c>
      <c r="BQ36" s="135" t="e">
        <f t="shared" si="32"/>
        <v>#DIV/0!</v>
      </c>
      <c r="BR36" s="135" t="e">
        <f t="shared" ref="BR36:CK36" si="33">(BR11-BV11)/BV11</f>
        <v>#DIV/0!</v>
      </c>
      <c r="BS36" s="135" t="e">
        <f t="shared" si="33"/>
        <v>#DIV/0!</v>
      </c>
      <c r="BT36" s="135" t="e">
        <f t="shared" si="33"/>
        <v>#DIV/0!</v>
      </c>
      <c r="BU36" s="135" t="e">
        <f t="shared" si="33"/>
        <v>#DIV/0!</v>
      </c>
      <c r="BV36" s="135" t="e">
        <f t="shared" si="33"/>
        <v>#DIV/0!</v>
      </c>
      <c r="BW36" s="135" t="e">
        <f t="shared" si="33"/>
        <v>#DIV/0!</v>
      </c>
      <c r="BX36" s="135" t="e">
        <f t="shared" si="33"/>
        <v>#DIV/0!</v>
      </c>
      <c r="BY36" s="135" t="e">
        <f t="shared" si="33"/>
        <v>#DIV/0!</v>
      </c>
      <c r="BZ36" s="135" t="e">
        <f t="shared" si="33"/>
        <v>#DIV/0!</v>
      </c>
      <c r="CA36" s="135" t="e">
        <f t="shared" si="33"/>
        <v>#DIV/0!</v>
      </c>
      <c r="CB36" s="135" t="e">
        <f t="shared" si="33"/>
        <v>#DIV/0!</v>
      </c>
      <c r="CC36" s="135" t="e">
        <f t="shared" si="33"/>
        <v>#DIV/0!</v>
      </c>
      <c r="CD36" s="135" t="e">
        <f t="shared" si="33"/>
        <v>#DIV/0!</v>
      </c>
      <c r="CE36" s="135" t="e">
        <f t="shared" si="33"/>
        <v>#DIV/0!</v>
      </c>
      <c r="CF36" s="135" t="e">
        <f t="shared" si="33"/>
        <v>#DIV/0!</v>
      </c>
      <c r="CG36" s="135" t="e">
        <f t="shared" si="33"/>
        <v>#DIV/0!</v>
      </c>
      <c r="CH36" s="135" t="e">
        <f t="shared" si="33"/>
        <v>#DIV/0!</v>
      </c>
      <c r="CI36" s="135" t="e">
        <f t="shared" si="33"/>
        <v>#DIV/0!</v>
      </c>
      <c r="CJ36" s="135" t="e">
        <f t="shared" si="33"/>
        <v>#DIV/0!</v>
      </c>
      <c r="CK36" s="135" t="e">
        <f t="shared" si="33"/>
        <v>#DIV/0!</v>
      </c>
    </row>
    <row r="37" spans="1:89" s="139" customFormat="1">
      <c r="A37" s="138" t="s">
        <v>575</v>
      </c>
      <c r="E37" s="139" t="e">
        <f>E11/E12</f>
        <v>#DIV/0!</v>
      </c>
      <c r="F37" s="139" t="e">
        <f t="shared" ref="F37:BQ37" si="34">F11/F12</f>
        <v>#DIV/0!</v>
      </c>
      <c r="G37" s="139" t="e">
        <f t="shared" si="34"/>
        <v>#DIV/0!</v>
      </c>
      <c r="H37" s="139" t="e">
        <f t="shared" si="34"/>
        <v>#DIV/0!</v>
      </c>
      <c r="I37" s="139" t="e">
        <f t="shared" si="34"/>
        <v>#DIV/0!</v>
      </c>
      <c r="J37" s="139" t="e">
        <f t="shared" si="34"/>
        <v>#DIV/0!</v>
      </c>
      <c r="K37" s="139" t="e">
        <f t="shared" si="34"/>
        <v>#DIV/0!</v>
      </c>
      <c r="L37" s="139" t="e">
        <f t="shared" si="34"/>
        <v>#DIV/0!</v>
      </c>
      <c r="M37" s="139" t="e">
        <f t="shared" si="34"/>
        <v>#DIV/0!</v>
      </c>
      <c r="N37" s="139" t="e">
        <f t="shared" si="34"/>
        <v>#DIV/0!</v>
      </c>
      <c r="O37" s="139" t="e">
        <f t="shared" si="34"/>
        <v>#DIV/0!</v>
      </c>
      <c r="P37" s="139" t="e">
        <f t="shared" si="34"/>
        <v>#DIV/0!</v>
      </c>
      <c r="Q37" s="139" t="e">
        <f t="shared" si="34"/>
        <v>#DIV/0!</v>
      </c>
      <c r="R37" s="139">
        <f t="shared" si="34"/>
        <v>1</v>
      </c>
      <c r="S37" s="139">
        <f t="shared" si="34"/>
        <v>1</v>
      </c>
      <c r="T37" s="139">
        <f t="shared" si="34"/>
        <v>1</v>
      </c>
      <c r="U37" s="139">
        <f t="shared" si="34"/>
        <v>1</v>
      </c>
      <c r="V37" s="139">
        <f t="shared" si="34"/>
        <v>1</v>
      </c>
      <c r="W37" s="139">
        <f t="shared" si="34"/>
        <v>1</v>
      </c>
      <c r="X37" s="139">
        <f t="shared" si="34"/>
        <v>1</v>
      </c>
      <c r="Y37" s="139">
        <f t="shared" si="34"/>
        <v>1</v>
      </c>
      <c r="Z37" s="139">
        <f t="shared" si="34"/>
        <v>1</v>
      </c>
      <c r="AA37" s="139">
        <f t="shared" si="34"/>
        <v>1</v>
      </c>
      <c r="AB37" s="139">
        <f t="shared" si="34"/>
        <v>1</v>
      </c>
      <c r="AC37" s="139">
        <f t="shared" si="34"/>
        <v>1</v>
      </c>
      <c r="AD37" s="139">
        <f t="shared" si="34"/>
        <v>1</v>
      </c>
      <c r="AE37" s="139">
        <f t="shared" si="34"/>
        <v>1</v>
      </c>
      <c r="AF37" s="139">
        <f t="shared" si="34"/>
        <v>1</v>
      </c>
      <c r="AG37" s="139">
        <f t="shared" si="34"/>
        <v>0.34640522875816993</v>
      </c>
      <c r="AH37" s="139">
        <f t="shared" si="34"/>
        <v>0</v>
      </c>
      <c r="AI37" s="139" t="e">
        <f t="shared" si="34"/>
        <v>#DIV/0!</v>
      </c>
      <c r="AJ37" s="139" t="e">
        <f t="shared" si="34"/>
        <v>#DIV/0!</v>
      </c>
      <c r="AK37" s="139" t="e">
        <f t="shared" si="34"/>
        <v>#DIV/0!</v>
      </c>
      <c r="AL37" s="139">
        <f t="shared" si="34"/>
        <v>0</v>
      </c>
      <c r="AM37" s="139">
        <f t="shared" si="34"/>
        <v>0.42857142857142855</v>
      </c>
      <c r="AN37" s="139">
        <f t="shared" si="34"/>
        <v>0.43270868831296488</v>
      </c>
      <c r="AO37" s="139">
        <f t="shared" si="34"/>
        <v>0.44335578694300687</v>
      </c>
      <c r="AP37" s="139">
        <f t="shared" si="34"/>
        <v>0.13114754098360656</v>
      </c>
      <c r="AQ37" s="139" t="e">
        <f t="shared" si="34"/>
        <v>#DIV/0!</v>
      </c>
      <c r="AR37" s="139" t="e">
        <f t="shared" si="34"/>
        <v>#DIV/0!</v>
      </c>
      <c r="AS37" s="139" t="e">
        <f t="shared" si="34"/>
        <v>#DIV/0!</v>
      </c>
      <c r="AT37" s="139" t="e">
        <f t="shared" si="34"/>
        <v>#DIV/0!</v>
      </c>
      <c r="AU37" s="139" t="e">
        <f t="shared" si="34"/>
        <v>#DIV/0!</v>
      </c>
      <c r="AV37" s="139" t="e">
        <f t="shared" si="34"/>
        <v>#DIV/0!</v>
      </c>
      <c r="AW37" s="139" t="e">
        <f t="shared" si="34"/>
        <v>#DIV/0!</v>
      </c>
      <c r="AX37" s="139" t="e">
        <f t="shared" si="34"/>
        <v>#DIV/0!</v>
      </c>
      <c r="AY37" s="139" t="e">
        <f t="shared" si="34"/>
        <v>#DIV/0!</v>
      </c>
      <c r="AZ37" s="139" t="e">
        <f t="shared" si="34"/>
        <v>#DIV/0!</v>
      </c>
      <c r="BA37" s="139" t="e">
        <f t="shared" si="34"/>
        <v>#DIV/0!</v>
      </c>
      <c r="BB37" s="139" t="e">
        <f t="shared" si="34"/>
        <v>#DIV/0!</v>
      </c>
      <c r="BC37" s="139" t="e">
        <f t="shared" si="34"/>
        <v>#DIV/0!</v>
      </c>
      <c r="BD37" s="139" t="e">
        <f t="shared" si="34"/>
        <v>#DIV/0!</v>
      </c>
      <c r="BE37" s="139" t="e">
        <f t="shared" si="34"/>
        <v>#DIV/0!</v>
      </c>
      <c r="BF37" s="139" t="e">
        <f t="shared" si="34"/>
        <v>#DIV/0!</v>
      </c>
      <c r="BG37" s="139" t="e">
        <f t="shared" si="34"/>
        <v>#DIV/0!</v>
      </c>
      <c r="BH37" s="139" t="e">
        <f t="shared" si="34"/>
        <v>#DIV/0!</v>
      </c>
      <c r="BI37" s="139" t="e">
        <f t="shared" si="34"/>
        <v>#DIV/0!</v>
      </c>
      <c r="BJ37" s="139" t="e">
        <f t="shared" si="34"/>
        <v>#DIV/0!</v>
      </c>
      <c r="BK37" s="139" t="e">
        <f t="shared" si="34"/>
        <v>#DIV/0!</v>
      </c>
      <c r="BL37" s="139" t="e">
        <f t="shared" si="34"/>
        <v>#DIV/0!</v>
      </c>
      <c r="BM37" s="139" t="e">
        <f t="shared" si="34"/>
        <v>#DIV/0!</v>
      </c>
      <c r="BN37" s="139" t="e">
        <f t="shared" si="34"/>
        <v>#DIV/0!</v>
      </c>
      <c r="BO37" s="139" t="e">
        <f t="shared" si="34"/>
        <v>#DIV/0!</v>
      </c>
      <c r="BP37" s="139" t="e">
        <f t="shared" si="34"/>
        <v>#DIV/0!</v>
      </c>
      <c r="BQ37" s="139" t="e">
        <f t="shared" si="34"/>
        <v>#DIV/0!</v>
      </c>
      <c r="BR37" s="139" t="e">
        <f t="shared" ref="BR37:CK37" si="35">BR11/BR12</f>
        <v>#DIV/0!</v>
      </c>
      <c r="BS37" s="139" t="e">
        <f t="shared" si="35"/>
        <v>#DIV/0!</v>
      </c>
      <c r="BT37" s="139" t="e">
        <f t="shared" si="35"/>
        <v>#DIV/0!</v>
      </c>
      <c r="BU37" s="139" t="e">
        <f t="shared" si="35"/>
        <v>#DIV/0!</v>
      </c>
      <c r="BV37" s="139" t="e">
        <f t="shared" si="35"/>
        <v>#DIV/0!</v>
      </c>
      <c r="BW37" s="139" t="e">
        <f t="shared" si="35"/>
        <v>#DIV/0!</v>
      </c>
      <c r="BX37" s="139" t="e">
        <f t="shared" si="35"/>
        <v>#DIV/0!</v>
      </c>
      <c r="BY37" s="139" t="e">
        <f t="shared" si="35"/>
        <v>#DIV/0!</v>
      </c>
      <c r="BZ37" s="139" t="e">
        <f t="shared" si="35"/>
        <v>#DIV/0!</v>
      </c>
      <c r="CA37" s="139" t="e">
        <f t="shared" si="35"/>
        <v>#DIV/0!</v>
      </c>
      <c r="CB37" s="139" t="e">
        <f t="shared" si="35"/>
        <v>#DIV/0!</v>
      </c>
      <c r="CC37" s="139" t="e">
        <f t="shared" si="35"/>
        <v>#DIV/0!</v>
      </c>
      <c r="CD37" s="139" t="e">
        <f t="shared" si="35"/>
        <v>#DIV/0!</v>
      </c>
      <c r="CE37" s="139" t="e">
        <f t="shared" si="35"/>
        <v>#DIV/0!</v>
      </c>
      <c r="CF37" s="139" t="e">
        <f t="shared" si="35"/>
        <v>#DIV/0!</v>
      </c>
      <c r="CG37" s="139" t="e">
        <f t="shared" si="35"/>
        <v>#DIV/0!</v>
      </c>
      <c r="CH37" s="139" t="e">
        <f t="shared" si="35"/>
        <v>#DIV/0!</v>
      </c>
      <c r="CI37" s="139" t="e">
        <f t="shared" si="35"/>
        <v>#DIV/0!</v>
      </c>
      <c r="CJ37" s="139" t="e">
        <f t="shared" si="35"/>
        <v>#DIV/0!</v>
      </c>
      <c r="CK37" s="139" t="e">
        <f t="shared" si="35"/>
        <v>#DIV/0!</v>
      </c>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28" workbookViewId="0">
      <selection activeCell="I54" sqref="I54"/>
    </sheetView>
  </sheetViews>
  <sheetFormatPr defaultRowHeight="13.5"/>
  <cols>
    <col min="1" max="1" width="45.625" bestFit="1" customWidth="1"/>
    <col min="2" max="4" width="10.5" hidden="1" customWidth="1"/>
    <col min="5" max="5" width="19.375" bestFit="1" customWidth="1"/>
    <col min="6" max="6" width="19.375" hidden="1" customWidth="1"/>
    <col min="7" max="7" width="17.25" hidden="1" customWidth="1"/>
    <col min="8" max="8" width="18.375" hidden="1" customWidth="1"/>
    <col min="9" max="9" width="19.375" bestFit="1" customWidth="1"/>
    <col min="10" max="10" width="19.375" hidden="1" customWidth="1"/>
    <col min="11" max="11" width="17.25" hidden="1" customWidth="1"/>
    <col min="12" max="12" width="18.375" hidden="1" customWidth="1"/>
    <col min="13" max="13" width="19.375" bestFit="1" customWidth="1"/>
    <col min="14" max="14" width="19.375" hidden="1" customWidth="1"/>
    <col min="15" max="16" width="17.25" hidden="1" customWidth="1"/>
    <col min="17" max="17" width="19.375" bestFit="1" customWidth="1"/>
    <col min="18" max="18" width="19.375" hidden="1" customWidth="1"/>
    <col min="19" max="20" width="17.25" hidden="1" customWidth="1"/>
    <col min="21" max="21" width="19.375" bestFit="1" customWidth="1"/>
    <col min="22" max="22" width="19.375" hidden="1" customWidth="1"/>
    <col min="23" max="24" width="17.25" hidden="1" customWidth="1"/>
    <col min="25" max="25" width="19.375" bestFit="1" customWidth="1"/>
    <col min="26" max="26" width="19.375" hidden="1" customWidth="1"/>
    <col min="27" max="28" width="17.25" hidden="1" customWidth="1"/>
    <col min="29" max="29" width="19.375" bestFit="1" customWidth="1"/>
    <col min="30" max="32" width="17.25" hidden="1" customWidth="1"/>
    <col min="33" max="33" width="19.375" bestFit="1" customWidth="1"/>
    <col min="34" max="36" width="17.25" hidden="1" customWidth="1"/>
    <col min="37" max="37" width="17.25" bestFit="1" customWidth="1"/>
    <col min="38" max="40" width="17.25" hidden="1" customWidth="1"/>
    <col min="41" max="41" width="17.25" bestFit="1" customWidth="1"/>
    <col min="42" max="42" width="17.25" hidden="1" customWidth="1"/>
    <col min="43" max="44" width="17.25" bestFit="1" customWidth="1"/>
    <col min="45" max="45" width="9.625" hidden="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33" customFormat="1">
      <c r="A1" s="3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33" customFormat="1">
      <c r="A2" s="33" t="s">
        <v>356</v>
      </c>
      <c r="E2" s="33">
        <f>股权价值增加表!E4</f>
        <v>2616208430.02</v>
      </c>
      <c r="F2" s="33">
        <f>股权价值增加表!F4</f>
        <v>1538538792.47</v>
      </c>
      <c r="G2" s="33">
        <f>股权价值增加表!G4</f>
        <v>961289995.45000005</v>
      </c>
      <c r="H2" s="33">
        <f>股权价值增加表!H4</f>
        <v>431372254.86000001</v>
      </c>
      <c r="I2" s="33">
        <f>股权价值增加表!I4</f>
        <v>2311575474.5900002</v>
      </c>
      <c r="J2" s="33">
        <f>股权价值增加表!J4</f>
        <v>1347750467</v>
      </c>
      <c r="K2" s="33">
        <f>股权价值增加表!K4</f>
        <v>881149327.19000006</v>
      </c>
      <c r="L2" s="33">
        <f>股权价值增加表!L4</f>
        <v>431129453.88</v>
      </c>
      <c r="M2" s="33">
        <f>股权价值增加表!M4</f>
        <v>2092608347.29</v>
      </c>
      <c r="N2" s="33">
        <f>股权价值增加表!N4</f>
        <v>1298349056.04</v>
      </c>
      <c r="O2" s="33">
        <f>股权价值增加表!O4</f>
        <v>862619894.12</v>
      </c>
      <c r="P2" s="33">
        <f>股权价值增加表!P4</f>
        <v>462472843.76999998</v>
      </c>
      <c r="Q2" s="33">
        <f>股权价值增加表!Q4</f>
        <v>1969766903.8199999</v>
      </c>
      <c r="R2" s="33">
        <f>股权价值增加表!R4</f>
        <v>1299438859.97</v>
      </c>
      <c r="S2" s="33">
        <f>股权价值增加表!S4</f>
        <v>853989106.69000006</v>
      </c>
      <c r="T2" s="33">
        <f>股权价值增加表!T4</f>
        <v>452252432.13999999</v>
      </c>
      <c r="U2" s="33">
        <f>股权价值增加表!U4</f>
        <v>1863895419.51</v>
      </c>
      <c r="V2" s="33">
        <f>股权价值增加表!V4</f>
        <v>1255433504.79</v>
      </c>
      <c r="W2" s="33">
        <f>股权价值增加表!W4</f>
        <v>820683087.59000003</v>
      </c>
      <c r="X2" s="33">
        <f>股权价值增加表!X4</f>
        <v>439128345.19999999</v>
      </c>
      <c r="Y2" s="33">
        <f>股权价值增加表!Y4</f>
        <v>1776970381.24</v>
      </c>
      <c r="Z2" s="33">
        <f>股权价值增加表!Z4</f>
        <v>1192443012.9400001</v>
      </c>
      <c r="AA2" s="33">
        <f>股权价值增加表!AA4</f>
        <v>758478132.33000004</v>
      </c>
      <c r="AB2" s="33">
        <f>股权价值增加表!AB4</f>
        <v>404312414</v>
      </c>
      <c r="AC2" s="33">
        <f>股权价值增加表!AC4</f>
        <v>1453420015.48</v>
      </c>
      <c r="AD2" s="33">
        <f>股权价值增加表!AD4</f>
        <v>944792894.37</v>
      </c>
      <c r="AE2" s="33">
        <f>股权价值增加表!AE4</f>
        <v>607588062.33000004</v>
      </c>
      <c r="AF2" s="33">
        <f>股权价值增加表!AF4</f>
        <v>332888930.76999998</v>
      </c>
      <c r="AG2" s="33">
        <f>股权价值增加表!AG4</f>
        <v>1067301429.12</v>
      </c>
      <c r="AH2" s="33">
        <f>股权价值增加表!AH4</f>
        <v>698071299.27999997</v>
      </c>
      <c r="AI2" s="33">
        <f>股权价值增加表!AI4</f>
        <v>453223021.43000001</v>
      </c>
      <c r="AJ2" s="33">
        <f>股权价值增加表!AJ4</f>
        <v>253170727.09</v>
      </c>
      <c r="AK2" s="33">
        <f>股权价值增加表!AK4</f>
        <v>791785397.63</v>
      </c>
      <c r="AL2" s="33">
        <f>股权价值增加表!AL4</f>
        <v>522453685.52999997</v>
      </c>
      <c r="AM2" s="33">
        <f>股权价值增加表!AM4</f>
        <v>323155042.13999999</v>
      </c>
      <c r="AN2" s="33">
        <f>股权价值增加表!AN4</f>
        <v>181748831.08000001</v>
      </c>
      <c r="AO2" s="33">
        <f>股权价值增加表!AO4</f>
        <v>680763750.52999997</v>
      </c>
      <c r="AP2" s="33">
        <f>股权价值增加表!AP4</f>
        <v>468344420.81</v>
      </c>
      <c r="AQ2" s="33">
        <f>股权价值增加表!AQ4</f>
        <v>590236990.59000003</v>
      </c>
      <c r="AR2" s="33">
        <f>股权价值增加表!AR4</f>
        <v>419082605.45999998</v>
      </c>
      <c r="AS2" s="33">
        <f>股权价值增加表!AS4</f>
        <v>0</v>
      </c>
      <c r="AT2" s="33">
        <f>股权价值增加表!AT4</f>
        <v>0</v>
      </c>
      <c r="AU2" s="33">
        <f>股权价值增加表!AU4</f>
        <v>0</v>
      </c>
      <c r="AV2" s="33">
        <f>股权价值增加表!AV4</f>
        <v>0</v>
      </c>
      <c r="AW2" s="33">
        <f>股权价值增加表!AW4</f>
        <v>0</v>
      </c>
      <c r="AX2" s="33">
        <f>股权价值增加表!AX4</f>
        <v>0</v>
      </c>
      <c r="AY2" s="33">
        <f>股权价值增加表!AY4</f>
        <v>0</v>
      </c>
      <c r="AZ2" s="33">
        <f>股权价值增加表!AZ4</f>
        <v>0</v>
      </c>
      <c r="BA2" s="33">
        <f>股权价值增加表!BA4</f>
        <v>0</v>
      </c>
      <c r="BB2" s="33">
        <f>股权价值增加表!BB4</f>
        <v>0</v>
      </c>
      <c r="BC2" s="33">
        <f>股权价值增加表!BC4</f>
        <v>0</v>
      </c>
      <c r="BD2" s="33">
        <f>股权价值增加表!BD4</f>
        <v>0</v>
      </c>
      <c r="BE2" s="33">
        <f>股权价值增加表!BE4</f>
        <v>0</v>
      </c>
      <c r="BF2" s="33">
        <f>股权价值增加表!BF4</f>
        <v>0</v>
      </c>
      <c r="BG2" s="33">
        <f>股权价值增加表!BG4</f>
        <v>0</v>
      </c>
      <c r="BH2" s="33">
        <f>股权价值增加表!BH4</f>
        <v>0</v>
      </c>
      <c r="BI2" s="33">
        <f>股权价值增加表!BI4</f>
        <v>0</v>
      </c>
      <c r="BJ2" s="33">
        <f>股权价值增加表!BJ4</f>
        <v>0</v>
      </c>
      <c r="BK2" s="33">
        <f>股权价值增加表!BK4</f>
        <v>0</v>
      </c>
      <c r="BL2" s="33">
        <f>股权价值增加表!BL4</f>
        <v>0</v>
      </c>
      <c r="BM2" s="33">
        <f>股权价值增加表!BM4</f>
        <v>0</v>
      </c>
      <c r="BN2" s="33">
        <f>股权价值增加表!BN4</f>
        <v>0</v>
      </c>
      <c r="BO2" s="33">
        <f>股权价值增加表!BO4</f>
        <v>0</v>
      </c>
      <c r="BP2" s="33">
        <f>股权价值增加表!BP4</f>
        <v>0</v>
      </c>
      <c r="BQ2" s="33">
        <f>股权价值增加表!BQ4</f>
        <v>0</v>
      </c>
      <c r="BR2" s="33">
        <f>股权价值增加表!BR4</f>
        <v>0</v>
      </c>
      <c r="BS2" s="33">
        <f>股权价值增加表!BS4</f>
        <v>0</v>
      </c>
      <c r="BT2" s="33">
        <f>股权价值增加表!BT4</f>
        <v>0</v>
      </c>
      <c r="BU2" s="33">
        <f>股权价值增加表!BU4</f>
        <v>0</v>
      </c>
      <c r="BV2" s="33">
        <f>股权价值增加表!BV4</f>
        <v>0</v>
      </c>
      <c r="BW2" s="33">
        <f>股权价值增加表!BW4</f>
        <v>0</v>
      </c>
      <c r="BX2" s="33">
        <f>股权价值增加表!BX4</f>
        <v>0</v>
      </c>
      <c r="BY2" s="33">
        <f>股权价值增加表!BY4</f>
        <v>0</v>
      </c>
      <c r="BZ2" s="33">
        <f>股权价值增加表!BZ4</f>
        <v>0</v>
      </c>
      <c r="CA2" s="33">
        <f>股权价值增加表!CA4</f>
        <v>0</v>
      </c>
      <c r="CB2" s="33">
        <f>股权价值增加表!CB4</f>
        <v>0</v>
      </c>
      <c r="CC2" s="33">
        <f>股权价值增加表!CC4</f>
        <v>0</v>
      </c>
      <c r="CD2" s="33">
        <f>股权价值增加表!CD4</f>
        <v>0</v>
      </c>
      <c r="CE2" s="33">
        <f>股权价值增加表!CE4</f>
        <v>0</v>
      </c>
      <c r="CF2" s="33">
        <f>股权价值增加表!CF4</f>
        <v>0</v>
      </c>
      <c r="CG2" s="33">
        <f>股权价值增加表!CG4</f>
        <v>0</v>
      </c>
      <c r="CH2" s="33">
        <f>股权价值增加表!CH4</f>
        <v>0</v>
      </c>
      <c r="CI2" s="33">
        <f>股权价值增加表!CI4</f>
        <v>0</v>
      </c>
      <c r="CJ2" s="33">
        <f>股权价值增加表!CJ4</f>
        <v>0</v>
      </c>
    </row>
    <row r="3" spans="1:89" s="66" customFormat="1">
      <c r="A3" s="66" t="s">
        <v>378</v>
      </c>
      <c r="E3" s="66">
        <f>(E2-I2)/I2</f>
        <v>0.13178585721239841</v>
      </c>
      <c r="F3" s="66">
        <f t="shared" ref="F3:BQ3" si="0">(F2-J2)/J2</f>
        <v>0.14156057084860948</v>
      </c>
      <c r="G3" s="66">
        <f t="shared" si="0"/>
        <v>9.0950155424359136E-2</v>
      </c>
      <c r="H3" s="66">
        <f t="shared" si="0"/>
        <v>5.6317418774083563E-4</v>
      </c>
      <c r="I3" s="66">
        <f t="shared" si="0"/>
        <v>0.10463837037808349</v>
      </c>
      <c r="J3" s="66">
        <f t="shared" si="0"/>
        <v>3.8049406459828058E-2</v>
      </c>
      <c r="K3" s="66">
        <f t="shared" si="0"/>
        <v>2.148041471835381E-2</v>
      </c>
      <c r="L3" s="66">
        <f t="shared" si="0"/>
        <v>-6.777347105290335E-2</v>
      </c>
      <c r="M3" s="66">
        <f t="shared" si="0"/>
        <v>6.2363441700523894E-2</v>
      </c>
      <c r="N3" s="66">
        <f t="shared" si="0"/>
        <v>-8.38672725260215E-4</v>
      </c>
      <c r="O3" s="66">
        <f t="shared" si="0"/>
        <v>1.0106437380041362E-2</v>
      </c>
      <c r="P3" s="66">
        <f t="shared" si="0"/>
        <v>2.2598909157079222E-2</v>
      </c>
      <c r="Q3" s="66">
        <f t="shared" si="0"/>
        <v>5.6801193458500224E-2</v>
      </c>
      <c r="R3" s="66">
        <f t="shared" si="0"/>
        <v>3.5051920322423588E-2</v>
      </c>
      <c r="S3" s="66">
        <f t="shared" si="0"/>
        <v>4.0583289218016849E-2</v>
      </c>
      <c r="T3" s="66">
        <f t="shared" si="0"/>
        <v>2.988667683026169E-2</v>
      </c>
      <c r="U3" s="66">
        <f t="shared" si="0"/>
        <v>4.8917550448613678E-2</v>
      </c>
      <c r="V3" s="66">
        <f t="shared" si="0"/>
        <v>5.2824739770746081E-2</v>
      </c>
      <c r="W3" s="66">
        <f t="shared" si="0"/>
        <v>8.2012852590634414E-2</v>
      </c>
      <c r="X3" s="66">
        <f t="shared" si="0"/>
        <v>8.6111457364254934E-2</v>
      </c>
      <c r="Y3" s="66">
        <f t="shared" si="0"/>
        <v>0.22261312099320835</v>
      </c>
      <c r="Z3" s="66">
        <f t="shared" si="0"/>
        <v>0.26212106382863548</v>
      </c>
      <c r="AA3" s="66">
        <f t="shared" si="0"/>
        <v>0.24834271664482915</v>
      </c>
      <c r="AB3" s="66">
        <f t="shared" si="0"/>
        <v>0.21455649806315735</v>
      </c>
      <c r="AC3" s="66">
        <f t="shared" si="0"/>
        <v>0.3617708885467889</v>
      </c>
      <c r="AD3" s="66">
        <f t="shared" si="0"/>
        <v>0.35343323145425398</v>
      </c>
      <c r="AE3" s="66">
        <f t="shared" si="0"/>
        <v>0.34059399810042884</v>
      </c>
      <c r="AF3" s="66">
        <f t="shared" si="0"/>
        <v>0.31487923029766723</v>
      </c>
      <c r="AG3" s="66">
        <f t="shared" si="0"/>
        <v>0.34796806346098869</v>
      </c>
      <c r="AH3" s="66">
        <f t="shared" si="0"/>
        <v>0.33614006105028388</v>
      </c>
      <c r="AI3" s="66">
        <f t="shared" si="0"/>
        <v>0.40249404257678534</v>
      </c>
      <c r="AJ3" s="66">
        <f t="shared" si="0"/>
        <v>0.39297031835413765</v>
      </c>
      <c r="AK3" s="66">
        <f t="shared" si="0"/>
        <v>0.16308395829473224</v>
      </c>
      <c r="AL3" s="66">
        <f t="shared" si="0"/>
        <v>0.11553306138763901</v>
      </c>
      <c r="AM3" s="66">
        <f t="shared" si="0"/>
        <v>-0.45249950902437563</v>
      </c>
      <c r="AN3" s="66">
        <f t="shared" si="0"/>
        <v>-0.56631740684988341</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33" customFormat="1">
      <c r="A4" s="33" t="s">
        <v>357</v>
      </c>
      <c r="E4" s="33">
        <f>股权价值增加表!E5</f>
        <v>1319117997.23</v>
      </c>
      <c r="F4" s="33">
        <f>股权价值增加表!F5</f>
        <v>776346533.23000002</v>
      </c>
      <c r="G4" s="33">
        <f>股权价值增加表!G5</f>
        <v>478577159.86000001</v>
      </c>
      <c r="H4" s="33">
        <f>股权价值增加表!H5</f>
        <v>214613391.94</v>
      </c>
      <c r="I4" s="33">
        <f>股权价值增加表!I5</f>
        <v>1150345166.79</v>
      </c>
      <c r="J4" s="33">
        <f>股权价值增加表!J5</f>
        <v>663671186.95000005</v>
      </c>
      <c r="K4" s="33">
        <f>股权价值增加表!K5</f>
        <v>429896966.41000003</v>
      </c>
      <c r="L4" s="33">
        <f>股权价值增加表!L5</f>
        <v>211828510.16999999</v>
      </c>
      <c r="M4" s="33">
        <f>股权价值增加表!M5</f>
        <v>1024309455.52</v>
      </c>
      <c r="N4" s="33">
        <f>股权价值增加表!N5</f>
        <v>632417690.95000005</v>
      </c>
      <c r="O4" s="33">
        <f>股权价值增加表!O5</f>
        <v>413716380.67000002</v>
      </c>
      <c r="P4" s="33">
        <f>股权价值增加表!P5</f>
        <v>225173357.06</v>
      </c>
      <c r="Q4" s="33">
        <f>股权价值增加表!Q5</f>
        <v>958861199.09000003</v>
      </c>
      <c r="R4" s="33">
        <f>股权价值增加表!R5</f>
        <v>630604450.87</v>
      </c>
      <c r="S4" s="33">
        <f>股权价值增加表!S5</f>
        <v>409625571.42000002</v>
      </c>
      <c r="T4" s="33">
        <f>股权价值增加表!T5</f>
        <v>213115587.27000001</v>
      </c>
      <c r="U4" s="33">
        <f>股权价值增加表!U5</f>
        <v>906310286.90999997</v>
      </c>
      <c r="V4" s="33">
        <f>股权价值增加表!V5</f>
        <v>615070206.82000005</v>
      </c>
      <c r="W4" s="33">
        <f>股权价值增加表!W5</f>
        <v>394895420.13999999</v>
      </c>
      <c r="X4" s="33">
        <f>股权价值增加表!X5</f>
        <v>210348888.36000001</v>
      </c>
      <c r="Y4" s="33">
        <f>股权价值增加表!Y5</f>
        <v>916028982.89999998</v>
      </c>
      <c r="Z4" s="33">
        <f>股权价值增加表!Z5</f>
        <v>628905491.99000001</v>
      </c>
      <c r="AA4" s="33">
        <f>股权价值增加表!AA5</f>
        <v>404692572.98000002</v>
      </c>
      <c r="AB4" s="33">
        <f>股权价值增加表!AB5</f>
        <v>203424582.31</v>
      </c>
      <c r="AC4" s="33">
        <f>股权价值增加表!AC5</f>
        <v>769766859.11000001</v>
      </c>
      <c r="AD4" s="33">
        <f>股权价值增加表!AD5</f>
        <v>493964080.81999999</v>
      </c>
      <c r="AE4" s="33">
        <f>股权价值增加表!AE5</f>
        <v>313039939.76999998</v>
      </c>
      <c r="AF4" s="33">
        <f>股权价值增加表!AF5</f>
        <v>167922259.99000001</v>
      </c>
      <c r="AG4" s="33">
        <f>股权价值增加表!AG5</f>
        <v>575141161.89999998</v>
      </c>
      <c r="AH4" s="33">
        <f>股权价值增加表!AH5</f>
        <v>378433980.73000002</v>
      </c>
      <c r="AI4" s="33">
        <f>股权价值增加表!AI5</f>
        <v>242880521.09999999</v>
      </c>
      <c r="AJ4" s="33">
        <f>股权价值增加表!AJ5</f>
        <v>135032498.55000001</v>
      </c>
      <c r="AK4" s="33">
        <f>股权价值增加表!AK5</f>
        <v>451407014.26999998</v>
      </c>
      <c r="AL4" s="33">
        <f>股权价值增加表!AL5</f>
        <v>299938501.99000001</v>
      </c>
      <c r="AM4" s="33">
        <f>股权价值增加表!AM5</f>
        <v>184462048.91999999</v>
      </c>
      <c r="AN4" s="33">
        <f>股权价值增加表!AN5</f>
        <v>103831102.13</v>
      </c>
      <c r="AO4" s="33">
        <f>股权价值增加表!AO5</f>
        <v>374453565.63999999</v>
      </c>
      <c r="AP4" s="33">
        <f>股权价值增加表!AP5</f>
        <v>257326813.56</v>
      </c>
      <c r="AQ4" s="33">
        <f>股权价值增加表!AQ5</f>
        <v>369113439.10000002</v>
      </c>
      <c r="AR4" s="33">
        <f>股权价值增加表!AR5</f>
        <v>292783827.00999999</v>
      </c>
      <c r="AS4" s="33">
        <f>股权价值增加表!AS5</f>
        <v>0</v>
      </c>
      <c r="AT4" s="33">
        <f>股权价值增加表!AT5</f>
        <v>0</v>
      </c>
      <c r="AU4" s="33">
        <f>股权价值增加表!AU5</f>
        <v>0</v>
      </c>
      <c r="AV4" s="33">
        <f>股权价值增加表!AV5</f>
        <v>0</v>
      </c>
      <c r="AW4" s="33">
        <f>股权价值增加表!AW5</f>
        <v>0</v>
      </c>
      <c r="AX4" s="33">
        <f>股权价值增加表!AX5</f>
        <v>0</v>
      </c>
      <c r="AY4" s="33">
        <f>股权价值增加表!AY5</f>
        <v>0</v>
      </c>
      <c r="AZ4" s="33">
        <f>股权价值增加表!AZ5</f>
        <v>0</v>
      </c>
      <c r="BA4" s="33">
        <f>股权价值增加表!BA5</f>
        <v>0</v>
      </c>
      <c r="BB4" s="33">
        <f>股权价值增加表!BB5</f>
        <v>0</v>
      </c>
      <c r="BC4" s="33">
        <f>股权价值增加表!BC5</f>
        <v>0</v>
      </c>
      <c r="BD4" s="33">
        <f>股权价值增加表!BD5</f>
        <v>0</v>
      </c>
      <c r="BE4" s="33">
        <f>股权价值增加表!BE5</f>
        <v>0</v>
      </c>
      <c r="BF4" s="33">
        <f>股权价值增加表!BF5</f>
        <v>0</v>
      </c>
      <c r="BG4" s="33">
        <f>股权价值增加表!BG5</f>
        <v>0</v>
      </c>
      <c r="BH4" s="33">
        <f>股权价值增加表!BH5</f>
        <v>0</v>
      </c>
      <c r="BI4" s="33">
        <f>股权价值增加表!BI5</f>
        <v>0</v>
      </c>
      <c r="BJ4" s="33">
        <f>股权价值增加表!BJ5</f>
        <v>0</v>
      </c>
      <c r="BK4" s="33">
        <f>股权价值增加表!BK5</f>
        <v>0</v>
      </c>
      <c r="BL4" s="33">
        <f>股权价值增加表!BL5</f>
        <v>0</v>
      </c>
      <c r="BM4" s="33">
        <f>股权价值增加表!BM5</f>
        <v>0</v>
      </c>
      <c r="BN4" s="33">
        <f>股权价值增加表!BN5</f>
        <v>0</v>
      </c>
      <c r="BO4" s="33">
        <f>股权价值增加表!BO5</f>
        <v>0</v>
      </c>
      <c r="BP4" s="33">
        <f>股权价值增加表!BP5</f>
        <v>0</v>
      </c>
      <c r="BQ4" s="33">
        <f>股权价值增加表!BQ5</f>
        <v>0</v>
      </c>
      <c r="BR4" s="33">
        <f>股权价值增加表!BR5</f>
        <v>0</v>
      </c>
      <c r="BS4" s="33">
        <f>股权价值增加表!BS5</f>
        <v>0</v>
      </c>
      <c r="BT4" s="33">
        <f>股权价值增加表!BT5</f>
        <v>0</v>
      </c>
      <c r="BU4" s="33">
        <f>股权价值增加表!BU5</f>
        <v>0</v>
      </c>
      <c r="BV4" s="33">
        <f>股权价值增加表!BV5</f>
        <v>0</v>
      </c>
      <c r="BW4" s="33">
        <f>股权价值增加表!BW5</f>
        <v>0</v>
      </c>
      <c r="BX4" s="33">
        <f>股权价值增加表!BX5</f>
        <v>0</v>
      </c>
      <c r="BY4" s="33">
        <f>股权价值增加表!BY5</f>
        <v>0</v>
      </c>
      <c r="BZ4" s="33">
        <f>股权价值增加表!BZ5</f>
        <v>0</v>
      </c>
      <c r="CA4" s="33">
        <f>股权价值增加表!CA5</f>
        <v>0</v>
      </c>
      <c r="CB4" s="33">
        <f>股权价值增加表!CB5</f>
        <v>0</v>
      </c>
      <c r="CC4" s="33">
        <f>股权价值增加表!CC5</f>
        <v>0</v>
      </c>
      <c r="CD4" s="33">
        <f>股权价值增加表!CD5</f>
        <v>0</v>
      </c>
      <c r="CE4" s="33">
        <f>股权价值增加表!CE5</f>
        <v>0</v>
      </c>
      <c r="CF4" s="33">
        <f>股权价值增加表!CF5</f>
        <v>0</v>
      </c>
      <c r="CG4" s="33">
        <f>股权价值增加表!CG5</f>
        <v>0</v>
      </c>
      <c r="CH4" s="33">
        <f>股权价值增加表!CH5</f>
        <v>0</v>
      </c>
      <c r="CI4" s="33">
        <f>股权价值增加表!CI5</f>
        <v>0</v>
      </c>
      <c r="CJ4" s="33">
        <f>股权价值增加表!CJ5</f>
        <v>0</v>
      </c>
    </row>
    <row r="5" spans="1:89" s="66" customFormat="1">
      <c r="A5" s="66" t="s">
        <v>358</v>
      </c>
      <c r="E5" s="66">
        <f t="shared" ref="E5:AJ5" si="2">E4/E2</f>
        <v>0.50420982598084352</v>
      </c>
      <c r="F5" s="66">
        <f t="shared" si="2"/>
        <v>0.50459990806188137</v>
      </c>
      <c r="G5" s="66">
        <f t="shared" si="2"/>
        <v>0.49784889276411121</v>
      </c>
      <c r="H5" s="66">
        <f t="shared" si="2"/>
        <v>0.49751320239557789</v>
      </c>
      <c r="I5" s="66">
        <f t="shared" si="2"/>
        <v>0.49764551468691914</v>
      </c>
      <c r="J5" s="66">
        <f t="shared" si="2"/>
        <v>0.49242883100407048</v>
      </c>
      <c r="K5" s="66">
        <f t="shared" si="2"/>
        <v>0.48788207985239984</v>
      </c>
      <c r="L5" s="66">
        <f t="shared" si="2"/>
        <v>0.49133388652439425</v>
      </c>
      <c r="M5" s="66">
        <f t="shared" si="2"/>
        <v>0.48948932887824714</v>
      </c>
      <c r="N5" s="66">
        <f t="shared" si="2"/>
        <v>0.4870937349304903</v>
      </c>
      <c r="O5" s="66">
        <f t="shared" si="2"/>
        <v>0.47960449728794158</v>
      </c>
      <c r="P5" s="66">
        <f t="shared" si="2"/>
        <v>0.48688990087380069</v>
      </c>
      <c r="Q5" s="66">
        <f t="shared" si="2"/>
        <v>0.48678917146514417</v>
      </c>
      <c r="R5" s="66">
        <f t="shared" si="2"/>
        <v>0.4852898203187172</v>
      </c>
      <c r="S5" s="66">
        <f t="shared" si="2"/>
        <v>0.47966135423867301</v>
      </c>
      <c r="T5" s="66">
        <f t="shared" si="2"/>
        <v>0.47123148959435029</v>
      </c>
      <c r="U5" s="66">
        <f t="shared" si="2"/>
        <v>0.486245246070866</v>
      </c>
      <c r="V5" s="66">
        <f t="shared" si="2"/>
        <v>0.48992655084737813</v>
      </c>
      <c r="W5" s="66">
        <f t="shared" si="2"/>
        <v>0.48117894240959835</v>
      </c>
      <c r="X5" s="66">
        <f t="shared" si="2"/>
        <v>0.4790145993973518</v>
      </c>
      <c r="Y5" s="66">
        <f t="shared" si="2"/>
        <v>0.51550042283810016</v>
      </c>
      <c r="Z5" s="66">
        <f t="shared" si="2"/>
        <v>0.52740926414539235</v>
      </c>
      <c r="AA5" s="66">
        <f t="shared" si="2"/>
        <v>0.53355865611683273</v>
      </c>
      <c r="AB5" s="66">
        <f t="shared" si="2"/>
        <v>0.50313711690781771</v>
      </c>
      <c r="AC5" s="66">
        <f t="shared" si="2"/>
        <v>0.52962450696385943</v>
      </c>
      <c r="AD5" s="66">
        <f t="shared" si="2"/>
        <v>0.52282789568329846</v>
      </c>
      <c r="AE5" s="66">
        <f t="shared" si="2"/>
        <v>0.51521739674993516</v>
      </c>
      <c r="AF5" s="66">
        <f t="shared" si="2"/>
        <v>0.50443930232700063</v>
      </c>
      <c r="AG5" s="66">
        <f t="shared" si="2"/>
        <v>0.5388741607646953</v>
      </c>
      <c r="AH5" s="66">
        <f t="shared" si="2"/>
        <v>0.54211365102722586</v>
      </c>
      <c r="AI5" s="66">
        <f t="shared" si="2"/>
        <v>0.53589625772686555</v>
      </c>
      <c r="AJ5" s="66">
        <f t="shared" si="2"/>
        <v>0.53336537008876672</v>
      </c>
      <c r="AK5" s="66">
        <f t="shared" ref="AK5:BP5" si="3">AK4/AK2</f>
        <v>0.5701128305992601</v>
      </c>
      <c r="AL5" s="66">
        <f t="shared" si="3"/>
        <v>0.57409586781980337</v>
      </c>
      <c r="AM5" s="66">
        <f t="shared" si="3"/>
        <v>0.57081593930409957</v>
      </c>
      <c r="AN5" s="66">
        <f t="shared" si="3"/>
        <v>0.5712889679290255</v>
      </c>
      <c r="AO5" s="66">
        <f t="shared" si="3"/>
        <v>0.5500492136199584</v>
      </c>
      <c r="AP5" s="66">
        <f t="shared" si="3"/>
        <v>0.54943926334161131</v>
      </c>
      <c r="AQ5" s="66">
        <f t="shared" si="3"/>
        <v>0.62536480258723659</v>
      </c>
      <c r="AR5" s="66">
        <f t="shared" si="3"/>
        <v>0.69863034923301115</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c r="A6" s="66" t="s">
        <v>359</v>
      </c>
      <c r="E6" s="66">
        <f>(E4-I4)/I4</f>
        <v>0.14671494722836542</v>
      </c>
      <c r="F6" s="66">
        <f t="shared" ref="F6:BQ6" si="5">(F4-J4)/J4</f>
        <v>0.16977585963587832</v>
      </c>
      <c r="G6" s="66">
        <f t="shared" si="5"/>
        <v>0.11323688523908508</v>
      </c>
      <c r="H6" s="66">
        <f t="shared" si="5"/>
        <v>1.3146869454753957E-2</v>
      </c>
      <c r="I6" s="66">
        <f t="shared" si="5"/>
        <v>0.12304456489276164</v>
      </c>
      <c r="J6" s="66">
        <f t="shared" si="5"/>
        <v>4.9419072943787952E-2</v>
      </c>
      <c r="K6" s="66">
        <f t="shared" si="5"/>
        <v>3.911033378421247E-2</v>
      </c>
      <c r="L6" s="66">
        <f t="shared" si="5"/>
        <v>-5.9264768550944195E-2</v>
      </c>
      <c r="M6" s="66">
        <f t="shared" si="5"/>
        <v>6.8256236139404874E-2</v>
      </c>
      <c r="N6" s="66">
        <f t="shared" si="5"/>
        <v>2.8754000665527253E-3</v>
      </c>
      <c r="O6" s="66">
        <f t="shared" si="5"/>
        <v>9.9867037983465742E-3</v>
      </c>
      <c r="P6" s="66">
        <f t="shared" si="5"/>
        <v>5.6578544744002153E-2</v>
      </c>
      <c r="Q6" s="66">
        <f t="shared" si="5"/>
        <v>5.7983356184964689E-2</v>
      </c>
      <c r="R6" s="66">
        <f t="shared" si="5"/>
        <v>2.5256050248823124E-2</v>
      </c>
      <c r="S6" s="66">
        <f t="shared" si="5"/>
        <v>3.7301398113905287E-2</v>
      </c>
      <c r="T6" s="66">
        <f t="shared" si="5"/>
        <v>1.3152904831448172E-2</v>
      </c>
      <c r="U6" s="66">
        <f t="shared" si="5"/>
        <v>-1.0609594424875276E-2</v>
      </c>
      <c r="V6" s="66">
        <f t="shared" si="5"/>
        <v>-2.1998989269789913E-2</v>
      </c>
      <c r="W6" s="66">
        <f t="shared" si="5"/>
        <v>-2.4208877291366081E-2</v>
      </c>
      <c r="X6" s="66">
        <f t="shared" si="5"/>
        <v>3.4038688792527631E-2</v>
      </c>
      <c r="Y6" s="66">
        <f t="shared" si="5"/>
        <v>0.19000834091390656</v>
      </c>
      <c r="Z6" s="66">
        <f t="shared" si="5"/>
        <v>0.27318061456207893</v>
      </c>
      <c r="AA6" s="66">
        <f t="shared" si="5"/>
        <v>0.292782554447653</v>
      </c>
      <c r="AB6" s="66">
        <f t="shared" si="5"/>
        <v>0.21142117978947045</v>
      </c>
      <c r="AC6" s="66">
        <f t="shared" si="5"/>
        <v>0.33839639744623196</v>
      </c>
      <c r="AD6" s="66">
        <f t="shared" si="5"/>
        <v>0.30528468893607846</v>
      </c>
      <c r="AE6" s="66">
        <f t="shared" si="5"/>
        <v>0.28886391692610702</v>
      </c>
      <c r="AF6" s="66">
        <f t="shared" si="5"/>
        <v>0.24356922809823839</v>
      </c>
      <c r="AG6" s="66">
        <f t="shared" si="5"/>
        <v>0.27410772034656716</v>
      </c>
      <c r="AH6" s="66">
        <f t="shared" si="5"/>
        <v>0.26170524363896791</v>
      </c>
      <c r="AI6" s="66">
        <f t="shared" si="5"/>
        <v>0.31669642900549005</v>
      </c>
      <c r="AJ6" s="66">
        <f t="shared" si="5"/>
        <v>0.30050144686834618</v>
      </c>
      <c r="AK6" s="66">
        <f t="shared" si="5"/>
        <v>0.20550865498763368</v>
      </c>
      <c r="AL6" s="66">
        <f t="shared" si="5"/>
        <v>0.16559365827636296</v>
      </c>
      <c r="AM6" s="66">
        <f t="shared" si="5"/>
        <v>-0.50025648112469401</v>
      </c>
      <c r="AN6" s="66">
        <f t="shared" si="5"/>
        <v>-0.64536599172722175</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34" customFormat="1">
      <c r="A7" s="34" t="s">
        <v>360</v>
      </c>
      <c r="E7" s="34">
        <f>股权价值增加表!E6</f>
        <v>1297090432.79</v>
      </c>
      <c r="F7" s="34">
        <f>股权价值增加表!F6</f>
        <v>762192259.24000001</v>
      </c>
      <c r="G7" s="34">
        <f>股权价值增加表!G6</f>
        <v>482712835.59000003</v>
      </c>
      <c r="H7" s="34">
        <f>股权价值增加表!H6</f>
        <v>216758862.92000002</v>
      </c>
      <c r="I7" s="34">
        <f>股权价值增加表!I6</f>
        <v>1161230307.8000002</v>
      </c>
      <c r="J7" s="34">
        <f>股权价值增加表!J6</f>
        <v>684079280.04999995</v>
      </c>
      <c r="K7" s="34">
        <f>股权价值增加表!K6</f>
        <v>451252360.78000003</v>
      </c>
      <c r="L7" s="34">
        <f>股权价值增加表!L6</f>
        <v>219300943.71000001</v>
      </c>
      <c r="M7" s="34">
        <f>股权价值增加表!M6</f>
        <v>1068298891.77</v>
      </c>
      <c r="N7" s="34">
        <f>股权价值增加表!N6</f>
        <v>665931365.08999991</v>
      </c>
      <c r="O7" s="34">
        <f>股权价值增加表!O6</f>
        <v>448903513.44999999</v>
      </c>
      <c r="P7" s="34">
        <f>股权价值增加表!P6</f>
        <v>237299486.70999998</v>
      </c>
      <c r="Q7" s="34">
        <f>股权价值增加表!Q6</f>
        <v>1010905704.7299999</v>
      </c>
      <c r="R7" s="34">
        <f>股权价值增加表!R6</f>
        <v>668834409.10000002</v>
      </c>
      <c r="S7" s="34">
        <f>股权价值增加表!S6</f>
        <v>444363535.27000004</v>
      </c>
      <c r="T7" s="34">
        <f>股权价值增加表!T6</f>
        <v>239136844.86999997</v>
      </c>
      <c r="U7" s="34">
        <f>股权价值增加表!U6</f>
        <v>957585132.60000002</v>
      </c>
      <c r="V7" s="34">
        <f>股权价值增加表!V6</f>
        <v>640363297.96999991</v>
      </c>
      <c r="W7" s="34">
        <f>股权价值增加表!W6</f>
        <v>425787667.45000005</v>
      </c>
      <c r="X7" s="34">
        <f>股权价值增加表!X6</f>
        <v>228779456.83999997</v>
      </c>
      <c r="Y7" s="34">
        <f>股权价值增加表!Y6</f>
        <v>860941398.34000003</v>
      </c>
      <c r="Z7" s="34">
        <f>股权价值增加表!Z6</f>
        <v>563537520.95000005</v>
      </c>
      <c r="AA7" s="34">
        <f>股权价值增加表!AA6</f>
        <v>353785559.35000002</v>
      </c>
      <c r="AB7" s="34">
        <f>股权价值增加表!AB6</f>
        <v>200887831.69</v>
      </c>
      <c r="AC7" s="34">
        <f>股权价值增加表!AC6</f>
        <v>683653156.37</v>
      </c>
      <c r="AD7" s="34">
        <f>股权价值增加表!AD6</f>
        <v>450828813.55000001</v>
      </c>
      <c r="AE7" s="34">
        <f>股权价值增加表!AE6</f>
        <v>294548122.56000006</v>
      </c>
      <c r="AF7" s="34">
        <f>股权价值增加表!AF6</f>
        <v>164966670.77999997</v>
      </c>
      <c r="AG7" s="34">
        <f>股权价值增加表!AG6</f>
        <v>492160267.22000003</v>
      </c>
      <c r="AH7" s="34">
        <f>股权价值增加表!AH6</f>
        <v>319637318.54999995</v>
      </c>
      <c r="AI7" s="34">
        <f>股权价值增加表!AI6</f>
        <v>210342500.33000001</v>
      </c>
      <c r="AJ7" s="34">
        <f>股权价值增加表!AJ6</f>
        <v>118138228.53999999</v>
      </c>
      <c r="AK7" s="34">
        <f>股权价值增加表!AK6</f>
        <v>340378383.36000001</v>
      </c>
      <c r="AL7" s="34">
        <f>股权价值增加表!AL6</f>
        <v>222515183.53999996</v>
      </c>
      <c r="AM7" s="34">
        <f>股权价值增加表!AM6</f>
        <v>138692993.22</v>
      </c>
      <c r="AN7" s="34">
        <f>股权价值增加表!AN6</f>
        <v>77917728.950000018</v>
      </c>
      <c r="AO7" s="34">
        <f>股权价值增加表!AO6</f>
        <v>306310184.88999999</v>
      </c>
      <c r="AP7" s="34">
        <f>股权价值增加表!AP6</f>
        <v>211017607.25</v>
      </c>
      <c r="AQ7" s="34">
        <f>股权价值增加表!AQ6</f>
        <v>221123551.49000001</v>
      </c>
      <c r="AR7" s="34">
        <f>股权价值增加表!AR6</f>
        <v>126298778.44999999</v>
      </c>
      <c r="AS7" s="34">
        <f>股权价值增加表!AS6</f>
        <v>0</v>
      </c>
      <c r="AT7" s="34">
        <f>股权价值增加表!AT6</f>
        <v>0</v>
      </c>
      <c r="AU7" s="34">
        <f>股权价值增加表!AU6</f>
        <v>0</v>
      </c>
      <c r="AV7" s="34">
        <f>股权价值增加表!AV6</f>
        <v>0</v>
      </c>
      <c r="AW7" s="34">
        <f>股权价值增加表!AW6</f>
        <v>0</v>
      </c>
      <c r="AX7" s="34">
        <f>股权价值增加表!AX6</f>
        <v>0</v>
      </c>
      <c r="AY7" s="34">
        <f>股权价值增加表!AY6</f>
        <v>0</v>
      </c>
      <c r="AZ7" s="34">
        <f>股权价值增加表!AZ6</f>
        <v>0</v>
      </c>
      <c r="BA7" s="34">
        <f>股权价值增加表!BA6</f>
        <v>0</v>
      </c>
      <c r="BB7" s="34">
        <f>股权价值增加表!BB6</f>
        <v>0</v>
      </c>
      <c r="BC7" s="34">
        <f>股权价值增加表!BC6</f>
        <v>0</v>
      </c>
      <c r="BD7" s="34">
        <f>股权价值增加表!BD6</f>
        <v>0</v>
      </c>
      <c r="BE7" s="34">
        <f>股权价值增加表!BE6</f>
        <v>0</v>
      </c>
      <c r="BF7" s="34">
        <f>股权价值增加表!BF6</f>
        <v>0</v>
      </c>
      <c r="BG7" s="34">
        <f>股权价值增加表!BG6</f>
        <v>0</v>
      </c>
      <c r="BH7" s="34">
        <f>股权价值增加表!BH6</f>
        <v>0</v>
      </c>
      <c r="BI7" s="34">
        <f>股权价值增加表!BI6</f>
        <v>0</v>
      </c>
      <c r="BJ7" s="34">
        <f>股权价值增加表!BJ6</f>
        <v>0</v>
      </c>
      <c r="BK7" s="34">
        <f>股权价值增加表!BK6</f>
        <v>0</v>
      </c>
      <c r="BL7" s="34">
        <f>股权价值增加表!BL6</f>
        <v>0</v>
      </c>
      <c r="BM7" s="34">
        <f>股权价值增加表!BM6</f>
        <v>0</v>
      </c>
      <c r="BN7" s="34">
        <f>股权价值增加表!BN6</f>
        <v>0</v>
      </c>
      <c r="BO7" s="34">
        <f>股权价值增加表!BO6</f>
        <v>0</v>
      </c>
      <c r="BP7" s="34">
        <f>股权价值增加表!BP6</f>
        <v>0</v>
      </c>
      <c r="BQ7" s="34">
        <f>股权价值增加表!BQ6</f>
        <v>0</v>
      </c>
      <c r="BR7" s="34">
        <f>股权价值增加表!BR6</f>
        <v>0</v>
      </c>
      <c r="BS7" s="34">
        <f>股权价值增加表!BS6</f>
        <v>0</v>
      </c>
      <c r="BT7" s="34">
        <f>股权价值增加表!BT6</f>
        <v>0</v>
      </c>
      <c r="BU7" s="34">
        <f>股权价值增加表!BU6</f>
        <v>0</v>
      </c>
      <c r="BV7" s="34">
        <f>股权价值增加表!BV6</f>
        <v>0</v>
      </c>
      <c r="BW7" s="34">
        <f>股权价值增加表!BW6</f>
        <v>0</v>
      </c>
      <c r="BX7" s="34">
        <f>股权价值增加表!BX6</f>
        <v>0</v>
      </c>
      <c r="BY7" s="34">
        <f>股权价值增加表!BY6</f>
        <v>0</v>
      </c>
      <c r="BZ7" s="34">
        <f>股权价值增加表!BZ6</f>
        <v>0</v>
      </c>
      <c r="CA7" s="34">
        <f>股权价值增加表!CA6</f>
        <v>0</v>
      </c>
      <c r="CB7" s="34">
        <f>股权价值增加表!CB6</f>
        <v>0</v>
      </c>
      <c r="CC7" s="34">
        <f>股权价值增加表!CC6</f>
        <v>0</v>
      </c>
      <c r="CD7" s="34">
        <f>股权价值增加表!CD6</f>
        <v>0</v>
      </c>
      <c r="CE7" s="34">
        <f>股权价值增加表!CE6</f>
        <v>0</v>
      </c>
      <c r="CF7" s="34">
        <f>股权价值增加表!CF6</f>
        <v>0</v>
      </c>
      <c r="CG7" s="34">
        <f>股权价值增加表!CG6</f>
        <v>0</v>
      </c>
      <c r="CH7" s="34">
        <f>股权价值增加表!CH6</f>
        <v>0</v>
      </c>
      <c r="CI7" s="34">
        <f>股权价值增加表!CI6</f>
        <v>0</v>
      </c>
      <c r="CJ7" s="34">
        <f>股权价值增加表!CJ6</f>
        <v>0</v>
      </c>
      <c r="CK7" s="34">
        <f>股权价值增加表!CK6</f>
        <v>0</v>
      </c>
    </row>
    <row r="8" spans="1:89" s="66" customFormat="1">
      <c r="A8" s="66" t="s">
        <v>361</v>
      </c>
      <c r="E8" s="66">
        <f>E7/E2</f>
        <v>0.49579017401915648</v>
      </c>
      <c r="F8" s="66">
        <f t="shared" ref="F8:BQ8" si="7">F7/F2</f>
        <v>0.49540009193811863</v>
      </c>
      <c r="G8" s="66">
        <f t="shared" si="7"/>
        <v>0.50215110723588885</v>
      </c>
      <c r="H8" s="66">
        <f t="shared" si="7"/>
        <v>0.50248679760442205</v>
      </c>
      <c r="I8" s="66">
        <f t="shared" si="7"/>
        <v>0.50235448531308091</v>
      </c>
      <c r="J8" s="66">
        <f t="shared" si="7"/>
        <v>0.50757116899592958</v>
      </c>
      <c r="K8" s="66">
        <f t="shared" si="7"/>
        <v>0.51211792014760016</v>
      </c>
      <c r="L8" s="66">
        <f t="shared" si="7"/>
        <v>0.50866611347560575</v>
      </c>
      <c r="M8" s="66">
        <f t="shared" si="7"/>
        <v>0.51051067112175286</v>
      </c>
      <c r="N8" s="66">
        <f t="shared" si="7"/>
        <v>0.51290626506950965</v>
      </c>
      <c r="O8" s="66">
        <f t="shared" si="7"/>
        <v>0.52039550271205837</v>
      </c>
      <c r="P8" s="66">
        <f t="shared" si="7"/>
        <v>0.51311009912619931</v>
      </c>
      <c r="Q8" s="66">
        <f t="shared" si="7"/>
        <v>0.51321082853485589</v>
      </c>
      <c r="R8" s="66">
        <f t="shared" si="7"/>
        <v>0.51471017968128285</v>
      </c>
      <c r="S8" s="66">
        <f t="shared" si="7"/>
        <v>0.52033864576132705</v>
      </c>
      <c r="T8" s="66">
        <f t="shared" si="7"/>
        <v>0.52876851040564976</v>
      </c>
      <c r="U8" s="66">
        <f t="shared" si="7"/>
        <v>0.51375475392913394</v>
      </c>
      <c r="V8" s="66">
        <f t="shared" si="7"/>
        <v>0.51007344915262187</v>
      </c>
      <c r="W8" s="66">
        <f t="shared" si="7"/>
        <v>0.51882105759040165</v>
      </c>
      <c r="X8" s="66">
        <f t="shared" si="7"/>
        <v>0.5209854006026482</v>
      </c>
      <c r="Y8" s="66">
        <f t="shared" si="7"/>
        <v>0.4844995771618999</v>
      </c>
      <c r="Z8" s="66">
        <f t="shared" si="7"/>
        <v>0.47259073585460765</v>
      </c>
      <c r="AA8" s="66">
        <f t="shared" si="7"/>
        <v>0.46644134388316733</v>
      </c>
      <c r="AB8" s="66">
        <f t="shared" si="7"/>
        <v>0.49686288309218229</v>
      </c>
      <c r="AC8" s="66">
        <f t="shared" si="7"/>
        <v>0.47037549303614051</v>
      </c>
      <c r="AD8" s="66">
        <f t="shared" si="7"/>
        <v>0.47717210431670154</v>
      </c>
      <c r="AE8" s="66">
        <f t="shared" si="7"/>
        <v>0.48478260325006484</v>
      </c>
      <c r="AF8" s="66">
        <f t="shared" si="7"/>
        <v>0.49556069767299937</v>
      </c>
      <c r="AG8" s="66">
        <f t="shared" si="7"/>
        <v>0.46112583923530465</v>
      </c>
      <c r="AH8" s="66">
        <f t="shared" si="7"/>
        <v>0.45788634897277419</v>
      </c>
      <c r="AI8" s="66">
        <f t="shared" si="7"/>
        <v>0.46410374227313445</v>
      </c>
      <c r="AJ8" s="66">
        <f t="shared" si="7"/>
        <v>0.46663462991123328</v>
      </c>
      <c r="AK8" s="66">
        <f t="shared" si="7"/>
        <v>0.4298871694007399</v>
      </c>
      <c r="AL8" s="66">
        <f t="shared" si="7"/>
        <v>0.42590413218019657</v>
      </c>
      <c r="AM8" s="66">
        <f t="shared" si="7"/>
        <v>0.42918406069590037</v>
      </c>
      <c r="AN8" s="66">
        <f t="shared" si="7"/>
        <v>0.42871103207097455</v>
      </c>
      <c r="AO8" s="66">
        <f t="shared" si="7"/>
        <v>0.44995078638004166</v>
      </c>
      <c r="AP8" s="66">
        <f t="shared" si="7"/>
        <v>0.45056073665838869</v>
      </c>
      <c r="AQ8" s="66">
        <f t="shared" si="7"/>
        <v>0.37463519741276335</v>
      </c>
      <c r="AR8" s="66">
        <f t="shared" si="7"/>
        <v>0.30136965076698891</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c r="A9" s="66" t="s">
        <v>362</v>
      </c>
      <c r="E9" s="66">
        <f>(E7-I7)/I7</f>
        <v>0.11699670950493232</v>
      </c>
      <c r="F9" s="66">
        <f t="shared" ref="F9:BQ9" si="9">(F7-J7)/J7</f>
        <v>0.11418702695437685</v>
      </c>
      <c r="G9" s="66">
        <f t="shared" si="9"/>
        <v>6.9718138993488818E-2</v>
      </c>
      <c r="H9" s="66">
        <f t="shared" si="9"/>
        <v>-1.1591745785470025E-2</v>
      </c>
      <c r="I9" s="66">
        <f t="shared" si="9"/>
        <v>8.6990089333545739E-2</v>
      </c>
      <c r="J9" s="66">
        <f t="shared" si="9"/>
        <v>2.725193002066717E-2</v>
      </c>
      <c r="K9" s="66">
        <f t="shared" si="9"/>
        <v>5.232410216503381E-3</v>
      </c>
      <c r="L9" s="66">
        <f t="shared" si="9"/>
        <v>-7.584737434344184E-2</v>
      </c>
      <c r="M9" s="66">
        <f t="shared" si="9"/>
        <v>5.6774026273132043E-2</v>
      </c>
      <c r="N9" s="66">
        <f t="shared" si="9"/>
        <v>-4.3404525402730354E-3</v>
      </c>
      <c r="O9" s="66">
        <f t="shared" si="9"/>
        <v>1.0216810830891892E-2</v>
      </c>
      <c r="P9" s="66">
        <f t="shared" si="9"/>
        <v>-7.6832918030629053E-3</v>
      </c>
      <c r="Q9" s="66">
        <f t="shared" si="9"/>
        <v>5.5682330807732799E-2</v>
      </c>
      <c r="R9" s="66">
        <f t="shared" si="9"/>
        <v>4.4460872789330197E-2</v>
      </c>
      <c r="S9" s="66">
        <f t="shared" si="9"/>
        <v>4.362706870128253E-2</v>
      </c>
      <c r="T9" s="66">
        <f t="shared" si="9"/>
        <v>4.5272369176239377E-2</v>
      </c>
      <c r="U9" s="66">
        <f t="shared" si="9"/>
        <v>0.11225355691611635</v>
      </c>
      <c r="V9" s="66">
        <f t="shared" si="9"/>
        <v>0.13632770519075382</v>
      </c>
      <c r="W9" s="66">
        <f t="shared" si="9"/>
        <v>0.20351907023081275</v>
      </c>
      <c r="X9" s="66">
        <f t="shared" si="9"/>
        <v>0.13884178506660835</v>
      </c>
      <c r="Y9" s="66">
        <f t="shared" si="9"/>
        <v>0.25932483499578818</v>
      </c>
      <c r="Z9" s="66">
        <f t="shared" si="9"/>
        <v>0.2500033361055346</v>
      </c>
      <c r="AA9" s="66">
        <f t="shared" si="9"/>
        <v>0.20111293283810755</v>
      </c>
      <c r="AB9" s="66">
        <f t="shared" si="9"/>
        <v>0.21774798957969269</v>
      </c>
      <c r="AC9" s="66">
        <f t="shared" si="9"/>
        <v>0.38908644582721047</v>
      </c>
      <c r="AD9" s="66">
        <f t="shared" si="9"/>
        <v>0.41043860458827541</v>
      </c>
      <c r="AE9" s="66">
        <f t="shared" si="9"/>
        <v>0.40032623981312565</v>
      </c>
      <c r="AF9" s="66">
        <f t="shared" si="9"/>
        <v>0.39638686662839634</v>
      </c>
      <c r="AG9" s="66">
        <f t="shared" si="9"/>
        <v>0.44592104340382988</v>
      </c>
      <c r="AH9" s="66">
        <f t="shared" si="9"/>
        <v>0.43647419229951578</v>
      </c>
      <c r="AI9" s="66">
        <f t="shared" si="9"/>
        <v>0.51660509623832906</v>
      </c>
      <c r="AJ9" s="66">
        <f t="shared" si="9"/>
        <v>0.5161918876743643</v>
      </c>
      <c r="AK9" s="66">
        <f t="shared" si="9"/>
        <v>0.11122123961445933</v>
      </c>
      <c r="AL9" s="66">
        <f t="shared" si="9"/>
        <v>5.4486336187000634E-2</v>
      </c>
      <c r="AM9" s="66">
        <f t="shared" si="9"/>
        <v>-0.37278054605471461</v>
      </c>
      <c r="AN9" s="66">
        <f t="shared" si="9"/>
        <v>-0.38306822990495815</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34" customFormat="1">
      <c r="A10" s="34" t="s">
        <v>363</v>
      </c>
      <c r="E10" s="34">
        <f>股权价值增加表!E8</f>
        <v>33667441.369999997</v>
      </c>
      <c r="F10" s="34">
        <f>股权价值增加表!F8</f>
        <v>19050964.629999999</v>
      </c>
      <c r="G10" s="34">
        <f>股权价值增加表!G8</f>
        <v>11347896.02</v>
      </c>
      <c r="H10" s="34">
        <f>股权价值增加表!H8</f>
        <v>4513846.1900000004</v>
      </c>
      <c r="I10" s="34">
        <f>股权价值增加表!I8</f>
        <v>20735441.370000001</v>
      </c>
      <c r="J10" s="34">
        <f>股权价值增加表!J8</f>
        <v>12050446.67</v>
      </c>
      <c r="K10" s="34">
        <f>股权价值增加表!K8</f>
        <v>9016859.1500000004</v>
      </c>
      <c r="L10" s="34">
        <f>股权价值增加表!L8</f>
        <v>4118994.37</v>
      </c>
      <c r="M10" s="34">
        <f>股权价值增加表!M8</f>
        <v>23120160.399999999</v>
      </c>
      <c r="N10" s="34">
        <f>股权价值增加表!N8</f>
        <v>12180329.449999999</v>
      </c>
      <c r="O10" s="34">
        <f>股权价值增加表!O8</f>
        <v>7217936.29</v>
      </c>
      <c r="P10" s="34">
        <f>股权价值增加表!P8</f>
        <v>4155859.83</v>
      </c>
      <c r="Q10" s="34">
        <f>股权价值增加表!Q8</f>
        <v>22426295.600000001</v>
      </c>
      <c r="R10" s="34">
        <f>股权价值增加表!R8</f>
        <v>14699028.92</v>
      </c>
      <c r="S10" s="34">
        <f>股权价值增加表!S8</f>
        <v>9938723.7699999996</v>
      </c>
      <c r="T10" s="34">
        <f>股权价值增加表!T8</f>
        <v>5423434.3300000001</v>
      </c>
      <c r="U10" s="34">
        <f>股权价值增加表!U8</f>
        <v>18195491.25</v>
      </c>
      <c r="V10" s="34">
        <f>股权价值增加表!V8</f>
        <v>11744559.66</v>
      </c>
      <c r="W10" s="34">
        <f>股权价值增加表!W8</f>
        <v>6679147.6600000001</v>
      </c>
      <c r="X10" s="34">
        <f>股权价值增加表!X8</f>
        <v>3729155.7</v>
      </c>
      <c r="Y10" s="34">
        <f>股权价值增加表!Y8</f>
        <v>19667899.760000002</v>
      </c>
      <c r="Z10" s="34">
        <f>股权价值增加表!Z8</f>
        <v>12722992.02</v>
      </c>
      <c r="AA10" s="34">
        <f>股权价值增加表!AA8</f>
        <v>7466106.8700000001</v>
      </c>
      <c r="AB10" s="34">
        <f>股权价值增加表!AB8</f>
        <v>4382780.8499999996</v>
      </c>
      <c r="AC10" s="34">
        <f>股权价值增加表!AC8</f>
        <v>12991253.609999999</v>
      </c>
      <c r="AD10" s="34">
        <f>股权价值增加表!AD8</f>
        <v>9153135.7899999991</v>
      </c>
      <c r="AE10" s="34">
        <f>股权价值增加表!AE8</f>
        <v>6294704.7300000004</v>
      </c>
      <c r="AF10" s="34">
        <f>股权价值增加表!AF8</f>
        <v>3615504.33</v>
      </c>
      <c r="AG10" s="34">
        <f>股权价值增加表!AG8</f>
        <v>3688998.49</v>
      </c>
      <c r="AH10" s="34">
        <f>股权价值增加表!AH8</f>
        <v>2322781.2799999998</v>
      </c>
      <c r="AI10" s="34">
        <f>股权价值增加表!AI8</f>
        <v>1605209.89</v>
      </c>
      <c r="AJ10" s="34">
        <f>股权价值增加表!AJ8</f>
        <v>1056150.07</v>
      </c>
      <c r="AK10" s="34">
        <f>股权价值增加表!AK8</f>
        <v>3304954.88</v>
      </c>
      <c r="AL10" s="34">
        <f>股权价值增加表!AL8</f>
        <v>2289413.9500000002</v>
      </c>
      <c r="AM10" s="34">
        <f>股权价值增加表!AM8</f>
        <v>1466128.77</v>
      </c>
      <c r="AN10" s="34">
        <f>股权价值增加表!AN8</f>
        <v>922576.46</v>
      </c>
      <c r="AO10" s="34">
        <f>股权价值增加表!AO8</f>
        <v>1719118.97</v>
      </c>
      <c r="AP10" s="34">
        <f>股权价值增加表!AP8</f>
        <v>1195729.94</v>
      </c>
      <c r="AQ10" s="34">
        <f>股权价值增加表!AQ8</f>
        <v>2084069.41</v>
      </c>
      <c r="AR10" s="34">
        <f>股权价值增加表!AR8</f>
        <v>1204449.57</v>
      </c>
      <c r="AS10" s="34">
        <f>股权价值增加表!AS8</f>
        <v>0</v>
      </c>
      <c r="AT10" s="34">
        <f>股权价值增加表!AT8</f>
        <v>0</v>
      </c>
      <c r="AU10" s="34">
        <f>股权价值增加表!AU8</f>
        <v>0</v>
      </c>
      <c r="AV10" s="34">
        <f>股权价值增加表!AV8</f>
        <v>0</v>
      </c>
      <c r="AW10" s="34">
        <f>股权价值增加表!AW8</f>
        <v>0</v>
      </c>
      <c r="AX10" s="34">
        <f>股权价值增加表!AX8</f>
        <v>0</v>
      </c>
      <c r="AY10" s="34">
        <f>股权价值增加表!AY8</f>
        <v>0</v>
      </c>
      <c r="AZ10" s="34">
        <f>股权价值增加表!AZ8</f>
        <v>0</v>
      </c>
      <c r="BA10" s="34">
        <f>股权价值增加表!BA8</f>
        <v>0</v>
      </c>
      <c r="BB10" s="34">
        <f>股权价值增加表!BB8</f>
        <v>0</v>
      </c>
      <c r="BC10" s="34">
        <f>股权价值增加表!BC8</f>
        <v>0</v>
      </c>
      <c r="BD10" s="34">
        <f>股权价值增加表!BD8</f>
        <v>0</v>
      </c>
      <c r="BE10" s="34">
        <f>股权价值增加表!BE8</f>
        <v>0</v>
      </c>
      <c r="BF10" s="34">
        <f>股权价值增加表!BF8</f>
        <v>0</v>
      </c>
      <c r="BG10" s="34">
        <f>股权价值增加表!BG8</f>
        <v>0</v>
      </c>
      <c r="BH10" s="34">
        <f>股权价值增加表!BH8</f>
        <v>0</v>
      </c>
      <c r="BI10" s="34">
        <f>股权价值增加表!BI8</f>
        <v>0</v>
      </c>
      <c r="BJ10" s="34">
        <f>股权价值增加表!BJ8</f>
        <v>0</v>
      </c>
      <c r="BK10" s="34">
        <f>股权价值增加表!BK8</f>
        <v>0</v>
      </c>
      <c r="BL10" s="34">
        <f>股权价值增加表!BL8</f>
        <v>0</v>
      </c>
      <c r="BM10" s="34">
        <f>股权价值增加表!BM8</f>
        <v>0</v>
      </c>
      <c r="BN10" s="34">
        <f>股权价值增加表!BN8</f>
        <v>0</v>
      </c>
      <c r="BO10" s="34">
        <f>股权价值增加表!BO8</f>
        <v>0</v>
      </c>
      <c r="BP10" s="34">
        <f>股权价值增加表!BP8</f>
        <v>0</v>
      </c>
      <c r="BQ10" s="34">
        <f>股权价值增加表!BQ8</f>
        <v>0</v>
      </c>
      <c r="BR10" s="34">
        <f>股权价值增加表!BR8</f>
        <v>0</v>
      </c>
      <c r="BS10" s="34">
        <f>股权价值增加表!BS8</f>
        <v>0</v>
      </c>
      <c r="BT10" s="34">
        <f>股权价值增加表!BT8</f>
        <v>0</v>
      </c>
      <c r="BU10" s="34">
        <f>股权价值增加表!BU8</f>
        <v>0</v>
      </c>
      <c r="BV10" s="34">
        <f>股权价值增加表!BV8</f>
        <v>0</v>
      </c>
      <c r="BW10" s="34">
        <f>股权价值增加表!BW8</f>
        <v>0</v>
      </c>
      <c r="BX10" s="34">
        <f>股权价值增加表!BX8</f>
        <v>0</v>
      </c>
      <c r="BY10" s="34">
        <f>股权价值增加表!BY8</f>
        <v>0</v>
      </c>
      <c r="BZ10" s="34">
        <f>股权价值增加表!BZ8</f>
        <v>0</v>
      </c>
      <c r="CA10" s="34">
        <f>股权价值增加表!CA8</f>
        <v>0</v>
      </c>
      <c r="CB10" s="34">
        <f>股权价值增加表!CB8</f>
        <v>0</v>
      </c>
      <c r="CC10" s="34">
        <f>股权价值增加表!CC8</f>
        <v>0</v>
      </c>
      <c r="CD10" s="34">
        <f>股权价值增加表!CD8</f>
        <v>0</v>
      </c>
      <c r="CE10" s="34">
        <f>股权价值增加表!CE8</f>
        <v>0</v>
      </c>
      <c r="CF10" s="34">
        <f>股权价值增加表!CF8</f>
        <v>0</v>
      </c>
      <c r="CG10" s="34">
        <f>股权价值增加表!CG8</f>
        <v>0</v>
      </c>
      <c r="CH10" s="34">
        <f>股权价值增加表!CH8</f>
        <v>0</v>
      </c>
      <c r="CI10" s="34">
        <f>股权价值增加表!CI8</f>
        <v>0</v>
      </c>
      <c r="CJ10" s="34">
        <f>股权价值增加表!CJ8</f>
        <v>0</v>
      </c>
    </row>
    <row r="11" spans="1:89" s="66" customFormat="1">
      <c r="A11" s="66" t="s">
        <v>364</v>
      </c>
      <c r="E11" s="66">
        <f>E10/E2</f>
        <v>1.286879171539961E-2</v>
      </c>
      <c r="F11" s="66">
        <f t="shared" ref="F11:BQ11" si="11">F10/F2</f>
        <v>1.2382505220693988E-2</v>
      </c>
      <c r="G11" s="66">
        <f t="shared" si="11"/>
        <v>1.1804862293077138E-2</v>
      </c>
      <c r="H11" s="66">
        <f t="shared" si="11"/>
        <v>1.0463923303238289E-2</v>
      </c>
      <c r="I11" s="66">
        <f t="shared" si="11"/>
        <v>8.9702636136844323E-3</v>
      </c>
      <c r="J11" s="66">
        <f t="shared" si="11"/>
        <v>8.9411556256578165E-3</v>
      </c>
      <c r="K11" s="66">
        <f t="shared" si="11"/>
        <v>1.0233065919433787E-2</v>
      </c>
      <c r="L11" s="66">
        <f t="shared" si="11"/>
        <v>9.5539618853006398E-3</v>
      </c>
      <c r="M11" s="66">
        <f t="shared" si="11"/>
        <v>1.1048489044756705E-2</v>
      </c>
      <c r="N11" s="66">
        <f t="shared" si="11"/>
        <v>9.381398163564994E-3</v>
      </c>
      <c r="O11" s="66">
        <f t="shared" si="11"/>
        <v>8.3674586445323801E-3</v>
      </c>
      <c r="P11" s="66">
        <f t="shared" si="11"/>
        <v>8.9861705092176593E-3</v>
      </c>
      <c r="Q11" s="66">
        <f t="shared" si="11"/>
        <v>1.1385253532541507E-2</v>
      </c>
      <c r="R11" s="66">
        <f t="shared" si="11"/>
        <v>1.1311828030400256E-2</v>
      </c>
      <c r="S11" s="66">
        <f t="shared" si="11"/>
        <v>1.1637998297802385E-2</v>
      </c>
      <c r="T11" s="66">
        <f t="shared" si="11"/>
        <v>1.1992051218689993E-2</v>
      </c>
      <c r="U11" s="66">
        <f t="shared" si="11"/>
        <v>9.7620773459400519E-3</v>
      </c>
      <c r="V11" s="66">
        <f t="shared" si="11"/>
        <v>9.354983450090849E-3</v>
      </c>
      <c r="W11" s="66">
        <f t="shared" si="11"/>
        <v>8.138522361431668E-3</v>
      </c>
      <c r="X11" s="66">
        <f t="shared" si="11"/>
        <v>8.4921771522208731E-3</v>
      </c>
      <c r="Y11" s="66">
        <f t="shared" si="11"/>
        <v>1.1068220364075742E-2</v>
      </c>
      <c r="Z11" s="66">
        <f t="shared" si="11"/>
        <v>1.0669685579884547E-2</v>
      </c>
      <c r="AA11" s="66">
        <f t="shared" si="11"/>
        <v>9.8435360912312135E-3</v>
      </c>
      <c r="AB11" s="66">
        <f t="shared" si="11"/>
        <v>1.0840084791460298E-2</v>
      </c>
      <c r="AC11" s="66">
        <f t="shared" si="11"/>
        <v>8.938402850953972E-3</v>
      </c>
      <c r="AD11" s="66">
        <f t="shared" si="11"/>
        <v>9.6879811909502418E-3</v>
      </c>
      <c r="AE11" s="66">
        <f t="shared" si="11"/>
        <v>1.0360152083733913E-2</v>
      </c>
      <c r="AF11" s="66">
        <f t="shared" si="11"/>
        <v>1.0860992949321071E-2</v>
      </c>
      <c r="AG11" s="66">
        <f t="shared" si="11"/>
        <v>3.4563792283512766E-3</v>
      </c>
      <c r="AH11" s="66">
        <f t="shared" si="11"/>
        <v>3.3274269868933835E-3</v>
      </c>
      <c r="AI11" s="66">
        <f t="shared" si="11"/>
        <v>3.5417660050349482E-3</v>
      </c>
      <c r="AJ11" s="66">
        <f t="shared" si="11"/>
        <v>4.1716911040214685E-3</v>
      </c>
      <c r="AK11" s="66">
        <f t="shared" si="11"/>
        <v>4.1740538407155619E-3</v>
      </c>
      <c r="AL11" s="66">
        <f t="shared" si="11"/>
        <v>4.3820419176056119E-3</v>
      </c>
      <c r="AM11" s="66">
        <f t="shared" si="11"/>
        <v>4.5369206071828247E-3</v>
      </c>
      <c r="AN11" s="66">
        <f t="shared" si="11"/>
        <v>5.0761067046087979E-3</v>
      </c>
      <c r="AO11" s="66">
        <f t="shared" si="11"/>
        <v>2.5252798326315137E-3</v>
      </c>
      <c r="AP11" s="66">
        <f t="shared" si="11"/>
        <v>2.5530995713197338E-3</v>
      </c>
      <c r="AQ11" s="66">
        <f t="shared" si="11"/>
        <v>3.5309027445344747E-3</v>
      </c>
      <c r="AR11" s="66">
        <f t="shared" si="11"/>
        <v>2.8740147033255014E-3</v>
      </c>
      <c r="AS11" s="66" t="e">
        <f t="shared" si="11"/>
        <v>#DIV/0!</v>
      </c>
      <c r="AT11" s="66" t="e">
        <f t="shared" si="11"/>
        <v>#DIV/0!</v>
      </c>
      <c r="AU11" s="66" t="e">
        <f t="shared" si="11"/>
        <v>#DIV/0!</v>
      </c>
      <c r="AV11" s="66" t="e">
        <f t="shared" si="11"/>
        <v>#DIV/0!</v>
      </c>
      <c r="AW11" s="66" t="e">
        <f t="shared" si="11"/>
        <v>#DIV/0!</v>
      </c>
      <c r="AX11" s="66" t="e">
        <f t="shared" si="11"/>
        <v>#DIV/0!</v>
      </c>
      <c r="AY11" s="66" t="e">
        <f t="shared" si="11"/>
        <v>#DIV/0!</v>
      </c>
      <c r="AZ11" s="66" t="e">
        <f t="shared" si="11"/>
        <v>#DIV/0!</v>
      </c>
      <c r="BA11" s="66" t="e">
        <f t="shared" si="11"/>
        <v>#DIV/0!</v>
      </c>
      <c r="BB11" s="66" t="e">
        <f t="shared" si="11"/>
        <v>#DIV/0!</v>
      </c>
      <c r="BC11" s="66" t="e">
        <f t="shared" si="11"/>
        <v>#DIV/0!</v>
      </c>
      <c r="BD11" s="66" t="e">
        <f t="shared" si="11"/>
        <v>#DIV/0!</v>
      </c>
      <c r="BE11" s="66" t="e">
        <f t="shared" si="11"/>
        <v>#DIV/0!</v>
      </c>
      <c r="BF11" s="66" t="e">
        <f t="shared" si="11"/>
        <v>#DIV/0!</v>
      </c>
      <c r="BG11" s="66" t="e">
        <f t="shared" si="11"/>
        <v>#DIV/0!</v>
      </c>
      <c r="BH11" s="66" t="e">
        <f t="shared" si="11"/>
        <v>#DIV/0!</v>
      </c>
      <c r="BI11" s="66" t="e">
        <f t="shared" si="11"/>
        <v>#DIV/0!</v>
      </c>
      <c r="BJ11" s="66" t="e">
        <f t="shared" si="11"/>
        <v>#DIV/0!</v>
      </c>
      <c r="BK11" s="66" t="e">
        <f t="shared" si="11"/>
        <v>#DIV/0!</v>
      </c>
      <c r="BL11" s="66" t="e">
        <f t="shared" si="11"/>
        <v>#DIV/0!</v>
      </c>
      <c r="BM11" s="66" t="e">
        <f t="shared" si="11"/>
        <v>#DIV/0!</v>
      </c>
      <c r="BN11" s="66" t="e">
        <f t="shared" si="11"/>
        <v>#DIV/0!</v>
      </c>
      <c r="BO11" s="66" t="e">
        <f t="shared" si="11"/>
        <v>#DIV/0!</v>
      </c>
      <c r="BP11" s="66" t="e">
        <f t="shared" si="11"/>
        <v>#DIV/0!</v>
      </c>
      <c r="BQ11" s="66" t="e">
        <f t="shared" si="11"/>
        <v>#DIV/0!</v>
      </c>
      <c r="BR11" s="66" t="e">
        <f t="shared" ref="BR11:CJ11" si="12">BR10/BR2</f>
        <v>#DIV/0!</v>
      </c>
      <c r="BS11" s="66" t="e">
        <f t="shared" si="12"/>
        <v>#DIV/0!</v>
      </c>
      <c r="BT11" s="66" t="e">
        <f t="shared" si="12"/>
        <v>#DIV/0!</v>
      </c>
      <c r="BU11" s="66" t="e">
        <f t="shared" si="12"/>
        <v>#DIV/0!</v>
      </c>
      <c r="BV11" s="66" t="e">
        <f t="shared" si="12"/>
        <v>#DIV/0!</v>
      </c>
      <c r="BW11" s="66" t="e">
        <f t="shared" si="12"/>
        <v>#DIV/0!</v>
      </c>
      <c r="BX11" s="66" t="e">
        <f t="shared" si="12"/>
        <v>#DIV/0!</v>
      </c>
      <c r="BY11" s="66" t="e">
        <f t="shared" si="12"/>
        <v>#DIV/0!</v>
      </c>
      <c r="BZ11" s="66" t="e">
        <f t="shared" si="12"/>
        <v>#DIV/0!</v>
      </c>
      <c r="CA11" s="66" t="e">
        <f t="shared" si="12"/>
        <v>#DIV/0!</v>
      </c>
      <c r="CB11" s="66" t="e">
        <f t="shared" si="12"/>
        <v>#DIV/0!</v>
      </c>
      <c r="CC11" s="66" t="e">
        <f t="shared" si="12"/>
        <v>#DIV/0!</v>
      </c>
      <c r="CD11" s="66" t="e">
        <f t="shared" si="12"/>
        <v>#DIV/0!</v>
      </c>
      <c r="CE11" s="66" t="e">
        <f t="shared" si="12"/>
        <v>#DIV/0!</v>
      </c>
      <c r="CF11" s="66" t="e">
        <f t="shared" si="12"/>
        <v>#DIV/0!</v>
      </c>
      <c r="CG11" s="66" t="e">
        <f t="shared" si="12"/>
        <v>#DIV/0!</v>
      </c>
      <c r="CH11" s="66" t="e">
        <f t="shared" si="12"/>
        <v>#DIV/0!</v>
      </c>
      <c r="CI11" s="66" t="e">
        <f t="shared" si="12"/>
        <v>#DIV/0!</v>
      </c>
      <c r="CJ11" s="66" t="e">
        <f t="shared" si="12"/>
        <v>#DIV/0!</v>
      </c>
    </row>
    <row r="12" spans="1:89" s="34" customFormat="1">
      <c r="A12" s="34" t="s">
        <v>365</v>
      </c>
      <c r="E12" s="34">
        <f>股权价值增加表!E9</f>
        <v>581949650.57000005</v>
      </c>
      <c r="F12" s="34">
        <f>股权价值增加表!F9</f>
        <v>393266623.56</v>
      </c>
      <c r="G12" s="34">
        <f>股权价值增加表!G9</f>
        <v>255118134.43000001</v>
      </c>
      <c r="H12" s="34">
        <f>股权价值增加表!H9</f>
        <v>112944965.20999999</v>
      </c>
      <c r="I12" s="34">
        <f>股权价值增加表!I9</f>
        <v>536781289.69999999</v>
      </c>
      <c r="J12" s="34">
        <f>股权价值增加表!J9</f>
        <v>335317136.74000001</v>
      </c>
      <c r="K12" s="34">
        <f>股权价值增加表!K9</f>
        <v>213710690.19999999</v>
      </c>
      <c r="L12" s="34">
        <f>股权价值增加表!L9</f>
        <v>97758947.700000003</v>
      </c>
      <c r="M12" s="34">
        <f>股权价值增加表!M9</f>
        <v>491041931.38</v>
      </c>
      <c r="N12" s="34">
        <f>股权价值增加表!N9</f>
        <v>312344719.72000003</v>
      </c>
      <c r="O12" s="34">
        <f>股权价值增加表!O9</f>
        <v>194756674.34999999</v>
      </c>
      <c r="P12" s="34">
        <f>股权价值增加表!P9</f>
        <v>96178218.680000007</v>
      </c>
      <c r="Q12" s="34">
        <f>股权价值增加表!Q9</f>
        <v>442693447.52999997</v>
      </c>
      <c r="R12" s="34">
        <f>股权价值增加表!R9</f>
        <v>284599632.86000001</v>
      </c>
      <c r="S12" s="34">
        <f>股权价值增加表!S9</f>
        <v>195834542.71000001</v>
      </c>
      <c r="T12" s="34">
        <f>股权价值增加表!T9</f>
        <v>88016176.329999998</v>
      </c>
      <c r="U12" s="34">
        <f>股权价值增加表!U9</f>
        <v>439227146.56</v>
      </c>
      <c r="V12" s="34">
        <f>股权价值增加表!V9</f>
        <v>301442808.35000002</v>
      </c>
      <c r="W12" s="34">
        <f>股权价值增加表!W9</f>
        <v>195111798.63999999</v>
      </c>
      <c r="X12" s="34">
        <f>股权价值增加表!X9</f>
        <v>85078338.650000006</v>
      </c>
      <c r="Y12" s="34">
        <f>股权价值增加表!Y9</f>
        <v>413803577.66000003</v>
      </c>
      <c r="Z12" s="34">
        <f>股权价值增加表!Z9</f>
        <v>283123524.36000001</v>
      </c>
      <c r="AA12" s="34">
        <f>股权价值增加表!AA9</f>
        <v>170618393.31</v>
      </c>
      <c r="AB12" s="34">
        <f>股权价值增加表!AB9</f>
        <v>78539793.730000004</v>
      </c>
      <c r="AC12" s="34">
        <f>股权价值增加表!AC9</f>
        <v>340169012.06</v>
      </c>
      <c r="AD12" s="34">
        <f>股权价值增加表!AD9</f>
        <v>233425011.93000001</v>
      </c>
      <c r="AE12" s="34">
        <f>股权价值增加表!AE9</f>
        <v>150712282.5</v>
      </c>
      <c r="AF12" s="34">
        <f>股权价值增加表!AF9</f>
        <v>74504371.730000004</v>
      </c>
      <c r="AG12" s="34">
        <f>股权价值增加表!AG9</f>
        <v>268082494.09999999</v>
      </c>
      <c r="AH12" s="34">
        <f>股权价值增加表!AH9</f>
        <v>181510605.61000001</v>
      </c>
      <c r="AI12" s="34">
        <f>股权价值增加表!AI9</f>
        <v>117079673.52</v>
      </c>
      <c r="AJ12" s="34">
        <f>股权价值增加表!AJ9</f>
        <v>57242289.609999999</v>
      </c>
      <c r="AK12" s="34">
        <f>股权价值增加表!AK9</f>
        <v>188788629.53999999</v>
      </c>
      <c r="AL12" s="34">
        <f>股权价值增加表!AL9</f>
        <v>132282338.7</v>
      </c>
      <c r="AM12" s="34">
        <f>股权价值增加表!AM9</f>
        <v>79110212.659999996</v>
      </c>
      <c r="AN12" s="34">
        <f>股权价值增加表!AN9</f>
        <v>39204501.539999999</v>
      </c>
      <c r="AO12" s="34">
        <f>股权价值增加表!AO9</f>
        <v>171925727.18000001</v>
      </c>
      <c r="AP12" s="34">
        <f>股权价值增加表!AP9</f>
        <v>116247201.54000001</v>
      </c>
      <c r="AQ12" s="34">
        <f>股权价值增加表!AQ9</f>
        <v>120843376.58</v>
      </c>
      <c r="AR12" s="34">
        <f>股权价值增加表!AR9</f>
        <v>62971907.409999996</v>
      </c>
      <c r="AS12" s="34">
        <f>股权价值增加表!AS9</f>
        <v>0</v>
      </c>
      <c r="AT12" s="34">
        <f>股权价值增加表!AT9</f>
        <v>0</v>
      </c>
      <c r="AU12" s="34">
        <f>股权价值增加表!AU9</f>
        <v>0</v>
      </c>
      <c r="AV12" s="34">
        <f>股权价值增加表!AV9</f>
        <v>0</v>
      </c>
      <c r="AW12" s="34">
        <f>股权价值增加表!AW9</f>
        <v>0</v>
      </c>
      <c r="AX12" s="34">
        <f>股权价值增加表!AX9</f>
        <v>0</v>
      </c>
      <c r="AY12" s="34">
        <f>股权价值增加表!AY9</f>
        <v>0</v>
      </c>
      <c r="AZ12" s="34">
        <f>股权价值增加表!AZ9</f>
        <v>0</v>
      </c>
      <c r="BA12" s="34">
        <f>股权价值增加表!BA9</f>
        <v>0</v>
      </c>
      <c r="BB12" s="34">
        <f>股权价值增加表!BB9</f>
        <v>0</v>
      </c>
      <c r="BC12" s="34">
        <f>股权价值增加表!BC9</f>
        <v>0</v>
      </c>
      <c r="BD12" s="34">
        <f>股权价值增加表!BD9</f>
        <v>0</v>
      </c>
      <c r="BE12" s="34">
        <f>股权价值增加表!BE9</f>
        <v>0</v>
      </c>
      <c r="BF12" s="34">
        <f>股权价值增加表!BF9</f>
        <v>0</v>
      </c>
      <c r="BG12" s="34">
        <f>股权价值增加表!BG9</f>
        <v>0</v>
      </c>
      <c r="BH12" s="34">
        <f>股权价值增加表!BH9</f>
        <v>0</v>
      </c>
      <c r="BI12" s="34">
        <f>股权价值增加表!BI9</f>
        <v>0</v>
      </c>
      <c r="BJ12" s="34">
        <f>股权价值增加表!BJ9</f>
        <v>0</v>
      </c>
      <c r="BK12" s="34">
        <f>股权价值增加表!BK9</f>
        <v>0</v>
      </c>
      <c r="BL12" s="34">
        <f>股权价值增加表!BL9</f>
        <v>0</v>
      </c>
      <c r="BM12" s="34">
        <f>股权价值增加表!BM9</f>
        <v>0</v>
      </c>
      <c r="BN12" s="34">
        <f>股权价值增加表!BN9</f>
        <v>0</v>
      </c>
      <c r="BO12" s="34">
        <f>股权价值增加表!BO9</f>
        <v>0</v>
      </c>
      <c r="BP12" s="34">
        <f>股权价值增加表!BP9</f>
        <v>0</v>
      </c>
      <c r="BQ12" s="34">
        <f>股权价值增加表!BQ9</f>
        <v>0</v>
      </c>
      <c r="BR12" s="34">
        <f>股权价值增加表!BR9</f>
        <v>0</v>
      </c>
      <c r="BS12" s="34">
        <f>股权价值增加表!BS9</f>
        <v>0</v>
      </c>
      <c r="BT12" s="34">
        <f>股权价值增加表!BT9</f>
        <v>0</v>
      </c>
      <c r="BU12" s="34">
        <f>股权价值增加表!BU9</f>
        <v>0</v>
      </c>
      <c r="BV12" s="34">
        <f>股权价值增加表!BV9</f>
        <v>0</v>
      </c>
      <c r="BW12" s="34">
        <f>股权价值增加表!BW9</f>
        <v>0</v>
      </c>
      <c r="BX12" s="34">
        <f>股权价值增加表!BX9</f>
        <v>0</v>
      </c>
      <c r="BY12" s="34">
        <f>股权价值增加表!BY9</f>
        <v>0</v>
      </c>
      <c r="BZ12" s="34">
        <f>股权价值增加表!BZ9</f>
        <v>0</v>
      </c>
      <c r="CA12" s="34">
        <f>股权价值增加表!CA9</f>
        <v>0</v>
      </c>
      <c r="CB12" s="34">
        <f>股权价值增加表!CB9</f>
        <v>0</v>
      </c>
      <c r="CC12" s="34">
        <f>股权价值增加表!CC9</f>
        <v>0</v>
      </c>
      <c r="CD12" s="34">
        <f>股权价值增加表!CD9</f>
        <v>0</v>
      </c>
      <c r="CE12" s="34">
        <f>股权价值增加表!CE9</f>
        <v>0</v>
      </c>
      <c r="CF12" s="34">
        <f>股权价值增加表!CF9</f>
        <v>0</v>
      </c>
      <c r="CG12" s="34">
        <f>股权价值增加表!CG9</f>
        <v>0</v>
      </c>
      <c r="CH12" s="34">
        <f>股权价值增加表!CH9</f>
        <v>0</v>
      </c>
      <c r="CI12" s="34">
        <f>股权价值增加表!CI9</f>
        <v>0</v>
      </c>
      <c r="CJ12" s="34">
        <f>股权价值增加表!CJ9</f>
        <v>0</v>
      </c>
    </row>
    <row r="13" spans="1:89" s="66" customFormat="1">
      <c r="A13" s="66" t="s">
        <v>366</v>
      </c>
      <c r="E13" s="66">
        <f>E12/E2</f>
        <v>0.22244009456293634</v>
      </c>
      <c r="F13" s="66">
        <f t="shared" ref="F13:BQ13" si="13">F12/F2</f>
        <v>0.25561046980729174</v>
      </c>
      <c r="G13" s="66">
        <f t="shared" si="13"/>
        <v>0.26539143821066591</v>
      </c>
      <c r="H13" s="66">
        <f t="shared" si="13"/>
        <v>0.26182714334897544</v>
      </c>
      <c r="I13" s="66">
        <f t="shared" si="13"/>
        <v>0.23221447692302061</v>
      </c>
      <c r="J13" s="66">
        <f t="shared" si="13"/>
        <v>0.24879764092116616</v>
      </c>
      <c r="K13" s="66">
        <f t="shared" si="13"/>
        <v>0.24253629164256069</v>
      </c>
      <c r="L13" s="66">
        <f t="shared" si="13"/>
        <v>0.22675079798006587</v>
      </c>
      <c r="M13" s="66">
        <f t="shared" si="13"/>
        <v>0.23465543947385867</v>
      </c>
      <c r="N13" s="66">
        <f t="shared" si="13"/>
        <v>0.24057068341287199</v>
      </c>
      <c r="O13" s="66">
        <f t="shared" si="13"/>
        <v>0.22577345558286785</v>
      </c>
      <c r="P13" s="66">
        <f t="shared" si="13"/>
        <v>0.20796511616978744</v>
      </c>
      <c r="Q13" s="66">
        <f t="shared" si="13"/>
        <v>0.22474407843459934</v>
      </c>
      <c r="R13" s="66">
        <f t="shared" si="13"/>
        <v>0.21901733250194666</v>
      </c>
      <c r="S13" s="66">
        <f t="shared" si="13"/>
        <v>0.2293173779101709</v>
      </c>
      <c r="T13" s="66">
        <f t="shared" si="13"/>
        <v>0.19461736427490028</v>
      </c>
      <c r="U13" s="66">
        <f t="shared" si="13"/>
        <v>0.23565010244805931</v>
      </c>
      <c r="V13" s="66">
        <f t="shared" si="13"/>
        <v>0.24011053329377507</v>
      </c>
      <c r="W13" s="66">
        <f t="shared" si="13"/>
        <v>0.23774316979403221</v>
      </c>
      <c r="X13" s="66">
        <f t="shared" si="13"/>
        <v>0.1937436733018254</v>
      </c>
      <c r="Y13" s="66">
        <f t="shared" si="13"/>
        <v>0.2328702729255627</v>
      </c>
      <c r="Z13" s="66">
        <f t="shared" si="13"/>
        <v>0.23743149256411961</v>
      </c>
      <c r="AA13" s="66">
        <f t="shared" si="13"/>
        <v>0.22494833540667861</v>
      </c>
      <c r="AB13" s="66">
        <f t="shared" si="13"/>
        <v>0.19425521208458368</v>
      </c>
      <c r="AC13" s="66">
        <f t="shared" si="13"/>
        <v>0.234047287389019</v>
      </c>
      <c r="AD13" s="66">
        <f t="shared" si="13"/>
        <v>0.24706474119457766</v>
      </c>
      <c r="AE13" s="66">
        <f t="shared" si="13"/>
        <v>0.24805010474044412</v>
      </c>
      <c r="AF13" s="66">
        <f t="shared" si="13"/>
        <v>0.22381150240611833</v>
      </c>
      <c r="AG13" s="66">
        <f t="shared" si="13"/>
        <v>0.25117786483340188</v>
      </c>
      <c r="AH13" s="66">
        <f t="shared" si="13"/>
        <v>0.26001728734186963</v>
      </c>
      <c r="AI13" s="66">
        <f t="shared" si="13"/>
        <v>0.25832684568977232</v>
      </c>
      <c r="AJ13" s="66">
        <f t="shared" si="13"/>
        <v>0.22610153341168412</v>
      </c>
      <c r="AK13" s="66">
        <f t="shared" si="13"/>
        <v>0.23843408846019234</v>
      </c>
      <c r="AL13" s="66">
        <f t="shared" si="13"/>
        <v>0.25319438327974847</v>
      </c>
      <c r="AM13" s="66">
        <f t="shared" si="13"/>
        <v>0.24480575062705409</v>
      </c>
      <c r="AN13" s="66">
        <f t="shared" si="13"/>
        <v>0.21570703540174865</v>
      </c>
      <c r="AO13" s="66">
        <f t="shared" si="13"/>
        <v>0.25254829894533809</v>
      </c>
      <c r="AP13" s="66">
        <f t="shared" si="13"/>
        <v>0.24820878903382876</v>
      </c>
      <c r="AQ13" s="66">
        <f t="shared" si="13"/>
        <v>0.2047370437749168</v>
      </c>
      <c r="AR13" s="66">
        <f t="shared" si="13"/>
        <v>0.15026132459227171</v>
      </c>
      <c r="AS13" s="66" t="e">
        <f t="shared" si="13"/>
        <v>#DIV/0!</v>
      </c>
      <c r="AT13" s="66" t="e">
        <f t="shared" si="13"/>
        <v>#DIV/0!</v>
      </c>
      <c r="AU13" s="66" t="e">
        <f t="shared" si="13"/>
        <v>#DIV/0!</v>
      </c>
      <c r="AV13" s="66" t="e">
        <f t="shared" si="13"/>
        <v>#DIV/0!</v>
      </c>
      <c r="AW13" s="66" t="e">
        <f t="shared" si="13"/>
        <v>#DIV/0!</v>
      </c>
      <c r="AX13" s="66" t="e">
        <f t="shared" si="13"/>
        <v>#DIV/0!</v>
      </c>
      <c r="AY13" s="66" t="e">
        <f t="shared" si="13"/>
        <v>#DIV/0!</v>
      </c>
      <c r="AZ13" s="66" t="e">
        <f t="shared" si="13"/>
        <v>#DIV/0!</v>
      </c>
      <c r="BA13" s="66" t="e">
        <f t="shared" si="13"/>
        <v>#DIV/0!</v>
      </c>
      <c r="BB13" s="66" t="e">
        <f t="shared" si="13"/>
        <v>#DIV/0!</v>
      </c>
      <c r="BC13" s="66" t="e">
        <f t="shared" si="13"/>
        <v>#DIV/0!</v>
      </c>
      <c r="BD13" s="66" t="e">
        <f t="shared" si="13"/>
        <v>#DIV/0!</v>
      </c>
      <c r="BE13" s="66" t="e">
        <f t="shared" si="13"/>
        <v>#DIV/0!</v>
      </c>
      <c r="BF13" s="66" t="e">
        <f t="shared" si="13"/>
        <v>#DIV/0!</v>
      </c>
      <c r="BG13" s="66" t="e">
        <f t="shared" si="13"/>
        <v>#DIV/0!</v>
      </c>
      <c r="BH13" s="66" t="e">
        <f t="shared" si="13"/>
        <v>#DIV/0!</v>
      </c>
      <c r="BI13" s="66" t="e">
        <f t="shared" si="13"/>
        <v>#DIV/0!</v>
      </c>
      <c r="BJ13" s="66" t="e">
        <f t="shared" si="13"/>
        <v>#DIV/0!</v>
      </c>
      <c r="BK13" s="66" t="e">
        <f t="shared" si="13"/>
        <v>#DIV/0!</v>
      </c>
      <c r="BL13" s="66" t="e">
        <f t="shared" si="13"/>
        <v>#DIV/0!</v>
      </c>
      <c r="BM13" s="66" t="e">
        <f t="shared" si="13"/>
        <v>#DIV/0!</v>
      </c>
      <c r="BN13" s="66" t="e">
        <f t="shared" si="13"/>
        <v>#DIV/0!</v>
      </c>
      <c r="BO13" s="66" t="e">
        <f t="shared" si="13"/>
        <v>#DIV/0!</v>
      </c>
      <c r="BP13" s="66" t="e">
        <f t="shared" si="13"/>
        <v>#DIV/0!</v>
      </c>
      <c r="BQ13" s="66" t="e">
        <f t="shared" si="13"/>
        <v>#DIV/0!</v>
      </c>
      <c r="BR13" s="66" t="e">
        <f t="shared" ref="BR13:CJ13" si="14">BR12/BR2</f>
        <v>#DIV/0!</v>
      </c>
      <c r="BS13" s="66" t="e">
        <f t="shared" si="14"/>
        <v>#DIV/0!</v>
      </c>
      <c r="BT13" s="66" t="e">
        <f t="shared" si="14"/>
        <v>#DIV/0!</v>
      </c>
      <c r="BU13" s="66" t="e">
        <f t="shared" si="14"/>
        <v>#DIV/0!</v>
      </c>
      <c r="BV13" s="66" t="e">
        <f t="shared" si="14"/>
        <v>#DIV/0!</v>
      </c>
      <c r="BW13" s="66" t="e">
        <f t="shared" si="14"/>
        <v>#DIV/0!</v>
      </c>
      <c r="BX13" s="66" t="e">
        <f t="shared" si="14"/>
        <v>#DIV/0!</v>
      </c>
      <c r="BY13" s="66" t="e">
        <f t="shared" si="14"/>
        <v>#DIV/0!</v>
      </c>
      <c r="BZ13" s="66" t="e">
        <f t="shared" si="14"/>
        <v>#DIV/0!</v>
      </c>
      <c r="CA13" s="66" t="e">
        <f t="shared" si="14"/>
        <v>#DIV/0!</v>
      </c>
      <c r="CB13" s="66" t="e">
        <f t="shared" si="14"/>
        <v>#DIV/0!</v>
      </c>
      <c r="CC13" s="66" t="e">
        <f t="shared" si="14"/>
        <v>#DIV/0!</v>
      </c>
      <c r="CD13" s="66" t="e">
        <f t="shared" si="14"/>
        <v>#DIV/0!</v>
      </c>
      <c r="CE13" s="66" t="e">
        <f t="shared" si="14"/>
        <v>#DIV/0!</v>
      </c>
      <c r="CF13" s="66" t="e">
        <f t="shared" si="14"/>
        <v>#DIV/0!</v>
      </c>
      <c r="CG13" s="66" t="e">
        <f t="shared" si="14"/>
        <v>#DIV/0!</v>
      </c>
      <c r="CH13" s="66" t="e">
        <f t="shared" si="14"/>
        <v>#DIV/0!</v>
      </c>
      <c r="CI13" s="66" t="e">
        <f t="shared" si="14"/>
        <v>#DIV/0!</v>
      </c>
      <c r="CJ13" s="66" t="e">
        <f t="shared" si="14"/>
        <v>#DIV/0!</v>
      </c>
    </row>
    <row r="14" spans="1:89" s="33" customFormat="1">
      <c r="A14" s="34" t="s">
        <v>367</v>
      </c>
      <c r="E14" s="33">
        <f>股权价值增加表!E10</f>
        <v>126559110.14</v>
      </c>
      <c r="F14" s="33">
        <f>股权价值增加表!F10</f>
        <v>82016754.299999997</v>
      </c>
      <c r="G14" s="33">
        <f>股权价值增加表!G10</f>
        <v>43270541.899999999</v>
      </c>
      <c r="H14" s="33">
        <f>股权价值增加表!H10</f>
        <v>19947799.870000001</v>
      </c>
      <c r="I14" s="33">
        <f>股权价值增加表!I10</f>
        <v>80658096.329999998</v>
      </c>
      <c r="J14" s="33">
        <f>股权价值增加表!J10</f>
        <v>59431122.409999996</v>
      </c>
      <c r="K14" s="33">
        <f>股权价值增加表!K10</f>
        <v>37061621.439999998</v>
      </c>
      <c r="L14" s="33">
        <f>股权价值增加表!L10</f>
        <v>17943622.510000002</v>
      </c>
      <c r="M14" s="33">
        <f>股权价值增加表!M10</f>
        <v>94899743.439999998</v>
      </c>
      <c r="N14" s="33">
        <f>股权价值增加表!N10</f>
        <v>63348789.399999999</v>
      </c>
      <c r="O14" s="33">
        <f>股权价值增加表!O10</f>
        <v>39330804.799999997</v>
      </c>
      <c r="P14" s="33">
        <f>股权价值增加表!P10</f>
        <v>16334024.810000001</v>
      </c>
      <c r="Q14" s="33">
        <f>股权价值增加表!Q10</f>
        <v>79730769.569999993</v>
      </c>
      <c r="R14" s="33">
        <f>股权价值增加表!R10</f>
        <v>65338429.770000003</v>
      </c>
      <c r="S14" s="33">
        <f>股权价值增加表!S10</f>
        <v>41594882.100000001</v>
      </c>
      <c r="T14" s="33">
        <f>股权价值增加表!T10</f>
        <v>15198942.51</v>
      </c>
      <c r="U14" s="33">
        <f>股权价值增加表!U10</f>
        <v>102620474.59</v>
      </c>
      <c r="V14" s="33">
        <f>股权价值增加表!V10</f>
        <v>73499285.280000001</v>
      </c>
      <c r="W14" s="33">
        <f>股权价值增加表!W10</f>
        <v>49133728.539999999</v>
      </c>
      <c r="X14" s="33">
        <f>股权价值增加表!X10</f>
        <v>23641232.190000001</v>
      </c>
      <c r="Y14" s="33">
        <f>股权价值增加表!Y10</f>
        <v>82408828.530000001</v>
      </c>
      <c r="Z14" s="33">
        <f>股权价值增加表!Z10</f>
        <v>55783278.270000003</v>
      </c>
      <c r="AA14" s="33">
        <f>股权价值增加表!AA10</f>
        <v>34971674.07</v>
      </c>
      <c r="AB14" s="33">
        <f>股权价值增加表!AB10</f>
        <v>15883026.970000001</v>
      </c>
      <c r="AC14" s="33">
        <f>股权价值增加表!AC10</f>
        <v>67153285.5</v>
      </c>
      <c r="AD14" s="33">
        <f>股权价值增加表!AD10</f>
        <v>47665010.130000003</v>
      </c>
      <c r="AE14" s="33">
        <f>股权价值增加表!AE10</f>
        <v>28603162.870000001</v>
      </c>
      <c r="AF14" s="33">
        <f>股权价值增加表!AF10</f>
        <v>10264823.18</v>
      </c>
      <c r="AG14" s="33">
        <f>股权价值增加表!AG10</f>
        <v>66102719.810000002</v>
      </c>
      <c r="AH14" s="33">
        <f>股权价值增加表!AH10</f>
        <v>46381059.090000004</v>
      </c>
      <c r="AI14" s="33">
        <f>股权价值增加表!AI10</f>
        <v>30587505.18</v>
      </c>
      <c r="AJ14" s="33">
        <f>股权价值增加表!AJ10</f>
        <v>13448068.67</v>
      </c>
      <c r="AK14" s="33">
        <f>股权价值增加表!AK10</f>
        <v>44445569.060000002</v>
      </c>
      <c r="AL14" s="33">
        <f>股权价值增加表!AL10</f>
        <v>25751927.52</v>
      </c>
      <c r="AM14" s="33">
        <f>股权价值增加表!AM10</f>
        <v>14667022.720000001</v>
      </c>
      <c r="AN14" s="33">
        <f>股权价值增加表!AN10</f>
        <v>7138177.9000000004</v>
      </c>
      <c r="AO14" s="33">
        <f>股权价值增加表!AO10</f>
        <v>44352647.75</v>
      </c>
      <c r="AP14" s="33">
        <f>股权价值增加表!AP10</f>
        <v>32243544.09</v>
      </c>
      <c r="AQ14" s="33">
        <f>股权价值增加表!AQ10</f>
        <v>28827438.100000001</v>
      </c>
      <c r="AR14" s="33">
        <f>股权价值增加表!AR10</f>
        <v>20909040.25</v>
      </c>
      <c r="AS14" s="33">
        <f>股权价值增加表!AS10</f>
        <v>0</v>
      </c>
      <c r="AT14" s="33">
        <f>股权价值增加表!AT10</f>
        <v>0</v>
      </c>
      <c r="AU14" s="33">
        <f>股权价值增加表!AU10</f>
        <v>0</v>
      </c>
      <c r="AV14" s="33">
        <f>股权价值增加表!AV10</f>
        <v>0</v>
      </c>
      <c r="AW14" s="33">
        <f>股权价值增加表!AW10</f>
        <v>0</v>
      </c>
      <c r="AX14" s="33">
        <f>股权价值增加表!AX10</f>
        <v>0</v>
      </c>
      <c r="AY14" s="33">
        <f>股权价值增加表!AY10</f>
        <v>0</v>
      </c>
      <c r="AZ14" s="33">
        <f>股权价值增加表!AZ10</f>
        <v>0</v>
      </c>
      <c r="BA14" s="33">
        <f>股权价值增加表!BA10</f>
        <v>0</v>
      </c>
      <c r="BB14" s="33">
        <f>股权价值增加表!BB10</f>
        <v>0</v>
      </c>
      <c r="BC14" s="33">
        <f>股权价值增加表!BC10</f>
        <v>0</v>
      </c>
      <c r="BD14" s="33">
        <f>股权价值增加表!BD10</f>
        <v>0</v>
      </c>
      <c r="BE14" s="33">
        <f>股权价值增加表!BE10</f>
        <v>0</v>
      </c>
      <c r="BF14" s="33">
        <f>股权价值增加表!BF10</f>
        <v>0</v>
      </c>
      <c r="BG14" s="33">
        <f>股权价值增加表!BG10</f>
        <v>0</v>
      </c>
      <c r="BH14" s="33">
        <f>股权价值增加表!BH10</f>
        <v>0</v>
      </c>
      <c r="BI14" s="33">
        <f>股权价值增加表!BI10</f>
        <v>0</v>
      </c>
      <c r="BJ14" s="33">
        <f>股权价值增加表!BJ10</f>
        <v>0</v>
      </c>
      <c r="BK14" s="33">
        <f>股权价值增加表!BK10</f>
        <v>0</v>
      </c>
      <c r="BL14" s="33">
        <f>股权价值增加表!BL10</f>
        <v>0</v>
      </c>
      <c r="BM14" s="33">
        <f>股权价值增加表!BM10</f>
        <v>0</v>
      </c>
      <c r="BN14" s="33">
        <f>股权价值增加表!BN10</f>
        <v>0</v>
      </c>
      <c r="BO14" s="33">
        <f>股权价值增加表!BO10</f>
        <v>0</v>
      </c>
      <c r="BP14" s="33">
        <f>股权价值增加表!BP10</f>
        <v>0</v>
      </c>
      <c r="BQ14" s="33">
        <f>股权价值增加表!BQ10</f>
        <v>0</v>
      </c>
      <c r="BR14" s="33">
        <f>股权价值增加表!BR10</f>
        <v>0</v>
      </c>
      <c r="BS14" s="33">
        <f>股权价值增加表!BS10</f>
        <v>0</v>
      </c>
      <c r="BT14" s="33">
        <f>股权价值增加表!BT10</f>
        <v>0</v>
      </c>
      <c r="BU14" s="33">
        <f>股权价值增加表!BU10</f>
        <v>0</v>
      </c>
      <c r="BV14" s="33">
        <f>股权价值增加表!BV10</f>
        <v>0</v>
      </c>
      <c r="BW14" s="33">
        <f>股权价值增加表!BW10</f>
        <v>0</v>
      </c>
      <c r="BX14" s="33">
        <f>股权价值增加表!BX10</f>
        <v>0</v>
      </c>
      <c r="BY14" s="33">
        <f>股权价值增加表!BY10</f>
        <v>0</v>
      </c>
      <c r="BZ14" s="33">
        <f>股权价值增加表!BZ10</f>
        <v>0</v>
      </c>
      <c r="CA14" s="33">
        <f>股权价值增加表!CA10</f>
        <v>0</v>
      </c>
      <c r="CB14" s="33">
        <f>股权价值增加表!CB10</f>
        <v>0</v>
      </c>
      <c r="CC14" s="33">
        <f>股权价值增加表!CC10</f>
        <v>0</v>
      </c>
      <c r="CD14" s="33">
        <f>股权价值增加表!CD10</f>
        <v>0</v>
      </c>
      <c r="CE14" s="33">
        <f>股权价值增加表!CE10</f>
        <v>0</v>
      </c>
      <c r="CF14" s="33">
        <f>股权价值增加表!CF10</f>
        <v>0</v>
      </c>
      <c r="CG14" s="33">
        <f>股权价值增加表!CG10</f>
        <v>0</v>
      </c>
      <c r="CH14" s="33">
        <f>股权价值增加表!CH10</f>
        <v>0</v>
      </c>
      <c r="CI14" s="33">
        <f>股权价值增加表!CI10</f>
        <v>0</v>
      </c>
      <c r="CJ14" s="33">
        <f>股权价值增加表!CJ10</f>
        <v>0</v>
      </c>
      <c r="CK14" s="33">
        <f>股权价值增加表!CK10</f>
        <v>0</v>
      </c>
    </row>
    <row r="15" spans="1:89" s="66" customFormat="1">
      <c r="A15" s="66" t="s">
        <v>368</v>
      </c>
      <c r="E15" s="66">
        <f>E14/E2</f>
        <v>4.8375010449390111E-2</v>
      </c>
      <c r="F15" s="66">
        <f t="shared" ref="F15:BQ15" si="15">F14/F2</f>
        <v>5.3308213417439222E-2</v>
      </c>
      <c r="G15" s="66">
        <f t="shared" si="15"/>
        <v>4.5012995146947461E-2</v>
      </c>
      <c r="H15" s="66">
        <f t="shared" si="15"/>
        <v>4.6242658504947132E-2</v>
      </c>
      <c r="I15" s="66">
        <f t="shared" si="15"/>
        <v>3.4893126881053352E-2</v>
      </c>
      <c r="J15" s="66">
        <f t="shared" si="15"/>
        <v>4.409653260390968E-2</v>
      </c>
      <c r="K15" s="66">
        <f t="shared" si="15"/>
        <v>4.2060545581065277E-2</v>
      </c>
      <c r="L15" s="66">
        <f t="shared" si="15"/>
        <v>4.1620033956191745E-2</v>
      </c>
      <c r="M15" s="66">
        <f t="shared" si="15"/>
        <v>4.5349978443361576E-2</v>
      </c>
      <c r="N15" s="66">
        <f t="shared" si="15"/>
        <v>4.8791801484583452E-2</v>
      </c>
      <c r="O15" s="66">
        <f t="shared" si="15"/>
        <v>4.559459510277495E-2</v>
      </c>
      <c r="P15" s="66">
        <f t="shared" si="15"/>
        <v>3.5318884189713295E-2</v>
      </c>
      <c r="Q15" s="66">
        <f t="shared" si="15"/>
        <v>4.0477261251256107E-2</v>
      </c>
      <c r="R15" s="66">
        <f t="shared" si="15"/>
        <v>5.0282034640328106E-2</v>
      </c>
      <c r="S15" s="66">
        <f t="shared" si="15"/>
        <v>4.8706572219894877E-2</v>
      </c>
      <c r="T15" s="66">
        <f t="shared" si="15"/>
        <v>3.3607210110690997E-2</v>
      </c>
      <c r="U15" s="66">
        <f t="shared" si="15"/>
        <v>5.5056991672299903E-2</v>
      </c>
      <c r="V15" s="66">
        <f t="shared" si="15"/>
        <v>5.8544944833453717E-2</v>
      </c>
      <c r="W15" s="66">
        <f t="shared" si="15"/>
        <v>5.9869307998395613E-2</v>
      </c>
      <c r="X15" s="66">
        <f t="shared" si="15"/>
        <v>5.3836725523224098E-2</v>
      </c>
      <c r="Y15" s="66">
        <f t="shared" si="15"/>
        <v>4.6376028210719934E-2</v>
      </c>
      <c r="Z15" s="66">
        <f t="shared" si="15"/>
        <v>4.6780665964459671E-2</v>
      </c>
      <c r="AA15" s="66">
        <f t="shared" si="15"/>
        <v>4.6107689304857188E-2</v>
      </c>
      <c r="AB15" s="66">
        <f t="shared" si="15"/>
        <v>3.9284044763463533E-2</v>
      </c>
      <c r="AC15" s="66">
        <f t="shared" si="15"/>
        <v>4.6203633350833037E-2</v>
      </c>
      <c r="AD15" s="66">
        <f t="shared" si="15"/>
        <v>5.0450220798690111E-2</v>
      </c>
      <c r="AE15" s="66">
        <f t="shared" si="15"/>
        <v>4.7076571518392882E-2</v>
      </c>
      <c r="AF15" s="66">
        <f t="shared" si="15"/>
        <v>3.0835579772077744E-2</v>
      </c>
      <c r="AG15" s="66">
        <f t="shared" si="15"/>
        <v>6.1934443266418476E-2</v>
      </c>
      <c r="AH15" s="66">
        <f t="shared" si="15"/>
        <v>6.644172183821058E-2</v>
      </c>
      <c r="AI15" s="66">
        <f t="shared" si="15"/>
        <v>6.7488860304339635E-2</v>
      </c>
      <c r="AJ15" s="66">
        <f t="shared" si="15"/>
        <v>5.3118576640257972E-2</v>
      </c>
      <c r="AK15" s="66">
        <f t="shared" si="15"/>
        <v>5.6133352791092196E-2</v>
      </c>
      <c r="AL15" s="66">
        <f t="shared" si="15"/>
        <v>4.9290354787862416E-2</v>
      </c>
      <c r="AM15" s="66">
        <f t="shared" si="15"/>
        <v>4.5386953033045442E-2</v>
      </c>
      <c r="AN15" s="66">
        <f t="shared" si="15"/>
        <v>3.9274959060716069E-2</v>
      </c>
      <c r="AO15" s="66">
        <f t="shared" si="15"/>
        <v>6.515130647815752E-2</v>
      </c>
      <c r="AP15" s="66">
        <f t="shared" si="15"/>
        <v>6.8845795225306428E-2</v>
      </c>
      <c r="AQ15" s="66">
        <f t="shared" si="15"/>
        <v>4.8840446396258792E-2</v>
      </c>
      <c r="AR15" s="66">
        <f t="shared" si="15"/>
        <v>4.9892407791655997E-2</v>
      </c>
      <c r="AS15" s="66" t="e">
        <f t="shared" si="15"/>
        <v>#DIV/0!</v>
      </c>
      <c r="AT15" s="66" t="e">
        <f t="shared" si="15"/>
        <v>#DIV/0!</v>
      </c>
      <c r="AU15" s="66" t="e">
        <f t="shared" si="15"/>
        <v>#DIV/0!</v>
      </c>
      <c r="AV15" s="66" t="e">
        <f t="shared" si="15"/>
        <v>#DIV/0!</v>
      </c>
      <c r="AW15" s="66" t="e">
        <f t="shared" si="15"/>
        <v>#DIV/0!</v>
      </c>
      <c r="AX15" s="66" t="e">
        <f t="shared" si="15"/>
        <v>#DIV/0!</v>
      </c>
      <c r="AY15" s="66" t="e">
        <f t="shared" si="15"/>
        <v>#DIV/0!</v>
      </c>
      <c r="AZ15" s="66" t="e">
        <f t="shared" si="15"/>
        <v>#DIV/0!</v>
      </c>
      <c r="BA15" s="66" t="e">
        <f t="shared" si="15"/>
        <v>#DIV/0!</v>
      </c>
      <c r="BB15" s="66" t="e">
        <f t="shared" si="15"/>
        <v>#DIV/0!</v>
      </c>
      <c r="BC15" s="66" t="e">
        <f t="shared" si="15"/>
        <v>#DIV/0!</v>
      </c>
      <c r="BD15" s="66" t="e">
        <f t="shared" si="15"/>
        <v>#DIV/0!</v>
      </c>
      <c r="BE15" s="66" t="e">
        <f t="shared" si="15"/>
        <v>#DIV/0!</v>
      </c>
      <c r="BF15" s="66" t="e">
        <f t="shared" si="15"/>
        <v>#DIV/0!</v>
      </c>
      <c r="BG15" s="66" t="e">
        <f t="shared" si="15"/>
        <v>#DIV/0!</v>
      </c>
      <c r="BH15" s="66" t="e">
        <f t="shared" si="15"/>
        <v>#DIV/0!</v>
      </c>
      <c r="BI15" s="66" t="e">
        <f t="shared" si="15"/>
        <v>#DIV/0!</v>
      </c>
      <c r="BJ15" s="66" t="e">
        <f t="shared" si="15"/>
        <v>#DIV/0!</v>
      </c>
      <c r="BK15" s="66" t="e">
        <f t="shared" si="15"/>
        <v>#DIV/0!</v>
      </c>
      <c r="BL15" s="66" t="e">
        <f t="shared" si="15"/>
        <v>#DIV/0!</v>
      </c>
      <c r="BM15" s="66" t="e">
        <f t="shared" si="15"/>
        <v>#DIV/0!</v>
      </c>
      <c r="BN15" s="66" t="e">
        <f t="shared" si="15"/>
        <v>#DIV/0!</v>
      </c>
      <c r="BO15" s="66" t="e">
        <f t="shared" si="15"/>
        <v>#DIV/0!</v>
      </c>
      <c r="BP15" s="66" t="e">
        <f t="shared" si="15"/>
        <v>#DIV/0!</v>
      </c>
      <c r="BQ15" s="66" t="e">
        <f t="shared" si="15"/>
        <v>#DIV/0!</v>
      </c>
      <c r="BR15" s="66" t="e">
        <f t="shared" ref="BR15:CK15" si="16">BR14/BR2</f>
        <v>#DIV/0!</v>
      </c>
      <c r="BS15" s="66" t="e">
        <f t="shared" si="16"/>
        <v>#DIV/0!</v>
      </c>
      <c r="BT15" s="66" t="e">
        <f t="shared" si="16"/>
        <v>#DIV/0!</v>
      </c>
      <c r="BU15" s="66" t="e">
        <f t="shared" si="16"/>
        <v>#DIV/0!</v>
      </c>
      <c r="BV15" s="66" t="e">
        <f t="shared" si="16"/>
        <v>#DIV/0!</v>
      </c>
      <c r="BW15" s="66" t="e">
        <f t="shared" si="16"/>
        <v>#DIV/0!</v>
      </c>
      <c r="BX15" s="66" t="e">
        <f t="shared" si="16"/>
        <v>#DIV/0!</v>
      </c>
      <c r="BY15" s="66" t="e">
        <f t="shared" si="16"/>
        <v>#DIV/0!</v>
      </c>
      <c r="BZ15" s="66" t="e">
        <f t="shared" si="16"/>
        <v>#DIV/0!</v>
      </c>
      <c r="CA15" s="66" t="e">
        <f t="shared" si="16"/>
        <v>#DIV/0!</v>
      </c>
      <c r="CB15" s="66" t="e">
        <f t="shared" si="16"/>
        <v>#DIV/0!</v>
      </c>
      <c r="CC15" s="66" t="e">
        <f t="shared" si="16"/>
        <v>#DIV/0!</v>
      </c>
      <c r="CD15" s="66" t="e">
        <f t="shared" si="16"/>
        <v>#DIV/0!</v>
      </c>
      <c r="CE15" s="66" t="e">
        <f t="shared" si="16"/>
        <v>#DIV/0!</v>
      </c>
      <c r="CF15" s="66" t="e">
        <f t="shared" si="16"/>
        <v>#DIV/0!</v>
      </c>
      <c r="CG15" s="66" t="e">
        <f t="shared" si="16"/>
        <v>#DIV/0!</v>
      </c>
      <c r="CH15" s="66" t="e">
        <f t="shared" si="16"/>
        <v>#DIV/0!</v>
      </c>
      <c r="CI15" s="66" t="e">
        <f t="shared" si="16"/>
        <v>#DIV/0!</v>
      </c>
      <c r="CJ15" s="66" t="e">
        <f t="shared" si="16"/>
        <v>#DIV/0!</v>
      </c>
      <c r="CK15" s="66" t="e">
        <f t="shared" si="16"/>
        <v>#DIV/0!</v>
      </c>
    </row>
    <row r="16" spans="1:89" s="33" customFormat="1">
      <c r="A16" s="34" t="s">
        <v>369</v>
      </c>
      <c r="E16" s="33">
        <f>股权价值增加表!E11</f>
        <v>5835714.0899999999</v>
      </c>
      <c r="F16" s="33">
        <f>股权价值增加表!F11</f>
        <v>-5703370.04</v>
      </c>
      <c r="G16" s="33">
        <f>股权价值增加表!G11</f>
        <v>-5529056.1399999997</v>
      </c>
      <c r="H16" s="33">
        <f>股权价值增加表!H11</f>
        <v>-7656364.29</v>
      </c>
      <c r="I16" s="33">
        <f>股权价值增加表!I11</f>
        <v>11932355.890000001</v>
      </c>
      <c r="J16" s="33">
        <f>股权价值增加表!J11</f>
        <v>1381617.39</v>
      </c>
      <c r="K16" s="33">
        <f>股权价值增加表!K11</f>
        <v>-2437111.77</v>
      </c>
      <c r="L16" s="33">
        <f>股权价值增加表!L11</f>
        <v>-2296734.14</v>
      </c>
      <c r="M16" s="33">
        <f>股权价值增加表!M11</f>
        <v>13811275.76</v>
      </c>
      <c r="N16" s="33">
        <f>股权价值增加表!N11</f>
        <v>2107297.9900000002</v>
      </c>
      <c r="O16" s="33">
        <f>股权价值增加表!O11</f>
        <v>1404650.24</v>
      </c>
      <c r="P16" s="33">
        <f>股权价值增加表!P11</f>
        <v>1291828.02</v>
      </c>
      <c r="Q16" s="33">
        <f>股权价值增加表!Q11</f>
        <v>5887024.29</v>
      </c>
      <c r="R16" s="33">
        <f>股权价值增加表!R11</f>
        <v>-713730.54</v>
      </c>
      <c r="S16" s="33">
        <f>股权价值增加表!S11</f>
        <v>-251729.76</v>
      </c>
      <c r="T16" s="33">
        <f>股权价值增加表!T11</f>
        <v>100824.5</v>
      </c>
      <c r="U16" s="33">
        <f>股权价值增加表!U11</f>
        <v>6237787.0700000003</v>
      </c>
      <c r="V16" s="33">
        <f>股权价值增加表!V11</f>
        <v>2576298.34</v>
      </c>
      <c r="W16" s="33">
        <f>股权价值增加表!W11</f>
        <v>-388306.36</v>
      </c>
      <c r="X16" s="33">
        <f>股权价值增加表!X11</f>
        <v>768478.58</v>
      </c>
      <c r="Y16" s="33">
        <f>股权价值增加表!Y11</f>
        <v>2800129.39</v>
      </c>
      <c r="Z16" s="33">
        <f>股权价值增加表!Z11</f>
        <v>1218248.05</v>
      </c>
      <c r="AA16" s="33">
        <f>股权价值增加表!AA11</f>
        <v>375030.61</v>
      </c>
      <c r="AB16" s="33">
        <f>股权价值增加表!AB11</f>
        <v>110725.93</v>
      </c>
      <c r="AC16" s="33">
        <f>股权价值增加表!AC11</f>
        <v>4115869.72</v>
      </c>
      <c r="AD16" s="33">
        <f>股权价值增加表!AD11</f>
        <v>1599794.07</v>
      </c>
      <c r="AE16" s="33">
        <f>股权价值增加表!AE11</f>
        <v>984570.84</v>
      </c>
      <c r="AF16" s="33">
        <f>股权价值增加表!AF11</f>
        <v>759541.2</v>
      </c>
      <c r="AG16" s="33">
        <f>股权价值增加表!AG11</f>
        <v>812983.95</v>
      </c>
      <c r="AH16" s="33">
        <f>股权价值增加表!AH11</f>
        <v>1794139.82</v>
      </c>
      <c r="AI16" s="33">
        <f>股权价值增加表!AI11</f>
        <v>362927.71</v>
      </c>
      <c r="AJ16" s="33">
        <f>股权价值增加表!AJ11</f>
        <v>255903.05</v>
      </c>
      <c r="AK16" s="33">
        <f>股权价值增加表!AK11</f>
        <v>-1478219.91</v>
      </c>
      <c r="AL16" s="33">
        <f>股权价值增加表!AL11</f>
        <v>-1280742.53</v>
      </c>
      <c r="AM16" s="33">
        <f>股权价值增加表!AM11</f>
        <v>-1082319.9099999999</v>
      </c>
      <c r="AN16" s="33">
        <f>股权价值增加表!AN11</f>
        <v>-1299714.25</v>
      </c>
      <c r="AO16" s="33">
        <f>股权价值增加表!AO11</f>
        <v>845517.75</v>
      </c>
      <c r="AP16" s="33">
        <f>股权价值增加表!AP11</f>
        <v>25025.17</v>
      </c>
      <c r="AQ16" s="33">
        <f>股权价值增加表!AQ11</f>
        <v>263948.44</v>
      </c>
      <c r="AR16" s="33">
        <f>股权价值增加表!AR11</f>
        <v>1266584.26</v>
      </c>
      <c r="AS16" s="33">
        <f>股权价值增加表!AS11</f>
        <v>0</v>
      </c>
      <c r="AT16" s="33">
        <f>股权价值增加表!AT11</f>
        <v>0</v>
      </c>
      <c r="AU16" s="33">
        <f>股权价值增加表!AU11</f>
        <v>0</v>
      </c>
      <c r="AV16" s="33">
        <f>股权价值增加表!AV11</f>
        <v>0</v>
      </c>
      <c r="AW16" s="33">
        <f>股权价值增加表!AW11</f>
        <v>0</v>
      </c>
      <c r="AX16" s="33">
        <f>股权价值增加表!AX11</f>
        <v>0</v>
      </c>
      <c r="AY16" s="33">
        <f>股权价值增加表!AY11</f>
        <v>0</v>
      </c>
      <c r="AZ16" s="33">
        <f>股权价值增加表!AZ11</f>
        <v>0</v>
      </c>
      <c r="BA16" s="33">
        <f>股权价值增加表!BA11</f>
        <v>0</v>
      </c>
      <c r="BB16" s="33">
        <f>股权价值增加表!BB11</f>
        <v>0</v>
      </c>
      <c r="BC16" s="33">
        <f>股权价值增加表!BC11</f>
        <v>0</v>
      </c>
      <c r="BD16" s="33">
        <f>股权价值增加表!BD11</f>
        <v>0</v>
      </c>
      <c r="BE16" s="33">
        <f>股权价值增加表!BE11</f>
        <v>0</v>
      </c>
      <c r="BF16" s="33">
        <f>股权价值增加表!BF11</f>
        <v>0</v>
      </c>
      <c r="BG16" s="33">
        <f>股权价值增加表!BG11</f>
        <v>0</v>
      </c>
      <c r="BH16" s="33">
        <f>股权价值增加表!BH11</f>
        <v>0</v>
      </c>
      <c r="BI16" s="33">
        <f>股权价值增加表!BI11</f>
        <v>0</v>
      </c>
      <c r="BJ16" s="33">
        <f>股权价值增加表!BJ11</f>
        <v>0</v>
      </c>
      <c r="BK16" s="33">
        <f>股权价值增加表!BK11</f>
        <v>0</v>
      </c>
      <c r="BL16" s="33">
        <f>股权价值增加表!BL11</f>
        <v>0</v>
      </c>
      <c r="BM16" s="33">
        <f>股权价值增加表!BM11</f>
        <v>0</v>
      </c>
      <c r="BN16" s="33">
        <f>股权价值增加表!BN11</f>
        <v>0</v>
      </c>
      <c r="BO16" s="33">
        <f>股权价值增加表!BO11</f>
        <v>0</v>
      </c>
      <c r="BP16" s="33">
        <f>股权价值增加表!BP11</f>
        <v>0</v>
      </c>
      <c r="BQ16" s="33">
        <f>股权价值增加表!BQ11</f>
        <v>0</v>
      </c>
      <c r="BR16" s="33">
        <f>股权价值增加表!BR11</f>
        <v>0</v>
      </c>
      <c r="BS16" s="33">
        <f>股权价值增加表!BS11</f>
        <v>0</v>
      </c>
      <c r="BT16" s="33">
        <f>股权价值增加表!BT11</f>
        <v>0</v>
      </c>
      <c r="BU16" s="33">
        <f>股权价值增加表!BU11</f>
        <v>0</v>
      </c>
      <c r="BV16" s="33">
        <f>股权价值增加表!BV11</f>
        <v>0</v>
      </c>
      <c r="BW16" s="33">
        <f>股权价值增加表!BW11</f>
        <v>0</v>
      </c>
      <c r="BX16" s="33">
        <f>股权价值增加表!BX11</f>
        <v>0</v>
      </c>
      <c r="BY16" s="33">
        <f>股权价值增加表!BY11</f>
        <v>0</v>
      </c>
      <c r="BZ16" s="33">
        <f>股权价值增加表!BZ11</f>
        <v>0</v>
      </c>
      <c r="CA16" s="33">
        <f>股权价值增加表!CA11</f>
        <v>0</v>
      </c>
      <c r="CB16" s="33">
        <f>股权价值增加表!CB11</f>
        <v>0</v>
      </c>
      <c r="CC16" s="33">
        <f>股权价值增加表!CC11</f>
        <v>0</v>
      </c>
      <c r="CD16" s="33">
        <f>股权价值增加表!CD11</f>
        <v>0</v>
      </c>
      <c r="CE16" s="33">
        <f>股权价值增加表!CE11</f>
        <v>0</v>
      </c>
      <c r="CF16" s="33">
        <f>股权价值增加表!CF11</f>
        <v>0</v>
      </c>
      <c r="CG16" s="33">
        <f>股权价值增加表!CG11</f>
        <v>0</v>
      </c>
      <c r="CH16" s="33">
        <f>股权价值增加表!CH11</f>
        <v>0</v>
      </c>
      <c r="CI16" s="33">
        <f>股权价值增加表!CI11</f>
        <v>0</v>
      </c>
      <c r="CJ16" s="33">
        <f>股权价值增加表!CJ11</f>
        <v>0</v>
      </c>
    </row>
    <row r="17" spans="1:89" s="66" customFormat="1">
      <c r="A17" s="66" t="s">
        <v>370</v>
      </c>
      <c r="E17" s="66">
        <f>E16/E2</f>
        <v>2.2305998341100781E-3</v>
      </c>
      <c r="F17" s="66">
        <f t="shared" ref="F17:BQ17" si="17">F16/F2</f>
        <v>-3.7070043783840505E-3</v>
      </c>
      <c r="G17" s="66">
        <f t="shared" si="17"/>
        <v>-5.7517046532994786E-3</v>
      </c>
      <c r="H17" s="66">
        <f t="shared" si="17"/>
        <v>-1.7748856593674155E-2</v>
      </c>
      <c r="I17" s="66">
        <f t="shared" si="17"/>
        <v>5.1620014233437136E-3</v>
      </c>
      <c r="J17" s="66">
        <f t="shared" si="17"/>
        <v>1.0251284817399361E-3</v>
      </c>
      <c r="K17" s="66">
        <f t="shared" si="17"/>
        <v>-2.7658328671395461E-3</v>
      </c>
      <c r="L17" s="66">
        <f t="shared" si="17"/>
        <v>-5.3272494359415078E-3</v>
      </c>
      <c r="M17" s="66">
        <f t="shared" si="17"/>
        <v>6.6000289915148615E-3</v>
      </c>
      <c r="N17" s="66">
        <f t="shared" si="17"/>
        <v>1.6230596696602659E-3</v>
      </c>
      <c r="O17" s="66">
        <f t="shared" si="17"/>
        <v>1.6283536347523624E-3</v>
      </c>
      <c r="P17" s="66">
        <f t="shared" si="17"/>
        <v>2.7933056770841672E-3</v>
      </c>
      <c r="Q17" s="66">
        <f t="shared" si="17"/>
        <v>2.9886908337139798E-3</v>
      </c>
      <c r="R17" s="66">
        <f t="shared" si="17"/>
        <v>-5.492605785365522E-4</v>
      </c>
      <c r="S17" s="66">
        <f t="shared" si="17"/>
        <v>-2.9476928690072682E-4</v>
      </c>
      <c r="T17" s="66">
        <f t="shared" si="17"/>
        <v>2.2293854678218425E-4</v>
      </c>
      <c r="U17" s="66">
        <f t="shared" si="17"/>
        <v>3.3466400553953043E-3</v>
      </c>
      <c r="V17" s="66">
        <f t="shared" si="17"/>
        <v>2.0521185153736556E-3</v>
      </c>
      <c r="W17" s="66">
        <f t="shared" si="17"/>
        <v>-4.7315019143417703E-4</v>
      </c>
      <c r="X17" s="66">
        <f t="shared" si="17"/>
        <v>1.7500090540727862E-3</v>
      </c>
      <c r="Y17" s="66">
        <f t="shared" si="17"/>
        <v>1.5757884428248166E-3</v>
      </c>
      <c r="Z17" s="66">
        <f t="shared" si="17"/>
        <v>1.0216404782282861E-3</v>
      </c>
      <c r="AA17" s="66">
        <f t="shared" si="17"/>
        <v>4.9445144693615369E-4</v>
      </c>
      <c r="AB17" s="66">
        <f t="shared" si="17"/>
        <v>2.7386230589496565E-4</v>
      </c>
      <c r="AC17" s="66">
        <f t="shared" si="17"/>
        <v>2.8318515474968957E-3</v>
      </c>
      <c r="AD17" s="66">
        <f t="shared" si="17"/>
        <v>1.6932748748780158E-3</v>
      </c>
      <c r="AE17" s="66">
        <f t="shared" si="17"/>
        <v>1.6204578414926935E-3</v>
      </c>
      <c r="AF17" s="66">
        <f t="shared" si="17"/>
        <v>2.2816655340359847E-3</v>
      </c>
      <c r="AG17" s="66">
        <f t="shared" si="17"/>
        <v>7.6171916182133552E-4</v>
      </c>
      <c r="AH17" s="66">
        <f t="shared" si="17"/>
        <v>2.5701383538479518E-3</v>
      </c>
      <c r="AI17" s="66">
        <f t="shared" si="17"/>
        <v>8.0077068648211629E-4</v>
      </c>
      <c r="AJ17" s="66">
        <f t="shared" si="17"/>
        <v>1.0107924124617641E-3</v>
      </c>
      <c r="AK17" s="66">
        <f t="shared" si="17"/>
        <v>-1.8669451525939477E-3</v>
      </c>
      <c r="AL17" s="66">
        <f t="shared" si="17"/>
        <v>-2.4513991679487503E-3</v>
      </c>
      <c r="AM17" s="66">
        <f t="shared" si="17"/>
        <v>-3.3492279830531256E-3</v>
      </c>
      <c r="AN17" s="66">
        <f t="shared" si="17"/>
        <v>-7.1511560337238558E-3</v>
      </c>
      <c r="AO17" s="66">
        <f t="shared" si="17"/>
        <v>1.2420134728703355E-3</v>
      </c>
      <c r="AP17" s="66">
        <f t="shared" si="17"/>
        <v>5.343326169385995E-5</v>
      </c>
      <c r="AQ17" s="66">
        <f t="shared" si="17"/>
        <v>4.4719061022616954E-4</v>
      </c>
      <c r="AR17" s="66">
        <f t="shared" si="17"/>
        <v>3.0222782895266008E-3</v>
      </c>
      <c r="AS17" s="66" t="e">
        <f t="shared" si="17"/>
        <v>#DIV/0!</v>
      </c>
      <c r="AT17" s="66" t="e">
        <f t="shared" si="17"/>
        <v>#DIV/0!</v>
      </c>
      <c r="AU17" s="66" t="e">
        <f t="shared" si="17"/>
        <v>#DIV/0!</v>
      </c>
      <c r="AV17" s="66" t="e">
        <f t="shared" si="17"/>
        <v>#DIV/0!</v>
      </c>
      <c r="AW17" s="66" t="e">
        <f t="shared" si="17"/>
        <v>#DIV/0!</v>
      </c>
      <c r="AX17" s="66" t="e">
        <f t="shared" si="17"/>
        <v>#DIV/0!</v>
      </c>
      <c r="AY17" s="66" t="e">
        <f t="shared" si="17"/>
        <v>#DIV/0!</v>
      </c>
      <c r="AZ17" s="66" t="e">
        <f t="shared" si="17"/>
        <v>#DIV/0!</v>
      </c>
      <c r="BA17" s="66" t="e">
        <f t="shared" si="17"/>
        <v>#DIV/0!</v>
      </c>
      <c r="BB17" s="66" t="e">
        <f t="shared" si="17"/>
        <v>#DIV/0!</v>
      </c>
      <c r="BC17" s="66" t="e">
        <f t="shared" si="17"/>
        <v>#DIV/0!</v>
      </c>
      <c r="BD17" s="66" t="e">
        <f t="shared" si="17"/>
        <v>#DIV/0!</v>
      </c>
      <c r="BE17" s="66" t="e">
        <f t="shared" si="17"/>
        <v>#DIV/0!</v>
      </c>
      <c r="BF17" s="66" t="e">
        <f t="shared" si="17"/>
        <v>#DIV/0!</v>
      </c>
      <c r="BG17" s="66" t="e">
        <f t="shared" si="17"/>
        <v>#DIV/0!</v>
      </c>
      <c r="BH17" s="66" t="e">
        <f t="shared" si="17"/>
        <v>#DIV/0!</v>
      </c>
      <c r="BI17" s="66" t="e">
        <f t="shared" si="17"/>
        <v>#DIV/0!</v>
      </c>
      <c r="BJ17" s="66" t="e">
        <f t="shared" si="17"/>
        <v>#DIV/0!</v>
      </c>
      <c r="BK17" s="66" t="e">
        <f t="shared" si="17"/>
        <v>#DIV/0!</v>
      </c>
      <c r="BL17" s="66" t="e">
        <f t="shared" si="17"/>
        <v>#DIV/0!</v>
      </c>
      <c r="BM17" s="66" t="e">
        <f t="shared" si="17"/>
        <v>#DIV/0!</v>
      </c>
      <c r="BN17" s="66" t="e">
        <f t="shared" si="17"/>
        <v>#DIV/0!</v>
      </c>
      <c r="BO17" s="66" t="e">
        <f t="shared" si="17"/>
        <v>#DIV/0!</v>
      </c>
      <c r="BP17" s="66" t="e">
        <f t="shared" si="17"/>
        <v>#DIV/0!</v>
      </c>
      <c r="BQ17" s="66" t="e">
        <f t="shared" si="17"/>
        <v>#DIV/0!</v>
      </c>
      <c r="BR17" s="66" t="e">
        <f t="shared" ref="BR17:CK17" si="18">BR16/BR2</f>
        <v>#DIV/0!</v>
      </c>
      <c r="BS17" s="66" t="e">
        <f t="shared" si="18"/>
        <v>#DIV/0!</v>
      </c>
      <c r="BT17" s="66" t="e">
        <f t="shared" si="18"/>
        <v>#DIV/0!</v>
      </c>
      <c r="BU17" s="66" t="e">
        <f t="shared" si="18"/>
        <v>#DIV/0!</v>
      </c>
      <c r="BV17" s="66" t="e">
        <f t="shared" si="18"/>
        <v>#DIV/0!</v>
      </c>
      <c r="BW17" s="66" t="e">
        <f t="shared" si="18"/>
        <v>#DIV/0!</v>
      </c>
      <c r="BX17" s="66" t="e">
        <f t="shared" si="18"/>
        <v>#DIV/0!</v>
      </c>
      <c r="BY17" s="66" t="e">
        <f t="shared" si="18"/>
        <v>#DIV/0!</v>
      </c>
      <c r="BZ17" s="66" t="e">
        <f t="shared" si="18"/>
        <v>#DIV/0!</v>
      </c>
      <c r="CA17" s="66" t="e">
        <f t="shared" si="18"/>
        <v>#DIV/0!</v>
      </c>
      <c r="CB17" s="66" t="e">
        <f t="shared" si="18"/>
        <v>#DIV/0!</v>
      </c>
      <c r="CC17" s="66" t="e">
        <f t="shared" si="18"/>
        <v>#DIV/0!</v>
      </c>
      <c r="CD17" s="66" t="e">
        <f t="shared" si="18"/>
        <v>#DIV/0!</v>
      </c>
      <c r="CE17" s="66" t="e">
        <f t="shared" si="18"/>
        <v>#DIV/0!</v>
      </c>
      <c r="CF17" s="66" t="e">
        <f t="shared" si="18"/>
        <v>#DIV/0!</v>
      </c>
      <c r="CG17" s="66" t="e">
        <f t="shared" si="18"/>
        <v>#DIV/0!</v>
      </c>
      <c r="CH17" s="66" t="e">
        <f t="shared" si="18"/>
        <v>#DIV/0!</v>
      </c>
      <c r="CI17" s="66" t="e">
        <f t="shared" si="18"/>
        <v>#DIV/0!</v>
      </c>
      <c r="CJ17" s="66" t="e">
        <f t="shared" si="18"/>
        <v>#DIV/0!</v>
      </c>
      <c r="CK17" s="66" t="e">
        <f t="shared" si="18"/>
        <v>#DIV/0!</v>
      </c>
    </row>
    <row r="18" spans="1:89" s="33" customFormat="1">
      <c r="A18" s="34" t="s">
        <v>371</v>
      </c>
      <c r="E18" s="33">
        <f>股权价值增加表!E12</f>
        <v>2250326.41</v>
      </c>
      <c r="F18" s="33">
        <f>股权价值增加表!F12</f>
        <v>1204</v>
      </c>
      <c r="G18" s="33">
        <f>股权价值增加表!G12</f>
        <v>868</v>
      </c>
      <c r="H18" s="33">
        <f>股权价值增加表!H12</f>
        <v>644</v>
      </c>
      <c r="I18" s="33">
        <f>股权价值增加表!I12</f>
        <v>2225768.7000000002</v>
      </c>
      <c r="J18" s="33">
        <f>股权价值增加表!J12</f>
        <v>0</v>
      </c>
      <c r="K18" s="33">
        <f>股权价值增加表!K12</f>
        <v>0</v>
      </c>
      <c r="L18" s="33">
        <f>股权价值增加表!L12</f>
        <v>0</v>
      </c>
      <c r="M18" s="33">
        <f>股权价值增加表!M12</f>
        <v>1950708.71</v>
      </c>
      <c r="N18" s="33">
        <f>股权价值增加表!N12</f>
        <v>0</v>
      </c>
      <c r="O18" s="33">
        <f>股权价值增加表!O12</f>
        <v>0</v>
      </c>
      <c r="P18" s="33">
        <f>股权价值增加表!P12</f>
        <v>0</v>
      </c>
      <c r="Q18" s="33">
        <f>股权价值增加表!Q12</f>
        <v>1695383.58</v>
      </c>
      <c r="R18" s="33">
        <f>股权价值增加表!R12</f>
        <v>0</v>
      </c>
      <c r="S18" s="33">
        <f>股权价值增加表!S12</f>
        <v>0</v>
      </c>
      <c r="T18" s="33">
        <f>股权价值增加表!T12</f>
        <v>0</v>
      </c>
      <c r="U18" s="33">
        <f>股权价值增加表!U12</f>
        <v>1706654.01</v>
      </c>
      <c r="V18" s="33">
        <f>股权价值增加表!V12</f>
        <v>0</v>
      </c>
      <c r="W18" s="33">
        <f>股权价值增加表!W12</f>
        <v>0</v>
      </c>
      <c r="X18" s="33">
        <f>股权价值增加表!X12</f>
        <v>0</v>
      </c>
      <c r="Y18" s="33">
        <f>股权价值增加表!Y12</f>
        <v>3173649.89</v>
      </c>
      <c r="Z18" s="33">
        <f>股权价值增加表!Z12</f>
        <v>0</v>
      </c>
      <c r="AA18" s="33">
        <f>股权价值增加表!AA12</f>
        <v>0</v>
      </c>
      <c r="AB18" s="33">
        <f>股权价值增加表!AB12</f>
        <v>0</v>
      </c>
      <c r="AC18" s="33">
        <f>股权价值增加表!AC12</f>
        <v>2824637.15</v>
      </c>
      <c r="AD18" s="33">
        <f>股权价值增加表!AD12</f>
        <v>0</v>
      </c>
      <c r="AE18" s="33">
        <f>股权价值增加表!AE12</f>
        <v>0</v>
      </c>
      <c r="AF18" s="33">
        <f>股权价值增加表!AF12</f>
        <v>0</v>
      </c>
      <c r="AG18" s="33">
        <f>股权价值增加表!AG12</f>
        <v>2402994.35</v>
      </c>
      <c r="AH18" s="33">
        <f>股权价值增加表!AH12</f>
        <v>0</v>
      </c>
      <c r="AI18" s="33">
        <f>股权价值增加表!AI12</f>
        <v>0</v>
      </c>
      <c r="AJ18" s="33">
        <f>股权价值增加表!AJ12</f>
        <v>0</v>
      </c>
      <c r="AK18" s="33">
        <f>股权价值增加表!AK12</f>
        <v>1767938</v>
      </c>
      <c r="AL18" s="33">
        <f>股权价值增加表!AL12</f>
        <v>0</v>
      </c>
      <c r="AM18" s="33">
        <f>股权价值增加表!AM12</f>
        <v>0</v>
      </c>
      <c r="AN18" s="33">
        <f>股权价值增加表!AN12</f>
        <v>0</v>
      </c>
      <c r="AO18" s="33">
        <f>股权价值增加表!AO12</f>
        <v>1536704.75</v>
      </c>
      <c r="AP18" s="33">
        <f>股权价值增加表!AP12</f>
        <v>0</v>
      </c>
      <c r="AQ18" s="33">
        <f>股权价值增加表!AQ12</f>
        <v>0</v>
      </c>
      <c r="AR18" s="33">
        <f>股权价值增加表!AR12</f>
        <v>0</v>
      </c>
      <c r="AS18" s="33">
        <f>股权价值增加表!AS12</f>
        <v>0</v>
      </c>
      <c r="AT18" s="33">
        <f>股权价值增加表!AT12</f>
        <v>0</v>
      </c>
      <c r="AU18" s="33">
        <f>股权价值增加表!AU12</f>
        <v>0</v>
      </c>
      <c r="AV18" s="33">
        <f>股权价值增加表!AV12</f>
        <v>0</v>
      </c>
      <c r="AW18" s="33">
        <f>股权价值增加表!AW12</f>
        <v>0</v>
      </c>
      <c r="AX18" s="33">
        <f>股权价值增加表!AX12</f>
        <v>0</v>
      </c>
      <c r="AY18" s="33">
        <f>股权价值增加表!AY12</f>
        <v>0</v>
      </c>
      <c r="AZ18" s="33">
        <f>股权价值增加表!AZ12</f>
        <v>0</v>
      </c>
      <c r="BA18" s="33">
        <f>股权价值增加表!BA12</f>
        <v>0</v>
      </c>
      <c r="BB18" s="33">
        <f>股权价值增加表!BB12</f>
        <v>0</v>
      </c>
      <c r="BC18" s="33">
        <f>股权价值增加表!BC12</f>
        <v>0</v>
      </c>
      <c r="BD18" s="33">
        <f>股权价值增加表!BD12</f>
        <v>0</v>
      </c>
      <c r="BE18" s="33">
        <f>股权价值增加表!BE12</f>
        <v>0</v>
      </c>
      <c r="BF18" s="33">
        <f>股权价值增加表!BF12</f>
        <v>0</v>
      </c>
      <c r="BG18" s="33">
        <f>股权价值增加表!BG12</f>
        <v>0</v>
      </c>
      <c r="BH18" s="33">
        <f>股权价值增加表!BH12</f>
        <v>0</v>
      </c>
      <c r="BI18" s="33">
        <f>股权价值增加表!BI12</f>
        <v>0</v>
      </c>
      <c r="BJ18" s="33">
        <f>股权价值增加表!BJ12</f>
        <v>0</v>
      </c>
      <c r="BK18" s="33">
        <f>股权价值增加表!BK12</f>
        <v>0</v>
      </c>
      <c r="BL18" s="33">
        <f>股权价值增加表!BL12</f>
        <v>0</v>
      </c>
      <c r="BM18" s="33">
        <f>股权价值增加表!BM12</f>
        <v>0</v>
      </c>
      <c r="BN18" s="33">
        <f>股权价值增加表!BN12</f>
        <v>0</v>
      </c>
      <c r="BO18" s="33">
        <f>股权价值增加表!BO12</f>
        <v>0</v>
      </c>
      <c r="BP18" s="33">
        <f>股权价值增加表!BP12</f>
        <v>0</v>
      </c>
      <c r="BQ18" s="33">
        <f>股权价值增加表!BQ12</f>
        <v>0</v>
      </c>
      <c r="BR18" s="33">
        <f>股权价值增加表!BR12</f>
        <v>0</v>
      </c>
      <c r="BS18" s="33">
        <f>股权价值增加表!BS12</f>
        <v>0</v>
      </c>
      <c r="BT18" s="33">
        <f>股权价值增加表!BT12</f>
        <v>0</v>
      </c>
      <c r="BU18" s="33">
        <f>股权价值增加表!BU12</f>
        <v>0</v>
      </c>
      <c r="BV18" s="33">
        <f>股权价值增加表!BV12</f>
        <v>0</v>
      </c>
      <c r="BW18" s="33">
        <f>股权价值增加表!BW12</f>
        <v>0</v>
      </c>
      <c r="BX18" s="33">
        <f>股权价值增加表!BX12</f>
        <v>0</v>
      </c>
      <c r="BY18" s="33">
        <f>股权价值增加表!BY12</f>
        <v>0</v>
      </c>
      <c r="BZ18" s="33">
        <f>股权价值增加表!BZ12</f>
        <v>0</v>
      </c>
      <c r="CA18" s="33">
        <f>股权价值增加表!CA12</f>
        <v>0</v>
      </c>
      <c r="CB18" s="33">
        <f>股权价值增加表!CB12</f>
        <v>0</v>
      </c>
      <c r="CC18" s="33">
        <f>股权价值增加表!CC12</f>
        <v>0</v>
      </c>
      <c r="CD18" s="33">
        <f>股权价值增加表!CD12</f>
        <v>0</v>
      </c>
      <c r="CE18" s="33">
        <f>股权价值增加表!CE12</f>
        <v>0</v>
      </c>
      <c r="CF18" s="33">
        <f>股权价值增加表!CF12</f>
        <v>0</v>
      </c>
      <c r="CG18" s="33">
        <f>股权价值增加表!CG12</f>
        <v>0</v>
      </c>
      <c r="CH18" s="33">
        <f>股权价值增加表!CH12</f>
        <v>0</v>
      </c>
      <c r="CI18" s="33">
        <f>股权价值增加表!CI12</f>
        <v>0</v>
      </c>
      <c r="CJ18" s="33">
        <f>股权价值增加表!CJ12</f>
        <v>0</v>
      </c>
      <c r="CK18" s="33">
        <f>股权价值增加表!CK12</f>
        <v>0</v>
      </c>
    </row>
    <row r="19" spans="1:89" s="66" customFormat="1">
      <c r="A19" s="66" t="s">
        <v>372</v>
      </c>
      <c r="E19" s="66">
        <f>E18/E2</f>
        <v>8.6014798522103888E-4</v>
      </c>
      <c r="F19" s="66">
        <f t="shared" ref="F19:BQ19" si="19">F18/F2</f>
        <v>7.82560703631707E-7</v>
      </c>
      <c r="G19" s="66">
        <f t="shared" si="19"/>
        <v>9.0295332741257849E-7</v>
      </c>
      <c r="H19" s="66">
        <f t="shared" si="19"/>
        <v>1.4929101089475664E-6</v>
      </c>
      <c r="I19" s="66">
        <f t="shared" si="19"/>
        <v>9.6287952717389886E-4</v>
      </c>
      <c r="J19" s="66">
        <f t="shared" si="19"/>
        <v>0</v>
      </c>
      <c r="K19" s="66">
        <f t="shared" si="19"/>
        <v>0</v>
      </c>
      <c r="L19" s="66">
        <f t="shared" si="19"/>
        <v>0</v>
      </c>
      <c r="M19" s="66">
        <f t="shared" si="19"/>
        <v>9.3219006438841512E-4</v>
      </c>
      <c r="N19" s="66">
        <f t="shared" si="19"/>
        <v>0</v>
      </c>
      <c r="O19" s="66">
        <f t="shared" si="19"/>
        <v>0</v>
      </c>
      <c r="P19" s="66">
        <f t="shared" si="19"/>
        <v>0</v>
      </c>
      <c r="Q19" s="66">
        <f t="shared" si="19"/>
        <v>8.6070264289247426E-4</v>
      </c>
      <c r="R19" s="66">
        <f t="shared" si="19"/>
        <v>0</v>
      </c>
      <c r="S19" s="66">
        <f t="shared" si="19"/>
        <v>0</v>
      </c>
      <c r="T19" s="66">
        <f t="shared" si="19"/>
        <v>0</v>
      </c>
      <c r="U19" s="66">
        <f t="shared" si="19"/>
        <v>9.1563828750041289E-4</v>
      </c>
      <c r="V19" s="66">
        <f t="shared" si="19"/>
        <v>0</v>
      </c>
      <c r="W19" s="66">
        <f t="shared" si="19"/>
        <v>0</v>
      </c>
      <c r="X19" s="66">
        <f t="shared" si="19"/>
        <v>0</v>
      </c>
      <c r="Y19" s="66">
        <f t="shared" si="19"/>
        <v>1.785989188961818E-3</v>
      </c>
      <c r="Z19" s="66">
        <f t="shared" si="19"/>
        <v>0</v>
      </c>
      <c r="AA19" s="66">
        <f t="shared" si="19"/>
        <v>0</v>
      </c>
      <c r="AB19" s="66">
        <f t="shared" si="19"/>
        <v>0</v>
      </c>
      <c r="AC19" s="66">
        <f t="shared" si="19"/>
        <v>1.9434417580021751E-3</v>
      </c>
      <c r="AD19" s="66">
        <f t="shared" si="19"/>
        <v>0</v>
      </c>
      <c r="AE19" s="66">
        <f t="shared" si="19"/>
        <v>0</v>
      </c>
      <c r="AF19" s="66">
        <f t="shared" si="19"/>
        <v>0</v>
      </c>
      <c r="AG19" s="66">
        <f t="shared" si="19"/>
        <v>2.2514673778534066E-3</v>
      </c>
      <c r="AH19" s="66">
        <f t="shared" si="19"/>
        <v>0</v>
      </c>
      <c r="AI19" s="66">
        <f t="shared" si="19"/>
        <v>0</v>
      </c>
      <c r="AJ19" s="66">
        <f t="shared" si="19"/>
        <v>0</v>
      </c>
      <c r="AK19" s="66">
        <f t="shared" si="19"/>
        <v>2.2328499683018335E-3</v>
      </c>
      <c r="AL19" s="66">
        <f t="shared" si="19"/>
        <v>0</v>
      </c>
      <c r="AM19" s="66">
        <f t="shared" si="19"/>
        <v>0</v>
      </c>
      <c r="AN19" s="66">
        <f t="shared" si="19"/>
        <v>0</v>
      </c>
      <c r="AO19" s="66">
        <f t="shared" si="19"/>
        <v>2.2573245840478698E-3</v>
      </c>
      <c r="AP19" s="66">
        <f t="shared" si="19"/>
        <v>0</v>
      </c>
      <c r="AQ19" s="66">
        <f t="shared" si="19"/>
        <v>0</v>
      </c>
      <c r="AR19" s="66">
        <f t="shared" si="19"/>
        <v>0</v>
      </c>
      <c r="AS19" s="66" t="e">
        <f t="shared" si="19"/>
        <v>#DIV/0!</v>
      </c>
      <c r="AT19" s="66" t="e">
        <f t="shared" si="19"/>
        <v>#DIV/0!</v>
      </c>
      <c r="AU19" s="66" t="e">
        <f t="shared" si="19"/>
        <v>#DIV/0!</v>
      </c>
      <c r="AV19" s="66" t="e">
        <f t="shared" si="19"/>
        <v>#DIV/0!</v>
      </c>
      <c r="AW19" s="66" t="e">
        <f t="shared" si="19"/>
        <v>#DIV/0!</v>
      </c>
      <c r="AX19" s="66" t="e">
        <f t="shared" si="19"/>
        <v>#DIV/0!</v>
      </c>
      <c r="AY19" s="66" t="e">
        <f t="shared" si="19"/>
        <v>#DIV/0!</v>
      </c>
      <c r="AZ19" s="66" t="e">
        <f t="shared" si="19"/>
        <v>#DIV/0!</v>
      </c>
      <c r="BA19" s="66" t="e">
        <f t="shared" si="19"/>
        <v>#DIV/0!</v>
      </c>
      <c r="BB19" s="66" t="e">
        <f t="shared" si="19"/>
        <v>#DIV/0!</v>
      </c>
      <c r="BC19" s="66" t="e">
        <f t="shared" si="19"/>
        <v>#DIV/0!</v>
      </c>
      <c r="BD19" s="66" t="e">
        <f t="shared" si="19"/>
        <v>#DIV/0!</v>
      </c>
      <c r="BE19" s="66" t="e">
        <f t="shared" si="19"/>
        <v>#DIV/0!</v>
      </c>
      <c r="BF19" s="66" t="e">
        <f t="shared" si="19"/>
        <v>#DIV/0!</v>
      </c>
      <c r="BG19" s="66" t="e">
        <f t="shared" si="19"/>
        <v>#DIV/0!</v>
      </c>
      <c r="BH19" s="66" t="e">
        <f t="shared" si="19"/>
        <v>#DIV/0!</v>
      </c>
      <c r="BI19" s="66" t="e">
        <f t="shared" si="19"/>
        <v>#DIV/0!</v>
      </c>
      <c r="BJ19" s="66" t="e">
        <f t="shared" si="19"/>
        <v>#DIV/0!</v>
      </c>
      <c r="BK19" s="66" t="e">
        <f t="shared" si="19"/>
        <v>#DIV/0!</v>
      </c>
      <c r="BL19" s="66" t="e">
        <f t="shared" si="19"/>
        <v>#DIV/0!</v>
      </c>
      <c r="BM19" s="66" t="e">
        <f t="shared" si="19"/>
        <v>#DIV/0!</v>
      </c>
      <c r="BN19" s="66" t="e">
        <f t="shared" si="19"/>
        <v>#DIV/0!</v>
      </c>
      <c r="BO19" s="66" t="e">
        <f t="shared" si="19"/>
        <v>#DIV/0!</v>
      </c>
      <c r="BP19" s="66" t="e">
        <f t="shared" si="19"/>
        <v>#DIV/0!</v>
      </c>
      <c r="BQ19" s="66" t="e">
        <f t="shared" si="19"/>
        <v>#DIV/0!</v>
      </c>
      <c r="BR19" s="66" t="e">
        <f t="shared" ref="BR19:CK19" si="20">BR18/BR2</f>
        <v>#DIV/0!</v>
      </c>
      <c r="BS19" s="66" t="e">
        <f t="shared" si="20"/>
        <v>#DIV/0!</v>
      </c>
      <c r="BT19" s="66" t="e">
        <f t="shared" si="20"/>
        <v>#DIV/0!</v>
      </c>
      <c r="BU19" s="66" t="e">
        <f t="shared" si="20"/>
        <v>#DIV/0!</v>
      </c>
      <c r="BV19" s="66" t="e">
        <f t="shared" si="20"/>
        <v>#DIV/0!</v>
      </c>
      <c r="BW19" s="66" t="e">
        <f t="shared" si="20"/>
        <v>#DIV/0!</v>
      </c>
      <c r="BX19" s="66" t="e">
        <f t="shared" si="20"/>
        <v>#DIV/0!</v>
      </c>
      <c r="BY19" s="66" t="e">
        <f t="shared" si="20"/>
        <v>#DIV/0!</v>
      </c>
      <c r="BZ19" s="66" t="e">
        <f t="shared" si="20"/>
        <v>#DIV/0!</v>
      </c>
      <c r="CA19" s="66" t="e">
        <f t="shared" si="20"/>
        <v>#DIV/0!</v>
      </c>
      <c r="CB19" s="66" t="e">
        <f t="shared" si="20"/>
        <v>#DIV/0!</v>
      </c>
      <c r="CC19" s="66" t="e">
        <f t="shared" si="20"/>
        <v>#DIV/0!</v>
      </c>
      <c r="CD19" s="66" t="e">
        <f t="shared" si="20"/>
        <v>#DIV/0!</v>
      </c>
      <c r="CE19" s="66" t="e">
        <f t="shared" si="20"/>
        <v>#DIV/0!</v>
      </c>
      <c r="CF19" s="66" t="e">
        <f t="shared" si="20"/>
        <v>#DIV/0!</v>
      </c>
      <c r="CG19" s="66" t="e">
        <f t="shared" si="20"/>
        <v>#DIV/0!</v>
      </c>
      <c r="CH19" s="66" t="e">
        <f t="shared" si="20"/>
        <v>#DIV/0!</v>
      </c>
      <c r="CI19" s="66" t="e">
        <f t="shared" si="20"/>
        <v>#DIV/0!</v>
      </c>
      <c r="CJ19" s="66" t="e">
        <f t="shared" si="20"/>
        <v>#DIV/0!</v>
      </c>
      <c r="CK19" s="66" t="e">
        <f t="shared" si="20"/>
        <v>#DIV/0!</v>
      </c>
    </row>
    <row r="20" spans="1:89" s="33" customFormat="1">
      <c r="A20" s="34" t="s">
        <v>373</v>
      </c>
      <c r="E20" s="33">
        <f>股权价值增加表!E13-股权价值增加表!E14</f>
        <v>15329378.120000001</v>
      </c>
      <c r="F20" s="33">
        <f>股权价值增加表!F13-股权价值增加表!F14</f>
        <v>10722506.949999999</v>
      </c>
      <c r="G20" s="33">
        <f>股权价值增加表!G13-股权价值增加表!G14</f>
        <v>10006301.34</v>
      </c>
      <c r="H20" s="33">
        <f>股权价值增加表!H13-股权价值增加表!H14</f>
        <v>865966.17</v>
      </c>
      <c r="I20" s="33">
        <f>股权价值增加表!I13-股权价值增加表!I14</f>
        <v>20318127.850000001</v>
      </c>
      <c r="J20" s="33">
        <f>股权价值增加表!J13-股权价值增加表!J14</f>
        <v>7102135.4699999988</v>
      </c>
      <c r="K20" s="33">
        <f>股权价值增加表!K13-股权价值增加表!K14</f>
        <v>5336844.46</v>
      </c>
      <c r="L20" s="33">
        <f>股权价值增加表!L13-股权价值增加表!L14</f>
        <v>1405014.57</v>
      </c>
      <c r="M20" s="33">
        <f>股权价值增加表!M13-股权价值增加表!M14</f>
        <v>10398178.35</v>
      </c>
      <c r="N20" s="33">
        <f>股权价值增加表!N13-股权价值增加表!N14</f>
        <v>9367002.2400000002</v>
      </c>
      <c r="O20" s="33">
        <f>股权价值增加表!O13-股权价值增加表!O14</f>
        <v>3185591.21</v>
      </c>
      <c r="P20" s="33">
        <f>股权价值增加表!P13-股权价值增加表!P14</f>
        <v>436977.47</v>
      </c>
      <c r="Q20" s="33">
        <f>股权价值增加表!Q13-股权价值增加表!Q14</f>
        <v>5347985.26</v>
      </c>
      <c r="R20" s="33">
        <f>股权价值增加表!R13-股权价值增加表!R14</f>
        <v>3572204.4</v>
      </c>
      <c r="S20" s="33">
        <f>股权价值增加表!S13-股权价值增加表!S14</f>
        <v>3758373.3099999996</v>
      </c>
      <c r="T20" s="33">
        <f>股权价值增加表!T13-股权价值增加表!T14</f>
        <v>1658149.66</v>
      </c>
      <c r="U20" s="33">
        <f>股权价值增加表!U13-股权价值增加表!U14</f>
        <v>11312105.41</v>
      </c>
      <c r="V20" s="33">
        <f>股权价值增加表!V13-股权价值增加表!V14</f>
        <v>18927343.34</v>
      </c>
      <c r="W20" s="33">
        <f>股权价值增加表!W13-股权价值增加表!W14</f>
        <v>1683582.99</v>
      </c>
      <c r="X20" s="33">
        <f>股权价值增加表!X13-股权价值增加表!X14</f>
        <v>509251.45999999996</v>
      </c>
      <c r="Y20" s="33">
        <f>股权价值增加表!Y13-股权价值增加表!Y14</f>
        <v>3094852.63</v>
      </c>
      <c r="Z20" s="33">
        <f>股权价值增加表!Z13-股权价值增加表!Z14</f>
        <v>3104807.55</v>
      </c>
      <c r="AA20" s="33">
        <f>股权价值增加表!AA13-股权价值增加表!AA14</f>
        <v>2698799.36</v>
      </c>
      <c r="AB20" s="33">
        <f>股权价值增加表!AB13-股权价值增加表!AB14</f>
        <v>507450.92999999993</v>
      </c>
      <c r="AC20" s="33">
        <f>股权价值增加表!AC13-股权价值增加表!AC14</f>
        <v>4914470.9400000004</v>
      </c>
      <c r="AD20" s="33">
        <f>股权价值增加表!AD13-股权价值增加表!AD14</f>
        <v>1621210.1799999997</v>
      </c>
      <c r="AE20" s="33">
        <f>股权价值增加表!AE13-股权价值增加表!AE14</f>
        <v>535446.16</v>
      </c>
      <c r="AF20" s="33">
        <f>股权价值增加表!AF13-股权价值增加表!AF14</f>
        <v>161926.01</v>
      </c>
      <c r="AG20" s="33">
        <f>股权价值增加表!AG13-股权价值增加表!AG14</f>
        <v>-265556.78000000026</v>
      </c>
      <c r="AH20" s="33">
        <f>股权价值增加表!AH13-股权价值增加表!AH14</f>
        <v>-796785.61999999988</v>
      </c>
      <c r="AI20" s="33">
        <f>股权价值增加表!AI13-股权价值增加表!AI14</f>
        <v>-210867.6100000001</v>
      </c>
      <c r="AJ20" s="33">
        <f>股权价值增加表!AJ13-股权价值增加表!AJ14</f>
        <v>1787.1800000000221</v>
      </c>
      <c r="AK20" s="33">
        <f>股权价值增加表!AK13-股权价值增加表!AK14</f>
        <v>7405436.6899999995</v>
      </c>
      <c r="AL20" s="33">
        <f>股权价值增加表!AL13-股权价值增加表!AL14</f>
        <v>4068251.3000000003</v>
      </c>
      <c r="AM20" s="33">
        <f>股权价值增加表!AM13-股权价值增加表!AM14</f>
        <v>1642029.7</v>
      </c>
      <c r="AN20" s="33">
        <f>股权价值增加表!AN13-股权价值增加表!AN14</f>
        <v>489857.66999999993</v>
      </c>
      <c r="AO20" s="33">
        <f>股权价值增加表!AO13-股权价值增加表!AO14</f>
        <v>-1403442.6300000001</v>
      </c>
      <c r="AP20" s="33">
        <f>股权价值增加表!AP13-股权价值增加表!AP14</f>
        <v>-1813091.74</v>
      </c>
      <c r="AQ20" s="33">
        <f>股权价值增加表!AQ13-股权价值增加表!AQ14</f>
        <v>-6085.0999999999767</v>
      </c>
      <c r="AR20" s="33">
        <f>股权价值增加表!AR13-股权价值增加表!AR14</f>
        <v>2231149.7999999998</v>
      </c>
      <c r="AS20" s="33">
        <f>股权价值增加表!AS13-股权价值增加表!AS14</f>
        <v>0</v>
      </c>
      <c r="AT20" s="33">
        <f>股权价值增加表!AT13-股权价值增加表!AT14</f>
        <v>0</v>
      </c>
      <c r="AU20" s="33">
        <f>股权价值增加表!AU13-股权价值增加表!AU14</f>
        <v>0</v>
      </c>
      <c r="AV20" s="33">
        <f>股权价值增加表!AV13-股权价值增加表!AV14</f>
        <v>0</v>
      </c>
      <c r="AW20" s="33">
        <f>股权价值增加表!AW13-股权价值增加表!AW14</f>
        <v>0</v>
      </c>
      <c r="AX20" s="33">
        <f>股权价值增加表!AX13-股权价值增加表!AX14</f>
        <v>0</v>
      </c>
      <c r="AY20" s="33">
        <f>股权价值增加表!AY13-股权价值增加表!AY14</f>
        <v>0</v>
      </c>
      <c r="AZ20" s="33">
        <f>股权价值增加表!AZ13-股权价值增加表!AZ14</f>
        <v>0</v>
      </c>
      <c r="BA20" s="33">
        <f>股权价值增加表!BA13-股权价值增加表!BA14</f>
        <v>0</v>
      </c>
      <c r="BB20" s="33">
        <f>股权价值增加表!BB13-股权价值增加表!BB14</f>
        <v>0</v>
      </c>
      <c r="BC20" s="33">
        <f>股权价值增加表!BC13-股权价值增加表!BC14</f>
        <v>0</v>
      </c>
      <c r="BD20" s="33">
        <f>股权价值增加表!BD13-股权价值增加表!BD14</f>
        <v>0</v>
      </c>
      <c r="BE20" s="33">
        <f>股权价值增加表!BE13-股权价值增加表!BE14</f>
        <v>0</v>
      </c>
      <c r="BF20" s="33">
        <f>股权价值增加表!BF13-股权价值增加表!BF14</f>
        <v>0</v>
      </c>
      <c r="BG20" s="33">
        <f>股权价值增加表!BG13-股权价值增加表!BG14</f>
        <v>0</v>
      </c>
      <c r="BH20" s="33">
        <f>股权价值增加表!BH13-股权价值增加表!BH14</f>
        <v>0</v>
      </c>
      <c r="BI20" s="33">
        <f>股权价值增加表!BI13-股权价值增加表!BI14</f>
        <v>0</v>
      </c>
      <c r="BJ20" s="33">
        <f>股权价值增加表!BJ13-股权价值增加表!BJ14</f>
        <v>0</v>
      </c>
      <c r="BK20" s="33">
        <f>股权价值增加表!BK13-股权价值增加表!BK14</f>
        <v>0</v>
      </c>
      <c r="BL20" s="33">
        <f>股权价值增加表!BL13-股权价值增加表!BL14</f>
        <v>0</v>
      </c>
      <c r="BM20" s="33">
        <f>股权价值增加表!BM13-股权价值增加表!BM14</f>
        <v>0</v>
      </c>
      <c r="BN20" s="33">
        <f>股权价值增加表!BN13-股权价值增加表!BN14</f>
        <v>0</v>
      </c>
      <c r="BO20" s="33">
        <f>股权价值增加表!BO13-股权价值增加表!BO14</f>
        <v>0</v>
      </c>
      <c r="BP20" s="33">
        <f>股权价值增加表!BP13-股权价值增加表!BP14</f>
        <v>0</v>
      </c>
      <c r="BQ20" s="33">
        <f>股权价值增加表!BQ13-股权价值增加表!BQ14</f>
        <v>0</v>
      </c>
      <c r="BR20" s="33">
        <f>股权价值增加表!BR13-股权价值增加表!BR14</f>
        <v>0</v>
      </c>
      <c r="BS20" s="33">
        <f>股权价值增加表!BS13-股权价值增加表!BS14</f>
        <v>0</v>
      </c>
      <c r="BT20" s="33">
        <f>股权价值增加表!BT13-股权价值增加表!BT14</f>
        <v>0</v>
      </c>
      <c r="BU20" s="33">
        <f>股权价值增加表!BU13-股权价值增加表!BU14</f>
        <v>0</v>
      </c>
      <c r="BV20" s="33">
        <f>股权价值增加表!BV13-股权价值增加表!BV14</f>
        <v>0</v>
      </c>
      <c r="BW20" s="33">
        <f>股权价值增加表!BW13-股权价值增加表!BW14</f>
        <v>0</v>
      </c>
      <c r="BX20" s="33">
        <f>股权价值增加表!BX13-股权价值增加表!BX14</f>
        <v>0</v>
      </c>
      <c r="BY20" s="33">
        <f>股权价值增加表!BY13-股权价值增加表!BY14</f>
        <v>0</v>
      </c>
      <c r="BZ20" s="33">
        <f>股权价值增加表!BZ13-股权价值增加表!BZ14</f>
        <v>0</v>
      </c>
      <c r="CA20" s="33">
        <f>股权价值增加表!CA13-股权价值增加表!CA14</f>
        <v>0</v>
      </c>
      <c r="CB20" s="33">
        <f>股权价值增加表!CB13-股权价值增加表!CB14</f>
        <v>0</v>
      </c>
      <c r="CC20" s="33">
        <f>股权价值增加表!CC13-股权价值增加表!CC14</f>
        <v>0</v>
      </c>
      <c r="CD20" s="33">
        <f>股权价值增加表!CD13-股权价值增加表!CD14</f>
        <v>0</v>
      </c>
      <c r="CE20" s="33">
        <f>股权价值增加表!CE13-股权价值增加表!CE14</f>
        <v>0</v>
      </c>
      <c r="CF20" s="33">
        <f>股权价值增加表!CF13-股权价值增加表!CF14</f>
        <v>0</v>
      </c>
      <c r="CG20" s="33">
        <f>股权价值增加表!CG13-股权价值增加表!CG14</f>
        <v>0</v>
      </c>
      <c r="CH20" s="33">
        <f>股权价值增加表!CH13-股权价值增加表!CH14</f>
        <v>0</v>
      </c>
      <c r="CI20" s="33">
        <f>股权价值增加表!CI13-股权价值增加表!CI14</f>
        <v>0</v>
      </c>
      <c r="CJ20" s="33">
        <f>股权价值增加表!CJ13-股权价值增加表!CJ14</f>
        <v>0</v>
      </c>
    </row>
    <row r="21" spans="1:89" s="66" customFormat="1">
      <c r="A21" s="66" t="s">
        <v>374</v>
      </c>
      <c r="E21" s="66">
        <f>E20/E2</f>
        <v>5.8593871742408585E-3</v>
      </c>
      <c r="F21" s="66">
        <f t="shared" ref="F21:BQ21" si="21">F20/F2</f>
        <v>6.969279554391917E-3</v>
      </c>
      <c r="G21" s="66">
        <f t="shared" si="21"/>
        <v>1.0409243191297169E-2</v>
      </c>
      <c r="H21" s="66">
        <f t="shared" si="21"/>
        <v>2.0074683993782714E-3</v>
      </c>
      <c r="I21" s="66">
        <f t="shared" si="21"/>
        <v>8.7897315373636192E-3</v>
      </c>
      <c r="J21" s="66">
        <f t="shared" si="21"/>
        <v>5.269621969272149E-3</v>
      </c>
      <c r="K21" s="66">
        <f t="shared" si="21"/>
        <v>6.0566856210618539E-3</v>
      </c>
      <c r="L21" s="66">
        <f t="shared" si="21"/>
        <v>3.2589157557095833E-3</v>
      </c>
      <c r="M21" s="66">
        <f t="shared" si="21"/>
        <v>4.9690035708143858E-3</v>
      </c>
      <c r="N21" s="66">
        <f t="shared" si="21"/>
        <v>7.2145485040591567E-3</v>
      </c>
      <c r="O21" s="66">
        <f t="shared" si="21"/>
        <v>3.6929257390357021E-3</v>
      </c>
      <c r="P21" s="66">
        <f t="shared" si="21"/>
        <v>9.4487163059745079E-4</v>
      </c>
      <c r="Q21" s="66">
        <f t="shared" si="21"/>
        <v>2.7150345808067788E-3</v>
      </c>
      <c r="R21" s="66">
        <f t="shared" si="21"/>
        <v>2.7490361494056526E-3</v>
      </c>
      <c r="S21" s="66">
        <f t="shared" si="21"/>
        <v>4.400961652271166E-3</v>
      </c>
      <c r="T21" s="66">
        <f t="shared" si="21"/>
        <v>3.6664250806874611E-3</v>
      </c>
      <c r="U21" s="66">
        <f t="shared" si="21"/>
        <v>6.0690665858140489E-3</v>
      </c>
      <c r="V21" s="66">
        <f t="shared" si="21"/>
        <v>1.507634077614173E-2</v>
      </c>
      <c r="W21" s="66">
        <f t="shared" si="21"/>
        <v>2.0514410683714381E-3</v>
      </c>
      <c r="X21" s="66">
        <f t="shared" si="21"/>
        <v>1.1596870608934673E-3</v>
      </c>
      <c r="Y21" s="66">
        <f t="shared" si="21"/>
        <v>1.7416455910989127E-3</v>
      </c>
      <c r="Z21" s="66">
        <f t="shared" si="21"/>
        <v>2.6037366283400108E-3</v>
      </c>
      <c r="AA21" s="66">
        <f t="shared" si="21"/>
        <v>3.5581768873275852E-3</v>
      </c>
      <c r="AB21" s="66">
        <f t="shared" si="21"/>
        <v>1.2550960901240096E-3</v>
      </c>
      <c r="AC21" s="66">
        <f t="shared" si="21"/>
        <v>3.38131502776709E-3</v>
      </c>
      <c r="AD21" s="66">
        <f t="shared" si="21"/>
        <v>1.7159423929421522E-3</v>
      </c>
      <c r="AE21" s="66">
        <f t="shared" si="21"/>
        <v>8.8126510903893055E-4</v>
      </c>
      <c r="AF21" s="66">
        <f t="shared" si="21"/>
        <v>4.8642653760054918E-4</v>
      </c>
      <c r="AG21" s="66">
        <f t="shared" si="21"/>
        <v>-2.4881141611414714E-4</v>
      </c>
      <c r="AH21" s="66">
        <f t="shared" si="21"/>
        <v>-1.1414100834998017E-3</v>
      </c>
      <c r="AI21" s="66">
        <f t="shared" si="21"/>
        <v>-4.6526235435851191E-4</v>
      </c>
      <c r="AJ21" s="66">
        <f t="shared" si="21"/>
        <v>7.0591889534080896E-6</v>
      </c>
      <c r="AK21" s="66">
        <f t="shared" si="21"/>
        <v>9.3528331188807139E-3</v>
      </c>
      <c r="AL21" s="66">
        <f t="shared" si="21"/>
        <v>7.7868171144643899E-3</v>
      </c>
      <c r="AM21" s="66">
        <f t="shared" si="21"/>
        <v>5.081244250828139E-3</v>
      </c>
      <c r="AN21" s="66">
        <f t="shared" si="21"/>
        <v>2.6952452298544924E-3</v>
      </c>
      <c r="AO21" s="66">
        <f t="shared" si="21"/>
        <v>-2.0615707415492786E-3</v>
      </c>
      <c r="AP21" s="66">
        <f t="shared" si="21"/>
        <v>-3.8712786134278364E-3</v>
      </c>
      <c r="AQ21" s="66">
        <f t="shared" si="21"/>
        <v>-1.0309587669043446E-5</v>
      </c>
      <c r="AR21" s="66">
        <f t="shared" si="21"/>
        <v>5.323890256793193E-3</v>
      </c>
      <c r="AS21" s="66" t="e">
        <f t="shared" si="21"/>
        <v>#DIV/0!</v>
      </c>
      <c r="AT21" s="66" t="e">
        <f t="shared" si="21"/>
        <v>#DIV/0!</v>
      </c>
      <c r="AU21" s="66" t="e">
        <f t="shared" si="21"/>
        <v>#DIV/0!</v>
      </c>
      <c r="AV21" s="66" t="e">
        <f t="shared" si="21"/>
        <v>#DIV/0!</v>
      </c>
      <c r="AW21" s="66" t="e">
        <f t="shared" si="21"/>
        <v>#DIV/0!</v>
      </c>
      <c r="AX21" s="66" t="e">
        <f t="shared" si="21"/>
        <v>#DIV/0!</v>
      </c>
      <c r="AY21" s="66" t="e">
        <f t="shared" si="21"/>
        <v>#DIV/0!</v>
      </c>
      <c r="AZ21" s="66" t="e">
        <f t="shared" si="21"/>
        <v>#DIV/0!</v>
      </c>
      <c r="BA21" s="66" t="e">
        <f t="shared" si="21"/>
        <v>#DIV/0!</v>
      </c>
      <c r="BB21" s="66" t="e">
        <f t="shared" si="21"/>
        <v>#DIV/0!</v>
      </c>
      <c r="BC21" s="66" t="e">
        <f t="shared" si="21"/>
        <v>#DIV/0!</v>
      </c>
      <c r="BD21" s="66" t="e">
        <f t="shared" si="21"/>
        <v>#DIV/0!</v>
      </c>
      <c r="BE21" s="66" t="e">
        <f t="shared" si="21"/>
        <v>#DIV/0!</v>
      </c>
      <c r="BF21" s="66" t="e">
        <f t="shared" si="21"/>
        <v>#DIV/0!</v>
      </c>
      <c r="BG21" s="66" t="e">
        <f t="shared" si="21"/>
        <v>#DIV/0!</v>
      </c>
      <c r="BH21" s="66" t="e">
        <f t="shared" si="21"/>
        <v>#DIV/0!</v>
      </c>
      <c r="BI21" s="66" t="e">
        <f t="shared" si="21"/>
        <v>#DIV/0!</v>
      </c>
      <c r="BJ21" s="66" t="e">
        <f t="shared" si="21"/>
        <v>#DIV/0!</v>
      </c>
      <c r="BK21" s="66" t="e">
        <f t="shared" si="21"/>
        <v>#DIV/0!</v>
      </c>
      <c r="BL21" s="66" t="e">
        <f t="shared" si="21"/>
        <v>#DIV/0!</v>
      </c>
      <c r="BM21" s="66" t="e">
        <f t="shared" si="21"/>
        <v>#DIV/0!</v>
      </c>
      <c r="BN21" s="66" t="e">
        <f t="shared" si="21"/>
        <v>#DIV/0!</v>
      </c>
      <c r="BO21" s="66" t="e">
        <f t="shared" si="21"/>
        <v>#DIV/0!</v>
      </c>
      <c r="BP21" s="66" t="e">
        <f t="shared" si="21"/>
        <v>#DIV/0!</v>
      </c>
      <c r="BQ21" s="66" t="e">
        <f t="shared" si="21"/>
        <v>#DIV/0!</v>
      </c>
      <c r="BR21" s="66" t="e">
        <f t="shared" ref="BR21:CK21" si="22">BR20/BR2</f>
        <v>#DIV/0!</v>
      </c>
      <c r="BS21" s="66" t="e">
        <f t="shared" si="22"/>
        <v>#DIV/0!</v>
      </c>
      <c r="BT21" s="66" t="e">
        <f t="shared" si="22"/>
        <v>#DIV/0!</v>
      </c>
      <c r="BU21" s="66" t="e">
        <f t="shared" si="22"/>
        <v>#DIV/0!</v>
      </c>
      <c r="BV21" s="66" t="e">
        <f t="shared" si="22"/>
        <v>#DIV/0!</v>
      </c>
      <c r="BW21" s="66" t="e">
        <f t="shared" si="22"/>
        <v>#DIV/0!</v>
      </c>
      <c r="BX21" s="66" t="e">
        <f t="shared" si="22"/>
        <v>#DIV/0!</v>
      </c>
      <c r="BY21" s="66" t="e">
        <f t="shared" si="22"/>
        <v>#DIV/0!</v>
      </c>
      <c r="BZ21" s="66" t="e">
        <f t="shared" si="22"/>
        <v>#DIV/0!</v>
      </c>
      <c r="CA21" s="66" t="e">
        <f t="shared" si="22"/>
        <v>#DIV/0!</v>
      </c>
      <c r="CB21" s="66" t="e">
        <f t="shared" si="22"/>
        <v>#DIV/0!</v>
      </c>
      <c r="CC21" s="66" t="e">
        <f t="shared" si="22"/>
        <v>#DIV/0!</v>
      </c>
      <c r="CD21" s="66" t="e">
        <f t="shared" si="22"/>
        <v>#DIV/0!</v>
      </c>
      <c r="CE21" s="66" t="e">
        <f t="shared" si="22"/>
        <v>#DIV/0!</v>
      </c>
      <c r="CF21" s="66" t="e">
        <f t="shared" si="22"/>
        <v>#DIV/0!</v>
      </c>
      <c r="CG21" s="66" t="e">
        <f t="shared" si="22"/>
        <v>#DIV/0!</v>
      </c>
      <c r="CH21" s="66" t="e">
        <f t="shared" si="22"/>
        <v>#DIV/0!</v>
      </c>
      <c r="CI21" s="66" t="e">
        <f t="shared" si="22"/>
        <v>#DIV/0!</v>
      </c>
      <c r="CJ21" s="66" t="e">
        <f t="shared" si="22"/>
        <v>#DIV/0!</v>
      </c>
      <c r="CK21" s="66" t="e">
        <f t="shared" si="22"/>
        <v>#DIV/0!</v>
      </c>
    </row>
    <row r="22" spans="1:89" s="66" customFormat="1">
      <c r="A22" s="66" t="s">
        <v>375</v>
      </c>
      <c r="E22" s="66">
        <f>E11+E13+E15+E17+E19+E21</f>
        <v>0.29263403172129804</v>
      </c>
      <c r="F22" s="66">
        <f t="shared" ref="F22:BQ22" si="23">F11+F13+F15+F17+F19+F21</f>
        <v>0.32456424618213647</v>
      </c>
      <c r="G22" s="66">
        <f t="shared" si="23"/>
        <v>0.32686773714201556</v>
      </c>
      <c r="H22" s="66">
        <f t="shared" si="23"/>
        <v>0.30279382987297393</v>
      </c>
      <c r="I22" s="66">
        <f t="shared" si="23"/>
        <v>0.29099247990563964</v>
      </c>
      <c r="J22" s="66">
        <f t="shared" si="23"/>
        <v>0.30813007960174571</v>
      </c>
      <c r="K22" s="66">
        <f t="shared" si="23"/>
        <v>0.29812075589698206</v>
      </c>
      <c r="L22" s="66">
        <f t="shared" si="23"/>
        <v>0.27585646014132637</v>
      </c>
      <c r="M22" s="66">
        <f t="shared" si="23"/>
        <v>0.30355512958869457</v>
      </c>
      <c r="N22" s="66">
        <f t="shared" si="23"/>
        <v>0.30758149123473988</v>
      </c>
      <c r="O22" s="66">
        <f t="shared" si="23"/>
        <v>0.28505678870396328</v>
      </c>
      <c r="P22" s="66">
        <f t="shared" si="23"/>
        <v>0.25600834817640006</v>
      </c>
      <c r="Q22" s="66">
        <f t="shared" si="23"/>
        <v>0.28317102127581018</v>
      </c>
      <c r="R22" s="66">
        <f t="shared" si="23"/>
        <v>0.28281097074354411</v>
      </c>
      <c r="S22" s="66">
        <f t="shared" si="23"/>
        <v>0.29376814079323854</v>
      </c>
      <c r="T22" s="66">
        <f t="shared" si="23"/>
        <v>0.24410598923175089</v>
      </c>
      <c r="U22" s="66">
        <f t="shared" si="23"/>
        <v>0.31080051639500905</v>
      </c>
      <c r="V22" s="66">
        <f t="shared" si="23"/>
        <v>0.32513892086883506</v>
      </c>
      <c r="W22" s="66">
        <f t="shared" si="23"/>
        <v>0.30732929103079676</v>
      </c>
      <c r="X22" s="66">
        <f t="shared" si="23"/>
        <v>0.25898227209223662</v>
      </c>
      <c r="Y22" s="66">
        <f t="shared" si="23"/>
        <v>0.2954179447232439</v>
      </c>
      <c r="Z22" s="66">
        <f t="shared" si="23"/>
        <v>0.29850722121503209</v>
      </c>
      <c r="AA22" s="66">
        <f t="shared" si="23"/>
        <v>0.28495218913703074</v>
      </c>
      <c r="AB22" s="66">
        <f t="shared" si="23"/>
        <v>0.24590830003552647</v>
      </c>
      <c r="AC22" s="66">
        <f t="shared" si="23"/>
        <v>0.2973459319240721</v>
      </c>
      <c r="AD22" s="66">
        <f t="shared" si="23"/>
        <v>0.31061216045203821</v>
      </c>
      <c r="AE22" s="66">
        <f t="shared" si="23"/>
        <v>0.30798855129310249</v>
      </c>
      <c r="AF22" s="66">
        <f t="shared" si="23"/>
        <v>0.2682761671991537</v>
      </c>
      <c r="AG22" s="66">
        <f t="shared" si="23"/>
        <v>0.31933306245173226</v>
      </c>
      <c r="AH22" s="66">
        <f t="shared" si="23"/>
        <v>0.33121516443732169</v>
      </c>
      <c r="AI22" s="66">
        <f t="shared" si="23"/>
        <v>0.32969298033127054</v>
      </c>
      <c r="AJ22" s="66">
        <f t="shared" si="23"/>
        <v>0.28440965275737873</v>
      </c>
      <c r="AK22" s="66">
        <f t="shared" si="23"/>
        <v>0.30846023302658865</v>
      </c>
      <c r="AL22" s="66">
        <f t="shared" si="23"/>
        <v>0.31220219793173215</v>
      </c>
      <c r="AM22" s="66">
        <f t="shared" si="23"/>
        <v>0.29646164053505736</v>
      </c>
      <c r="AN22" s="66">
        <f t="shared" si="23"/>
        <v>0.25560219036320414</v>
      </c>
      <c r="AO22" s="66">
        <f t="shared" si="23"/>
        <v>0.32166265257149607</v>
      </c>
      <c r="AP22" s="66">
        <f t="shared" si="23"/>
        <v>0.31578983847872094</v>
      </c>
      <c r="AQ22" s="66">
        <f t="shared" si="23"/>
        <v>0.25754527393826721</v>
      </c>
      <c r="AR22" s="66">
        <f t="shared" si="23"/>
        <v>0.211373915633573</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34" customFormat="1">
      <c r="A23" s="34" t="s">
        <v>376</v>
      </c>
      <c r="E23" s="34">
        <f>股权价值增加表!E17</f>
        <v>460342407.97175407</v>
      </c>
      <c r="F23" s="34">
        <f>股权价值增加表!F17</f>
        <v>222310938.69006878</v>
      </c>
      <c r="G23" s="34">
        <f>股权价值增加表!G17</f>
        <v>147632554.00707045</v>
      </c>
      <c r="H23" s="34">
        <f>股权价值增加表!H17</f>
        <v>68595442.571527973</v>
      </c>
      <c r="I23" s="34">
        <f>股权价值增加表!I17</f>
        <v>416785713.12285483</v>
      </c>
      <c r="J23" s="34">
        <f>股权价值增加表!J17</f>
        <v>222840519.6904735</v>
      </c>
      <c r="K23" s="34">
        <f>股权价值增加表!K17</f>
        <v>156751861.65526953</v>
      </c>
      <c r="L23" s="34">
        <f>股权价值增加表!L17</f>
        <v>80410468.181160063</v>
      </c>
      <c r="M23" s="34">
        <f>股权价值增加表!M17</f>
        <v>370340003.07109141</v>
      </c>
      <c r="N23" s="34">
        <f>股权价值增加表!N17</f>
        <v>223197437.85039365</v>
      </c>
      <c r="O23" s="34">
        <f>股权价值增加表!O17</f>
        <v>163736898.33238417</v>
      </c>
      <c r="P23" s="34">
        <f>股权价值增加表!P17</f>
        <v>92935422.523568526</v>
      </c>
      <c r="Q23" s="34">
        <f>股权价值增加表!Q17</f>
        <v>355639161.32765001</v>
      </c>
      <c r="R23" s="34">
        <f>股权价值增加表!R17</f>
        <v>235496268.29230952</v>
      </c>
      <c r="S23" s="34">
        <f>股权价值增加表!S17</f>
        <v>153027016.4847745</v>
      </c>
      <c r="T23" s="34">
        <f>股权价值增加表!T17</f>
        <v>99721319.959109187</v>
      </c>
      <c r="U23" s="34">
        <f>股权价值增加表!U17</f>
        <v>298431325.56034911</v>
      </c>
      <c r="V23" s="34">
        <f>股权价值增加表!V17</f>
        <v>202569406.21976304</v>
      </c>
      <c r="W23" s="34">
        <f>股权价值增加表!W17</f>
        <v>132844218.49301153</v>
      </c>
      <c r="X23" s="34">
        <f>股权价值增加表!X17</f>
        <v>87162305.530891135</v>
      </c>
      <c r="Y23" s="34">
        <f>股权价值增加表!Y17</f>
        <v>251599662.55032301</v>
      </c>
      <c r="Z23" s="34">
        <f>股权价值增加表!Z17</f>
        <v>160292604.73476851</v>
      </c>
      <c r="AA23" s="34">
        <f>股权价值增加表!AA17</f>
        <v>107242257.94598928</v>
      </c>
      <c r="AB23" s="34">
        <f>股权价值增加表!AB17</f>
        <v>76842569.178709894</v>
      </c>
      <c r="AC23" s="34">
        <f>股权价值增加表!AC17</f>
        <v>197978854.9647738</v>
      </c>
      <c r="AD23" s="34">
        <f>股权价值增加表!AD17</f>
        <v>123135676.7084475</v>
      </c>
      <c r="AE23" s="34">
        <f>股权价值增加表!AE17</f>
        <v>82869587.939695537</v>
      </c>
      <c r="AF23" s="34">
        <f>股权价值增加表!AF17</f>
        <v>58235493.357691705</v>
      </c>
      <c r="AG23" s="34">
        <f>股权价值增加表!AG17</f>
        <v>119010513.76442324</v>
      </c>
      <c r="AH23" s="34">
        <f>股权价值增加表!AH17</f>
        <v>67930623.105684325</v>
      </c>
      <c r="AI23" s="34">
        <f>股权价值增加表!AI17</f>
        <v>47196067.050980181</v>
      </c>
      <c r="AJ23" s="34">
        <f>股权价值增加表!AJ17</f>
        <v>36170142.041440062</v>
      </c>
      <c r="AK23" s="34">
        <f>股权价值增加表!AK17</f>
        <v>87668362.559835687</v>
      </c>
      <c r="AL23" s="34">
        <f>股权价值增加表!AL17</f>
        <v>53762745.916569911</v>
      </c>
      <c r="AM23" s="34">
        <f>股权价值增加表!AM17</f>
        <v>36137395.917931661</v>
      </c>
      <c r="AN23" s="34">
        <f>股权价值增加表!AN17</f>
        <v>25469935.446959831</v>
      </c>
      <c r="AO23" s="34">
        <f>股权价值增加表!AO17</f>
        <v>69815679.642379463</v>
      </c>
      <c r="AP23" s="34">
        <f>股权价值增加表!AP17</f>
        <v>49594110.670709372</v>
      </c>
      <c r="AQ23" s="34">
        <f>股权价值增加表!AQ17</f>
        <v>63981639.734579101</v>
      </c>
      <c r="AR23" s="34">
        <f>股权价值增加表!AR17</f>
        <v>35883815.488721333</v>
      </c>
      <c r="AS23" s="34" t="e">
        <f>股权价值增加表!AS17</f>
        <v>#DIV/0!</v>
      </c>
      <c r="AT23" s="34">
        <f>股权价值增加表!AT17</f>
        <v>0</v>
      </c>
      <c r="AU23" s="34">
        <f>股权价值增加表!AU17</f>
        <v>0</v>
      </c>
      <c r="AV23" s="34">
        <f>股权价值增加表!AV17</f>
        <v>0</v>
      </c>
      <c r="AW23" s="34">
        <f>股权价值增加表!AW17</f>
        <v>0</v>
      </c>
      <c r="AX23" s="34">
        <f>股权价值增加表!AX17</f>
        <v>0</v>
      </c>
      <c r="AY23" s="34">
        <f>股权价值增加表!AY17</f>
        <v>0</v>
      </c>
      <c r="AZ23" s="34">
        <f>股权价值增加表!AZ17</f>
        <v>0</v>
      </c>
      <c r="BA23" s="34">
        <f>股权价值增加表!BA17</f>
        <v>0</v>
      </c>
      <c r="BB23" s="34">
        <f>股权价值增加表!BB17</f>
        <v>0</v>
      </c>
      <c r="BC23" s="34">
        <f>股权价值增加表!BC17</f>
        <v>0</v>
      </c>
      <c r="BD23" s="34">
        <f>股权价值增加表!BD17</f>
        <v>0</v>
      </c>
      <c r="BE23" s="34">
        <f>股权价值增加表!BE17</f>
        <v>0</v>
      </c>
      <c r="BF23" s="34">
        <f>股权价值增加表!BF17</f>
        <v>0</v>
      </c>
      <c r="BG23" s="34">
        <f>股权价值增加表!BG17</f>
        <v>0</v>
      </c>
      <c r="BH23" s="34">
        <f>股权价值增加表!BH17</f>
        <v>0</v>
      </c>
      <c r="BI23" s="34">
        <f>股权价值增加表!BI17</f>
        <v>0</v>
      </c>
      <c r="BJ23" s="34">
        <f>股权价值增加表!BJ17</f>
        <v>0</v>
      </c>
      <c r="BK23" s="34">
        <f>股权价值增加表!BK17</f>
        <v>0</v>
      </c>
      <c r="BL23" s="34">
        <f>股权价值增加表!BL17</f>
        <v>0</v>
      </c>
      <c r="BM23" s="34">
        <f>股权价值增加表!BM17</f>
        <v>0</v>
      </c>
      <c r="BN23" s="34">
        <f>股权价值增加表!BN17</f>
        <v>0</v>
      </c>
      <c r="BO23" s="34">
        <f>股权价值增加表!BO17</f>
        <v>0</v>
      </c>
      <c r="BP23" s="34">
        <f>股权价值增加表!BP17</f>
        <v>0</v>
      </c>
      <c r="BQ23" s="34">
        <f>股权价值增加表!BQ17</f>
        <v>0</v>
      </c>
      <c r="BR23" s="34">
        <f>股权价值增加表!BR17</f>
        <v>0</v>
      </c>
      <c r="BS23" s="34">
        <f>股权价值增加表!BS17</f>
        <v>0</v>
      </c>
      <c r="BT23" s="34">
        <f>股权价值增加表!BT17</f>
        <v>0</v>
      </c>
      <c r="BU23" s="34">
        <f>股权价值增加表!BU17</f>
        <v>0</v>
      </c>
      <c r="BV23" s="34">
        <f>股权价值增加表!BV17</f>
        <v>0</v>
      </c>
      <c r="BW23" s="34">
        <f>股权价值增加表!BW17</f>
        <v>0</v>
      </c>
      <c r="BX23" s="34">
        <f>股权价值增加表!BX17</f>
        <v>0</v>
      </c>
      <c r="BY23" s="34">
        <f>股权价值增加表!BY17</f>
        <v>0</v>
      </c>
      <c r="BZ23" s="34">
        <f>股权价值增加表!BZ17</f>
        <v>0</v>
      </c>
      <c r="CA23" s="34">
        <f>股权价值增加表!CA17</f>
        <v>0</v>
      </c>
      <c r="CB23" s="34">
        <f>股权价值增加表!CB17</f>
        <v>0</v>
      </c>
      <c r="CC23" s="34">
        <f>股权价值增加表!CC17</f>
        <v>0</v>
      </c>
      <c r="CD23" s="34">
        <f>股权价值增加表!CD17</f>
        <v>0</v>
      </c>
      <c r="CE23" s="34">
        <f>股权价值增加表!CE17</f>
        <v>0</v>
      </c>
      <c r="CF23" s="34">
        <f>股权价值增加表!CF17</f>
        <v>0</v>
      </c>
      <c r="CG23" s="34" t="e">
        <f>股权价值增加表!CG17</f>
        <v>#DIV/0!</v>
      </c>
      <c r="CH23" s="34" t="e">
        <f>股权价值增加表!CH17</f>
        <v>#DIV/0!</v>
      </c>
      <c r="CI23" s="34" t="e">
        <f>股权价值增加表!CI17</f>
        <v>#DIV/0!</v>
      </c>
      <c r="CJ23" s="34" t="e">
        <f>股权价值增加表!CJ17</f>
        <v>#DIV/0!</v>
      </c>
    </row>
    <row r="24" spans="1:89" s="66" customFormat="1">
      <c r="A24" s="66" t="s">
        <v>377</v>
      </c>
      <c r="E24" s="66">
        <f>E23/E2</f>
        <v>0.17595784903431219</v>
      </c>
      <c r="F24" s="66">
        <f t="shared" ref="F24:BQ24" si="25">F23/F2</f>
        <v>0.1444948543241906</v>
      </c>
      <c r="G24" s="66">
        <f t="shared" si="25"/>
        <v>0.15357754133076207</v>
      </c>
      <c r="H24" s="66">
        <f t="shared" si="25"/>
        <v>0.15901681621547573</v>
      </c>
      <c r="I24" s="66">
        <f t="shared" si="25"/>
        <v>0.180303744223095</v>
      </c>
      <c r="J24" s="66">
        <f t="shared" si="25"/>
        <v>0.16534256536857389</v>
      </c>
      <c r="K24" s="66">
        <f t="shared" si="25"/>
        <v>0.1778947754010706</v>
      </c>
      <c r="L24" s="66">
        <f t="shared" si="25"/>
        <v>0.18651119160961202</v>
      </c>
      <c r="M24" s="66">
        <f t="shared" si="25"/>
        <v>0.17697530622521626</v>
      </c>
      <c r="N24" s="66">
        <f t="shared" si="25"/>
        <v>0.17190865338721154</v>
      </c>
      <c r="O24" s="66">
        <f t="shared" si="25"/>
        <v>0.1898134965915898</v>
      </c>
      <c r="P24" s="66">
        <f t="shared" si="25"/>
        <v>0.20095325331099392</v>
      </c>
      <c r="Q24" s="66">
        <f t="shared" si="25"/>
        <v>0.18054885613011032</v>
      </c>
      <c r="R24" s="66">
        <f t="shared" si="25"/>
        <v>0.1812292025018756</v>
      </c>
      <c r="S24" s="66">
        <f t="shared" si="25"/>
        <v>0.1791908295855156</v>
      </c>
      <c r="T24" s="66">
        <f t="shared" si="25"/>
        <v>0.22049924527158607</v>
      </c>
      <c r="U24" s="66">
        <f t="shared" si="25"/>
        <v>0.1601116255968931</v>
      </c>
      <c r="V24" s="66">
        <f t="shared" si="25"/>
        <v>0.16135415013768287</v>
      </c>
      <c r="W24" s="66">
        <f t="shared" si="25"/>
        <v>0.16187030109651576</v>
      </c>
      <c r="X24" s="66">
        <f t="shared" si="25"/>
        <v>0.19848936303848314</v>
      </c>
      <c r="Y24" s="66">
        <f t="shared" si="25"/>
        <v>0.14158911437496921</v>
      </c>
      <c r="Z24" s="66">
        <f t="shared" si="25"/>
        <v>0.13442370242881696</v>
      </c>
      <c r="AA24" s="66">
        <f t="shared" si="25"/>
        <v>0.14139136433181981</v>
      </c>
      <c r="AB24" s="66">
        <f t="shared" si="25"/>
        <v>0.19005740738573981</v>
      </c>
      <c r="AC24" s="66">
        <f t="shared" si="25"/>
        <v>0.13621585835901001</v>
      </c>
      <c r="AD24" s="66">
        <f t="shared" si="25"/>
        <v>0.13033086662930074</v>
      </c>
      <c r="AE24" s="66">
        <f t="shared" si="25"/>
        <v>0.13639107329051911</v>
      </c>
      <c r="AF24" s="66">
        <f t="shared" si="25"/>
        <v>0.17493971104112152</v>
      </c>
      <c r="AG24" s="66">
        <f t="shared" si="25"/>
        <v>0.11150600057056845</v>
      </c>
      <c r="AH24" s="66">
        <f t="shared" si="25"/>
        <v>9.7311869397508355E-2</v>
      </c>
      <c r="AI24" s="66">
        <f t="shared" si="25"/>
        <v>0.10413431096696747</v>
      </c>
      <c r="AJ24" s="66">
        <f t="shared" si="25"/>
        <v>0.14286857906989336</v>
      </c>
      <c r="AK24" s="66">
        <f t="shared" si="25"/>
        <v>0.11072237859178476</v>
      </c>
      <c r="AL24" s="66">
        <f t="shared" si="25"/>
        <v>0.10290432894933188</v>
      </c>
      <c r="AM24" s="66">
        <f t="shared" si="25"/>
        <v>0.11182680511070568</v>
      </c>
      <c r="AN24" s="66">
        <f t="shared" si="25"/>
        <v>0.1401380977011554</v>
      </c>
      <c r="AO24" s="66">
        <f t="shared" si="25"/>
        <v>0.10255493126363639</v>
      </c>
      <c r="AP24" s="66">
        <f t="shared" si="25"/>
        <v>0.10589239129813169</v>
      </c>
      <c r="AQ24" s="66">
        <f t="shared" si="25"/>
        <v>0.10839991521138509</v>
      </c>
      <c r="AR24" s="66">
        <f t="shared" si="25"/>
        <v>8.5624683585552253E-2</v>
      </c>
      <c r="AS24" s="66" t="e">
        <f t="shared" si="25"/>
        <v>#DIV/0!</v>
      </c>
      <c r="AT24" s="66" t="e">
        <f t="shared" si="25"/>
        <v>#DIV/0!</v>
      </c>
      <c r="AU24" s="66" t="e">
        <f t="shared" si="25"/>
        <v>#DIV/0!</v>
      </c>
      <c r="AV24" s="66" t="e">
        <f t="shared" si="25"/>
        <v>#DIV/0!</v>
      </c>
      <c r="AW24" s="66" t="e">
        <f t="shared" si="25"/>
        <v>#DIV/0!</v>
      </c>
      <c r="AX24" s="66" t="e">
        <f t="shared" si="25"/>
        <v>#DIV/0!</v>
      </c>
      <c r="AY24" s="66" t="e">
        <f t="shared" si="25"/>
        <v>#DIV/0!</v>
      </c>
      <c r="AZ24" s="66" t="e">
        <f t="shared" si="25"/>
        <v>#DIV/0!</v>
      </c>
      <c r="BA24" s="66" t="e">
        <f t="shared" si="25"/>
        <v>#DIV/0!</v>
      </c>
      <c r="BB24" s="66" t="e">
        <f t="shared" si="25"/>
        <v>#DIV/0!</v>
      </c>
      <c r="BC24" s="66" t="e">
        <f t="shared" si="25"/>
        <v>#DIV/0!</v>
      </c>
      <c r="BD24" s="66" t="e">
        <f t="shared" si="25"/>
        <v>#DIV/0!</v>
      </c>
      <c r="BE24" s="66" t="e">
        <f t="shared" si="25"/>
        <v>#DIV/0!</v>
      </c>
      <c r="BF24" s="66" t="e">
        <f t="shared" si="25"/>
        <v>#DIV/0!</v>
      </c>
      <c r="BG24" s="66" t="e">
        <f t="shared" si="25"/>
        <v>#DIV/0!</v>
      </c>
      <c r="BH24" s="66" t="e">
        <f t="shared" si="25"/>
        <v>#DIV/0!</v>
      </c>
      <c r="BI24" s="66" t="e">
        <f t="shared" si="25"/>
        <v>#DIV/0!</v>
      </c>
      <c r="BJ24" s="66" t="e">
        <f t="shared" si="25"/>
        <v>#DIV/0!</v>
      </c>
      <c r="BK24" s="66" t="e">
        <f t="shared" si="25"/>
        <v>#DIV/0!</v>
      </c>
      <c r="BL24" s="66" t="e">
        <f t="shared" si="25"/>
        <v>#DIV/0!</v>
      </c>
      <c r="BM24" s="66" t="e">
        <f t="shared" si="25"/>
        <v>#DIV/0!</v>
      </c>
      <c r="BN24" s="66" t="e">
        <f t="shared" si="25"/>
        <v>#DIV/0!</v>
      </c>
      <c r="BO24" s="66" t="e">
        <f t="shared" si="25"/>
        <v>#DIV/0!</v>
      </c>
      <c r="BP24" s="66" t="e">
        <f t="shared" si="25"/>
        <v>#DIV/0!</v>
      </c>
      <c r="BQ24" s="66" t="e">
        <f t="shared" si="25"/>
        <v>#DIV/0!</v>
      </c>
      <c r="BR24" s="66" t="e">
        <f t="shared" ref="BR24:CJ24" si="26">BR23/BR2</f>
        <v>#DIV/0!</v>
      </c>
      <c r="BS24" s="66" t="e">
        <f t="shared" si="26"/>
        <v>#DIV/0!</v>
      </c>
      <c r="BT24" s="66" t="e">
        <f t="shared" si="26"/>
        <v>#DIV/0!</v>
      </c>
      <c r="BU24" s="66" t="e">
        <f t="shared" si="26"/>
        <v>#DIV/0!</v>
      </c>
      <c r="BV24" s="66" t="e">
        <f t="shared" si="26"/>
        <v>#DIV/0!</v>
      </c>
      <c r="BW24" s="66" t="e">
        <f t="shared" si="26"/>
        <v>#DIV/0!</v>
      </c>
      <c r="BX24" s="66" t="e">
        <f t="shared" si="26"/>
        <v>#DIV/0!</v>
      </c>
      <c r="BY24" s="66" t="e">
        <f t="shared" si="26"/>
        <v>#DIV/0!</v>
      </c>
      <c r="BZ24" s="66" t="e">
        <f t="shared" si="26"/>
        <v>#DIV/0!</v>
      </c>
      <c r="CA24" s="66" t="e">
        <f t="shared" si="26"/>
        <v>#DIV/0!</v>
      </c>
      <c r="CB24" s="66" t="e">
        <f t="shared" si="26"/>
        <v>#DIV/0!</v>
      </c>
      <c r="CC24" s="66" t="e">
        <f t="shared" si="26"/>
        <v>#DIV/0!</v>
      </c>
      <c r="CD24" s="66" t="e">
        <f t="shared" si="26"/>
        <v>#DIV/0!</v>
      </c>
      <c r="CE24" s="66" t="e">
        <f t="shared" si="26"/>
        <v>#DIV/0!</v>
      </c>
      <c r="CF24" s="66" t="e">
        <f t="shared" si="26"/>
        <v>#DIV/0!</v>
      </c>
      <c r="CG24" s="66" t="e">
        <f t="shared" si="26"/>
        <v>#DIV/0!</v>
      </c>
      <c r="CH24" s="66" t="e">
        <f t="shared" si="26"/>
        <v>#DIV/0!</v>
      </c>
      <c r="CI24" s="66" t="e">
        <f t="shared" si="26"/>
        <v>#DIV/0!</v>
      </c>
      <c r="CJ24" s="66" t="e">
        <f t="shared" si="26"/>
        <v>#DIV/0!</v>
      </c>
    </row>
    <row r="25" spans="1:89" s="22" customFormat="1" ht="42" customHeight="1">
      <c r="A25" s="167" t="s">
        <v>594</v>
      </c>
      <c r="B25" s="168"/>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row>
    <row r="27" spans="1:89" s="33" customFormat="1">
      <c r="A27" s="35" t="s">
        <v>383</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39447</v>
      </c>
      <c r="AR27" s="1">
        <v>39082</v>
      </c>
      <c r="AS27" s="1">
        <v>25569</v>
      </c>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33" customFormat="1">
      <c r="A28" s="33" t="s">
        <v>379</v>
      </c>
      <c r="E28" s="33">
        <f>股权价值增加表!E15</f>
        <v>562157568.32999992</v>
      </c>
      <c r="F28" s="33">
        <f>股权价值增加表!F15</f>
        <v>284282589.74000001</v>
      </c>
      <c r="G28" s="33">
        <f>股权价值增加表!G15</f>
        <v>188510752.72</v>
      </c>
      <c r="H28" s="33">
        <f>股权价值增加表!H15</f>
        <v>87873938.110000044</v>
      </c>
      <c r="I28" s="33">
        <f>股权价值增加表!I15</f>
        <v>529215483.66000021</v>
      </c>
      <c r="J28" s="33">
        <f>股权价值增加表!J15</f>
        <v>283001092.30999988</v>
      </c>
      <c r="K28" s="33">
        <f>股权价值增加表!K15</f>
        <v>199237146.22000006</v>
      </c>
      <c r="L28" s="33">
        <f>股权价值增加表!L15</f>
        <v>103181127.83999999</v>
      </c>
      <c r="M28" s="33">
        <f>股权价值增加表!M15</f>
        <v>453873250.42999995</v>
      </c>
      <c r="N28" s="33">
        <f>股权价值增加表!N15</f>
        <v>285317230.76999992</v>
      </c>
      <c r="O28" s="33">
        <f>股权价值增加表!O15</f>
        <v>209379038.97999996</v>
      </c>
      <c r="P28" s="33">
        <f>股权价值增加表!P15</f>
        <v>119776532.83999997</v>
      </c>
      <c r="Q28" s="33">
        <f>股权价值增加表!Q15</f>
        <v>463820769.41999984</v>
      </c>
      <c r="R28" s="33">
        <f>股权价值增加表!R15</f>
        <v>308483252.49000007</v>
      </c>
      <c r="S28" s="33">
        <f>股权价值增加表!S15</f>
        <v>201005489.76000002</v>
      </c>
      <c r="T28" s="33">
        <f>股权价值增加表!T15</f>
        <v>132055616.85999997</v>
      </c>
      <c r="U28" s="33">
        <f>股权价值增加表!U15</f>
        <v>400909684.53000003</v>
      </c>
      <c r="V28" s="33">
        <f>股权价值增加表!V15</f>
        <v>270027689.67999983</v>
      </c>
      <c r="W28" s="33">
        <f>股权价值增加表!W15</f>
        <v>176934881.96000007</v>
      </c>
      <c r="X28" s="33">
        <f>股权价值增加表!X15</f>
        <v>116071503.17999998</v>
      </c>
      <c r="Y28" s="33">
        <f>股权价值增加表!Y15</f>
        <v>342182165.74000001</v>
      </c>
      <c r="Z28" s="33">
        <f>股权价值增加表!Z15</f>
        <v>213794285.80000007</v>
      </c>
      <c r="AA28" s="33">
        <f>股权价值增加表!AA15</f>
        <v>143053153.85000002</v>
      </c>
      <c r="AB28" s="33">
        <f>股权价值增加表!AB15</f>
        <v>102478955.13999999</v>
      </c>
      <c r="AC28" s="33">
        <f>股权价值增加表!AC15</f>
        <v>261313569.26999998</v>
      </c>
      <c r="AD28" s="33">
        <f>股权价值增加表!AD15</f>
        <v>160607071.81</v>
      </c>
      <c r="AE28" s="33">
        <f>股权价值增加表!AE15</f>
        <v>108488847.78000006</v>
      </c>
      <c r="AF28" s="33">
        <f>股权价值增加表!AF15</f>
        <v>75984356.349999949</v>
      </c>
      <c r="AG28" s="33">
        <f>股权价值增加表!AG15</f>
        <v>150804519.74000004</v>
      </c>
      <c r="AH28" s="33">
        <f>股权价值增加表!AH15</f>
        <v>86831947.129999936</v>
      </c>
      <c r="AI28" s="33">
        <f>股权价值增加表!AI15</f>
        <v>60496316.420000002</v>
      </c>
      <c r="AJ28" s="33">
        <f>股权价值增加表!AJ15</f>
        <v>46137604.32</v>
      </c>
      <c r="AK28" s="33">
        <f>股权价值增加表!AK15</f>
        <v>110954948.48000002</v>
      </c>
      <c r="AL28" s="33">
        <f>股权价值增加表!AL15</f>
        <v>67540497.199999943</v>
      </c>
      <c r="AM28" s="33">
        <f>股权价值增加表!AM15</f>
        <v>46173978.68</v>
      </c>
      <c r="AN28" s="33">
        <f>股权价值增加表!AN15</f>
        <v>32442044.970000021</v>
      </c>
      <c r="AO28" s="33">
        <f>股权价值增加表!AO15</f>
        <v>84527025.859999985</v>
      </c>
      <c r="AP28" s="33">
        <f>股权价值增加表!AP15</f>
        <v>59493014.770000026</v>
      </c>
      <c r="AQ28" s="33">
        <f>股权价值增加表!AQ15</f>
        <v>69098633.860000014</v>
      </c>
      <c r="AR28" s="33">
        <f>股权价值增加表!AR15</f>
        <v>42177946.759999998</v>
      </c>
      <c r="AS28" s="33">
        <f>股权价值增加表!AS15</f>
        <v>0</v>
      </c>
      <c r="AT28" s="33">
        <f>股权价值增加表!AT15</f>
        <v>0</v>
      </c>
      <c r="AU28" s="33">
        <f>股权价值增加表!AU15</f>
        <v>0</v>
      </c>
      <c r="AV28" s="33">
        <f>股权价值增加表!AV15</f>
        <v>0</v>
      </c>
      <c r="AW28" s="33">
        <f>股权价值增加表!AW15</f>
        <v>0</v>
      </c>
      <c r="AX28" s="33">
        <f>股权价值增加表!AX15</f>
        <v>0</v>
      </c>
      <c r="AY28" s="33">
        <f>股权价值增加表!AY15</f>
        <v>0</v>
      </c>
      <c r="AZ28" s="33">
        <f>股权价值增加表!AZ15</f>
        <v>0</v>
      </c>
      <c r="BA28" s="33">
        <f>股权价值增加表!BA15</f>
        <v>0</v>
      </c>
      <c r="BB28" s="33">
        <f>股权价值增加表!BB15</f>
        <v>0</v>
      </c>
      <c r="BC28" s="33">
        <f>股权价值增加表!BC15</f>
        <v>0</v>
      </c>
      <c r="BD28" s="33">
        <f>股权价值增加表!BD15</f>
        <v>0</v>
      </c>
      <c r="BE28" s="33">
        <f>股权价值增加表!BE15</f>
        <v>0</v>
      </c>
      <c r="BF28" s="33">
        <f>股权价值增加表!BF15</f>
        <v>0</v>
      </c>
      <c r="BG28" s="33">
        <f>股权价值增加表!BG15</f>
        <v>0</v>
      </c>
      <c r="BH28" s="33">
        <f>股权价值增加表!BH15</f>
        <v>0</v>
      </c>
      <c r="BI28" s="33">
        <f>股权价值增加表!BI15</f>
        <v>0</v>
      </c>
      <c r="BJ28" s="33">
        <f>股权价值增加表!BJ15</f>
        <v>0</v>
      </c>
      <c r="BK28" s="33">
        <f>股权价值增加表!BK15</f>
        <v>0</v>
      </c>
      <c r="BL28" s="33">
        <f>股权价值增加表!BL15</f>
        <v>0</v>
      </c>
      <c r="BM28" s="33">
        <f>股权价值增加表!BM15</f>
        <v>0</v>
      </c>
      <c r="BN28" s="33">
        <f>股权价值增加表!BN15</f>
        <v>0</v>
      </c>
      <c r="BO28" s="33">
        <f>股权价值增加表!BO15</f>
        <v>0</v>
      </c>
      <c r="BP28" s="33">
        <f>股权价值增加表!BP15</f>
        <v>0</v>
      </c>
      <c r="BQ28" s="33">
        <f>股权价值增加表!BQ15</f>
        <v>0</v>
      </c>
      <c r="BR28" s="33">
        <f>股权价值增加表!BR15</f>
        <v>0</v>
      </c>
      <c r="BS28" s="33">
        <f>股权价值增加表!BS15</f>
        <v>0</v>
      </c>
      <c r="BT28" s="33">
        <f>股权价值增加表!BT15</f>
        <v>0</v>
      </c>
      <c r="BU28" s="33">
        <f>股权价值增加表!BU15</f>
        <v>0</v>
      </c>
      <c r="BV28" s="33">
        <f>股权价值增加表!BV15</f>
        <v>0</v>
      </c>
      <c r="BW28" s="33">
        <f>股权价值增加表!BW15</f>
        <v>0</v>
      </c>
      <c r="BX28" s="33">
        <f>股权价值增加表!BX15</f>
        <v>0</v>
      </c>
      <c r="BY28" s="33">
        <f>股权价值增加表!BY15</f>
        <v>0</v>
      </c>
      <c r="BZ28" s="33">
        <f>股权价值增加表!BZ15</f>
        <v>0</v>
      </c>
      <c r="CA28" s="33">
        <f>股权价值增加表!CA15</f>
        <v>0</v>
      </c>
      <c r="CB28" s="33">
        <f>股权价值增加表!CB15</f>
        <v>0</v>
      </c>
      <c r="CC28" s="33">
        <f>股权价值增加表!CC15</f>
        <v>0</v>
      </c>
      <c r="CD28" s="33">
        <f>股权价值增加表!CD15</f>
        <v>0</v>
      </c>
      <c r="CE28" s="33">
        <f>股权价值增加表!CE15</f>
        <v>0</v>
      </c>
      <c r="CF28" s="33">
        <f>股权价值增加表!CF15</f>
        <v>0</v>
      </c>
      <c r="CG28" s="33">
        <f>股权价值增加表!CG15</f>
        <v>0</v>
      </c>
      <c r="CH28" s="33">
        <f>股权价值增加表!CH15</f>
        <v>0</v>
      </c>
      <c r="CI28" s="33">
        <f>股权价值增加表!CI15</f>
        <v>0</v>
      </c>
      <c r="CJ28" s="33">
        <f>股权价值增加表!CJ15</f>
        <v>0</v>
      </c>
      <c r="CK28" s="33">
        <f>股权价值增加表!CK15</f>
        <v>0</v>
      </c>
    </row>
    <row r="29" spans="1:89" s="68" customFormat="1">
      <c r="A29" s="68" t="s">
        <v>384</v>
      </c>
      <c r="E29" s="68">
        <f t="shared" ref="E29:AJ29" si="27">E28/E34</f>
        <v>0.94352998680831623</v>
      </c>
      <c r="F29" s="68">
        <f t="shared" si="27"/>
        <v>0.92797016537576449</v>
      </c>
      <c r="G29" s="68">
        <f t="shared" si="27"/>
        <v>0.93410733097928278</v>
      </c>
      <c r="H29" s="68">
        <f t="shared" si="27"/>
        <v>0.87231601010628002</v>
      </c>
      <c r="I29" s="68">
        <f t="shared" si="27"/>
        <v>0.95019784090817783</v>
      </c>
      <c r="J29" s="68">
        <f t="shared" si="27"/>
        <v>0.92725449265147331</v>
      </c>
      <c r="K29" s="68">
        <f t="shared" si="27"/>
        <v>0.94059972305496975</v>
      </c>
      <c r="L29" s="68">
        <f t="shared" si="27"/>
        <v>0.93221123378742343</v>
      </c>
      <c r="M29" s="68">
        <f t="shared" si="27"/>
        <v>0.92386047321988551</v>
      </c>
      <c r="N29" s="68">
        <f t="shared" si="27"/>
        <v>0.93696173065446442</v>
      </c>
      <c r="O29" s="68">
        <f t="shared" si="27"/>
        <v>0.93490344198008235</v>
      </c>
      <c r="P29" s="68">
        <f t="shared" si="27"/>
        <v>0.96150964636330238</v>
      </c>
      <c r="Q29" s="68">
        <f t="shared" si="27"/>
        <v>0.94547047427344932</v>
      </c>
      <c r="R29" s="68">
        <f t="shared" si="27"/>
        <v>0.97887123574375712</v>
      </c>
      <c r="S29" s="68">
        <f t="shared" si="27"/>
        <v>0.98109602865073464</v>
      </c>
      <c r="T29" s="68">
        <f t="shared" si="27"/>
        <v>0.99418139369628034</v>
      </c>
      <c r="U29" s="68">
        <f t="shared" si="27"/>
        <v>0.94888288697609657</v>
      </c>
      <c r="V29" s="68">
        <f t="shared" si="27"/>
        <v>0.97713919664009696</v>
      </c>
      <c r="W29" s="68">
        <f t="shared" si="27"/>
        <v>0.99079259614377069</v>
      </c>
      <c r="X29" s="68">
        <f t="shared" si="27"/>
        <v>0.99898135551009093</v>
      </c>
      <c r="Y29" s="68">
        <f t="shared" si="27"/>
        <v>0.96976799720380713</v>
      </c>
      <c r="Z29" s="68">
        <f t="shared" si="27"/>
        <v>1</v>
      </c>
      <c r="AA29" s="68">
        <f t="shared" si="27"/>
        <v>1</v>
      </c>
      <c r="AB29" s="68">
        <f t="shared" si="27"/>
        <v>1</v>
      </c>
      <c r="AC29" s="68">
        <f t="shared" si="27"/>
        <v>0.95958243173856994</v>
      </c>
      <c r="AD29" s="68">
        <f t="shared" si="27"/>
        <v>1</v>
      </c>
      <c r="AE29" s="68">
        <f t="shared" si="27"/>
        <v>1</v>
      </c>
      <c r="AF29" s="68">
        <f t="shared" si="27"/>
        <v>1</v>
      </c>
      <c r="AG29" s="68">
        <f t="shared" si="27"/>
        <v>0.93253541792406558</v>
      </c>
      <c r="AH29" s="68">
        <f t="shared" si="27"/>
        <v>1</v>
      </c>
      <c r="AI29" s="68">
        <f t="shared" si="27"/>
        <v>1</v>
      </c>
      <c r="AJ29" s="68">
        <f t="shared" si="27"/>
        <v>1</v>
      </c>
      <c r="AK29" s="68">
        <f t="shared" ref="AK29:BP29" si="28">AK28/AK34</f>
        <v>0.9974937887472245</v>
      </c>
      <c r="AL29" s="68">
        <f t="shared" si="28"/>
        <v>0.99969910432989617</v>
      </c>
      <c r="AM29" s="68">
        <f t="shared" si="28"/>
        <v>1</v>
      </c>
      <c r="AN29" s="68">
        <f t="shared" si="28"/>
        <v>1</v>
      </c>
      <c r="AO29" s="68">
        <f t="shared" si="28"/>
        <v>1.00089631352298</v>
      </c>
      <c r="AP29" s="68">
        <f t="shared" si="28"/>
        <v>1</v>
      </c>
      <c r="AQ29" s="68">
        <f t="shared" si="28"/>
        <v>1.0010223901663238</v>
      </c>
      <c r="AR29" s="68">
        <f t="shared" si="28"/>
        <v>0.99135984778680508</v>
      </c>
      <c r="AS29" s="68" t="e">
        <f t="shared" si="28"/>
        <v>#DIV/0!</v>
      </c>
      <c r="AT29" s="68">
        <f t="shared" si="28"/>
        <v>0</v>
      </c>
      <c r="AU29" s="68">
        <f t="shared" si="28"/>
        <v>0</v>
      </c>
      <c r="AV29" s="68" t="e">
        <f t="shared" si="28"/>
        <v>#DIV/0!</v>
      </c>
      <c r="AW29" s="68">
        <f t="shared" si="28"/>
        <v>0</v>
      </c>
      <c r="AX29" s="68">
        <f t="shared" si="28"/>
        <v>0</v>
      </c>
      <c r="AY29" s="68">
        <f t="shared" si="28"/>
        <v>0</v>
      </c>
      <c r="AZ29" s="68">
        <f t="shared" si="28"/>
        <v>0</v>
      </c>
      <c r="BA29" s="68">
        <f t="shared" si="28"/>
        <v>0</v>
      </c>
      <c r="BB29" s="68">
        <f t="shared" si="28"/>
        <v>0</v>
      </c>
      <c r="BC29" s="68">
        <f t="shared" si="28"/>
        <v>0</v>
      </c>
      <c r="BD29" s="68">
        <f t="shared" si="28"/>
        <v>0</v>
      </c>
      <c r="BE29" s="68">
        <f t="shared" si="28"/>
        <v>0</v>
      </c>
      <c r="BF29" s="68">
        <f t="shared" si="28"/>
        <v>0</v>
      </c>
      <c r="BG29" s="68">
        <f t="shared" si="28"/>
        <v>0</v>
      </c>
      <c r="BH29" s="68">
        <f t="shared" si="28"/>
        <v>0</v>
      </c>
      <c r="BI29" s="68">
        <f t="shared" si="28"/>
        <v>0</v>
      </c>
      <c r="BJ29" s="68">
        <f t="shared" si="28"/>
        <v>0</v>
      </c>
      <c r="BK29" s="68">
        <f t="shared" si="28"/>
        <v>0</v>
      </c>
      <c r="BL29" s="68">
        <f t="shared" si="28"/>
        <v>0</v>
      </c>
      <c r="BM29" s="68">
        <f t="shared" si="28"/>
        <v>0</v>
      </c>
      <c r="BN29" s="68">
        <f t="shared" si="28"/>
        <v>0</v>
      </c>
      <c r="BO29" s="68">
        <f t="shared" si="28"/>
        <v>0</v>
      </c>
      <c r="BP29" s="68">
        <f t="shared" si="28"/>
        <v>0</v>
      </c>
      <c r="BQ29" s="68">
        <f t="shared" ref="BQ29:CK29" si="29">BQ28/BQ34</f>
        <v>0</v>
      </c>
      <c r="BR29" s="68">
        <f t="shared" si="29"/>
        <v>0</v>
      </c>
      <c r="BS29" s="68">
        <f t="shared" si="29"/>
        <v>0</v>
      </c>
      <c r="BT29" s="68">
        <f t="shared" si="29"/>
        <v>0</v>
      </c>
      <c r="BU29" s="68">
        <f t="shared" si="29"/>
        <v>0</v>
      </c>
      <c r="BV29" s="68">
        <f t="shared" si="29"/>
        <v>0</v>
      </c>
      <c r="BW29" s="68">
        <f t="shared" si="29"/>
        <v>0</v>
      </c>
      <c r="BX29" s="68">
        <f t="shared" si="29"/>
        <v>0</v>
      </c>
      <c r="BY29" s="68">
        <f t="shared" si="29"/>
        <v>0</v>
      </c>
      <c r="BZ29" s="68">
        <f t="shared" si="29"/>
        <v>0</v>
      </c>
      <c r="CA29" s="68">
        <f t="shared" si="29"/>
        <v>0</v>
      </c>
      <c r="CB29" s="68">
        <f t="shared" si="29"/>
        <v>0</v>
      </c>
      <c r="CC29" s="68">
        <f t="shared" si="29"/>
        <v>0</v>
      </c>
      <c r="CD29" s="68">
        <f t="shared" si="29"/>
        <v>0</v>
      </c>
      <c r="CE29" s="68">
        <f t="shared" si="29"/>
        <v>0</v>
      </c>
      <c r="CF29" s="68">
        <f t="shared" si="29"/>
        <v>0</v>
      </c>
      <c r="CG29" s="68" t="e">
        <f t="shared" si="29"/>
        <v>#DIV/0!</v>
      </c>
      <c r="CH29" s="68" t="e">
        <f t="shared" si="29"/>
        <v>#DIV/0!</v>
      </c>
      <c r="CI29" s="68" t="e">
        <f t="shared" si="29"/>
        <v>#DIV/0!</v>
      </c>
      <c r="CJ29" s="68" t="e">
        <f t="shared" si="29"/>
        <v>#DIV/0!</v>
      </c>
      <c r="CK29" s="68" t="e">
        <f t="shared" si="29"/>
        <v>#DIV/0!</v>
      </c>
    </row>
    <row r="30" spans="1:89" s="33" customFormat="1">
      <c r="A30" s="33" t="s">
        <v>380</v>
      </c>
      <c r="E30" s="33">
        <f>股权价值增加表!E20</f>
        <v>0</v>
      </c>
      <c r="F30" s="33">
        <f>股权价值增加表!F20</f>
        <v>0</v>
      </c>
      <c r="G30" s="33">
        <f>股权价值增加表!G20</f>
        <v>0</v>
      </c>
      <c r="H30" s="33">
        <f>股权价值增加表!H20</f>
        <v>0</v>
      </c>
      <c r="I30" s="33">
        <f>股权价值增加表!I20</f>
        <v>0</v>
      </c>
      <c r="J30" s="33">
        <f>股权价值增加表!J20</f>
        <v>0</v>
      </c>
      <c r="K30" s="33">
        <f>股权价值增加表!K20</f>
        <v>0</v>
      </c>
      <c r="L30" s="33">
        <f>股权价值增加表!L20</f>
        <v>0</v>
      </c>
      <c r="M30" s="33">
        <f>股权价值增加表!M20</f>
        <v>0</v>
      </c>
      <c r="N30" s="33">
        <f>股权价值增加表!N20</f>
        <v>0</v>
      </c>
      <c r="O30" s="33">
        <f>股权价值增加表!O20</f>
        <v>0</v>
      </c>
      <c r="P30" s="33">
        <f>股权价值增加表!P20</f>
        <v>0</v>
      </c>
      <c r="Q30" s="33">
        <f>股权价值增加表!Q20</f>
        <v>0</v>
      </c>
      <c r="R30" s="33">
        <f>股权价值增加表!R20</f>
        <v>0</v>
      </c>
      <c r="S30" s="33">
        <f>股权价值增加表!S20</f>
        <v>0</v>
      </c>
      <c r="T30" s="33">
        <f>股权价值增加表!T20</f>
        <v>0</v>
      </c>
      <c r="U30" s="33">
        <f>股权价值增加表!U20</f>
        <v>0</v>
      </c>
      <c r="V30" s="33">
        <f>股权价值增加表!V20</f>
        <v>0</v>
      </c>
      <c r="W30" s="33">
        <f>股权价值增加表!W20</f>
        <v>0</v>
      </c>
      <c r="X30" s="33">
        <f>股权价值增加表!X20</f>
        <v>0</v>
      </c>
      <c r="Y30" s="33">
        <f>股权价值增加表!Y20</f>
        <v>0</v>
      </c>
      <c r="Z30" s="33">
        <f>股权价值增加表!Z20</f>
        <v>0</v>
      </c>
      <c r="AA30" s="33">
        <f>股权价值增加表!AA20</f>
        <v>0</v>
      </c>
      <c r="AB30" s="33">
        <f>股权价值增加表!AB20</f>
        <v>0</v>
      </c>
      <c r="AC30" s="33">
        <f>股权价值增加表!AC20</f>
        <v>0</v>
      </c>
      <c r="AD30" s="33">
        <f>股权价值增加表!AD20</f>
        <v>0</v>
      </c>
      <c r="AE30" s="33">
        <f>股权价值增加表!AE20</f>
        <v>0</v>
      </c>
      <c r="AF30" s="33">
        <f>股权价值增加表!AF20</f>
        <v>0</v>
      </c>
      <c r="AG30" s="33">
        <f>股权价值增加表!AG20</f>
        <v>0</v>
      </c>
      <c r="AH30" s="33">
        <f>股权价值增加表!AH20</f>
        <v>0</v>
      </c>
      <c r="AI30" s="33">
        <f>股权价值增加表!AI20</f>
        <v>0</v>
      </c>
      <c r="AJ30" s="33">
        <f>股权价值增加表!AJ20</f>
        <v>0</v>
      </c>
      <c r="AK30" s="33">
        <f>股权价值增加表!AK20</f>
        <v>0</v>
      </c>
      <c r="AL30" s="33">
        <f>股权价值增加表!AL20</f>
        <v>0</v>
      </c>
      <c r="AM30" s="33">
        <f>股权价值增加表!AM20</f>
        <v>0</v>
      </c>
      <c r="AN30" s="33">
        <f>股权价值增加表!AN20</f>
        <v>0</v>
      </c>
      <c r="AO30" s="33">
        <f>股权价值增加表!AO20</f>
        <v>0</v>
      </c>
      <c r="AP30" s="33">
        <f>股权价值增加表!AP20</f>
        <v>0</v>
      </c>
      <c r="AQ30" s="33">
        <f>股权价值增加表!AQ20</f>
        <v>0</v>
      </c>
      <c r="AR30" s="33">
        <f>股权价值增加表!AR20</f>
        <v>0</v>
      </c>
      <c r="AS30" s="33">
        <f>股权价值增加表!AS20</f>
        <v>0</v>
      </c>
      <c r="AT30" s="33">
        <f>股权价值增加表!AT20</f>
        <v>0</v>
      </c>
      <c r="AU30" s="33">
        <f>股权价值增加表!AU20</f>
        <v>0</v>
      </c>
      <c r="AV30" s="33">
        <f>股权价值增加表!AV20</f>
        <v>0</v>
      </c>
      <c r="AW30" s="33">
        <f>股权价值增加表!AW20</f>
        <v>0</v>
      </c>
      <c r="AX30" s="33">
        <f>股权价值增加表!AX20</f>
        <v>0</v>
      </c>
      <c r="AY30" s="33">
        <f>股权价值增加表!AY20</f>
        <v>0</v>
      </c>
      <c r="AZ30" s="33">
        <f>股权价值增加表!AZ20</f>
        <v>0</v>
      </c>
      <c r="BA30" s="33">
        <f>股权价值增加表!BA20</f>
        <v>0</v>
      </c>
      <c r="BB30" s="33">
        <f>股权价值增加表!BB20</f>
        <v>0</v>
      </c>
      <c r="BC30" s="33">
        <f>股权价值增加表!BC20</f>
        <v>0</v>
      </c>
      <c r="BD30" s="33">
        <f>股权价值增加表!BD20</f>
        <v>0</v>
      </c>
      <c r="BE30" s="33">
        <f>股权价值增加表!BE20</f>
        <v>0</v>
      </c>
      <c r="BF30" s="33">
        <f>股权价值增加表!BF20</f>
        <v>0</v>
      </c>
      <c r="BG30" s="33">
        <f>股权价值增加表!BG20</f>
        <v>0</v>
      </c>
      <c r="BH30" s="33">
        <f>股权价值增加表!BH20</f>
        <v>0</v>
      </c>
      <c r="BI30" s="33">
        <f>股权价值增加表!BI20</f>
        <v>0</v>
      </c>
      <c r="BJ30" s="33">
        <f>股权价值增加表!BJ20</f>
        <v>0</v>
      </c>
      <c r="BK30" s="33">
        <f>股权价值增加表!BK20</f>
        <v>0</v>
      </c>
      <c r="BL30" s="33">
        <f>股权价值增加表!BL20</f>
        <v>0</v>
      </c>
      <c r="BM30" s="33">
        <f>股权价值增加表!BM20</f>
        <v>0</v>
      </c>
      <c r="BN30" s="33">
        <f>股权价值增加表!BN20</f>
        <v>0</v>
      </c>
      <c r="BO30" s="33">
        <f>股权价值增加表!BO20</f>
        <v>0</v>
      </c>
      <c r="BP30" s="33">
        <f>股权价值增加表!BP20</f>
        <v>0</v>
      </c>
      <c r="BQ30" s="33">
        <f>股权价值增加表!BQ20</f>
        <v>0</v>
      </c>
      <c r="BR30" s="33">
        <f>股权价值增加表!BR20</f>
        <v>0</v>
      </c>
      <c r="BS30" s="33">
        <f>股权价值增加表!BS20</f>
        <v>0</v>
      </c>
      <c r="BT30" s="33">
        <f>股权价值增加表!BT20</f>
        <v>0</v>
      </c>
      <c r="BU30" s="33">
        <f>股权价值增加表!BU20</f>
        <v>0</v>
      </c>
      <c r="BV30" s="33">
        <f>股权价值增加表!BV20</f>
        <v>0</v>
      </c>
      <c r="BW30" s="33">
        <f>股权价值增加表!BW20</f>
        <v>0</v>
      </c>
      <c r="BX30" s="33">
        <f>股权价值增加表!BX20</f>
        <v>0</v>
      </c>
      <c r="BY30" s="33">
        <f>股权价值增加表!BY20</f>
        <v>0</v>
      </c>
      <c r="BZ30" s="33">
        <f>股权价值增加表!BZ20</f>
        <v>0</v>
      </c>
      <c r="CA30" s="33">
        <f>股权价值增加表!CA20</f>
        <v>0</v>
      </c>
      <c r="CB30" s="33">
        <f>股权价值增加表!CB20</f>
        <v>0</v>
      </c>
      <c r="CC30" s="33">
        <f>股权价值增加表!CC20</f>
        <v>0</v>
      </c>
      <c r="CD30" s="33">
        <f>股权价值增加表!CD20</f>
        <v>0</v>
      </c>
      <c r="CE30" s="33">
        <f>股权价值增加表!CE20</f>
        <v>0</v>
      </c>
      <c r="CF30" s="33">
        <f>股权价值增加表!CF20</f>
        <v>0</v>
      </c>
      <c r="CG30" s="33">
        <f>股权价值增加表!CG20</f>
        <v>0</v>
      </c>
      <c r="CH30" s="33">
        <f>股权价值增加表!CH20</f>
        <v>0</v>
      </c>
      <c r="CI30" s="33">
        <f>股权价值增加表!CI20</f>
        <v>0</v>
      </c>
      <c r="CJ30" s="33">
        <f>股权价值增加表!CJ20</f>
        <v>0</v>
      </c>
    </row>
    <row r="31" spans="1:89" s="68" customFormat="1">
      <c r="A31" s="68" t="s">
        <v>385</v>
      </c>
      <c r="E31" s="68">
        <f>E30/E34</f>
        <v>0</v>
      </c>
      <c r="F31" s="68">
        <f t="shared" ref="F31:BQ31" si="30">F30/F34</f>
        <v>0</v>
      </c>
      <c r="G31" s="68">
        <f t="shared" si="30"/>
        <v>0</v>
      </c>
      <c r="H31" s="68">
        <f t="shared" si="30"/>
        <v>0</v>
      </c>
      <c r="I31" s="68">
        <f t="shared" si="30"/>
        <v>0</v>
      </c>
      <c r="J31" s="68">
        <f t="shared" si="30"/>
        <v>0</v>
      </c>
      <c r="K31" s="68">
        <f t="shared" si="30"/>
        <v>0</v>
      </c>
      <c r="L31" s="68">
        <f t="shared" si="30"/>
        <v>0</v>
      </c>
      <c r="M31" s="68">
        <f t="shared" si="30"/>
        <v>0</v>
      </c>
      <c r="N31" s="68">
        <f t="shared" si="30"/>
        <v>0</v>
      </c>
      <c r="O31" s="68">
        <f t="shared" si="30"/>
        <v>0</v>
      </c>
      <c r="P31" s="68">
        <f t="shared" si="30"/>
        <v>0</v>
      </c>
      <c r="Q31" s="68">
        <f t="shared" si="30"/>
        <v>0</v>
      </c>
      <c r="R31" s="68">
        <f t="shared" si="30"/>
        <v>0</v>
      </c>
      <c r="S31" s="68">
        <f t="shared" si="30"/>
        <v>0</v>
      </c>
      <c r="T31" s="68">
        <f t="shared" si="30"/>
        <v>0</v>
      </c>
      <c r="U31" s="68">
        <f t="shared" si="30"/>
        <v>0</v>
      </c>
      <c r="V31" s="68">
        <f t="shared" si="30"/>
        <v>0</v>
      </c>
      <c r="W31" s="68">
        <f t="shared" si="30"/>
        <v>0</v>
      </c>
      <c r="X31" s="68">
        <f t="shared" si="30"/>
        <v>0</v>
      </c>
      <c r="Y31" s="68">
        <f t="shared" si="30"/>
        <v>0</v>
      </c>
      <c r="Z31" s="68">
        <f t="shared" si="30"/>
        <v>0</v>
      </c>
      <c r="AA31" s="68">
        <f t="shared" si="30"/>
        <v>0</v>
      </c>
      <c r="AB31" s="68">
        <f t="shared" si="30"/>
        <v>0</v>
      </c>
      <c r="AC31" s="68">
        <f t="shared" si="30"/>
        <v>0</v>
      </c>
      <c r="AD31" s="68">
        <f t="shared" si="30"/>
        <v>0</v>
      </c>
      <c r="AE31" s="68">
        <f t="shared" si="30"/>
        <v>0</v>
      </c>
      <c r="AF31" s="68">
        <f t="shared" si="30"/>
        <v>0</v>
      </c>
      <c r="AG31" s="68">
        <f t="shared" si="30"/>
        <v>0</v>
      </c>
      <c r="AH31" s="68">
        <f t="shared" si="30"/>
        <v>0</v>
      </c>
      <c r="AI31" s="68">
        <f t="shared" si="30"/>
        <v>0</v>
      </c>
      <c r="AJ31" s="68">
        <f t="shared" si="30"/>
        <v>0</v>
      </c>
      <c r="AK31" s="68">
        <f t="shared" si="30"/>
        <v>0</v>
      </c>
      <c r="AL31" s="68">
        <f t="shared" si="30"/>
        <v>0</v>
      </c>
      <c r="AM31" s="68">
        <f t="shared" si="30"/>
        <v>0</v>
      </c>
      <c r="AN31" s="68">
        <f t="shared" si="30"/>
        <v>0</v>
      </c>
      <c r="AO31" s="68">
        <f t="shared" si="30"/>
        <v>0</v>
      </c>
      <c r="AP31" s="68">
        <f t="shared" si="30"/>
        <v>0</v>
      </c>
      <c r="AQ31" s="68">
        <f t="shared" si="30"/>
        <v>0</v>
      </c>
      <c r="AR31" s="68">
        <f t="shared" si="30"/>
        <v>0</v>
      </c>
      <c r="AS31" s="68" t="e">
        <f t="shared" si="30"/>
        <v>#DIV/0!</v>
      </c>
      <c r="AT31" s="68">
        <f t="shared" si="30"/>
        <v>0</v>
      </c>
      <c r="AU31" s="68">
        <f t="shared" si="30"/>
        <v>0</v>
      </c>
      <c r="AV31" s="68" t="e">
        <f t="shared" si="30"/>
        <v>#DIV/0!</v>
      </c>
      <c r="AW31" s="68">
        <f t="shared" si="30"/>
        <v>0</v>
      </c>
      <c r="AX31" s="68">
        <f t="shared" si="30"/>
        <v>0</v>
      </c>
      <c r="AY31" s="68">
        <f t="shared" si="30"/>
        <v>0</v>
      </c>
      <c r="AZ31" s="68">
        <f t="shared" si="30"/>
        <v>0</v>
      </c>
      <c r="BA31" s="68">
        <f t="shared" si="30"/>
        <v>0</v>
      </c>
      <c r="BB31" s="68">
        <f t="shared" si="30"/>
        <v>0</v>
      </c>
      <c r="BC31" s="68">
        <f t="shared" si="30"/>
        <v>0</v>
      </c>
      <c r="BD31" s="68">
        <f t="shared" si="30"/>
        <v>0</v>
      </c>
      <c r="BE31" s="68">
        <f t="shared" si="30"/>
        <v>0</v>
      </c>
      <c r="BF31" s="68">
        <f t="shared" si="30"/>
        <v>0</v>
      </c>
      <c r="BG31" s="68">
        <f t="shared" si="30"/>
        <v>0</v>
      </c>
      <c r="BH31" s="68">
        <f t="shared" si="30"/>
        <v>0</v>
      </c>
      <c r="BI31" s="68">
        <f t="shared" si="30"/>
        <v>0</v>
      </c>
      <c r="BJ31" s="68">
        <f t="shared" si="30"/>
        <v>0</v>
      </c>
      <c r="BK31" s="68">
        <f t="shared" si="30"/>
        <v>0</v>
      </c>
      <c r="BL31" s="68">
        <f t="shared" si="30"/>
        <v>0</v>
      </c>
      <c r="BM31" s="68">
        <f t="shared" si="30"/>
        <v>0</v>
      </c>
      <c r="BN31" s="68">
        <f t="shared" si="30"/>
        <v>0</v>
      </c>
      <c r="BO31" s="68">
        <f t="shared" si="30"/>
        <v>0</v>
      </c>
      <c r="BP31" s="68">
        <f t="shared" si="30"/>
        <v>0</v>
      </c>
      <c r="BQ31" s="68">
        <f t="shared" si="30"/>
        <v>0</v>
      </c>
      <c r="BR31" s="68">
        <f t="shared" ref="BR31:CK31" si="31">BR30/BR34</f>
        <v>0</v>
      </c>
      <c r="BS31" s="68">
        <f t="shared" si="31"/>
        <v>0</v>
      </c>
      <c r="BT31" s="68">
        <f t="shared" si="31"/>
        <v>0</v>
      </c>
      <c r="BU31" s="68">
        <f t="shared" si="31"/>
        <v>0</v>
      </c>
      <c r="BV31" s="68">
        <f t="shared" si="31"/>
        <v>0</v>
      </c>
      <c r="BW31" s="68">
        <f t="shared" si="31"/>
        <v>0</v>
      </c>
      <c r="BX31" s="68">
        <f t="shared" si="31"/>
        <v>0</v>
      </c>
      <c r="BY31" s="68">
        <f t="shared" si="31"/>
        <v>0</v>
      </c>
      <c r="BZ31" s="68">
        <f t="shared" si="31"/>
        <v>0</v>
      </c>
      <c r="CA31" s="68">
        <f t="shared" si="31"/>
        <v>0</v>
      </c>
      <c r="CB31" s="68">
        <f t="shared" si="31"/>
        <v>0</v>
      </c>
      <c r="CC31" s="68">
        <f t="shared" si="31"/>
        <v>0</v>
      </c>
      <c r="CD31" s="68">
        <f t="shared" si="31"/>
        <v>0</v>
      </c>
      <c r="CE31" s="68">
        <f t="shared" si="31"/>
        <v>0</v>
      </c>
      <c r="CF31" s="68">
        <f t="shared" si="31"/>
        <v>0</v>
      </c>
      <c r="CG31" s="68" t="e">
        <f t="shared" si="31"/>
        <v>#DIV/0!</v>
      </c>
      <c r="CH31" s="68" t="e">
        <f t="shared" si="31"/>
        <v>#DIV/0!</v>
      </c>
      <c r="CI31" s="68" t="e">
        <f t="shared" si="31"/>
        <v>#DIV/0!</v>
      </c>
      <c r="CJ31" s="68" t="e">
        <f t="shared" si="31"/>
        <v>#DIV/0!</v>
      </c>
      <c r="CK31" s="68" t="e">
        <f t="shared" si="31"/>
        <v>#DIV/0!</v>
      </c>
    </row>
    <row r="32" spans="1:89" s="33" customFormat="1">
      <c r="A32" s="33" t="s">
        <v>381</v>
      </c>
      <c r="E32" s="33">
        <f>股权价值增加表!E27</f>
        <v>33644977.630000003</v>
      </c>
      <c r="F32" s="33">
        <f>股权价值增加表!F27</f>
        <v>22066256.75</v>
      </c>
      <c r="G32" s="33">
        <f>股权价值增加表!G27</f>
        <v>13297697.41</v>
      </c>
      <c r="H32" s="33">
        <f>股权价值增加表!H27</f>
        <v>12862420.15</v>
      </c>
      <c r="I32" s="33">
        <f>股权价值增加表!I27</f>
        <v>27737459.059999999</v>
      </c>
      <c r="J32" s="33">
        <f>股权价值增加表!J27</f>
        <v>22202165.859999999</v>
      </c>
      <c r="K32" s="33">
        <f>股权价值增加表!K27</f>
        <v>12582123.27</v>
      </c>
      <c r="L32" s="33">
        <f>股权价值增加表!L27</f>
        <v>7503150.6799999997</v>
      </c>
      <c r="M32" s="33">
        <f>股权价值增加表!M27</f>
        <v>37405750.659999996</v>
      </c>
      <c r="N32" s="33">
        <f>股权价值增加表!N27</f>
        <v>19195986.190000001</v>
      </c>
      <c r="O32" s="33">
        <f>股权价值增加表!O27</f>
        <v>14578890.34</v>
      </c>
      <c r="P32" s="33">
        <f>股权价值增加表!P27</f>
        <v>4794794.4400000004</v>
      </c>
      <c r="Q32" s="33">
        <f>股权价值增加表!Q27</f>
        <v>26750625.500000004</v>
      </c>
      <c r="R32" s="33">
        <f>股权价值增加表!R27</f>
        <v>6658557</v>
      </c>
      <c r="S32" s="33">
        <f>股权价值增加表!S27</f>
        <v>3873017.43</v>
      </c>
      <c r="T32" s="33">
        <f>股权价值增加表!T27</f>
        <v>772876.71</v>
      </c>
      <c r="U32" s="33">
        <f>股权价值增加表!U27</f>
        <v>21597339.289999999</v>
      </c>
      <c r="V32" s="33">
        <f>股权价值增加表!V27</f>
        <v>6317472.4100000001</v>
      </c>
      <c r="W32" s="33">
        <f>股权价值增加表!W27</f>
        <v>1644250.19</v>
      </c>
      <c r="X32" s="33">
        <f>股权价值增加表!X27</f>
        <v>118356.16</v>
      </c>
      <c r="Y32" s="33">
        <f>股权价值增加表!Y27</f>
        <v>10667347.470000001</v>
      </c>
      <c r="Z32" s="33">
        <f>股权价值增加表!Z27</f>
        <v>0</v>
      </c>
      <c r="AA32" s="33">
        <f>股权价值增加表!AA27</f>
        <v>0</v>
      </c>
      <c r="AB32" s="33">
        <f>股权价值增加表!AB27</f>
        <v>0</v>
      </c>
      <c r="AC32" s="33">
        <f>股权价值增加表!AC27</f>
        <v>11006515.620000001</v>
      </c>
      <c r="AD32" s="33">
        <f>股权价值增加表!AD27</f>
        <v>0</v>
      </c>
      <c r="AE32" s="33">
        <f>股权价值增加表!AE27</f>
        <v>0</v>
      </c>
      <c r="AF32" s="33">
        <f>股权价值增加表!AF27</f>
        <v>0</v>
      </c>
      <c r="AG32" s="33">
        <f>股权价值增加表!AG27</f>
        <v>10910002.67</v>
      </c>
      <c r="AH32" s="33">
        <f>股权价值增加表!AH27</f>
        <v>0</v>
      </c>
      <c r="AI32" s="33">
        <f>股权价值增加表!AI27</f>
        <v>0</v>
      </c>
      <c r="AJ32" s="33">
        <f>股权价值增加表!AJ27</f>
        <v>0</v>
      </c>
      <c r="AK32" s="33">
        <f>股权价值增加表!AK27</f>
        <v>278775.20999999996</v>
      </c>
      <c r="AL32" s="33">
        <f>股权价值增加表!AL27</f>
        <v>20328.759999999998</v>
      </c>
      <c r="AM32" s="33">
        <f>股权价值增加表!AM27</f>
        <v>0</v>
      </c>
      <c r="AN32" s="33">
        <f>股权价值增加表!AN27</f>
        <v>0</v>
      </c>
      <c r="AO32" s="33">
        <f>股权价值增加表!AO27</f>
        <v>-75694.87</v>
      </c>
      <c r="AP32" s="33">
        <f>股权价值增加表!AP27</f>
        <v>0</v>
      </c>
      <c r="AQ32" s="33">
        <f>股权价值增加表!AQ27</f>
        <v>-70573.61</v>
      </c>
      <c r="AR32" s="33">
        <f>股权价值增加表!AR27</f>
        <v>367600</v>
      </c>
      <c r="AS32" s="33">
        <f>股权价值增加表!AS27</f>
        <v>0</v>
      </c>
      <c r="AT32" s="33">
        <f>股权价值增加表!AT27</f>
        <v>3145948.9100000262</v>
      </c>
      <c r="AU32" s="33">
        <f>股权价值增加表!AU27</f>
        <v>3221938.3999999762</v>
      </c>
      <c r="AV32" s="33">
        <f>股权价值增加表!AV27</f>
        <v>0</v>
      </c>
      <c r="AW32" s="33">
        <f>股权价值增加表!AW27</f>
        <v>106002085.7</v>
      </c>
      <c r="AX32" s="33">
        <f>股权价值增加表!AX27</f>
        <v>78146813.989999995</v>
      </c>
      <c r="AY32" s="33">
        <f>股权价值增加表!AY27</f>
        <v>31508275.550000001</v>
      </c>
      <c r="AZ32" s="33">
        <f>股权价值增加表!AZ27</f>
        <v>6818330.1399999997</v>
      </c>
      <c r="BA32" s="33">
        <f>股权价值增加表!BA27</f>
        <v>-52414533.450000003</v>
      </c>
      <c r="BB32" s="33">
        <f>股权价值增加表!BB27</f>
        <v>-47415743.689999998</v>
      </c>
      <c r="BC32" s="33">
        <f>股权价值增加表!BC27</f>
        <v>-4476487.08</v>
      </c>
      <c r="BD32" s="33">
        <f>股权价值增加表!BD27</f>
        <v>13731417.210000001</v>
      </c>
      <c r="BE32" s="33">
        <f>股权价值增加表!BE27</f>
        <v>74080792.579999998</v>
      </c>
      <c r="BF32" s="33">
        <f>股权价值增加表!BF27</f>
        <v>53634658.140000001</v>
      </c>
      <c r="BG32" s="33">
        <f>股权价值增加表!BG27</f>
        <v>44718368.039999999</v>
      </c>
      <c r="BH32" s="33">
        <f>股权价值增加表!BH27</f>
        <v>13012623.23</v>
      </c>
      <c r="BI32" s="33">
        <f>股权价值增加表!BI27</f>
        <v>129351232.81999999</v>
      </c>
      <c r="BJ32" s="33">
        <f>股权价值增加表!BJ27</f>
        <v>126231548.87</v>
      </c>
      <c r="BK32" s="33">
        <f>股权价值增加表!BK27</f>
        <v>99137772.019999996</v>
      </c>
      <c r="BL32" s="33">
        <f>股权价值增加表!BL27</f>
        <v>21058739.870000001</v>
      </c>
      <c r="BM32" s="33">
        <f>股权价值增加表!BM27</f>
        <v>80579243.650000006</v>
      </c>
      <c r="BN32" s="33">
        <f>股权价值增加表!BN27</f>
        <v>68017088.620000005</v>
      </c>
      <c r="BO32" s="33">
        <f>股权价值增加表!BO27</f>
        <v>47536007.049999997</v>
      </c>
      <c r="BP32" s="33">
        <f>股权价值增加表!BP27</f>
        <v>23536334.48</v>
      </c>
      <c r="BQ32" s="33">
        <f>股权价值增加表!BQ27</f>
        <v>47111894.539999999</v>
      </c>
      <c r="BR32" s="33">
        <f>股权价值增加表!BR27</f>
        <v>43130624.329999998</v>
      </c>
      <c r="BS32" s="33">
        <f>股权价值增加表!BS27</f>
        <v>110636895.03</v>
      </c>
      <c r="BT32" s="33">
        <f>股权价值增加表!BT27</f>
        <v>55492097.759999998</v>
      </c>
      <c r="BU32" s="33">
        <f>股权价值增加表!BU27</f>
        <v>42252799.109999999</v>
      </c>
      <c r="BV32" s="33">
        <f>股权价值增加表!BV27</f>
        <v>-8467811.9100000001</v>
      </c>
      <c r="BW32" s="33">
        <f>股权价值增加表!BW27</f>
        <v>44423828.259999998</v>
      </c>
      <c r="BX32" s="33">
        <f>股权价值增加表!BX27</f>
        <v>-2405395.41</v>
      </c>
      <c r="BY32" s="33">
        <f>股权价值增加表!BY27</f>
        <v>43588942.600000001</v>
      </c>
      <c r="BZ32" s="33">
        <f>股权价值增加表!BZ27</f>
        <v>2100000</v>
      </c>
      <c r="CA32" s="33">
        <f>股权价值增加表!CA27</f>
        <v>5299206.3</v>
      </c>
      <c r="CB32" s="33">
        <f>股权价值增加表!CB27</f>
        <v>3033836.53</v>
      </c>
      <c r="CC32" s="33">
        <f>股权价值增加表!CC27</f>
        <v>10641347.550000001</v>
      </c>
      <c r="CD32" s="33">
        <f>股权价值增加表!CD27</f>
        <v>5790000</v>
      </c>
      <c r="CE32" s="33">
        <f>股权价值增加表!CE27</f>
        <v>7729000</v>
      </c>
      <c r="CF32" s="33">
        <f>股权价值增加表!CF27</f>
        <v>2092581.44</v>
      </c>
      <c r="CG32" s="33">
        <f>股权价值增加表!CG27</f>
        <v>0</v>
      </c>
      <c r="CH32" s="33">
        <f>股权价值增加表!CH27</f>
        <v>0</v>
      </c>
      <c r="CI32" s="33">
        <f>股权价值增加表!CI27</f>
        <v>0</v>
      </c>
      <c r="CJ32" s="33">
        <f>股权价值增加表!CJ27</f>
        <v>0</v>
      </c>
      <c r="CK32" s="33">
        <f>股权价值增加表!CK27</f>
        <v>0</v>
      </c>
    </row>
    <row r="33" spans="1:89" s="68" customFormat="1">
      <c r="A33" s="68" t="s">
        <v>386</v>
      </c>
      <c r="E33" s="68">
        <f>E32/E34</f>
        <v>5.6470013191683821E-2</v>
      </c>
      <c r="F33" s="68">
        <f t="shared" ref="F33:BQ33" si="32">F32/F34</f>
        <v>7.202983462423547E-2</v>
      </c>
      <c r="G33" s="68">
        <f t="shared" si="32"/>
        <v>6.5892669020717193E-2</v>
      </c>
      <c r="H33" s="68">
        <f t="shared" si="32"/>
        <v>0.12768398989371996</v>
      </c>
      <c r="I33" s="68">
        <f t="shared" si="32"/>
        <v>4.9802159091822229E-2</v>
      </c>
      <c r="J33" s="68">
        <f t="shared" si="32"/>
        <v>7.2745507348526639E-2</v>
      </c>
      <c r="K33" s="68">
        <f t="shared" si="32"/>
        <v>5.9400276945030243E-2</v>
      </c>
      <c r="L33" s="68">
        <f t="shared" si="32"/>
        <v>6.7788766212576665E-2</v>
      </c>
      <c r="M33" s="68">
        <f t="shared" si="32"/>
        <v>7.6139526780114597E-2</v>
      </c>
      <c r="N33" s="68">
        <f t="shared" si="32"/>
        <v>6.3038269345535622E-2</v>
      </c>
      <c r="O33" s="68">
        <f t="shared" si="32"/>
        <v>6.5096558019917677E-2</v>
      </c>
      <c r="P33" s="68">
        <f t="shared" si="32"/>
        <v>3.8490353636697651E-2</v>
      </c>
      <c r="Q33" s="68">
        <f t="shared" si="32"/>
        <v>5.4529525726550718E-2</v>
      </c>
      <c r="R33" s="68">
        <f t="shared" si="32"/>
        <v>2.1128764256242827E-2</v>
      </c>
      <c r="S33" s="68">
        <f t="shared" si="32"/>
        <v>1.8903971349265275E-2</v>
      </c>
      <c r="T33" s="68">
        <f t="shared" si="32"/>
        <v>5.8186063037197495E-3</v>
      </c>
      <c r="U33" s="68">
        <f t="shared" si="32"/>
        <v>5.1117113023903427E-2</v>
      </c>
      <c r="V33" s="68">
        <f t="shared" si="32"/>
        <v>2.2860803359902971E-2</v>
      </c>
      <c r="W33" s="68">
        <f t="shared" si="32"/>
        <v>9.2074038562293421E-3</v>
      </c>
      <c r="X33" s="68">
        <f t="shared" si="32"/>
        <v>1.0186444899090625E-3</v>
      </c>
      <c r="Y33" s="68">
        <f t="shared" si="32"/>
        <v>3.0232002796192831E-2</v>
      </c>
      <c r="Z33" s="68">
        <f t="shared" si="32"/>
        <v>0</v>
      </c>
      <c r="AA33" s="68">
        <f t="shared" si="32"/>
        <v>0</v>
      </c>
      <c r="AB33" s="68">
        <f t="shared" si="32"/>
        <v>0</v>
      </c>
      <c r="AC33" s="68">
        <f t="shared" si="32"/>
        <v>4.0417568261430052E-2</v>
      </c>
      <c r="AD33" s="68">
        <f t="shared" si="32"/>
        <v>0</v>
      </c>
      <c r="AE33" s="68">
        <f t="shared" si="32"/>
        <v>0</v>
      </c>
      <c r="AF33" s="68">
        <f t="shared" si="32"/>
        <v>0</v>
      </c>
      <c r="AG33" s="68">
        <f t="shared" si="32"/>
        <v>6.7464582075934532E-2</v>
      </c>
      <c r="AH33" s="68">
        <f t="shared" si="32"/>
        <v>0</v>
      </c>
      <c r="AI33" s="68">
        <f t="shared" si="32"/>
        <v>0</v>
      </c>
      <c r="AJ33" s="68">
        <f t="shared" si="32"/>
        <v>0</v>
      </c>
      <c r="AK33" s="68">
        <f t="shared" si="32"/>
        <v>2.506211252775511E-3</v>
      </c>
      <c r="AL33" s="68">
        <f t="shared" si="32"/>
        <v>3.008956701037942E-4</v>
      </c>
      <c r="AM33" s="68">
        <f t="shared" si="32"/>
        <v>0</v>
      </c>
      <c r="AN33" s="68">
        <f t="shared" si="32"/>
        <v>0</v>
      </c>
      <c r="AO33" s="68">
        <f t="shared" si="32"/>
        <v>-8.9631352298003627E-4</v>
      </c>
      <c r="AP33" s="68">
        <f t="shared" si="32"/>
        <v>0</v>
      </c>
      <c r="AQ33" s="68">
        <f t="shared" si="32"/>
        <v>-1.0223901663237015E-3</v>
      </c>
      <c r="AR33" s="68">
        <f t="shared" si="32"/>
        <v>8.6401522131948749E-3</v>
      </c>
      <c r="AS33" s="68" t="e">
        <f t="shared" si="32"/>
        <v>#DIV/0!</v>
      </c>
      <c r="AT33" s="68">
        <f t="shared" si="32"/>
        <v>1</v>
      </c>
      <c r="AU33" s="68">
        <f t="shared" si="32"/>
        <v>1</v>
      </c>
      <c r="AV33" s="68" t="e">
        <f t="shared" si="32"/>
        <v>#DIV/0!</v>
      </c>
      <c r="AW33" s="68">
        <f t="shared" si="32"/>
        <v>1</v>
      </c>
      <c r="AX33" s="68">
        <f t="shared" si="32"/>
        <v>1</v>
      </c>
      <c r="AY33" s="68">
        <f t="shared" si="32"/>
        <v>1</v>
      </c>
      <c r="AZ33" s="68">
        <f t="shared" si="32"/>
        <v>1</v>
      </c>
      <c r="BA33" s="68">
        <f t="shared" si="32"/>
        <v>1</v>
      </c>
      <c r="BB33" s="68">
        <f t="shared" si="32"/>
        <v>1</v>
      </c>
      <c r="BC33" s="68">
        <f t="shared" si="32"/>
        <v>1</v>
      </c>
      <c r="BD33" s="68">
        <f t="shared" si="32"/>
        <v>1</v>
      </c>
      <c r="BE33" s="68">
        <f t="shared" si="32"/>
        <v>1</v>
      </c>
      <c r="BF33" s="68">
        <f t="shared" si="32"/>
        <v>1</v>
      </c>
      <c r="BG33" s="68">
        <f t="shared" si="32"/>
        <v>1</v>
      </c>
      <c r="BH33" s="68">
        <f t="shared" si="32"/>
        <v>1</v>
      </c>
      <c r="BI33" s="68">
        <f t="shared" si="32"/>
        <v>1</v>
      </c>
      <c r="BJ33" s="68">
        <f t="shared" si="32"/>
        <v>1</v>
      </c>
      <c r="BK33" s="68">
        <f t="shared" si="32"/>
        <v>1</v>
      </c>
      <c r="BL33" s="68">
        <f t="shared" si="32"/>
        <v>1</v>
      </c>
      <c r="BM33" s="68">
        <f t="shared" si="32"/>
        <v>1</v>
      </c>
      <c r="BN33" s="68">
        <f t="shared" si="32"/>
        <v>1</v>
      </c>
      <c r="BO33" s="68">
        <f t="shared" si="32"/>
        <v>1</v>
      </c>
      <c r="BP33" s="68">
        <f t="shared" si="32"/>
        <v>1</v>
      </c>
      <c r="BQ33" s="68">
        <f t="shared" si="32"/>
        <v>1</v>
      </c>
      <c r="BR33" s="68">
        <f t="shared" ref="BR33:CJ33" si="33">BR32/BR34</f>
        <v>1</v>
      </c>
      <c r="BS33" s="68">
        <f t="shared" si="33"/>
        <v>1</v>
      </c>
      <c r="BT33" s="68">
        <f t="shared" si="33"/>
        <v>1</v>
      </c>
      <c r="BU33" s="68">
        <f t="shared" si="33"/>
        <v>1</v>
      </c>
      <c r="BV33" s="68">
        <f t="shared" si="33"/>
        <v>1</v>
      </c>
      <c r="BW33" s="68">
        <f t="shared" si="33"/>
        <v>1</v>
      </c>
      <c r="BX33" s="68">
        <f t="shared" si="33"/>
        <v>1</v>
      </c>
      <c r="BY33" s="68">
        <f t="shared" si="33"/>
        <v>1</v>
      </c>
      <c r="BZ33" s="68">
        <f t="shared" si="33"/>
        <v>1</v>
      </c>
      <c r="CA33" s="68">
        <f t="shared" si="33"/>
        <v>1</v>
      </c>
      <c r="CB33" s="68">
        <f t="shared" si="33"/>
        <v>1</v>
      </c>
      <c r="CC33" s="68">
        <f t="shared" si="33"/>
        <v>1</v>
      </c>
      <c r="CD33" s="68">
        <f t="shared" si="33"/>
        <v>1</v>
      </c>
      <c r="CE33" s="68">
        <f t="shared" si="33"/>
        <v>1</v>
      </c>
      <c r="CF33" s="68">
        <f t="shared" si="33"/>
        <v>1</v>
      </c>
      <c r="CG33" s="68" t="e">
        <f t="shared" si="33"/>
        <v>#DIV/0!</v>
      </c>
      <c r="CH33" s="68" t="e">
        <f t="shared" si="33"/>
        <v>#DIV/0!</v>
      </c>
      <c r="CI33" s="68" t="e">
        <f t="shared" si="33"/>
        <v>#DIV/0!</v>
      </c>
      <c r="CJ33" s="68" t="e">
        <f t="shared" si="33"/>
        <v>#DIV/0!</v>
      </c>
    </row>
    <row r="34" spans="1:89" s="67" customFormat="1">
      <c r="A34" s="67" t="s">
        <v>382</v>
      </c>
      <c r="E34" s="67">
        <f>股权价值增加表!E31</f>
        <v>595802545.95999992</v>
      </c>
      <c r="F34" s="67">
        <f>股权价值增加表!F31</f>
        <v>306348846.49000001</v>
      </c>
      <c r="G34" s="67">
        <f>股权价值增加表!G31</f>
        <v>201808450.13</v>
      </c>
      <c r="H34" s="67">
        <f>股权价值增加表!H31</f>
        <v>100736358.26000005</v>
      </c>
      <c r="I34" s="67">
        <f>股权价值增加表!I31</f>
        <v>556952942.72000015</v>
      </c>
      <c r="J34" s="67">
        <f>股权价值增加表!J31</f>
        <v>305203258.1699999</v>
      </c>
      <c r="K34" s="67">
        <f>股权价值增加表!K31</f>
        <v>211819269.49000007</v>
      </c>
      <c r="L34" s="67">
        <f>股权价值增加表!L31</f>
        <v>110684278.51999998</v>
      </c>
      <c r="M34" s="67">
        <f>股权价值增加表!M31</f>
        <v>491279001.08999991</v>
      </c>
      <c r="N34" s="67">
        <f>股权价值增加表!N31</f>
        <v>304513216.95999992</v>
      </c>
      <c r="O34" s="67">
        <f>股权价值增加表!O31</f>
        <v>223957929.31999996</v>
      </c>
      <c r="P34" s="67">
        <f>股权价值增加表!P31</f>
        <v>124571327.27999997</v>
      </c>
      <c r="Q34" s="67">
        <f>股权价值增加表!Q31</f>
        <v>490571394.91999984</v>
      </c>
      <c r="R34" s="67">
        <f>股权价值增加表!R31</f>
        <v>315141809.49000007</v>
      </c>
      <c r="S34" s="67">
        <f>股权价值增加表!S31</f>
        <v>204878507.19000003</v>
      </c>
      <c r="T34" s="67">
        <f>股权价值增加表!T31</f>
        <v>132828493.56999996</v>
      </c>
      <c r="U34" s="67">
        <f>股权价值增加表!U31</f>
        <v>422507023.82000005</v>
      </c>
      <c r="V34" s="67">
        <f>股权价值增加表!V31</f>
        <v>276345162.08999985</v>
      </c>
      <c r="W34" s="67">
        <f>股权价值增加表!W31</f>
        <v>178579132.15000007</v>
      </c>
      <c r="X34" s="67">
        <f>股权价值增加表!X31</f>
        <v>116189859.33999997</v>
      </c>
      <c r="Y34" s="67">
        <f>股权价值增加表!Y31</f>
        <v>352849513.21000004</v>
      </c>
      <c r="Z34" s="67">
        <f>股权价值增加表!Z31</f>
        <v>213794285.80000007</v>
      </c>
      <c r="AA34" s="67">
        <f>股权价值增加表!AA31</f>
        <v>143053153.85000002</v>
      </c>
      <c r="AB34" s="67">
        <f>股权价值增加表!AB31</f>
        <v>102478955.13999999</v>
      </c>
      <c r="AC34" s="67">
        <f>股权价值增加表!AC31</f>
        <v>272320084.88999999</v>
      </c>
      <c r="AD34" s="67">
        <f>股权价值增加表!AD31</f>
        <v>160607071.81</v>
      </c>
      <c r="AE34" s="67">
        <f>股权价值增加表!AE31</f>
        <v>108488847.78000006</v>
      </c>
      <c r="AF34" s="67">
        <f>股权价值增加表!AF31</f>
        <v>75984356.349999949</v>
      </c>
      <c r="AG34" s="67">
        <f>股权价值增加表!AG31</f>
        <v>161714522.41000003</v>
      </c>
      <c r="AH34" s="67">
        <f>股权价值增加表!AH31</f>
        <v>86831947.129999936</v>
      </c>
      <c r="AI34" s="67">
        <f>股权价值增加表!AI31</f>
        <v>60496316.420000002</v>
      </c>
      <c r="AJ34" s="67">
        <f>股权价值增加表!AJ31</f>
        <v>46137604.32</v>
      </c>
      <c r="AK34" s="67">
        <f>股权价值增加表!AK31</f>
        <v>111233723.69000001</v>
      </c>
      <c r="AL34" s="67">
        <f>股权价值增加表!AL31</f>
        <v>67560825.959999949</v>
      </c>
      <c r="AM34" s="67">
        <f>股权价值增加表!AM31</f>
        <v>46173978.68</v>
      </c>
      <c r="AN34" s="67">
        <f>股权价值增加表!AN31</f>
        <v>32442044.970000021</v>
      </c>
      <c r="AO34" s="67">
        <f>股权价值增加表!AO31</f>
        <v>84451330.98999998</v>
      </c>
      <c r="AP34" s="67">
        <f>股权价值增加表!AP31</f>
        <v>59493014.770000026</v>
      </c>
      <c r="AQ34" s="67">
        <f>股权价值增加表!AQ31</f>
        <v>69028060.250000015</v>
      </c>
      <c r="AR34" s="67">
        <f>股权价值增加表!AR31</f>
        <v>42545546.759999998</v>
      </c>
      <c r="AS34" s="67">
        <f>股权价值增加表!AS31</f>
        <v>0</v>
      </c>
      <c r="AT34" s="67">
        <f>股权价值增加表!AT31</f>
        <v>3145948.9100000262</v>
      </c>
      <c r="AU34" s="67">
        <f>股权价值增加表!AU31</f>
        <v>3221938.3999999762</v>
      </c>
      <c r="AV34" s="67">
        <f>股权价值增加表!AV31</f>
        <v>0</v>
      </c>
      <c r="AW34" s="67">
        <f>股权价值增加表!AW31</f>
        <v>106002085.7</v>
      </c>
      <c r="AX34" s="67">
        <f>股权价值增加表!AX31</f>
        <v>78146813.989999995</v>
      </c>
      <c r="AY34" s="67">
        <f>股权价值增加表!AY31</f>
        <v>31508275.550000001</v>
      </c>
      <c r="AZ34" s="67">
        <f>股权价值增加表!AZ31</f>
        <v>6818330.1399999997</v>
      </c>
      <c r="BA34" s="67">
        <f>股权价值增加表!BA31</f>
        <v>-52414533.450000003</v>
      </c>
      <c r="BB34" s="67">
        <f>股权价值增加表!BB31</f>
        <v>-47415743.689999998</v>
      </c>
      <c r="BC34" s="67">
        <f>股权价值增加表!BC31</f>
        <v>-4476487.08</v>
      </c>
      <c r="BD34" s="67">
        <f>股权价值增加表!BD31</f>
        <v>13731417.210000001</v>
      </c>
      <c r="BE34" s="67">
        <f>股权价值增加表!BE31</f>
        <v>74080792.579999998</v>
      </c>
      <c r="BF34" s="67">
        <f>股权价值增加表!BF31</f>
        <v>53634658.140000001</v>
      </c>
      <c r="BG34" s="67">
        <f>股权价值增加表!BG31</f>
        <v>44718368.039999999</v>
      </c>
      <c r="BH34" s="67">
        <f>股权价值增加表!BH31</f>
        <v>13012623.23</v>
      </c>
      <c r="BI34" s="67">
        <f>股权价值增加表!BI31</f>
        <v>129351232.81999999</v>
      </c>
      <c r="BJ34" s="67">
        <f>股权价值增加表!BJ31</f>
        <v>126231548.87</v>
      </c>
      <c r="BK34" s="67">
        <f>股权价值增加表!BK31</f>
        <v>99137772.019999996</v>
      </c>
      <c r="BL34" s="67">
        <f>股权价值增加表!BL31</f>
        <v>21058739.870000001</v>
      </c>
      <c r="BM34" s="67">
        <f>股权价值增加表!BM31</f>
        <v>80579243.650000006</v>
      </c>
      <c r="BN34" s="67">
        <f>股权价值增加表!BN31</f>
        <v>68017088.620000005</v>
      </c>
      <c r="BO34" s="67">
        <f>股权价值增加表!BO31</f>
        <v>47536007.049999997</v>
      </c>
      <c r="BP34" s="67">
        <f>股权价值增加表!BP31</f>
        <v>23536334.48</v>
      </c>
      <c r="BQ34" s="67">
        <f>股权价值增加表!BQ31</f>
        <v>47111894.539999999</v>
      </c>
      <c r="BR34" s="67">
        <f>股权价值增加表!BR31</f>
        <v>43130624.329999998</v>
      </c>
      <c r="BS34" s="67">
        <f>股权价值增加表!BS31</f>
        <v>110636895.03</v>
      </c>
      <c r="BT34" s="67">
        <f>股权价值增加表!BT31</f>
        <v>55492097.759999998</v>
      </c>
      <c r="BU34" s="67">
        <f>股权价值增加表!BU31</f>
        <v>42252799.109999999</v>
      </c>
      <c r="BV34" s="67">
        <f>股权价值增加表!BV31</f>
        <v>-8467811.9100000001</v>
      </c>
      <c r="BW34" s="67">
        <f>股权价值增加表!BW31</f>
        <v>44423828.259999998</v>
      </c>
      <c r="BX34" s="67">
        <f>股权价值增加表!BX31</f>
        <v>-2405395.41</v>
      </c>
      <c r="BY34" s="67">
        <f>股权价值增加表!BY31</f>
        <v>43588942.600000001</v>
      </c>
      <c r="BZ34" s="67">
        <f>股权价值增加表!BZ31</f>
        <v>2100000</v>
      </c>
      <c r="CA34" s="67">
        <f>股权价值增加表!CA31</f>
        <v>5299206.3</v>
      </c>
      <c r="CB34" s="67">
        <f>股权价值增加表!CB31</f>
        <v>3033836.53</v>
      </c>
      <c r="CC34" s="67">
        <f>股权价值增加表!CC31</f>
        <v>10641347.550000001</v>
      </c>
      <c r="CD34" s="67">
        <f>股权价值增加表!CD31</f>
        <v>5790000</v>
      </c>
      <c r="CE34" s="67">
        <f>股权价值增加表!CE31</f>
        <v>7729000</v>
      </c>
      <c r="CF34" s="67">
        <f>股权价值增加表!CF31</f>
        <v>2092581.44</v>
      </c>
      <c r="CG34" s="67">
        <f>股权价值增加表!CG31</f>
        <v>0</v>
      </c>
      <c r="CH34" s="67">
        <f>股权价值增加表!CH31</f>
        <v>0</v>
      </c>
      <c r="CI34" s="67">
        <f>股权价值增加表!CI31</f>
        <v>0</v>
      </c>
      <c r="CJ34" s="67">
        <f>股权价值增加表!CJ31</f>
        <v>0</v>
      </c>
      <c r="CK34" s="67">
        <f>股权价值增加表!CK31</f>
        <v>0</v>
      </c>
    </row>
    <row r="35" spans="1:89" s="22" customFormat="1" ht="37.5" customHeight="1">
      <c r="A35" s="167" t="s">
        <v>595</v>
      </c>
      <c r="B35" s="168"/>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row>
    <row r="38" spans="1:89">
      <c r="A38" s="2" t="s">
        <v>387</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t="s">
        <v>382</v>
      </c>
      <c r="E39">
        <f>股权价值增加表!E31</f>
        <v>595802545.95999992</v>
      </c>
      <c r="F39" s="48">
        <f>股权价值增加表!F31</f>
        <v>306348846.49000001</v>
      </c>
      <c r="G39" s="48">
        <f>股权价值增加表!G31</f>
        <v>201808450.13</v>
      </c>
      <c r="H39" s="48">
        <f>股权价值增加表!H31</f>
        <v>100736358.26000005</v>
      </c>
      <c r="I39" s="48">
        <f>股权价值增加表!I31</f>
        <v>556952942.72000015</v>
      </c>
      <c r="J39" s="48">
        <f>股权价值增加表!J31</f>
        <v>305203258.1699999</v>
      </c>
      <c r="K39" s="48">
        <f>股权价值增加表!K31</f>
        <v>211819269.49000007</v>
      </c>
      <c r="L39" s="48">
        <f>股权价值增加表!L31</f>
        <v>110684278.51999998</v>
      </c>
      <c r="M39" s="48">
        <f>股权价值增加表!M31</f>
        <v>491279001.08999991</v>
      </c>
      <c r="N39" s="48">
        <f>股权价值增加表!N31</f>
        <v>304513216.95999992</v>
      </c>
      <c r="O39" s="48">
        <f>股权价值增加表!O31</f>
        <v>223957929.31999996</v>
      </c>
      <c r="P39" s="48">
        <f>股权价值增加表!P31</f>
        <v>124571327.27999997</v>
      </c>
      <c r="Q39" s="48">
        <f>股权价值增加表!Q31</f>
        <v>490571394.91999984</v>
      </c>
      <c r="R39" s="48">
        <f>股权价值增加表!R31</f>
        <v>315141809.49000007</v>
      </c>
      <c r="S39" s="48">
        <f>股权价值增加表!S31</f>
        <v>204878507.19000003</v>
      </c>
      <c r="T39" s="48">
        <f>股权价值增加表!T31</f>
        <v>132828493.56999996</v>
      </c>
      <c r="U39" s="48">
        <f>股权价值增加表!U31</f>
        <v>422507023.82000005</v>
      </c>
      <c r="V39" s="48">
        <f>股权价值增加表!V31</f>
        <v>276345162.08999985</v>
      </c>
      <c r="W39" s="48">
        <f>股权价值增加表!W31</f>
        <v>178579132.15000007</v>
      </c>
      <c r="X39" s="48">
        <f>股权价值增加表!X31</f>
        <v>116189859.33999997</v>
      </c>
      <c r="Y39" s="48">
        <f>股权价值增加表!Y31</f>
        <v>352849513.21000004</v>
      </c>
      <c r="Z39" s="48">
        <f>股权价值增加表!Z31</f>
        <v>213794285.80000007</v>
      </c>
      <c r="AA39" s="48">
        <f>股权价值增加表!AA31</f>
        <v>143053153.85000002</v>
      </c>
      <c r="AB39" s="48">
        <f>股权价值增加表!AB31</f>
        <v>102478955.13999999</v>
      </c>
      <c r="AC39" s="48">
        <f>股权价值增加表!AC31</f>
        <v>272320084.88999999</v>
      </c>
      <c r="AD39" s="48">
        <f>股权价值增加表!AD31</f>
        <v>160607071.81</v>
      </c>
      <c r="AE39" s="48">
        <f>股权价值增加表!AE31</f>
        <v>108488847.78000006</v>
      </c>
      <c r="AF39" s="48">
        <f>股权价值增加表!AF31</f>
        <v>75984356.349999949</v>
      </c>
      <c r="AG39" s="48">
        <f>股权价值增加表!AG31</f>
        <v>161714522.41000003</v>
      </c>
      <c r="AH39" s="48">
        <f>股权价值增加表!AH31</f>
        <v>86831947.129999936</v>
      </c>
      <c r="AI39" s="48">
        <f>股权价值增加表!AI31</f>
        <v>60496316.420000002</v>
      </c>
      <c r="AJ39" s="48">
        <f>股权价值增加表!AJ31</f>
        <v>46137604.32</v>
      </c>
      <c r="AK39" s="48">
        <f>股权价值增加表!AK31</f>
        <v>111233723.69000001</v>
      </c>
      <c r="AL39" s="48">
        <f>股权价值增加表!AL31</f>
        <v>67560825.959999949</v>
      </c>
      <c r="AM39" s="48">
        <f>股权价值增加表!AM31</f>
        <v>46173978.68</v>
      </c>
      <c r="AN39" s="48">
        <f>股权价值增加表!AN31</f>
        <v>32442044.970000021</v>
      </c>
      <c r="AO39" s="48">
        <f>股权价值增加表!AO31</f>
        <v>84451330.98999998</v>
      </c>
      <c r="AP39" s="48">
        <f>股权价值增加表!AP31</f>
        <v>59493014.770000026</v>
      </c>
      <c r="AQ39" s="48">
        <f>股权价值增加表!AQ31</f>
        <v>69028060.250000015</v>
      </c>
      <c r="AR39" s="48">
        <f>股权价值增加表!AR31</f>
        <v>42545546.759999998</v>
      </c>
      <c r="AS39" s="48">
        <f>股权价值增加表!AS31</f>
        <v>0</v>
      </c>
      <c r="AT39" s="48">
        <f>股权价值增加表!AT31</f>
        <v>3145948.9100000262</v>
      </c>
      <c r="AU39" s="48">
        <f>股权价值增加表!AU31</f>
        <v>3221938.3999999762</v>
      </c>
      <c r="AV39" s="48">
        <f>股权价值增加表!AV31</f>
        <v>0</v>
      </c>
      <c r="AW39" s="48">
        <f>股权价值增加表!AW31</f>
        <v>106002085.7</v>
      </c>
      <c r="AX39" s="48">
        <f>股权价值增加表!AX31</f>
        <v>78146813.989999995</v>
      </c>
      <c r="AY39" s="48">
        <f>股权价值增加表!AY31</f>
        <v>31508275.550000001</v>
      </c>
      <c r="AZ39" s="48">
        <f>股权价值增加表!AZ31</f>
        <v>6818330.1399999997</v>
      </c>
      <c r="BA39" s="48">
        <f>股权价值增加表!BA31</f>
        <v>-52414533.450000003</v>
      </c>
      <c r="BB39" s="48">
        <f>股权价值增加表!BB31</f>
        <v>-47415743.689999998</v>
      </c>
      <c r="BC39" s="48">
        <f>股权价值增加表!BC31</f>
        <v>-4476487.08</v>
      </c>
      <c r="BD39" s="48">
        <f>股权价值增加表!BD31</f>
        <v>13731417.210000001</v>
      </c>
      <c r="BE39" s="48">
        <f>股权价值增加表!BE31</f>
        <v>74080792.579999998</v>
      </c>
      <c r="BF39" s="48">
        <f>股权价值增加表!BF31</f>
        <v>53634658.140000001</v>
      </c>
      <c r="BG39" s="48">
        <f>股权价值增加表!BG31</f>
        <v>44718368.039999999</v>
      </c>
      <c r="BH39" s="48">
        <f>股权价值增加表!BH31</f>
        <v>13012623.23</v>
      </c>
      <c r="BI39" s="48">
        <f>股权价值增加表!BI31</f>
        <v>129351232.81999999</v>
      </c>
      <c r="BJ39" s="48">
        <f>股权价值增加表!BJ31</f>
        <v>126231548.87</v>
      </c>
      <c r="BK39" s="48">
        <f>股权价值增加表!BK31</f>
        <v>99137772.019999996</v>
      </c>
      <c r="BL39" s="48">
        <f>股权价值增加表!BL31</f>
        <v>21058739.870000001</v>
      </c>
      <c r="BM39" s="48">
        <f>股权价值增加表!BM31</f>
        <v>80579243.650000006</v>
      </c>
      <c r="BN39" s="48">
        <f>股权价值增加表!BN31</f>
        <v>68017088.620000005</v>
      </c>
      <c r="BO39" s="48">
        <f>股权价值增加表!BO31</f>
        <v>47536007.049999997</v>
      </c>
      <c r="BP39" s="48">
        <f>股权价值增加表!BP31</f>
        <v>23536334.48</v>
      </c>
      <c r="BQ39" s="48">
        <f>股权价值增加表!BQ31</f>
        <v>47111894.539999999</v>
      </c>
      <c r="BR39" s="48">
        <f>股权价值增加表!BR31</f>
        <v>43130624.329999998</v>
      </c>
      <c r="BS39" s="48">
        <f>股权价值增加表!BS31</f>
        <v>110636895.03</v>
      </c>
      <c r="BT39" s="48">
        <f>股权价值增加表!BT31</f>
        <v>55492097.759999998</v>
      </c>
      <c r="BU39" s="48">
        <f>股权价值增加表!BU31</f>
        <v>42252799.109999999</v>
      </c>
      <c r="BV39" s="48">
        <f>股权价值增加表!BV31</f>
        <v>-8467811.9100000001</v>
      </c>
      <c r="BW39" s="48">
        <f>股权价值增加表!BW31</f>
        <v>44423828.259999998</v>
      </c>
      <c r="BX39" s="48">
        <f>股权价值增加表!BX31</f>
        <v>-2405395.41</v>
      </c>
      <c r="BY39" s="48">
        <f>股权价值增加表!BY31</f>
        <v>43588942.600000001</v>
      </c>
      <c r="BZ39" s="48">
        <f>股权价值增加表!BZ31</f>
        <v>2100000</v>
      </c>
      <c r="CA39" s="48">
        <f>股权价值增加表!CA31</f>
        <v>5299206.3</v>
      </c>
      <c r="CB39" s="48">
        <f>股权价值增加表!CB31</f>
        <v>3033836.53</v>
      </c>
      <c r="CC39" s="48">
        <f>股权价值增加表!CC31</f>
        <v>10641347.550000001</v>
      </c>
      <c r="CD39" s="48">
        <f>股权价值增加表!CD31</f>
        <v>5790000</v>
      </c>
      <c r="CE39" s="48">
        <f>股权价值增加表!CE31</f>
        <v>7729000</v>
      </c>
      <c r="CF39" s="48">
        <f>股权价值增加表!CF31</f>
        <v>2092581.44</v>
      </c>
      <c r="CG39" s="48">
        <f>股权价值增加表!CG31</f>
        <v>0</v>
      </c>
      <c r="CH39" s="48">
        <f>股权价值增加表!CH31</f>
        <v>0</v>
      </c>
      <c r="CI39" s="48">
        <f>股权价值增加表!CI31</f>
        <v>0</v>
      </c>
      <c r="CJ39" s="48">
        <f>股权价值增加表!CJ31</f>
        <v>0</v>
      </c>
    </row>
    <row r="40" spans="1:89">
      <c r="A40" t="s">
        <v>388</v>
      </c>
      <c r="E40">
        <f>股权价值增加表!E38</f>
        <v>593498761.80999994</v>
      </c>
      <c r="F40" s="48">
        <f>股权价值增加表!F38</f>
        <v>307614050.05000001</v>
      </c>
      <c r="G40" s="48">
        <f>股权价值增加表!G38</f>
        <v>202497021.28999999</v>
      </c>
      <c r="H40" s="48">
        <f>股权价值增加表!H38</f>
        <v>101595590.35000005</v>
      </c>
      <c r="I40" s="48">
        <f>股权价值增加表!I38</f>
        <v>555115988.35000014</v>
      </c>
      <c r="J40" s="48">
        <f>股权价值增加表!J38</f>
        <v>309242808.7299999</v>
      </c>
      <c r="K40" s="48">
        <f>股权价值增加表!K38</f>
        <v>215263881.00000006</v>
      </c>
      <c r="L40" s="48">
        <f>股权价值增加表!L38</f>
        <v>113572773.98999998</v>
      </c>
      <c r="M40" s="48">
        <f>股权价值增加表!M38</f>
        <v>489301316.3599999</v>
      </c>
      <c r="N40" s="48">
        <f>股权价值增加表!N38</f>
        <v>320142950.8499999</v>
      </c>
      <c r="O40" s="48">
        <f>股权价值增加表!O38</f>
        <v>233901560.87999997</v>
      </c>
      <c r="P40" s="48">
        <f>股权价值增加表!P38</f>
        <v>130189271.79999997</v>
      </c>
      <c r="Q40" s="48">
        <f>股权价值增加表!Q38</f>
        <v>488847531.59999985</v>
      </c>
      <c r="R40" s="48">
        <f>股权价值增加表!R38</f>
        <v>319523888.84000009</v>
      </c>
      <c r="S40" s="48">
        <f>股权价值增加表!S38</f>
        <v>206963199.75000003</v>
      </c>
      <c r="T40" s="48">
        <f>股权价值增加表!T38</f>
        <v>133180954.47999996</v>
      </c>
      <c r="U40" s="48">
        <f>股权价值增加表!U38</f>
        <v>420795848.35000002</v>
      </c>
      <c r="V40" s="48">
        <f>股权价值增加表!V38</f>
        <v>280816635.46999985</v>
      </c>
      <c r="W40" s="48">
        <f>股权价值增加表!W38</f>
        <v>181221031.28000006</v>
      </c>
      <c r="X40" s="48">
        <f>股权价值增加表!X38</f>
        <v>117000963.20999998</v>
      </c>
      <c r="Y40" s="48">
        <f>股权价值增加表!Y38</f>
        <v>349674412.41000003</v>
      </c>
      <c r="Z40" s="48">
        <f>股权价值增加表!Z38</f>
        <v>217271385.69000006</v>
      </c>
      <c r="AA40" s="48">
        <f>股权价值增加表!AA38</f>
        <v>145830711.16000003</v>
      </c>
      <c r="AB40" s="48">
        <f>股权价值增加表!AB38</f>
        <v>102581058.78999999</v>
      </c>
      <c r="AC40" s="48">
        <f>股权价值增加表!AC38</f>
        <v>269412369.63999999</v>
      </c>
      <c r="AD40" s="48">
        <f>股权价值增加表!AD38</f>
        <v>168110852.28</v>
      </c>
      <c r="AE40" s="48">
        <f>股权价值增加表!AE38</f>
        <v>112154316.09000006</v>
      </c>
      <c r="AF40" s="48">
        <f>股权价值增加表!AF38</f>
        <v>77334255.799999952</v>
      </c>
      <c r="AG40" s="48">
        <f>股权价值增加表!AG38</f>
        <v>158717854.82000002</v>
      </c>
      <c r="AH40" s="48">
        <f>股权价值增加表!AH38</f>
        <v>88209471.60999994</v>
      </c>
      <c r="AI40" s="48">
        <f>股权价值增加表!AI38</f>
        <v>61252510.75</v>
      </c>
      <c r="AJ40" s="48">
        <f>股权价值增加表!AJ38</f>
        <v>46309982.660000004</v>
      </c>
      <c r="AK40" s="48">
        <f>股权价值增加表!AK38</f>
        <v>106691029.89000002</v>
      </c>
      <c r="AL40" s="48">
        <f>股权价值增加表!AL38</f>
        <v>63760492.079999946</v>
      </c>
      <c r="AM40" s="48">
        <f>股权价值增加表!AM38</f>
        <v>43068797.240000002</v>
      </c>
      <c r="AN40" s="48">
        <f>股权价值增加表!AN38</f>
        <v>31529462.240000021</v>
      </c>
      <c r="AO40" s="48">
        <f>股权价值增加表!AO38</f>
        <v>77225893.579999983</v>
      </c>
      <c r="AP40" s="48">
        <f>股权价值增加表!AP38</f>
        <v>54191010.480000027</v>
      </c>
      <c r="AQ40" s="48">
        <f>股权价值增加表!AQ38</f>
        <v>63021053.700000018</v>
      </c>
      <c r="AR40" s="48">
        <f>股权价值增加表!AR38</f>
        <v>39705599.25</v>
      </c>
      <c r="AS40" s="48">
        <f>股权价值增加表!AS38</f>
        <v>0</v>
      </c>
      <c r="AT40" s="48">
        <f>股权价值增加表!AT38</f>
        <v>25795350.260000028</v>
      </c>
      <c r="AU40" s="48">
        <f>股权价值增加表!AU38</f>
        <v>11567145.859999977</v>
      </c>
      <c r="AV40" s="48">
        <f>股权价值增加表!AV38</f>
        <v>6288958.1900000004</v>
      </c>
      <c r="AW40" s="48">
        <f>股权价值增加表!AW38</f>
        <v>128652930.08</v>
      </c>
      <c r="AX40" s="48">
        <f>股权价值增加表!AX38</f>
        <v>91516728.729999989</v>
      </c>
      <c r="AY40" s="48">
        <f>股权价值增加表!AY38</f>
        <v>39569571.590000004</v>
      </c>
      <c r="AZ40" s="48">
        <f>股权价值增加表!AZ38</f>
        <v>10345318.74</v>
      </c>
      <c r="BA40" s="48">
        <f>股权价值增加表!BA38</f>
        <v>-44081420.550000004</v>
      </c>
      <c r="BB40" s="48">
        <f>股权价值增加表!BB38</f>
        <v>-46593904.899999999</v>
      </c>
      <c r="BC40" s="48">
        <f>股权价值增加表!BC38</f>
        <v>-2404836.39</v>
      </c>
      <c r="BD40" s="48">
        <f>股权价值增加表!BD38</f>
        <v>17364907.609999999</v>
      </c>
      <c r="BE40" s="48">
        <f>股权价值增加表!BE38</f>
        <v>86656961.140000001</v>
      </c>
      <c r="BF40" s="48">
        <f>股权价值增加表!BF38</f>
        <v>60767912.130000003</v>
      </c>
      <c r="BG40" s="48">
        <f>股权价值增加表!BG38</f>
        <v>47659187.700000003</v>
      </c>
      <c r="BH40" s="48">
        <f>股权价值增加表!BH38</f>
        <v>15529502.800000001</v>
      </c>
      <c r="BI40" s="48">
        <f>股权价值增加表!BI38</f>
        <v>120606282.16999999</v>
      </c>
      <c r="BJ40" s="48">
        <f>股权价值增加表!BJ38</f>
        <v>111581155.38000001</v>
      </c>
      <c r="BK40" s="48">
        <f>股权价值增加表!BK38</f>
        <v>83210734.969999999</v>
      </c>
      <c r="BL40" s="48">
        <f>股权价值增加表!BL38</f>
        <v>14665538.030000001</v>
      </c>
      <c r="BM40" s="48">
        <f>股权价值增加表!BM38</f>
        <v>73218411.960000008</v>
      </c>
      <c r="BN40" s="48">
        <f>股权价值增加表!BN38</f>
        <v>59722776.710000008</v>
      </c>
      <c r="BO40" s="48">
        <f>股权价值增加表!BO38</f>
        <v>42681175.309999995</v>
      </c>
      <c r="BP40" s="48">
        <f>股权价值增加表!BP38</f>
        <v>15198146.09</v>
      </c>
      <c r="BQ40" s="48">
        <f>股权价值增加表!BQ38</f>
        <v>41603777.589999996</v>
      </c>
      <c r="BR40" s="48">
        <f>股权价值增加表!BR38</f>
        <v>39361911.009999998</v>
      </c>
      <c r="BS40" s="48">
        <f>股权价值增加表!BS38</f>
        <v>107226093</v>
      </c>
      <c r="BT40" s="48">
        <f>股权价值增加表!BT38</f>
        <v>55579527.460000001</v>
      </c>
      <c r="BU40" s="48">
        <f>股权价值增加表!BU38</f>
        <v>48821463.519999996</v>
      </c>
      <c r="BV40" s="48">
        <f>股权价值增加表!BV38</f>
        <v>-14400267.780000001</v>
      </c>
      <c r="BW40" s="48">
        <f>股权价值增加表!BW38</f>
        <v>43555220.869999997</v>
      </c>
      <c r="BX40" s="48">
        <f>股权价值增加表!BX38</f>
        <v>-19842125.949999999</v>
      </c>
      <c r="BY40" s="48">
        <f>股权价值增加表!BY38</f>
        <v>20704606.790000003</v>
      </c>
      <c r="BZ40" s="48">
        <f>股权价值增加表!BZ38</f>
        <v>2100000</v>
      </c>
      <c r="CA40" s="48">
        <f>股权价值增加表!CA38</f>
        <v>-44631413.470000006</v>
      </c>
      <c r="CB40" s="48">
        <f>股权价值增加表!CB38</f>
        <v>3033836.53</v>
      </c>
      <c r="CC40" s="48">
        <f>股权价值增加表!CC38</f>
        <v>-13436283.18</v>
      </c>
      <c r="CD40" s="48">
        <f>股权价值增加表!CD38</f>
        <v>5790000</v>
      </c>
      <c r="CE40" s="48">
        <f>股权价值增加表!CE38</f>
        <v>7729000</v>
      </c>
      <c r="CF40" s="48">
        <f>股权价值增加表!CF38</f>
        <v>2092581.44</v>
      </c>
      <c r="CG40" s="48">
        <f>股权价值增加表!CG38</f>
        <v>0</v>
      </c>
      <c r="CH40" s="48">
        <f>股权价值增加表!CH38</f>
        <v>0</v>
      </c>
      <c r="CI40" s="48">
        <f>股权价值增加表!CI38</f>
        <v>0</v>
      </c>
      <c r="CJ40" s="48">
        <f>股权价值增加表!CJ38</f>
        <v>0</v>
      </c>
    </row>
    <row r="41" spans="1:89" s="68" customFormat="1">
      <c r="A41" s="68" t="s">
        <v>389</v>
      </c>
      <c r="E41" s="68">
        <f>1-E40/E39</f>
        <v>3.8666906773416887E-3</v>
      </c>
      <c r="F41" s="68">
        <f t="shared" ref="F41:BQ41" si="34">1-F40/F39</f>
        <v>-4.1299439331863308E-3</v>
      </c>
      <c r="G41" s="68">
        <f t="shared" si="34"/>
        <v>-3.4120036081564109E-3</v>
      </c>
      <c r="H41" s="68">
        <f t="shared" si="34"/>
        <v>-8.5295131255622714E-3</v>
      </c>
      <c r="I41" s="68">
        <f t="shared" si="34"/>
        <v>3.2982218587962464E-3</v>
      </c>
      <c r="J41" s="68">
        <f t="shared" si="34"/>
        <v>-1.3235607588926612E-2</v>
      </c>
      <c r="K41" s="68">
        <f t="shared" si="34"/>
        <v>-1.6262030920480619E-2</v>
      </c>
      <c r="L41" s="68">
        <f t="shared" si="34"/>
        <v>-2.6096709565469833E-2</v>
      </c>
      <c r="M41" s="68">
        <f t="shared" si="34"/>
        <v>4.0255836818022805E-3</v>
      </c>
      <c r="N41" s="68">
        <f t="shared" si="34"/>
        <v>-5.1326947467285278E-2</v>
      </c>
      <c r="O41" s="68">
        <f t="shared" si="34"/>
        <v>-4.4399551246931512E-2</v>
      </c>
      <c r="P41" s="68">
        <f t="shared" si="34"/>
        <v>-4.5098215156466059E-2</v>
      </c>
      <c r="Q41" s="68">
        <f t="shared" si="34"/>
        <v>3.5139907011518812E-3</v>
      </c>
      <c r="R41" s="68">
        <f t="shared" si="34"/>
        <v>-1.3905103093402982E-2</v>
      </c>
      <c r="S41" s="68">
        <f t="shared" si="34"/>
        <v>-1.0175262347390523E-2</v>
      </c>
      <c r="T41" s="68">
        <f t="shared" si="34"/>
        <v>-2.6535037816584062E-3</v>
      </c>
      <c r="U41" s="68">
        <f t="shared" si="34"/>
        <v>4.0500521258293176E-3</v>
      </c>
      <c r="V41" s="68">
        <f t="shared" si="34"/>
        <v>-1.6180755060744456E-2</v>
      </c>
      <c r="W41" s="68">
        <f t="shared" si="34"/>
        <v>-1.4793996914381324E-2</v>
      </c>
      <c r="X41" s="68">
        <f t="shared" si="34"/>
        <v>-6.9808490569431836E-3</v>
      </c>
      <c r="Y41" s="68">
        <f t="shared" si="34"/>
        <v>8.998455945467998E-3</v>
      </c>
      <c r="Z41" s="68">
        <f t="shared" si="34"/>
        <v>-1.6263764379805368E-2</v>
      </c>
      <c r="AA41" s="68">
        <f t="shared" si="34"/>
        <v>-1.941626056642165E-2</v>
      </c>
      <c r="AB41" s="68">
        <f t="shared" si="34"/>
        <v>-9.9633773451834884E-4</v>
      </c>
      <c r="AC41" s="68">
        <f t="shared" si="34"/>
        <v>1.0677564422670205E-2</v>
      </c>
      <c r="AD41" s="68">
        <f t="shared" si="34"/>
        <v>-4.6721357817151699E-2</v>
      </c>
      <c r="AE41" s="68">
        <f t="shared" si="34"/>
        <v>-3.3786590834046448E-2</v>
      </c>
      <c r="AF41" s="68">
        <f t="shared" si="34"/>
        <v>-1.7765491672813383E-2</v>
      </c>
      <c r="AG41" s="68">
        <f t="shared" si="34"/>
        <v>1.8530602850883482E-2</v>
      </c>
      <c r="AH41" s="68">
        <f t="shared" si="34"/>
        <v>-1.5864258784127561E-2</v>
      </c>
      <c r="AI41" s="68">
        <f t="shared" si="34"/>
        <v>-1.2499840895271452E-2</v>
      </c>
      <c r="AJ41" s="68">
        <f t="shared" si="34"/>
        <v>-3.7361788185712452E-3</v>
      </c>
      <c r="AK41" s="68">
        <f t="shared" si="34"/>
        <v>4.0839177628001933E-2</v>
      </c>
      <c r="AL41" s="68">
        <f t="shared" si="34"/>
        <v>5.6250553867562614E-2</v>
      </c>
      <c r="AM41" s="68">
        <f t="shared" si="34"/>
        <v>6.7249596607644957E-2</v>
      </c>
      <c r="AN41" s="68">
        <f t="shared" si="34"/>
        <v>2.8129630263563521E-2</v>
      </c>
      <c r="AO41" s="68">
        <f t="shared" si="34"/>
        <v>8.5557413072099187E-2</v>
      </c>
      <c r="AP41" s="68">
        <f t="shared" si="34"/>
        <v>8.9119778355451373E-2</v>
      </c>
      <c r="AQ41" s="68">
        <f t="shared" si="34"/>
        <v>8.7022676404991395E-2</v>
      </c>
      <c r="AR41" s="68">
        <f t="shared" si="34"/>
        <v>6.6750758334830684E-2</v>
      </c>
      <c r="AS41" s="68" t="e">
        <f t="shared" si="34"/>
        <v>#DIV/0!</v>
      </c>
      <c r="AT41" s="68">
        <f t="shared" si="34"/>
        <v>-7.1995451922325753</v>
      </c>
      <c r="AU41" s="68">
        <f t="shared" si="34"/>
        <v>-2.5901201152697588</v>
      </c>
      <c r="AV41" s="68" t="e">
        <f t="shared" si="34"/>
        <v>#DIV/0!</v>
      </c>
      <c r="AW41" s="68">
        <f t="shared" si="34"/>
        <v>-0.21368300661653872</v>
      </c>
      <c r="AX41" s="68">
        <f t="shared" si="34"/>
        <v>-0.17108713788012997</v>
      </c>
      <c r="AY41" s="68">
        <f t="shared" si="34"/>
        <v>-0.25584694494649995</v>
      </c>
      <c r="AZ41" s="68">
        <f t="shared" si="34"/>
        <v>-0.5172804084842979</v>
      </c>
      <c r="BA41" s="68">
        <f t="shared" si="34"/>
        <v>0.15898477676900891</v>
      </c>
      <c r="BB41" s="68">
        <f t="shared" si="34"/>
        <v>1.7332614149703329E-2</v>
      </c>
      <c r="BC41" s="68">
        <f t="shared" si="34"/>
        <v>0.46278491437084635</v>
      </c>
      <c r="BD41" s="68">
        <f t="shared" si="34"/>
        <v>-0.26461146321836937</v>
      </c>
      <c r="BE41" s="68">
        <f t="shared" si="34"/>
        <v>-0.16976287809581647</v>
      </c>
      <c r="BF41" s="68">
        <f t="shared" si="34"/>
        <v>-0.1329970999606338</v>
      </c>
      <c r="BG41" s="68">
        <f t="shared" si="34"/>
        <v>-6.5763125733244054E-2</v>
      </c>
      <c r="BH41" s="68">
        <f t="shared" si="34"/>
        <v>-0.1934183081699814</v>
      </c>
      <c r="BI41" s="68">
        <f t="shared" si="34"/>
        <v>6.7606241234431264E-2</v>
      </c>
      <c r="BJ41" s="68">
        <f t="shared" si="34"/>
        <v>0.11605968255279631</v>
      </c>
      <c r="BK41" s="68">
        <f t="shared" si="34"/>
        <v>0.16065558793057089</v>
      </c>
      <c r="BL41" s="68">
        <f t="shared" si="34"/>
        <v>0.3035890029254632</v>
      </c>
      <c r="BM41" s="68">
        <f t="shared" si="34"/>
        <v>9.1348979669902852E-2</v>
      </c>
      <c r="BN41" s="68">
        <f t="shared" si="34"/>
        <v>0.12194453009212014</v>
      </c>
      <c r="BO41" s="68">
        <f t="shared" si="34"/>
        <v>0.10212956538174367</v>
      </c>
      <c r="BP41" s="68">
        <f t="shared" si="34"/>
        <v>0.35426877524558364</v>
      </c>
      <c r="BQ41" s="68">
        <f t="shared" si="34"/>
        <v>0.1169156325335925</v>
      </c>
      <c r="BR41" s="68">
        <f t="shared" ref="BR41:CK41" si="35">1-BR40/BR39</f>
        <v>8.73790578862228E-2</v>
      </c>
      <c r="BS41" s="68">
        <f t="shared" si="35"/>
        <v>3.0828793858279746E-2</v>
      </c>
      <c r="BT41" s="68">
        <f t="shared" si="35"/>
        <v>-1.5755342387331339E-3</v>
      </c>
      <c r="BU41" s="68">
        <f t="shared" si="35"/>
        <v>-0.15546104751307199</v>
      </c>
      <c r="BV41" s="68">
        <f t="shared" si="35"/>
        <v>-0.70058899902985683</v>
      </c>
      <c r="BW41" s="68">
        <f t="shared" si="35"/>
        <v>1.9552736088305767E-2</v>
      </c>
      <c r="BX41" s="68">
        <f t="shared" si="35"/>
        <v>-7.2490079874227398</v>
      </c>
      <c r="BY41" s="68">
        <f t="shared" si="35"/>
        <v>0.52500323350353528</v>
      </c>
      <c r="BZ41" s="68">
        <f t="shared" si="35"/>
        <v>0</v>
      </c>
      <c r="CA41" s="68">
        <f t="shared" si="35"/>
        <v>9.4222826859939399</v>
      </c>
      <c r="CB41" s="68">
        <f t="shared" si="35"/>
        <v>0</v>
      </c>
      <c r="CC41" s="68">
        <f t="shared" si="35"/>
        <v>2.2626486558086336</v>
      </c>
      <c r="CD41" s="68">
        <f t="shared" si="35"/>
        <v>0</v>
      </c>
      <c r="CE41" s="68">
        <f t="shared" si="35"/>
        <v>0</v>
      </c>
      <c r="CF41" s="68">
        <f t="shared" si="35"/>
        <v>0</v>
      </c>
      <c r="CG41" s="68" t="e">
        <f t="shared" si="35"/>
        <v>#DIV/0!</v>
      </c>
      <c r="CH41" s="68" t="e">
        <f t="shared" si="35"/>
        <v>#DIV/0!</v>
      </c>
      <c r="CI41" s="68" t="e">
        <f t="shared" si="35"/>
        <v>#DIV/0!</v>
      </c>
      <c r="CJ41" s="68" t="e">
        <f t="shared" si="35"/>
        <v>#DIV/0!</v>
      </c>
      <c r="CK41" s="68" t="e">
        <f t="shared" si="35"/>
        <v>#DIV/0!</v>
      </c>
    </row>
    <row r="42" spans="1:89" s="69" customFormat="1">
      <c r="A42" s="69" t="s">
        <v>435</v>
      </c>
      <c r="E42" s="69">
        <f>E39/(E39-E40)</f>
        <v>258.61908371928251</v>
      </c>
      <c r="F42" s="9">
        <f t="shared" ref="F42:BQ42" si="36">F39/(F39-F40)</f>
        <v>-242.13403769587831</v>
      </c>
      <c r="G42" s="9">
        <f t="shared" si="36"/>
        <v>-293.08292570661985</v>
      </c>
      <c r="H42" s="9">
        <f t="shared" si="36"/>
        <v>-117.2399860670935</v>
      </c>
      <c r="I42" s="9">
        <f t="shared" si="36"/>
        <v>303.19367307964143</v>
      </c>
      <c r="J42" s="9">
        <f t="shared" si="36"/>
        <v>-75.553766102632892</v>
      </c>
      <c r="K42" s="9">
        <f t="shared" si="36"/>
        <v>-61.492934362865398</v>
      </c>
      <c r="L42" s="9">
        <f t="shared" si="36"/>
        <v>-38.319007133495703</v>
      </c>
      <c r="M42" s="9">
        <f t="shared" si="36"/>
        <v>248.41118184190822</v>
      </c>
      <c r="N42" s="9">
        <f t="shared" si="36"/>
        <v>-19.482943158413569</v>
      </c>
      <c r="O42" s="9">
        <f t="shared" si="36"/>
        <v>-22.522750161109137</v>
      </c>
      <c r="P42" s="9">
        <f t="shared" si="36"/>
        <v>-22.173826536827399</v>
      </c>
      <c r="Q42" s="9">
        <f t="shared" si="36"/>
        <v>284.57673484229707</v>
      </c>
      <c r="R42" s="9">
        <f t="shared" si="36"/>
        <v>-71.916043576435541</v>
      </c>
      <c r="S42" s="9">
        <f t="shared" si="36"/>
        <v>-98.277564337832047</v>
      </c>
      <c r="T42" s="9">
        <f t="shared" si="36"/>
        <v>-376.86021286729726</v>
      </c>
      <c r="U42" s="9">
        <f t="shared" si="36"/>
        <v>246.91040236802425</v>
      </c>
      <c r="V42" s="9">
        <f t="shared" si="36"/>
        <v>-61.80181309499379</v>
      </c>
      <c r="W42" s="9">
        <f t="shared" si="36"/>
        <v>-67.594985032604328</v>
      </c>
      <c r="X42" s="9">
        <f t="shared" si="36"/>
        <v>-143.24905063022234</v>
      </c>
      <c r="Y42" s="9">
        <f t="shared" si="36"/>
        <v>111.13017678367839</v>
      </c>
      <c r="Z42" s="9">
        <f t="shared" si="36"/>
        <v>-61.486380191395924</v>
      </c>
      <c r="AA42" s="9">
        <f t="shared" si="36"/>
        <v>-51.503223114413402</v>
      </c>
      <c r="AB42" s="9">
        <f t="shared" si="36"/>
        <v>-1003.6757269695452</v>
      </c>
      <c r="AC42" s="9">
        <f t="shared" si="36"/>
        <v>93.654316697620231</v>
      </c>
      <c r="AD42" s="9">
        <f t="shared" si="36"/>
        <v>-21.403487542326786</v>
      </c>
      <c r="AE42" s="9">
        <f t="shared" si="36"/>
        <v>-29.597540779175361</v>
      </c>
      <c r="AF42" s="9">
        <f t="shared" si="36"/>
        <v>-56.288900888136361</v>
      </c>
      <c r="AG42" s="9">
        <f t="shared" si="36"/>
        <v>53.964785066467726</v>
      </c>
      <c r="AH42" s="9">
        <f t="shared" si="36"/>
        <v>-63.034776071638071</v>
      </c>
      <c r="AI42" s="9">
        <f t="shared" si="36"/>
        <v>-80.001018283223758</v>
      </c>
      <c r="AJ42" s="9">
        <f t="shared" si="36"/>
        <v>-267.65314203628509</v>
      </c>
      <c r="AK42" s="9">
        <f t="shared" si="36"/>
        <v>24.486291303631358</v>
      </c>
      <c r="AL42" s="9">
        <f t="shared" si="36"/>
        <v>17.777602730000108</v>
      </c>
      <c r="AM42" s="9">
        <f t="shared" si="36"/>
        <v>14.869977671900562</v>
      </c>
      <c r="AN42" s="9">
        <f t="shared" si="36"/>
        <v>35.549702951314899</v>
      </c>
      <c r="AO42" s="9">
        <f t="shared" si="36"/>
        <v>11.688057926170593</v>
      </c>
      <c r="AP42" s="9">
        <f t="shared" si="36"/>
        <v>11.220853759437459</v>
      </c>
      <c r="AQ42" s="9">
        <f t="shared" si="36"/>
        <v>11.491257696397891</v>
      </c>
      <c r="AR42" s="9">
        <f t="shared" si="36"/>
        <v>14.981103210601251</v>
      </c>
      <c r="AS42" s="9" t="e">
        <f t="shared" si="36"/>
        <v>#DIV/0!</v>
      </c>
      <c r="AT42" s="9">
        <f t="shared" si="36"/>
        <v>-0.13889766274109608</v>
      </c>
      <c r="AU42" s="9">
        <f t="shared" si="36"/>
        <v>-0.38608248092612135</v>
      </c>
      <c r="AV42" s="9">
        <f t="shared" si="36"/>
        <v>0</v>
      </c>
      <c r="AW42" s="9">
        <f t="shared" si="36"/>
        <v>-4.6798293221067118</v>
      </c>
      <c r="AX42" s="9">
        <f t="shared" si="36"/>
        <v>-5.8449747443939213</v>
      </c>
      <c r="AY42" s="9">
        <f t="shared" si="36"/>
        <v>-3.9085868319010388</v>
      </c>
      <c r="AZ42" s="9">
        <f t="shared" si="36"/>
        <v>-1.9331874619611753</v>
      </c>
      <c r="BA42" s="9">
        <f t="shared" si="36"/>
        <v>6.2899103947097625</v>
      </c>
      <c r="BB42" s="9">
        <f t="shared" si="36"/>
        <v>57.694701524127439</v>
      </c>
      <c r="BC42" s="9">
        <f t="shared" si="36"/>
        <v>2.1608310231103682</v>
      </c>
      <c r="BD42" s="9">
        <f t="shared" si="36"/>
        <v>-3.7791257711868473</v>
      </c>
      <c r="BE42" s="9">
        <f t="shared" si="36"/>
        <v>-5.8905693118349856</v>
      </c>
      <c r="BF42" s="9">
        <f t="shared" si="36"/>
        <v>-7.5189609419753722</v>
      </c>
      <c r="BG42" s="9">
        <f t="shared" si="36"/>
        <v>-15.206089869516154</v>
      </c>
      <c r="BH42" s="9">
        <f t="shared" si="36"/>
        <v>-5.1701413866218475</v>
      </c>
      <c r="BI42" s="9">
        <f t="shared" si="36"/>
        <v>14.791533765830904</v>
      </c>
      <c r="BJ42" s="9">
        <f t="shared" si="36"/>
        <v>8.6162565501167343</v>
      </c>
      <c r="BK42" s="9">
        <f t="shared" si="36"/>
        <v>6.2244955988220054</v>
      </c>
      <c r="BL42" s="9">
        <f t="shared" si="36"/>
        <v>3.2939269550732662</v>
      </c>
      <c r="BM42" s="9">
        <f t="shared" si="36"/>
        <v>10.947029771033934</v>
      </c>
      <c r="BN42" s="9">
        <f t="shared" si="36"/>
        <v>8.2004498212799959</v>
      </c>
      <c r="BO42" s="9">
        <f t="shared" si="36"/>
        <v>9.7914839474951556</v>
      </c>
      <c r="BP42" s="9">
        <f t="shared" si="36"/>
        <v>2.8227156042944719</v>
      </c>
      <c r="BQ42" s="9">
        <f t="shared" si="36"/>
        <v>8.5531761521512308</v>
      </c>
      <c r="BR42" s="9">
        <f t="shared" ref="BR42:CK42" si="37">BR39/(BR39-BR40)</f>
        <v>11.444389813656613</v>
      </c>
      <c r="BS42" s="9">
        <f t="shared" si="37"/>
        <v>32.437208039893179</v>
      </c>
      <c r="BT42" s="9">
        <f t="shared" si="37"/>
        <v>-634.70534337871572</v>
      </c>
      <c r="BU42" s="9">
        <f t="shared" si="37"/>
        <v>-6.4324794924330781</v>
      </c>
      <c r="BV42" s="9">
        <f t="shared" si="37"/>
        <v>-1.4273704003128131</v>
      </c>
      <c r="BW42" s="9">
        <f t="shared" si="37"/>
        <v>51.143737402464382</v>
      </c>
      <c r="BX42" s="9">
        <f t="shared" si="37"/>
        <v>-0.13794991007528642</v>
      </c>
      <c r="BY42" s="9">
        <f t="shared" si="37"/>
        <v>1.9047501733020584</v>
      </c>
      <c r="BZ42" s="9" t="e">
        <f t="shared" si="37"/>
        <v>#DIV/0!</v>
      </c>
      <c r="CA42" s="9">
        <f t="shared" si="37"/>
        <v>0.10613139441108924</v>
      </c>
      <c r="CB42" s="9" t="e">
        <f t="shared" si="37"/>
        <v>#DIV/0!</v>
      </c>
      <c r="CC42" s="9">
        <f t="shared" si="37"/>
        <v>0.44195991164285126</v>
      </c>
      <c r="CD42" s="9" t="e">
        <f t="shared" si="37"/>
        <v>#DIV/0!</v>
      </c>
      <c r="CE42" s="9" t="e">
        <f t="shared" si="37"/>
        <v>#DIV/0!</v>
      </c>
      <c r="CF42" s="9" t="e">
        <f t="shared" si="37"/>
        <v>#DIV/0!</v>
      </c>
      <c r="CG42" s="9" t="e">
        <f t="shared" si="37"/>
        <v>#DIV/0!</v>
      </c>
      <c r="CH42" s="9" t="e">
        <f t="shared" si="37"/>
        <v>#DIV/0!</v>
      </c>
      <c r="CI42" s="9" t="e">
        <f t="shared" si="37"/>
        <v>#DIV/0!</v>
      </c>
      <c r="CJ42" s="9" t="e">
        <f t="shared" si="37"/>
        <v>#DIV/0!</v>
      </c>
      <c r="CK42" s="9" t="e">
        <f t="shared" si="37"/>
        <v>#DIV/0!</v>
      </c>
    </row>
    <row r="43" spans="1:89" s="22" customFormat="1" ht="28.5" customHeight="1">
      <c r="A43" s="168" t="s">
        <v>596</v>
      </c>
      <c r="B43" s="168"/>
      <c r="C43" s="168"/>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8"/>
      <c r="AD43" s="168"/>
      <c r="AE43" s="168"/>
      <c r="AF43" s="168"/>
      <c r="AG43" s="168"/>
    </row>
    <row r="45" spans="1:89">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row>
    <row r="46" spans="1:89" s="33" customFormat="1">
      <c r="A46" s="35" t="s">
        <v>430</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39447</v>
      </c>
      <c r="AR46" s="1">
        <v>39082</v>
      </c>
      <c r="AS46" s="1">
        <v>25569</v>
      </c>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33" customFormat="1">
      <c r="A47" s="33" t="s">
        <v>431</v>
      </c>
      <c r="E47" s="33">
        <f>股权价值增加表!E42</f>
        <v>486007241.61999995</v>
      </c>
      <c r="F47" s="33">
        <f>股权价值增加表!F42</f>
        <v>240556300.98000002</v>
      </c>
      <c r="G47" s="33">
        <f>股权价值增加表!G42</f>
        <v>158585926.79999998</v>
      </c>
      <c r="H47" s="33">
        <f>股权价值增加表!H42</f>
        <v>79306727.720000058</v>
      </c>
      <c r="I47" s="33">
        <f>股权价值增加表!I42</f>
        <v>437183756.36000013</v>
      </c>
      <c r="J47" s="33">
        <f>股权价值增加表!J42</f>
        <v>243503753.4499999</v>
      </c>
      <c r="K47" s="33">
        <f>股权价值增加表!K42</f>
        <v>169361059.09000006</v>
      </c>
      <c r="L47" s="33">
        <f>股权价值增加表!L42</f>
        <v>88508820.559999973</v>
      </c>
      <c r="M47" s="33">
        <f>股权价值增加表!M42</f>
        <v>399247699.2899999</v>
      </c>
      <c r="N47" s="33">
        <f>股权价值增加表!N42</f>
        <v>250440838.01999992</v>
      </c>
      <c r="O47" s="33">
        <f>股权价值增加表!O42</f>
        <v>182913802.06999996</v>
      </c>
      <c r="P47" s="33">
        <f>股权价值增加表!P42</f>
        <v>101014737.15999997</v>
      </c>
      <c r="Q47" s="33">
        <f>股权价值增加表!Q42</f>
        <v>374828678.69999981</v>
      </c>
      <c r="R47" s="33">
        <f>股权价值增加表!R42</f>
        <v>243924695.57000011</v>
      </c>
      <c r="S47" s="33">
        <f>股权价值增加表!S42</f>
        <v>157562666.66000003</v>
      </c>
      <c r="T47" s="33">
        <f>股权价值增加表!T42</f>
        <v>100571114.57999995</v>
      </c>
      <c r="U47" s="33">
        <f>股权价值增加表!U42</f>
        <v>313234296.05000001</v>
      </c>
      <c r="V47" s="33">
        <f>股权价值增加表!V42</f>
        <v>210663058.92999983</v>
      </c>
      <c r="W47" s="33">
        <f>股权价值增加表!W42</f>
        <v>136062295.96000007</v>
      </c>
      <c r="X47" s="33">
        <f>股权价值增加表!X42</f>
        <v>87860270.809999973</v>
      </c>
      <c r="Y47" s="33">
        <f>股权价值增加表!Y42</f>
        <v>257108560.80000001</v>
      </c>
      <c r="Z47" s="33">
        <f>股权价值增加表!Z42</f>
        <v>162899565.89000005</v>
      </c>
      <c r="AA47" s="33">
        <f>股权价值增加表!AA42</f>
        <v>109324501.57000002</v>
      </c>
      <c r="AB47" s="33">
        <f>股权价值增加表!AB42</f>
        <v>76919130.329999983</v>
      </c>
      <c r="AC47" s="33">
        <f>股权价值增加表!AC42</f>
        <v>204114744.60999998</v>
      </c>
      <c r="AD47" s="33">
        <f>股权价值增加表!AD42</f>
        <v>128888742.72</v>
      </c>
      <c r="AE47" s="33">
        <f>股权价值增加表!AE42</f>
        <v>85669468.800000072</v>
      </c>
      <c r="AF47" s="33">
        <f>股权价值增加表!AF42</f>
        <v>59270075.529999956</v>
      </c>
      <c r="AG47" s="33">
        <f>股权价值增加表!AG42</f>
        <v>125255486.23000002</v>
      </c>
      <c r="AH47" s="33">
        <f>股权价值增加表!AH42</f>
        <v>69008292.089999944</v>
      </c>
      <c r="AI47" s="33">
        <f>股权价值增加表!AI42</f>
        <v>47786010.380000003</v>
      </c>
      <c r="AJ47" s="33">
        <f>股权价值增加表!AJ42</f>
        <v>36305280.160000004</v>
      </c>
      <c r="AK47" s="33">
        <f>股权价值增加表!AK42</f>
        <v>84299330.660000011</v>
      </c>
      <c r="AL47" s="33">
        <f>股权价值增加表!AL42</f>
        <v>50753833.289999947</v>
      </c>
      <c r="AM47" s="33">
        <f>股权价值增加表!AM42</f>
        <v>33707170.620000005</v>
      </c>
      <c r="AN47" s="33">
        <f>股权价值增加表!AN42</f>
        <v>24753475.580000021</v>
      </c>
      <c r="AO47" s="33">
        <f>股权价值增加表!AO42</f>
        <v>63785259.109999985</v>
      </c>
      <c r="AP47" s="33">
        <f>股权价值增加表!AP42</f>
        <v>45174294.520000026</v>
      </c>
      <c r="AQ47" s="33">
        <f>股权价值增加表!AQ42</f>
        <v>58354125.520000018</v>
      </c>
      <c r="AR47" s="33">
        <f>股权价值增加表!AR42</f>
        <v>33780411.490000002</v>
      </c>
      <c r="AS47" s="33">
        <f>股权价值增加表!AS42</f>
        <v>0</v>
      </c>
      <c r="AT47" s="33">
        <f>股权价值增加表!AT42</f>
        <v>-106619839.65999997</v>
      </c>
      <c r="AU47" s="33">
        <f>股权价值增加表!AU42</f>
        <v>-72785587.700000018</v>
      </c>
      <c r="AV47" s="33">
        <f>股权价值增加表!AV42</f>
        <v>-23361350.959999997</v>
      </c>
      <c r="AW47" s="33">
        <f>股权价值增加表!AW42</f>
        <v>16493193.060000002</v>
      </c>
      <c r="AX47" s="33">
        <f>股权价值增加表!AX42</f>
        <v>23385217.719999984</v>
      </c>
      <c r="AY47" s="33">
        <f>股权价值增加表!AY42</f>
        <v>-1787194.7899999991</v>
      </c>
      <c r="AZ47" s="33">
        <f>股权价值增加表!AZ42</f>
        <v>-10916220.51</v>
      </c>
      <c r="BA47" s="33">
        <f>股权价值增加表!BA42</f>
        <v>-152691416.41</v>
      </c>
      <c r="BB47" s="33">
        <f>股权价值增加表!BB42</f>
        <v>-140598232.16999999</v>
      </c>
      <c r="BC47" s="33">
        <f>股权价值增加表!BC42</f>
        <v>-70267390.840000004</v>
      </c>
      <c r="BD47" s="33">
        <f>股权价值增加表!BD42</f>
        <v>-11610048.350000001</v>
      </c>
      <c r="BE47" s="33">
        <f>股权价值增加表!BE42</f>
        <v>-45811920.870000005</v>
      </c>
      <c r="BF47" s="33">
        <f>股权价值增加表!BF42</f>
        <v>-32869288.240000002</v>
      </c>
      <c r="BG47" s="33">
        <f>股权价值增加表!BG42</f>
        <v>-18208413.089999996</v>
      </c>
      <c r="BH47" s="33">
        <f>股权价值增加表!BH42</f>
        <v>-17425628.109999999</v>
      </c>
      <c r="BI47" s="33">
        <f>股权价值增加表!BI42</f>
        <v>-35340046.76000002</v>
      </c>
      <c r="BJ47" s="33">
        <f>股权价值增加表!BJ42</f>
        <v>3215018.0400000066</v>
      </c>
      <c r="BK47" s="33">
        <f>股权价值增加表!BK42</f>
        <v>14343451.069999993</v>
      </c>
      <c r="BL47" s="33">
        <f>股权价值增加表!BL42</f>
        <v>-13341328.849999998</v>
      </c>
      <c r="BM47" s="33">
        <f>股权价值增加表!BM42</f>
        <v>-70449845.280000001</v>
      </c>
      <c r="BN47" s="33">
        <f>股权价值增加表!BN42</f>
        <v>-39043200.889999986</v>
      </c>
      <c r="BO47" s="33">
        <f>股权价值增加表!BO42</f>
        <v>-21483611.610000007</v>
      </c>
      <c r="BP47" s="33">
        <f>股权价值增加表!BP42</f>
        <v>-10123473.469999999</v>
      </c>
      <c r="BQ47" s="33">
        <f>股权价值增加表!BQ42</f>
        <v>-71856244.340000004</v>
      </c>
      <c r="BR47" s="33">
        <f>股权价值增加表!BR42</f>
        <v>-13069490.830000006</v>
      </c>
      <c r="BS47" s="33">
        <f>股权价值增加表!BS42</f>
        <v>6434359.1299999952</v>
      </c>
      <c r="BT47" s="33">
        <f>股权价值增加表!BT42</f>
        <v>8349549.6600000039</v>
      </c>
      <c r="BU47" s="33">
        <f>股权价值增加表!BU42</f>
        <v>-48634244.549999997</v>
      </c>
      <c r="BV47" s="33">
        <f>股权价值增加表!BV42</f>
        <v>-53633082.609999999</v>
      </c>
      <c r="BW47" s="33">
        <f>股权价值增加表!BW42</f>
        <v>40758225.219999999</v>
      </c>
      <c r="BX47" s="33">
        <f>股权价值增加表!BX42</f>
        <v>-19842125.949999999</v>
      </c>
      <c r="BY47" s="33">
        <f>股权价值增加表!BY42</f>
        <v>12527909.500000004</v>
      </c>
      <c r="BZ47" s="33">
        <f>股权价值增加表!BZ42</f>
        <v>475384.5</v>
      </c>
      <c r="CA47" s="33">
        <f>股权价值增加表!CA42</f>
        <v>-46431299.080000006</v>
      </c>
      <c r="CB47" s="33">
        <f>股权价值增加表!CB42</f>
        <v>-6664176.4400000013</v>
      </c>
      <c r="CC47" s="33">
        <f>股权价值增加表!CC42</f>
        <v>-41772410.030000001</v>
      </c>
      <c r="CD47" s="33">
        <f>股权价值增加表!CD42</f>
        <v>-13940000</v>
      </c>
      <c r="CE47" s="33">
        <f>股权价值增加表!CE42</f>
        <v>-20081000</v>
      </c>
      <c r="CF47" s="33">
        <f>股权价值增加表!CF42</f>
        <v>-14354563.84</v>
      </c>
      <c r="CG47" s="33">
        <f>股权价值增加表!CG42</f>
        <v>-4330000</v>
      </c>
      <c r="CH47" s="33">
        <f>股权价值增加表!CH42</f>
        <v>-4220000</v>
      </c>
      <c r="CI47" s="33">
        <f>股权价值增加表!CI42</f>
        <v>-12510000</v>
      </c>
      <c r="CJ47" s="33">
        <f>股权价值增加表!CJ42</f>
        <v>-3630000</v>
      </c>
    </row>
    <row r="48" spans="1:89" s="33" customFormat="1">
      <c r="A48" s="33" t="s">
        <v>434</v>
      </c>
      <c r="E48" s="33">
        <f>股权价值增加表!E43</f>
        <v>18.576778365334011</v>
      </c>
      <c r="F48" s="33">
        <f>股权价值增加表!F43</f>
        <v>15.635374431723381</v>
      </c>
      <c r="G48" s="33">
        <f>股权价值增加表!G43</f>
        <v>16.497199341574607</v>
      </c>
      <c r="H48" s="33">
        <f>股权价值增加表!H43</f>
        <v>18.384753962847871</v>
      </c>
      <c r="I48" s="33">
        <f>股权价值增加表!I43</f>
        <v>18.912804758734627</v>
      </c>
      <c r="J48" s="33">
        <f>股权价值增加表!J43</f>
        <v>18.067421189029343</v>
      </c>
      <c r="K48" s="33">
        <f>股权价值增加表!K43</f>
        <v>19.220471929553113</v>
      </c>
      <c r="L48" s="33">
        <f>股权价值增加表!L43</f>
        <v>20.529523038487508</v>
      </c>
      <c r="M48" s="33">
        <f>股权价值增加表!M43</f>
        <v>19.078949952915913</v>
      </c>
      <c r="N48" s="33">
        <f>股权价值增加表!N43</f>
        <v>19.289176270043381</v>
      </c>
      <c r="O48" s="33">
        <f>股权价值增加表!O43</f>
        <v>21.204449760180772</v>
      </c>
      <c r="P48" s="33">
        <f>股权价值增加表!P43</f>
        <v>21.842306747471916</v>
      </c>
      <c r="Q48" s="33">
        <f>股权价值增加表!Q43</f>
        <v>19.029088059764263</v>
      </c>
      <c r="R48" s="33">
        <f>股权价值增加表!R43</f>
        <v>18.771540784583859</v>
      </c>
      <c r="S48" s="33">
        <f>股权价值增加表!S43</f>
        <v>18.450196311133464</v>
      </c>
      <c r="T48" s="33">
        <f>股权价值增加表!T43</f>
        <v>22.237827247077579</v>
      </c>
      <c r="U48" s="33">
        <f>股权价值增加表!U43</f>
        <v>16.805357895688498</v>
      </c>
      <c r="V48" s="33">
        <f>股权价值增加表!V43</f>
        <v>16.780104890162068</v>
      </c>
      <c r="W48" s="33">
        <f>股权价值增加表!W43</f>
        <v>16.57915193056526</v>
      </c>
      <c r="X48" s="33">
        <f>股权价值增加表!X43</f>
        <v>20.007879648485051</v>
      </c>
      <c r="Y48" s="33">
        <f>股权价值增加表!Y43</f>
        <v>14.468927761226121</v>
      </c>
      <c r="Z48" s="33">
        <f>股权价值增加表!Z43</f>
        <v>13.660993785218031</v>
      </c>
      <c r="AA48" s="33">
        <f>股权价值增加表!AA43</f>
        <v>14.413665590352831</v>
      </c>
      <c r="AB48" s="33">
        <f>股权价值增加表!AB43</f>
        <v>19.024676875244296</v>
      </c>
      <c r="AC48" s="33">
        <f>股权价值增加表!AC43</f>
        <v>14.043754897829034</v>
      </c>
      <c r="AD48" s="33">
        <f>股权价值增加表!AD43</f>
        <v>13.64201016837078</v>
      </c>
      <c r="AE48" s="33">
        <f>股权价值增加表!AE43</f>
        <v>14.099926267720237</v>
      </c>
      <c r="AF48" s="33">
        <f>股权价值增加表!AF43</f>
        <v>17.804760102086696</v>
      </c>
      <c r="AG48" s="33">
        <f>股权价值增加表!AG43</f>
        <v>11.735718027968382</v>
      </c>
      <c r="AH48" s="33">
        <f>股权价值增加表!AH43</f>
        <v>9.8855650076397659</v>
      </c>
      <c r="AI48" s="33">
        <f>股权价值增加表!AI43</f>
        <v>10.543597328579329</v>
      </c>
      <c r="AJ48" s="33">
        <f>股权价值增加表!AJ43</f>
        <v>14.340236162885367</v>
      </c>
      <c r="AK48" s="33">
        <f>股权价值增加表!AK43</f>
        <v>10.6467397494735</v>
      </c>
      <c r="AL48" s="33">
        <f>股权价值增加表!AL43</f>
        <v>9.7145134000754592</v>
      </c>
      <c r="AM48" s="33">
        <f>股权价值增加表!AM43</f>
        <v>10.430649757708901</v>
      </c>
      <c r="AN48" s="33">
        <f>股权价值增加表!AN43</f>
        <v>13.619606482698277</v>
      </c>
      <c r="AO48" s="33">
        <f>股权价值增加表!AO43</f>
        <v>9.3696615103757779</v>
      </c>
      <c r="AP48" s="33">
        <f>股权价值增加表!AP43</f>
        <v>9.6455284856113455</v>
      </c>
      <c r="AQ48" s="33">
        <f>股权价值增加表!AQ43</f>
        <v>9.8865585265452989</v>
      </c>
      <c r="AR48" s="33">
        <f>股权价值增加表!AR43</f>
        <v>8.0605615813907203</v>
      </c>
      <c r="AS48" s="33" t="e">
        <f>股权价值增加表!AS43</f>
        <v>#DIV/0!</v>
      </c>
      <c r="AT48" s="33" t="e">
        <f>股权价值增加表!AT43</f>
        <v>#DIV/0!</v>
      </c>
      <c r="AU48" s="33" t="e">
        <f>股权价值增加表!AU43</f>
        <v>#DIV/0!</v>
      </c>
      <c r="AV48" s="33" t="e">
        <f>股权价值增加表!AV43</f>
        <v>#DIV/0!</v>
      </c>
      <c r="AW48" s="33" t="e">
        <f>股权价值增加表!AW43</f>
        <v>#DIV/0!</v>
      </c>
      <c r="AX48" s="33" t="e">
        <f>股权价值增加表!AX43</f>
        <v>#DIV/0!</v>
      </c>
      <c r="AY48" s="33" t="e">
        <f>股权价值增加表!AY43</f>
        <v>#DIV/0!</v>
      </c>
      <c r="AZ48" s="33" t="e">
        <f>股权价值增加表!AZ43</f>
        <v>#DIV/0!</v>
      </c>
      <c r="BA48" s="33" t="e">
        <f>股权价值增加表!BA43</f>
        <v>#DIV/0!</v>
      </c>
      <c r="BB48" s="33" t="e">
        <f>股权价值增加表!BB43</f>
        <v>#DIV/0!</v>
      </c>
      <c r="BC48" s="33" t="e">
        <f>股权价值增加表!BC43</f>
        <v>#DIV/0!</v>
      </c>
      <c r="BD48" s="33" t="e">
        <f>股权价值增加表!BD43</f>
        <v>#DIV/0!</v>
      </c>
      <c r="BE48" s="33" t="e">
        <f>股权价值增加表!BE43</f>
        <v>#DIV/0!</v>
      </c>
      <c r="BF48" s="33" t="e">
        <f>股权价值增加表!BF43</f>
        <v>#DIV/0!</v>
      </c>
      <c r="BG48" s="33" t="e">
        <f>股权价值增加表!BG43</f>
        <v>#DIV/0!</v>
      </c>
      <c r="BH48" s="33" t="e">
        <f>股权价值增加表!BH43</f>
        <v>#DIV/0!</v>
      </c>
      <c r="BI48" s="33" t="e">
        <f>股权价值增加表!BI43</f>
        <v>#DIV/0!</v>
      </c>
      <c r="BJ48" s="33" t="e">
        <f>股权价值增加表!BJ43</f>
        <v>#DIV/0!</v>
      </c>
      <c r="BK48" s="33" t="e">
        <f>股权价值增加表!BK43</f>
        <v>#DIV/0!</v>
      </c>
      <c r="BL48" s="33" t="e">
        <f>股权价值增加表!BL43</f>
        <v>#DIV/0!</v>
      </c>
      <c r="BM48" s="33" t="e">
        <f>股权价值增加表!BM43</f>
        <v>#DIV/0!</v>
      </c>
      <c r="BN48" s="33" t="e">
        <f>股权价值增加表!BN43</f>
        <v>#DIV/0!</v>
      </c>
      <c r="BO48" s="33" t="e">
        <f>股权价值增加表!BO43</f>
        <v>#DIV/0!</v>
      </c>
      <c r="BP48" s="33" t="e">
        <f>股权价值增加表!BP43</f>
        <v>#DIV/0!</v>
      </c>
      <c r="BQ48" s="33" t="e">
        <f>股权价值增加表!BQ43</f>
        <v>#DIV/0!</v>
      </c>
      <c r="BR48" s="33" t="e">
        <f>股权价值增加表!BR43</f>
        <v>#DIV/0!</v>
      </c>
      <c r="BS48" s="33" t="e">
        <f>股权价值增加表!BS43</f>
        <v>#DIV/0!</v>
      </c>
      <c r="BT48" s="33" t="e">
        <f>股权价值增加表!BT43</f>
        <v>#DIV/0!</v>
      </c>
      <c r="BU48" s="33" t="e">
        <f>股权价值增加表!BU43</f>
        <v>#DIV/0!</v>
      </c>
      <c r="BV48" s="33" t="e">
        <f>股权价值增加表!BV43</f>
        <v>#DIV/0!</v>
      </c>
      <c r="BW48" s="33" t="e">
        <f>股权价值增加表!BW43</f>
        <v>#DIV/0!</v>
      </c>
      <c r="BX48" s="33" t="e">
        <f>股权价值增加表!BX43</f>
        <v>#DIV/0!</v>
      </c>
      <c r="BY48" s="33" t="e">
        <f>股权价值增加表!BY43</f>
        <v>#DIV/0!</v>
      </c>
      <c r="BZ48" s="33" t="e">
        <f>股权价值增加表!BZ43</f>
        <v>#DIV/0!</v>
      </c>
      <c r="CA48" s="33" t="e">
        <f>股权价值增加表!CA43</f>
        <v>#DIV/0!</v>
      </c>
      <c r="CB48" s="33" t="e">
        <f>股权价值增加表!CB43</f>
        <v>#DIV/0!</v>
      </c>
      <c r="CC48" s="33" t="e">
        <f>股权价值增加表!CC43</f>
        <v>#DIV/0!</v>
      </c>
      <c r="CD48" s="33" t="e">
        <f>股权价值增加表!CD43</f>
        <v>#DIV/0!</v>
      </c>
      <c r="CE48" s="33" t="e">
        <f>股权价值增加表!CE43</f>
        <v>#DIV/0!</v>
      </c>
      <c r="CF48" s="33" t="e">
        <f>股权价值增加表!CF43</f>
        <v>#DIV/0!</v>
      </c>
      <c r="CG48" s="33" t="e">
        <f>股权价值增加表!CG43</f>
        <v>#DIV/0!</v>
      </c>
      <c r="CH48" s="33" t="e">
        <f>股权价值增加表!CH43</f>
        <v>#DIV/0!</v>
      </c>
      <c r="CI48" s="33" t="e">
        <f>股权价值增加表!CI43</f>
        <v>#DIV/0!</v>
      </c>
      <c r="CJ48" s="33" t="e">
        <f>股权价值增加表!CJ43</f>
        <v>#DIV/0!</v>
      </c>
    </row>
    <row r="49" spans="1:88" s="67" customFormat="1">
      <c r="A49" s="67" t="s">
        <v>432</v>
      </c>
      <c r="E49" s="67">
        <f>(E47-I47)/I47</f>
        <v>0.11167726282079882</v>
      </c>
      <c r="F49" s="67">
        <f t="shared" ref="F49:BQ49" si="38">(F47-J47)/J47</f>
        <v>-1.2104341014213968E-2</v>
      </c>
      <c r="G49" s="67">
        <f t="shared" si="38"/>
        <v>-6.3622253827983408E-2</v>
      </c>
      <c r="H49" s="67">
        <f t="shared" si="38"/>
        <v>-0.10396808794623844</v>
      </c>
      <c r="I49" s="67">
        <f t="shared" si="38"/>
        <v>9.5018849544940706E-2</v>
      </c>
      <c r="J49" s="67">
        <f t="shared" si="38"/>
        <v>-2.7699494319077606E-2</v>
      </c>
      <c r="K49" s="67">
        <f t="shared" si="38"/>
        <v>-7.4093604892720724E-2</v>
      </c>
      <c r="L49" s="67">
        <f t="shared" si="38"/>
        <v>-0.12380289204922185</v>
      </c>
      <c r="M49" s="67">
        <f t="shared" si="38"/>
        <v>6.5147151159007904E-2</v>
      </c>
      <c r="N49" s="67">
        <f t="shared" si="38"/>
        <v>2.6713746366570104E-2</v>
      </c>
      <c r="O49" s="67">
        <f t="shared" si="38"/>
        <v>0.16089557220242043</v>
      </c>
      <c r="P49" s="67">
        <f t="shared" si="38"/>
        <v>4.4110337431642029E-3</v>
      </c>
      <c r="Q49" s="67">
        <f t="shared" si="38"/>
        <v>0.19663997022908308</v>
      </c>
      <c r="R49" s="67">
        <f t="shared" si="38"/>
        <v>0.1578902196186785</v>
      </c>
      <c r="S49" s="67">
        <f t="shared" si="38"/>
        <v>0.15801857927137059</v>
      </c>
      <c r="T49" s="67">
        <f t="shared" si="38"/>
        <v>0.14467111986813128</v>
      </c>
      <c r="U49" s="67">
        <f t="shared" si="38"/>
        <v>0.2182958633324511</v>
      </c>
      <c r="V49" s="67">
        <f t="shared" si="38"/>
        <v>0.29320822789824175</v>
      </c>
      <c r="W49" s="67">
        <f t="shared" si="38"/>
        <v>0.24457275364644537</v>
      </c>
      <c r="X49" s="67">
        <f t="shared" si="38"/>
        <v>0.14224212407316739</v>
      </c>
      <c r="Y49" s="67">
        <f t="shared" si="38"/>
        <v>0.25962757512327089</v>
      </c>
      <c r="Z49" s="67">
        <f t="shared" si="38"/>
        <v>0.26387737557410823</v>
      </c>
      <c r="AA49" s="67">
        <f t="shared" si="38"/>
        <v>0.27611975539645145</v>
      </c>
      <c r="AB49" s="67">
        <f t="shared" si="38"/>
        <v>0.29777344877967699</v>
      </c>
      <c r="AC49" s="67">
        <f t="shared" si="38"/>
        <v>0.629587260035819</v>
      </c>
      <c r="AD49" s="67">
        <f t="shared" si="38"/>
        <v>0.86772833838438657</v>
      </c>
      <c r="AE49" s="67">
        <f t="shared" si="38"/>
        <v>0.79277299190173711</v>
      </c>
      <c r="AF49" s="67">
        <f t="shared" si="38"/>
        <v>0.63254698128736186</v>
      </c>
      <c r="AG49" s="67">
        <f t="shared" si="38"/>
        <v>0.48584200193933075</v>
      </c>
      <c r="AH49" s="67">
        <f t="shared" si="38"/>
        <v>0.35966660282971535</v>
      </c>
      <c r="AI49" s="67">
        <f t="shared" si="38"/>
        <v>0.41768085250223819</v>
      </c>
      <c r="AJ49" s="67">
        <f t="shared" si="38"/>
        <v>0.46667404513220984</v>
      </c>
      <c r="AK49" s="67">
        <f t="shared" si="38"/>
        <v>0.32161147945833019</v>
      </c>
      <c r="AL49" s="67">
        <f t="shared" si="38"/>
        <v>0.12351136479906047</v>
      </c>
      <c r="AM49" s="67">
        <f t="shared" si="38"/>
        <v>-0.42236867882721729</v>
      </c>
      <c r="AN49" s="67">
        <f t="shared" si="38"/>
        <v>-0.26722397720561281</v>
      </c>
      <c r="AO49" s="67" t="e">
        <f t="shared" si="38"/>
        <v>#DIV/0!</v>
      </c>
      <c r="AP49" s="67">
        <f t="shared" si="38"/>
        <v>-1.423695014586932</v>
      </c>
      <c r="AQ49" s="67">
        <f t="shared" si="38"/>
        <v>-1.8017263769376695</v>
      </c>
      <c r="AR49" s="67">
        <f t="shared" si="38"/>
        <v>-2.4459956338929127</v>
      </c>
      <c r="AS49" s="67">
        <f t="shared" si="38"/>
        <v>-1</v>
      </c>
      <c r="AT49" s="67">
        <f t="shared" si="38"/>
        <v>-5.5592836011449389</v>
      </c>
      <c r="AU49" s="67">
        <f t="shared" si="38"/>
        <v>39.72616376640179</v>
      </c>
      <c r="AV49" s="67">
        <f t="shared" si="38"/>
        <v>1.1400585430277277</v>
      </c>
      <c r="AW49" s="67">
        <f t="shared" si="38"/>
        <v>-1.1080165044491646</v>
      </c>
      <c r="AX49" s="67">
        <f t="shared" si="38"/>
        <v>-1.1663265416575401</v>
      </c>
      <c r="AY49" s="67">
        <f t="shared" si="38"/>
        <v>-0.97456580116843294</v>
      </c>
      <c r="AZ49" s="67">
        <f t="shared" si="38"/>
        <v>-5.9760977653465296E-2</v>
      </c>
      <c r="BA49" s="67">
        <f t="shared" si="38"/>
        <v>2.3330062025403997</v>
      </c>
      <c r="BB49" s="67">
        <f t="shared" si="38"/>
        <v>3.2774954889014039</v>
      </c>
      <c r="BC49" s="67">
        <f t="shared" si="38"/>
        <v>2.8590617695613814</v>
      </c>
      <c r="BD49" s="67">
        <f t="shared" si="38"/>
        <v>-0.33373716707879392</v>
      </c>
      <c r="BE49" s="67">
        <f t="shared" si="38"/>
        <v>0.29631749445936439</v>
      </c>
      <c r="BF49" s="67">
        <f t="shared" si="38"/>
        <v>-11.223671478994232</v>
      </c>
      <c r="BG49" s="67">
        <f t="shared" si="38"/>
        <v>-2.2694583054759923</v>
      </c>
      <c r="BH49" s="67">
        <f t="shared" si="38"/>
        <v>0.30613886412072078</v>
      </c>
      <c r="BI49" s="67">
        <f t="shared" si="38"/>
        <v>-0.49836587121600534</v>
      </c>
      <c r="BJ49" s="67">
        <f t="shared" si="38"/>
        <v>-1.0823451450371084</v>
      </c>
      <c r="BK49" s="67">
        <f t="shared" si="38"/>
        <v>-1.6676461728308067</v>
      </c>
      <c r="BL49" s="67">
        <f t="shared" si="38"/>
        <v>0.31786080039976627</v>
      </c>
      <c r="BM49" s="67">
        <f t="shared" si="38"/>
        <v>-1.9572398653976218E-2</v>
      </c>
      <c r="BN49" s="67">
        <f t="shared" si="38"/>
        <v>1.9873543964221878</v>
      </c>
      <c r="BO49" s="67">
        <f t="shared" si="38"/>
        <v>-4.3388891070492708</v>
      </c>
      <c r="BP49" s="67">
        <f t="shared" si="38"/>
        <v>-2.2124574237216996</v>
      </c>
      <c r="BQ49" s="67">
        <f t="shared" si="38"/>
        <v>0.47748248183696745</v>
      </c>
      <c r="BR49" s="67">
        <f t="shared" ref="BR49:CJ49" si="39">(BR47-BV47)/BV47</f>
        <v>-0.75631662037708103</v>
      </c>
      <c r="BS49" s="67">
        <f t="shared" si="39"/>
        <v>-0.8421334811496487</v>
      </c>
      <c r="BT49" s="67">
        <f t="shared" si="39"/>
        <v>-1.4207991462729328</v>
      </c>
      <c r="BU49" s="67">
        <f t="shared" si="39"/>
        <v>-4.8820718293024052</v>
      </c>
      <c r="BV49" s="67">
        <f t="shared" si="39"/>
        <v>-113.82042769589668</v>
      </c>
      <c r="BW49" s="67">
        <f t="shared" si="39"/>
        <v>-1.8778178949887783</v>
      </c>
      <c r="BX49" s="67">
        <f t="shared" si="39"/>
        <v>1.9774310642351474</v>
      </c>
      <c r="BY49" s="67">
        <f t="shared" si="39"/>
        <v>-1.2999087074699003</v>
      </c>
      <c r="BZ49" s="67">
        <f t="shared" si="39"/>
        <v>-1.0341021879483501</v>
      </c>
      <c r="CA49" s="67">
        <f t="shared" si="39"/>
        <v>1.3122005418056872</v>
      </c>
      <c r="CB49" s="67">
        <f t="shared" si="39"/>
        <v>-0.53574511115205004</v>
      </c>
      <c r="CC49" s="67">
        <f t="shared" si="39"/>
        <v>8.6472078591224015</v>
      </c>
      <c r="CD49" s="67">
        <f t="shared" si="39"/>
        <v>2.3033175355450237</v>
      </c>
      <c r="CE49" s="67">
        <f t="shared" si="39"/>
        <v>0.60519584332533971</v>
      </c>
      <c r="CF49" s="67">
        <f t="shared" si="39"/>
        <v>2.9544253002754819</v>
      </c>
      <c r="CG49" s="67" t="e">
        <f t="shared" si="39"/>
        <v>#DIV/0!</v>
      </c>
      <c r="CH49" s="67" t="e">
        <f t="shared" si="39"/>
        <v>#DIV/0!</v>
      </c>
      <c r="CI49" s="67" t="e">
        <f t="shared" si="39"/>
        <v>#DIV/0!</v>
      </c>
      <c r="CJ49" s="67" t="e">
        <f t="shared" si="39"/>
        <v>#DIV/0!</v>
      </c>
    </row>
    <row r="50" spans="1:88" s="33" customFormat="1">
      <c r="A50" s="33" t="s">
        <v>433</v>
      </c>
      <c r="E50" s="33">
        <f>股权价值增加表!E47</f>
        <v>234699026.09519994</v>
      </c>
      <c r="F50" s="33">
        <f>股权价值增加表!F47</f>
        <v>12401922.726400018</v>
      </c>
      <c r="G50" s="33">
        <f>股权价值增加表!G47</f>
        <v>-67420887.571200013</v>
      </c>
      <c r="H50" s="33">
        <f>股权价值增加表!H47</f>
        <v>-145909846.15119994</v>
      </c>
      <c r="I50" s="33">
        <f>股权价值增加表!I47</f>
        <v>224333700.1328001</v>
      </c>
      <c r="J50" s="33">
        <f>股权价值增加表!J47</f>
        <v>46872290.537999898</v>
      </c>
      <c r="K50" s="33">
        <f>股权价值增加表!K47</f>
        <v>-20381871.205999911</v>
      </c>
      <c r="L50" s="33">
        <f>股权价值增加表!L47</f>
        <v>-101369601.50720003</v>
      </c>
      <c r="M50" s="33">
        <f>股权价值增加表!M47</f>
        <v>216193185.8619999</v>
      </c>
      <c r="N50" s="33">
        <f>股权价值增加表!N47</f>
        <v>59334144.647999913</v>
      </c>
      <c r="O50" s="33">
        <f>股权价值增加表!O47</f>
        <v>-1731123.299600035</v>
      </c>
      <c r="P50" s="33">
        <f>股权价值增加表!P47</f>
        <v>-80238323.045600057</v>
      </c>
      <c r="Q50" s="33">
        <f>股权价值增加表!Q47</f>
        <v>201656797.46719983</v>
      </c>
      <c r="R50" s="33">
        <f>股权价值增加表!R47</f>
        <v>77245872.710800111</v>
      </c>
      <c r="S50" s="33">
        <f>股权价值增加表!S47</f>
        <v>-1548598.3711999953</v>
      </c>
      <c r="T50" s="33">
        <f>股权价值增加表!T47</f>
        <v>-52027048.02880004</v>
      </c>
      <c r="U50" s="33">
        <f>股权价值增加表!U47</f>
        <v>169085532.52760002</v>
      </c>
      <c r="V50" s="33">
        <f>股权价值增加表!V47</f>
        <v>75621590.279599816</v>
      </c>
      <c r="W50" s="33">
        <f>股权价值增加表!W47</f>
        <v>7434167.1336000711</v>
      </c>
      <c r="X50" s="33">
        <f>股权价值增加表!X47</f>
        <v>-40456187.086800039</v>
      </c>
      <c r="Y50" s="33">
        <f>股权价值增加表!Y47</f>
        <v>136132753.26560003</v>
      </c>
      <c r="Z50" s="33">
        <f>股权价值增加表!Z47</f>
        <v>50339974.012400046</v>
      </c>
      <c r="AA50" s="33">
        <f>股权价值增加表!AA47</f>
        <v>1215714.8380000144</v>
      </c>
      <c r="AB50" s="33">
        <f>股权价值增加表!AB47</f>
        <v>-28432426.702800021</v>
      </c>
      <c r="AC50" s="33">
        <f>股权价值增加表!AC47</f>
        <v>105081518.00359999</v>
      </c>
      <c r="AD50" s="33">
        <f>股权价值增加表!AD47</f>
        <v>36119808.15200001</v>
      </c>
      <c r="AE50" s="33">
        <f>股权价值增加表!AE47</f>
        <v>-10937115.854399934</v>
      </c>
      <c r="AF50" s="33">
        <f>股权价值增加表!AF47</f>
        <v>-34953613.662800059</v>
      </c>
      <c r="AG50" s="33">
        <f>股权价值增加表!AG47</f>
        <v>35773403.079600006</v>
      </c>
      <c r="AH50" s="33">
        <f>股权价值增加表!AH47</f>
        <v>-15773829.938800052</v>
      </c>
      <c r="AI50" s="33">
        <f>股权价值增加表!AI47</f>
        <v>-39418329.112000011</v>
      </c>
      <c r="AJ50" s="33">
        <f>股权价值增加表!AJ47</f>
        <v>-49980600.914400004</v>
      </c>
      <c r="AK50" s="33">
        <f>股权价值增加表!AK47</f>
        <v>917871.99840001762</v>
      </c>
      <c r="AL50" s="33">
        <f>股权价值增加表!AL47</f>
        <v>28998276.840399947</v>
      </c>
      <c r="AM50" s="33">
        <f>股权价值增加表!AM47</f>
        <v>13315347.184000004</v>
      </c>
      <c r="AN50" s="33">
        <f>股权价值增加表!AN47</f>
        <v>7058225.7936000191</v>
      </c>
      <c r="AO50" s="33">
        <f>股权价值增加表!AO47</f>
        <v>50119906.295599982</v>
      </c>
      <c r="AP50" s="33">
        <f>股权价值增加表!AP47</f>
        <v>35939004.436000027</v>
      </c>
      <c r="AQ50" s="33">
        <f>股权价值增加表!AQ47</f>
        <v>58354125.520000018</v>
      </c>
      <c r="AR50" s="33">
        <f>股权价值增加表!AR47</f>
        <v>33780411.490000002</v>
      </c>
      <c r="AS50" s="33">
        <f>股权价值增加表!AS47</f>
        <v>0</v>
      </c>
      <c r="AT50" s="33">
        <f>股权价值增加表!AT47</f>
        <v>-551211614.52399993</v>
      </c>
      <c r="AU50" s="33">
        <f>股权价值增加表!AU47</f>
        <v>-496320397.45679998</v>
      </c>
      <c r="AV50" s="33">
        <f>股权价值增加表!AV47</f>
        <v>-445505388.23360002</v>
      </c>
      <c r="AW50" s="33">
        <f>股权价值增加表!AW47</f>
        <v>-398055066.47280002</v>
      </c>
      <c r="AX50" s="33">
        <f>股权价值增加表!AX47</f>
        <v>-377567714.57360005</v>
      </c>
      <c r="AY50" s="33">
        <f>股权价值增加表!AY47</f>
        <v>-387409290.14840001</v>
      </c>
      <c r="AZ50" s="33">
        <f>股权价值增加表!AZ47</f>
        <v>-411743268.77480006</v>
      </c>
      <c r="BA50" s="33">
        <f>股权价值增加表!BA47</f>
        <v>-544316182.85319996</v>
      </c>
      <c r="BB50" s="33">
        <f>股权价值增加表!BB47</f>
        <v>-531683858.44279993</v>
      </c>
      <c r="BC50" s="33">
        <f>股权价值增加表!BC47</f>
        <v>-454875507.8448</v>
      </c>
      <c r="BD50" s="33">
        <f>股权价值增加表!BD47</f>
        <v>-417115730.546</v>
      </c>
      <c r="BE50" s="33">
        <f>股权价值增加表!BE47</f>
        <v>-439952204.87879997</v>
      </c>
      <c r="BF50" s="33">
        <f>股权价值增加表!BF47</f>
        <v>-417533251.67519999</v>
      </c>
      <c r="BG50" s="33">
        <f>股权价值增加表!BG47</f>
        <v>-398320315.3308</v>
      </c>
      <c r="BH50" s="33">
        <f>股权价值增加表!BH47</f>
        <v>-401893920.58120006</v>
      </c>
      <c r="BI50" s="33">
        <f>股权价值增加表!BI47</f>
        <v>-407190740.5424</v>
      </c>
      <c r="BJ50" s="33">
        <f>股权价值增加表!BJ47</f>
        <v>-355900380.39039999</v>
      </c>
      <c r="BK50" s="33">
        <f>股权价值增加表!BK47</f>
        <v>-329089631.60519999</v>
      </c>
      <c r="BL50" s="33">
        <f>股权价值增加表!BL47</f>
        <v>-356588493.17480004</v>
      </c>
      <c r="BM50" s="33">
        <f>股权价值增加表!BM47</f>
        <v>-406912335.89759994</v>
      </c>
      <c r="BN50" s="33">
        <f>股权价值增加表!BN47</f>
        <v>-369068809.83399999</v>
      </c>
      <c r="BO50" s="33">
        <f>股权价值增加表!BO47</f>
        <v>-337805848.72119999</v>
      </c>
      <c r="BP50" s="33">
        <f>股权价值增加表!BP47</f>
        <v>-329201658.89320004</v>
      </c>
      <c r="BQ50" s="33">
        <f>股权价值增加表!BQ47</f>
        <v>-381930577.79279995</v>
      </c>
      <c r="BR50" s="33">
        <f>股权价值增加表!BR47</f>
        <v>-316699207.17080003</v>
      </c>
      <c r="BS50" s="33">
        <f>股权价值增加表!BS47</f>
        <v>-281528970.51560003</v>
      </c>
      <c r="BT50" s="33">
        <f>股权价值增加表!BT47</f>
        <v>-290105071.28399998</v>
      </c>
      <c r="BU50" s="33">
        <f>股权价值增加表!BU47</f>
        <v>-336479452.12200004</v>
      </c>
      <c r="BV50" s="33">
        <f>股权价值增加表!BV47</f>
        <v>-228928071.36839998</v>
      </c>
      <c r="BW50" s="33">
        <f>股权价值增加表!BW47</f>
        <v>-127930477.604</v>
      </c>
      <c r="BX50" s="33">
        <f>股权价值增加表!BX47</f>
        <v>-118210057.0932</v>
      </c>
      <c r="BY50" s="33">
        <f>股权价值增加表!BY47</f>
        <v>-86922966.762400001</v>
      </c>
      <c r="BZ50" s="33">
        <f>股权价值增加表!BZ47</f>
        <v>-93493923.737599999</v>
      </c>
      <c r="CA50" s="33">
        <f>股权价值增加表!CA47</f>
        <v>-139322016.55840001</v>
      </c>
      <c r="CB50" s="33">
        <f>股权价值增加表!CB47</f>
        <v>-101361125.44559999</v>
      </c>
      <c r="CC50" s="33">
        <f>股权价值增加表!CC47</f>
        <v>-127997818.6724</v>
      </c>
      <c r="CD50" s="33">
        <f>股权价值增加表!CD47</f>
        <v>-100067779.6664</v>
      </c>
      <c r="CE50" s="33">
        <f>股权价值增加表!CE47</f>
        <v>-106460040</v>
      </c>
      <c r="CF50" s="33">
        <f>股权价值增加表!CF47</f>
        <v>-94692832.060800001</v>
      </c>
      <c r="CG50" s="33">
        <f>股权价值增加表!CG47</f>
        <v>-43745192.029600002</v>
      </c>
      <c r="CH50" s="33">
        <f>股权价值增加表!CH47</f>
        <v>-4220000</v>
      </c>
      <c r="CI50" s="33">
        <f>股权价值增加表!CI47</f>
        <v>-12510000</v>
      </c>
      <c r="CJ50" s="33">
        <f>股权价值增加表!CJ47</f>
        <v>-3630000</v>
      </c>
    </row>
    <row r="51" spans="1:88" s="22" customFormat="1" ht="52.5" customHeight="1">
      <c r="A51" s="167" t="s">
        <v>597</v>
      </c>
      <c r="B51" s="168"/>
      <c r="C51" s="168"/>
      <c r="D51" s="168"/>
      <c r="E51" s="168"/>
      <c r="F51" s="168"/>
      <c r="G51" s="168"/>
      <c r="H51" s="168"/>
      <c r="I51" s="168"/>
      <c r="J51" s="168"/>
      <c r="K51" s="168"/>
      <c r="L51" s="168"/>
      <c r="M51" s="168"/>
      <c r="N51" s="168"/>
      <c r="O51" s="168"/>
      <c r="P51" s="168"/>
      <c r="Q51" s="168"/>
      <c r="R51" s="168"/>
      <c r="S51" s="168"/>
      <c r="T51" s="168"/>
      <c r="U51" s="168"/>
      <c r="V51" s="168"/>
      <c r="W51" s="168"/>
      <c r="X51" s="168"/>
      <c r="Y51" s="168"/>
      <c r="Z51" s="168"/>
      <c r="AA51" s="168"/>
      <c r="AB51" s="168"/>
      <c r="AC51" s="168"/>
      <c r="AD51" s="168"/>
      <c r="AE51" s="168"/>
      <c r="AF51" s="168"/>
      <c r="AG51" s="168"/>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opLeftCell="A76" workbookViewId="0">
      <selection activeCell="I106" sqref="I106"/>
    </sheetView>
  </sheetViews>
  <sheetFormatPr defaultRowHeight="13.5"/>
  <cols>
    <col min="1" max="1" width="48.875" style="23" bestFit="1" customWidth="1"/>
    <col min="2" max="4" width="10.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7.25" hidden="1" customWidth="1"/>
    <col min="41" max="41" width="17.25" bestFit="1" customWidth="1"/>
    <col min="42" max="42" width="17.25" hidden="1" customWidth="1"/>
    <col min="43" max="43" width="17.25" bestFit="1" customWidth="1"/>
    <col min="44" max="44" width="19.375" bestFit="1" customWidth="1"/>
    <col min="45" max="45" width="19.375" hidden="1" customWidth="1"/>
    <col min="46" max="84" width="19.375" bestFit="1" customWidth="1"/>
    <col min="85" max="87" width="17.25" bestFit="1" customWidth="1"/>
    <col min="88" max="89" width="16.125" bestFit="1" customWidth="1"/>
  </cols>
  <sheetData>
    <row r="1" spans="1:89" s="33" customFormat="1">
      <c r="A1" s="3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33" customFormat="1">
      <c r="A2" s="33" t="s">
        <v>431</v>
      </c>
      <c r="E2" s="33">
        <f>股权价值增加表!E42</f>
        <v>486007241.61999995</v>
      </c>
      <c r="F2" s="33">
        <f>股权价值增加表!F42</f>
        <v>240556300.98000002</v>
      </c>
      <c r="G2" s="33">
        <f>股权价值增加表!G42</f>
        <v>158585926.79999998</v>
      </c>
      <c r="H2" s="33">
        <f>股权价值增加表!H42</f>
        <v>79306727.720000058</v>
      </c>
      <c r="I2" s="33">
        <f>股权价值增加表!I42</f>
        <v>437183756.36000013</v>
      </c>
      <c r="J2" s="33">
        <f>股权价值增加表!J42</f>
        <v>243503753.4499999</v>
      </c>
      <c r="K2" s="33">
        <f>股权价值增加表!K42</f>
        <v>169361059.09000006</v>
      </c>
      <c r="L2" s="33">
        <f>股权价值增加表!L42</f>
        <v>88508820.559999973</v>
      </c>
      <c r="M2" s="33">
        <f>股权价值增加表!M42</f>
        <v>399247699.2899999</v>
      </c>
      <c r="N2" s="33">
        <f>股权价值增加表!N42</f>
        <v>250440838.01999992</v>
      </c>
      <c r="O2" s="33">
        <f>股权价值增加表!O42</f>
        <v>182913802.06999996</v>
      </c>
      <c r="P2" s="33">
        <f>股权价值增加表!P42</f>
        <v>101014737.15999997</v>
      </c>
      <c r="Q2" s="33">
        <f>股权价值增加表!Q42</f>
        <v>374828678.69999981</v>
      </c>
      <c r="R2" s="33">
        <f>股权价值增加表!R42</f>
        <v>243924695.57000011</v>
      </c>
      <c r="S2" s="33">
        <f>股权价值增加表!S42</f>
        <v>157562666.66000003</v>
      </c>
      <c r="T2" s="33">
        <f>股权价值增加表!T42</f>
        <v>100571114.57999995</v>
      </c>
      <c r="U2" s="33">
        <f>股权价值增加表!U42</f>
        <v>313234296.05000001</v>
      </c>
      <c r="V2" s="33">
        <f>股权价值增加表!V42</f>
        <v>210663058.92999983</v>
      </c>
      <c r="W2" s="33">
        <f>股权价值增加表!W42</f>
        <v>136062295.96000007</v>
      </c>
      <c r="X2" s="33">
        <f>股权价值增加表!X42</f>
        <v>87860270.809999973</v>
      </c>
      <c r="Y2" s="33">
        <f>股权价值增加表!Y42</f>
        <v>257108560.80000001</v>
      </c>
      <c r="Z2" s="33">
        <f>股权价值增加表!Z42</f>
        <v>162899565.89000005</v>
      </c>
      <c r="AA2" s="33">
        <f>股权价值增加表!AA42</f>
        <v>109324501.57000002</v>
      </c>
      <c r="AB2" s="33">
        <f>股权价值增加表!AB42</f>
        <v>76919130.329999983</v>
      </c>
      <c r="AC2" s="33">
        <f>股权价值增加表!AC42</f>
        <v>204114744.60999998</v>
      </c>
      <c r="AD2" s="33">
        <f>股权价值增加表!AD42</f>
        <v>128888742.72</v>
      </c>
      <c r="AE2" s="33">
        <f>股权价值增加表!AE42</f>
        <v>85669468.800000072</v>
      </c>
      <c r="AF2" s="33">
        <f>股权价值增加表!AF42</f>
        <v>59270075.529999956</v>
      </c>
      <c r="AG2" s="33">
        <f>股权价值增加表!AG42</f>
        <v>125255486.23000002</v>
      </c>
      <c r="AH2" s="33">
        <f>股权价值增加表!AH42</f>
        <v>69008292.089999944</v>
      </c>
      <c r="AI2" s="33">
        <f>股权价值增加表!AI42</f>
        <v>47786010.380000003</v>
      </c>
      <c r="AJ2" s="33">
        <f>股权价值增加表!AJ42</f>
        <v>36305280.160000004</v>
      </c>
      <c r="AK2" s="33">
        <f>股权价值增加表!AK42</f>
        <v>84299330.660000011</v>
      </c>
      <c r="AL2" s="33">
        <f>股权价值增加表!AL42</f>
        <v>50753833.289999947</v>
      </c>
      <c r="AM2" s="33">
        <f>股权价值增加表!AM42</f>
        <v>33707170.620000005</v>
      </c>
      <c r="AN2" s="33">
        <f>股权价值增加表!AN42</f>
        <v>24753475.580000021</v>
      </c>
      <c r="AO2" s="33">
        <f>股权价值增加表!AO42</f>
        <v>63785259.109999985</v>
      </c>
      <c r="AP2" s="33">
        <f>股权价值增加表!AP42</f>
        <v>45174294.520000026</v>
      </c>
      <c r="AQ2" s="33">
        <f>股权价值增加表!AQ42</f>
        <v>58354125.520000018</v>
      </c>
      <c r="AR2" s="33">
        <f>股权价值增加表!AR42</f>
        <v>33780411.490000002</v>
      </c>
      <c r="AS2" s="33">
        <f>股权价值增加表!AS42</f>
        <v>0</v>
      </c>
      <c r="AT2" s="33">
        <f>股权价值增加表!AT42</f>
        <v>-106619839.65999997</v>
      </c>
      <c r="AU2" s="33">
        <f>股权价值增加表!AU42</f>
        <v>-72785587.700000018</v>
      </c>
      <c r="AV2" s="33">
        <f>股权价值增加表!AV42</f>
        <v>-23361350.959999997</v>
      </c>
      <c r="AW2" s="33">
        <f>股权价值增加表!AW42</f>
        <v>16493193.060000002</v>
      </c>
      <c r="AX2" s="33">
        <f>股权价值增加表!AX42</f>
        <v>23385217.719999984</v>
      </c>
      <c r="AY2" s="33">
        <f>股权价值增加表!AY42</f>
        <v>-1787194.7899999991</v>
      </c>
      <c r="AZ2" s="33">
        <f>股权价值增加表!AZ42</f>
        <v>-10916220.51</v>
      </c>
      <c r="BA2" s="33">
        <f>股权价值增加表!BA42</f>
        <v>-152691416.41</v>
      </c>
      <c r="BB2" s="33">
        <f>股权价值增加表!BB42</f>
        <v>-140598232.16999999</v>
      </c>
      <c r="BC2" s="33">
        <f>股权价值增加表!BC42</f>
        <v>-70267390.840000004</v>
      </c>
      <c r="BD2" s="33">
        <f>股权价值增加表!BD42</f>
        <v>-11610048.350000001</v>
      </c>
      <c r="BE2" s="33">
        <f>股权价值增加表!BE42</f>
        <v>-45811920.870000005</v>
      </c>
      <c r="BF2" s="33">
        <f>股权价值增加表!BF42</f>
        <v>-32869288.240000002</v>
      </c>
      <c r="BG2" s="33">
        <f>股权价值增加表!BG42</f>
        <v>-18208413.089999996</v>
      </c>
      <c r="BH2" s="33">
        <f>股权价值增加表!BH42</f>
        <v>-17425628.109999999</v>
      </c>
      <c r="BI2" s="33">
        <f>股权价值增加表!BI42</f>
        <v>-35340046.76000002</v>
      </c>
      <c r="BJ2" s="33">
        <f>股权价值增加表!BJ42</f>
        <v>3215018.0400000066</v>
      </c>
      <c r="BK2" s="33">
        <f>股权价值增加表!BK42</f>
        <v>14343451.069999993</v>
      </c>
      <c r="BL2" s="33">
        <f>股权价值增加表!BL42</f>
        <v>-13341328.849999998</v>
      </c>
      <c r="BM2" s="33">
        <f>股权价值增加表!BM42</f>
        <v>-70449845.280000001</v>
      </c>
      <c r="BN2" s="33">
        <f>股权价值增加表!BN42</f>
        <v>-39043200.889999986</v>
      </c>
      <c r="BO2" s="33">
        <f>股权价值增加表!BO42</f>
        <v>-21483611.610000007</v>
      </c>
      <c r="BP2" s="33">
        <f>股权价值增加表!BP42</f>
        <v>-10123473.469999999</v>
      </c>
      <c r="BQ2" s="33">
        <f>股权价值增加表!BQ42</f>
        <v>-71856244.340000004</v>
      </c>
      <c r="BR2" s="33">
        <f>股权价值增加表!BR42</f>
        <v>-13069490.830000006</v>
      </c>
      <c r="BS2" s="33">
        <f>股权价值增加表!BS42</f>
        <v>6434359.1299999952</v>
      </c>
      <c r="BT2" s="33">
        <f>股权价值增加表!BT42</f>
        <v>8349549.6600000039</v>
      </c>
      <c r="BU2" s="33">
        <f>股权价值增加表!BU42</f>
        <v>-48634244.549999997</v>
      </c>
      <c r="BV2" s="33">
        <f>股权价值增加表!BV42</f>
        <v>-53633082.609999999</v>
      </c>
      <c r="BW2" s="33">
        <f>股权价值增加表!BW42</f>
        <v>40758225.219999999</v>
      </c>
      <c r="BX2" s="33">
        <f>股权价值增加表!BX42</f>
        <v>-19842125.949999999</v>
      </c>
      <c r="BY2" s="33">
        <f>股权价值增加表!BY42</f>
        <v>12527909.500000004</v>
      </c>
      <c r="BZ2" s="33">
        <f>股权价值增加表!BZ42</f>
        <v>475384.5</v>
      </c>
      <c r="CA2" s="33">
        <f>股权价值增加表!CA42</f>
        <v>-46431299.080000006</v>
      </c>
      <c r="CB2" s="33">
        <f>股权价值增加表!CB42</f>
        <v>-6664176.4400000013</v>
      </c>
      <c r="CC2" s="33">
        <f>股权价值增加表!CC42</f>
        <v>-41772410.030000001</v>
      </c>
      <c r="CD2" s="33">
        <f>股权价值增加表!CD42</f>
        <v>-13940000</v>
      </c>
      <c r="CE2" s="33">
        <f>股权价值增加表!CE42</f>
        <v>-20081000</v>
      </c>
      <c r="CF2" s="33">
        <f>股权价值增加表!CF42</f>
        <v>-14354563.84</v>
      </c>
      <c r="CG2" s="33">
        <f>股权价值增加表!CG42</f>
        <v>-4330000</v>
      </c>
      <c r="CH2" s="33">
        <f>股权价值增加表!CH42</f>
        <v>-4220000</v>
      </c>
      <c r="CI2" s="33">
        <f>股权价值增加表!CI42</f>
        <v>-12510000</v>
      </c>
      <c r="CJ2" s="33">
        <f>股权价值增加表!CJ42</f>
        <v>-3630000</v>
      </c>
      <c r="CK2" s="33">
        <f>股权价值增加表!CK42</f>
        <v>0</v>
      </c>
    </row>
    <row r="3" spans="1:89" s="33" customFormat="1">
      <c r="A3" s="33" t="s">
        <v>436</v>
      </c>
      <c r="E3" s="33">
        <f>资产资本表!E107</f>
        <v>3141352694.0599999</v>
      </c>
      <c r="F3" s="33">
        <f>资产资本表!F107</f>
        <v>2851929728.1700001</v>
      </c>
      <c r="G3" s="33">
        <f>资产资本表!G107</f>
        <v>2825085179.6399999</v>
      </c>
      <c r="H3" s="33">
        <f>资产资本表!H107</f>
        <v>2815207173.3899999</v>
      </c>
      <c r="I3" s="33">
        <f>资产资本表!I107</f>
        <v>2660625702.8400002</v>
      </c>
      <c r="J3" s="33">
        <f>资产资本表!J107</f>
        <v>2457893286.4000001</v>
      </c>
      <c r="K3" s="33">
        <f>资产资本表!K107</f>
        <v>2371786628.6999998</v>
      </c>
      <c r="L3" s="33">
        <f>资产资本表!L107</f>
        <v>2373480275.8400002</v>
      </c>
      <c r="M3" s="33">
        <f>资产资本表!M107</f>
        <v>2288181417.8499999</v>
      </c>
      <c r="N3" s="33">
        <f>资产资本表!N107</f>
        <v>2388833667.1500001</v>
      </c>
      <c r="O3" s="33">
        <f>资产资本表!O107</f>
        <v>2308061567.1199999</v>
      </c>
      <c r="P3" s="33">
        <f>资产资本表!P107</f>
        <v>2265663252.5700002</v>
      </c>
      <c r="Q3" s="33">
        <f>资产资本表!Q107</f>
        <v>2164648515.4099998</v>
      </c>
      <c r="R3" s="33">
        <f>资产资本表!R107</f>
        <v>2083485285.74</v>
      </c>
      <c r="S3" s="33">
        <f>资产资本表!S107</f>
        <v>1988890812.8900001</v>
      </c>
      <c r="T3" s="33">
        <f>资产资本表!T107</f>
        <v>1907477032.6099999</v>
      </c>
      <c r="U3" s="33">
        <f>资产资本表!U107</f>
        <v>1801859544.03</v>
      </c>
      <c r="V3" s="33">
        <f>资产资本表!V107</f>
        <v>1688018358.1300001</v>
      </c>
      <c r="W3" s="33">
        <f>资产资本表!W107</f>
        <v>1607851610.3299999</v>
      </c>
      <c r="X3" s="33">
        <f>资产资本表!X107</f>
        <v>1603955723.71</v>
      </c>
      <c r="Y3" s="33">
        <f>资产资本表!Y107</f>
        <v>1512197594.1800001</v>
      </c>
      <c r="Z3" s="33">
        <f>资产资本表!Z107</f>
        <v>1406994898.47</v>
      </c>
      <c r="AA3" s="33">
        <f>资产资本表!AA107</f>
        <v>1351359834.1500001</v>
      </c>
      <c r="AB3" s="33">
        <f>资产资本表!AB107</f>
        <v>1316894462.9100001</v>
      </c>
      <c r="AC3" s="33">
        <f>资产资本表!AC107</f>
        <v>1237915332.5799999</v>
      </c>
      <c r="AD3" s="33">
        <f>资产资本表!AD107</f>
        <v>1159611682.0999999</v>
      </c>
      <c r="AE3" s="33">
        <f>资产资本表!AE107</f>
        <v>1207582308.1800001</v>
      </c>
      <c r="AF3" s="33">
        <f>资产资本表!AF107</f>
        <v>1177796114.9100001</v>
      </c>
      <c r="AG3" s="33">
        <f>资产资本表!AG107</f>
        <v>1118526039.3800001</v>
      </c>
      <c r="AH3" s="33">
        <f>资产资本表!AH107</f>
        <v>1059776525.36</v>
      </c>
      <c r="AI3" s="33">
        <f>资产资本表!AI107</f>
        <v>1090054243.6500001</v>
      </c>
      <c r="AJ3" s="33">
        <f>资产资本表!AJ107</f>
        <v>1078573513.4300001</v>
      </c>
      <c r="AK3" s="33">
        <f>资产资本表!AK107</f>
        <v>1042268233.27</v>
      </c>
      <c r="AL3" s="33">
        <f>资产资本表!AL107</f>
        <v>271944455.62</v>
      </c>
      <c r="AM3" s="33">
        <f>资产资本表!AM107</f>
        <v>254897792.94999999</v>
      </c>
      <c r="AN3" s="33">
        <f>资产资本表!AN107</f>
        <v>221190622.33000001</v>
      </c>
      <c r="AO3" s="33">
        <f>资产资本表!AO107</f>
        <v>170816910.18000001</v>
      </c>
      <c r="AP3" s="33">
        <f>资产资本表!AP107</f>
        <v>115441126.05</v>
      </c>
      <c r="AQ3" s="33">
        <f>资产资本表!AQ107</f>
        <v>0</v>
      </c>
      <c r="AR3" s="33">
        <f>资产资本表!AR107</f>
        <v>5856405893.5</v>
      </c>
      <c r="AS3" s="33">
        <f>资产资本表!AS107</f>
        <v>5658752935.3099995</v>
      </c>
      <c r="AT3" s="33">
        <f>资产资本表!AT107</f>
        <v>5557397185.8000002</v>
      </c>
      <c r="AU3" s="33">
        <f>资产资本表!AU107</f>
        <v>5294185121.96</v>
      </c>
      <c r="AV3" s="33">
        <f>资产资本表!AV107</f>
        <v>5276800465.9200001</v>
      </c>
      <c r="AW3" s="33">
        <f>资产资本表!AW107</f>
        <v>5181853244.1599998</v>
      </c>
      <c r="AX3" s="33">
        <f>资产资本表!AX107</f>
        <v>5011911653.6700001</v>
      </c>
      <c r="AY3" s="33">
        <f>资产资本表!AY107</f>
        <v>4820276191.9800005</v>
      </c>
      <c r="AZ3" s="33">
        <f>资产资本表!AZ107</f>
        <v>5010338103.3099995</v>
      </c>
      <c r="BA3" s="33">
        <f>资产资本表!BA107</f>
        <v>4895309580.54</v>
      </c>
      <c r="BB3" s="33">
        <f>资产资本表!BB107</f>
        <v>4888570328.4099998</v>
      </c>
      <c r="BC3" s="33">
        <f>资产资本表!BC107</f>
        <v>4807601462.5599995</v>
      </c>
      <c r="BD3" s="33">
        <f>资产资本表!BD107</f>
        <v>5068821027.4499998</v>
      </c>
      <c r="BE3" s="33">
        <f>资产资本表!BE107</f>
        <v>4926753550.1099997</v>
      </c>
      <c r="BF3" s="33">
        <f>资产资本表!BF107</f>
        <v>4808299542.9399996</v>
      </c>
      <c r="BG3" s="33">
        <f>资产资本表!BG107</f>
        <v>4751398778.0100002</v>
      </c>
      <c r="BH3" s="33">
        <f>资产资本表!BH107</f>
        <v>4805853655.8899994</v>
      </c>
      <c r="BI3" s="33">
        <f>资产资本表!BI107</f>
        <v>4648133672.2799997</v>
      </c>
      <c r="BJ3" s="33">
        <f>资产资本表!BJ107</f>
        <v>4488942480.3800001</v>
      </c>
      <c r="BK3" s="33">
        <f>资产资本表!BK107</f>
        <v>4292913533.4400001</v>
      </c>
      <c r="BL3" s="33">
        <f>资产资本表!BL107</f>
        <v>4290589554.0599995</v>
      </c>
      <c r="BM3" s="33">
        <f>资产资本表!BM107</f>
        <v>4205781132.7200003</v>
      </c>
      <c r="BN3" s="33">
        <f>资产资本表!BN107</f>
        <v>4125320111.8000002</v>
      </c>
      <c r="BO3" s="33">
        <f>资产资本表!BO107</f>
        <v>3954027963.8899999</v>
      </c>
      <c r="BP3" s="33">
        <f>资产资本表!BP107</f>
        <v>3988477317.79</v>
      </c>
      <c r="BQ3" s="33">
        <f>资产资本表!BQ107</f>
        <v>3875929168.1599998</v>
      </c>
      <c r="BR3" s="33">
        <f>资产资本表!BR107</f>
        <v>3795371454.2599998</v>
      </c>
      <c r="BS3" s="33">
        <f>资产资本表!BS107</f>
        <v>3599541620.5700002</v>
      </c>
      <c r="BT3" s="33">
        <f>资产资本表!BT107</f>
        <v>3730682761.7999997</v>
      </c>
      <c r="BU3" s="33">
        <f>资产资本表!BU107</f>
        <v>3598065094.6499996</v>
      </c>
      <c r="BV3" s="33">
        <f>资产资本表!BV107</f>
        <v>2191187359.48</v>
      </c>
      <c r="BW3" s="33">
        <f>资产资本表!BW107</f>
        <v>2108608785.3</v>
      </c>
      <c r="BX3" s="33">
        <f>资产资本表!BX107</f>
        <v>1229599139.29</v>
      </c>
      <c r="BY3" s="33">
        <f>资产资本表!BY107</f>
        <v>1243135953.28</v>
      </c>
      <c r="BZ3" s="33">
        <f>资产资本表!BZ107</f>
        <v>1174616352.97</v>
      </c>
      <c r="CA3" s="33">
        <f>资产资本表!CA107</f>
        <v>1161133968.48</v>
      </c>
      <c r="CB3" s="33">
        <f>资产资本表!CB107</f>
        <v>1183711862.5699999</v>
      </c>
      <c r="CC3" s="33">
        <f>资产资本表!CC107</f>
        <v>1077817608.03</v>
      </c>
      <c r="CD3" s="33">
        <f>资产资本表!CD107</f>
        <v>1076597245.8300002</v>
      </c>
      <c r="CE3" s="33">
        <f>资产资本表!CE107</f>
        <v>1079738000</v>
      </c>
      <c r="CF3" s="33">
        <f>资产资本表!CF107</f>
        <v>1004228352.76</v>
      </c>
      <c r="CG3" s="33">
        <f>资产资本表!CG107</f>
        <v>492689900.37</v>
      </c>
      <c r="CH3" s="33">
        <f>资产资本表!CH107</f>
        <v>203800000</v>
      </c>
      <c r="CI3" s="33">
        <f>资产资本表!CI107</f>
        <v>162870000</v>
      </c>
      <c r="CJ3" s="33">
        <f>资产资本表!CJ107</f>
        <v>92660000</v>
      </c>
      <c r="CK3" s="33">
        <f>资产资本表!CK107</f>
        <v>75420000</v>
      </c>
    </row>
    <row r="4" spans="1:89" s="68" customFormat="1">
      <c r="A4" s="68" t="s">
        <v>437</v>
      </c>
      <c r="E4" s="68">
        <f>E2/E3</f>
        <v>0.15471272695326238</v>
      </c>
      <c r="F4" s="68">
        <f t="shared" ref="F4:BQ4" si="0">F2/F3</f>
        <v>8.4348607402173953E-2</v>
      </c>
      <c r="G4" s="68">
        <f t="shared" si="0"/>
        <v>5.6134918671800385E-2</v>
      </c>
      <c r="H4" s="68">
        <f t="shared" si="0"/>
        <v>2.8170831784468973E-2</v>
      </c>
      <c r="I4" s="68">
        <f t="shared" si="0"/>
        <v>0.16431614409097164</v>
      </c>
      <c r="J4" s="68">
        <f t="shared" si="0"/>
        <v>9.9070108046331123E-2</v>
      </c>
      <c r="K4" s="68">
        <f t="shared" si="0"/>
        <v>7.1406532544130485E-2</v>
      </c>
      <c r="L4" s="68">
        <f t="shared" si="0"/>
        <v>3.7290733553147284E-2</v>
      </c>
      <c r="M4" s="68">
        <f t="shared" si="0"/>
        <v>0.17448253716925005</v>
      </c>
      <c r="N4" s="68">
        <f t="shared" si="0"/>
        <v>0.10483812308237792</v>
      </c>
      <c r="O4" s="68">
        <f t="shared" si="0"/>
        <v>7.9249966584834158E-2</v>
      </c>
      <c r="P4" s="68">
        <f t="shared" si="0"/>
        <v>4.4585062252925869E-2</v>
      </c>
      <c r="Q4" s="68">
        <f t="shared" si="0"/>
        <v>0.17315914155652407</v>
      </c>
      <c r="R4" s="68">
        <f t="shared" si="0"/>
        <v>0.11707531473319926</v>
      </c>
      <c r="S4" s="68">
        <f t="shared" si="0"/>
        <v>7.9221375873847116E-2</v>
      </c>
      <c r="T4" s="68">
        <f t="shared" si="0"/>
        <v>5.2724679176025802E-2</v>
      </c>
      <c r="U4" s="68">
        <f t="shared" si="0"/>
        <v>0.17383946328548283</v>
      </c>
      <c r="V4" s="68">
        <f t="shared" si="0"/>
        <v>0.12479903308834508</v>
      </c>
      <c r="W4" s="68">
        <f t="shared" si="0"/>
        <v>8.4623664948828378E-2</v>
      </c>
      <c r="X4" s="68">
        <f t="shared" si="0"/>
        <v>5.4777241984446057E-2</v>
      </c>
      <c r="Y4" s="68">
        <f t="shared" si="0"/>
        <v>0.17002312514550649</v>
      </c>
      <c r="Z4" s="68">
        <f t="shared" si="0"/>
        <v>0.11577836285486247</v>
      </c>
      <c r="AA4" s="68">
        <f t="shared" si="0"/>
        <v>8.0899623332940554E-2</v>
      </c>
      <c r="AB4" s="68">
        <f t="shared" si="0"/>
        <v>5.8409487241694653E-2</v>
      </c>
      <c r="AC4" s="68">
        <f t="shared" si="0"/>
        <v>0.16488586839343403</v>
      </c>
      <c r="AD4" s="68">
        <f t="shared" si="0"/>
        <v>0.11114819271791812</v>
      </c>
      <c r="AE4" s="68">
        <f t="shared" si="0"/>
        <v>7.0942964483403426E-2</v>
      </c>
      <c r="AF4" s="68">
        <f t="shared" si="0"/>
        <v>5.0322865544966594E-2</v>
      </c>
      <c r="AG4" s="68">
        <f t="shared" si="0"/>
        <v>0.11198262876332252</v>
      </c>
      <c r="AH4" s="68">
        <f t="shared" si="0"/>
        <v>6.5115890415253563E-2</v>
      </c>
      <c r="AI4" s="68">
        <f t="shared" si="0"/>
        <v>4.3838194895687563E-2</v>
      </c>
      <c r="AJ4" s="68">
        <f t="shared" si="0"/>
        <v>3.3660459586611416E-2</v>
      </c>
      <c r="AK4" s="68">
        <f t="shared" si="0"/>
        <v>8.0880648540462841E-2</v>
      </c>
      <c r="AL4" s="68">
        <f t="shared" si="0"/>
        <v>0.18663308716586052</v>
      </c>
      <c r="AM4" s="68">
        <f t="shared" si="0"/>
        <v>0.13223798538974366</v>
      </c>
      <c r="AN4" s="68">
        <f t="shared" si="0"/>
        <v>0.11191014935104107</v>
      </c>
      <c r="AO4" s="68">
        <f t="shared" si="0"/>
        <v>0.37341302475724236</v>
      </c>
      <c r="AP4" s="68">
        <f t="shared" si="0"/>
        <v>0.39131890051413809</v>
      </c>
      <c r="AQ4" s="68" t="e">
        <f t="shared" si="0"/>
        <v>#DIV/0!</v>
      </c>
      <c r="AR4" s="68">
        <f t="shared" si="0"/>
        <v>5.7681130892059135E-3</v>
      </c>
      <c r="AS4" s="68">
        <f t="shared" si="0"/>
        <v>0</v>
      </c>
      <c r="AT4" s="68">
        <f t="shared" si="0"/>
        <v>-1.9185211367010076E-2</v>
      </c>
      <c r="AU4" s="68">
        <f t="shared" si="0"/>
        <v>-1.3748213563233603E-2</v>
      </c>
      <c r="AV4" s="68">
        <f t="shared" si="0"/>
        <v>-4.4271810372361678E-3</v>
      </c>
      <c r="AW4" s="68">
        <f t="shared" si="0"/>
        <v>3.1828753696542824E-3</v>
      </c>
      <c r="AX4" s="68">
        <f t="shared" si="0"/>
        <v>4.6659277608925983E-3</v>
      </c>
      <c r="AY4" s="68">
        <f t="shared" si="0"/>
        <v>-3.7076605547490052E-4</v>
      </c>
      <c r="AZ4" s="68">
        <f t="shared" si="0"/>
        <v>-2.1787392956152747E-3</v>
      </c>
      <c r="BA4" s="68">
        <f t="shared" si="0"/>
        <v>-3.119137082095565E-2</v>
      </c>
      <c r="BB4" s="68">
        <f t="shared" si="0"/>
        <v>-2.8760603351231595E-2</v>
      </c>
      <c r="BC4" s="68">
        <f t="shared" si="0"/>
        <v>-1.4615893473537494E-2</v>
      </c>
      <c r="BD4" s="68">
        <f t="shared" si="0"/>
        <v>-2.2904829914345455E-3</v>
      </c>
      <c r="BE4" s="68">
        <f t="shared" si="0"/>
        <v>-9.2986020924422253E-3</v>
      </c>
      <c r="BF4" s="68">
        <f t="shared" si="0"/>
        <v>-6.8359485399077935E-3</v>
      </c>
      <c r="BG4" s="68">
        <f t="shared" si="0"/>
        <v>-3.8322216131953706E-3</v>
      </c>
      <c r="BH4" s="68">
        <f t="shared" si="0"/>
        <v>-3.6259173411665063E-3</v>
      </c>
      <c r="BI4" s="68">
        <f t="shared" si="0"/>
        <v>-7.6030616268109698E-3</v>
      </c>
      <c r="BJ4" s="68">
        <f t="shared" si="0"/>
        <v>7.1620833950357214E-4</v>
      </c>
      <c r="BK4" s="68">
        <f t="shared" si="0"/>
        <v>3.3411926325257919E-3</v>
      </c>
      <c r="BL4" s="68">
        <f t="shared" si="0"/>
        <v>-3.1094395494846798E-3</v>
      </c>
      <c r="BM4" s="68">
        <f t="shared" si="0"/>
        <v>-1.6750715992307961E-2</v>
      </c>
      <c r="BN4" s="68">
        <f t="shared" si="0"/>
        <v>-9.4642839420682606E-3</v>
      </c>
      <c r="BO4" s="68">
        <f t="shared" si="0"/>
        <v>-5.4333484249980578E-3</v>
      </c>
      <c r="BP4" s="68">
        <f t="shared" si="0"/>
        <v>-2.538180027963498E-3</v>
      </c>
      <c r="BQ4" s="68">
        <f t="shared" si="0"/>
        <v>-1.8539101521845392E-2</v>
      </c>
      <c r="BR4" s="68">
        <f t="shared" ref="BR4:CJ4" si="1">BR2/BR3</f>
        <v>-3.4435340486451073E-3</v>
      </c>
      <c r="BS4" s="68">
        <f t="shared" si="1"/>
        <v>1.7875495849888497E-3</v>
      </c>
      <c r="BT4" s="68">
        <f t="shared" si="1"/>
        <v>2.238075492640245E-3</v>
      </c>
      <c r="BU4" s="68">
        <f t="shared" si="1"/>
        <v>-1.3516777287413382E-2</v>
      </c>
      <c r="BV4" s="68">
        <f t="shared" si="1"/>
        <v>-2.4476721435052407E-2</v>
      </c>
      <c r="BW4" s="68">
        <f t="shared" si="1"/>
        <v>1.9329439156349323E-2</v>
      </c>
      <c r="BX4" s="68">
        <f t="shared" si="1"/>
        <v>-1.6137068834854031E-2</v>
      </c>
      <c r="BY4" s="68">
        <f t="shared" si="1"/>
        <v>1.0077666458720994E-2</v>
      </c>
      <c r="BZ4" s="68">
        <f t="shared" si="1"/>
        <v>4.0471469582216982E-4</v>
      </c>
      <c r="CA4" s="68">
        <f t="shared" si="1"/>
        <v>-3.998789144096921E-2</v>
      </c>
      <c r="CB4" s="68">
        <f t="shared" si="1"/>
        <v>-5.6298974866494664E-3</v>
      </c>
      <c r="CC4" s="68">
        <f t="shared" si="1"/>
        <v>-3.8756473932867228E-2</v>
      </c>
      <c r="CD4" s="68">
        <f t="shared" si="1"/>
        <v>-1.2948203289571848E-2</v>
      </c>
      <c r="CE4" s="68">
        <f t="shared" si="1"/>
        <v>-1.8598030262897112E-2</v>
      </c>
      <c r="CF4" s="68">
        <f t="shared" si="1"/>
        <v>-1.4294123244527224E-2</v>
      </c>
      <c r="CG4" s="68">
        <f t="shared" si="1"/>
        <v>-8.7884894672049466E-3</v>
      </c>
      <c r="CH4" s="68">
        <f t="shared" si="1"/>
        <v>-2.0706575073601571E-2</v>
      </c>
      <c r="CI4" s="68">
        <f t="shared" si="1"/>
        <v>-7.6809725547983057E-2</v>
      </c>
      <c r="CJ4" s="68">
        <f t="shared" si="1"/>
        <v>-3.9175480250377724E-2</v>
      </c>
    </row>
    <row r="5" spans="1:89" s="33" customFormat="1">
      <c r="A5" s="35" t="s">
        <v>433</v>
      </c>
      <c r="E5" s="33">
        <f>股权价值增加表!E47</f>
        <v>234699026.09519994</v>
      </c>
      <c r="F5" s="33">
        <f>股权价值增加表!F47</f>
        <v>12401922.726400018</v>
      </c>
      <c r="G5" s="33">
        <f>股权价值增加表!G47</f>
        <v>-67420887.571200013</v>
      </c>
      <c r="H5" s="33">
        <f>股权价值增加表!H47</f>
        <v>-145909846.15119994</v>
      </c>
      <c r="I5" s="33">
        <f>股权价值增加表!I47</f>
        <v>224333700.1328001</v>
      </c>
      <c r="J5" s="33">
        <f>股权价值增加表!J47</f>
        <v>46872290.537999898</v>
      </c>
      <c r="K5" s="33">
        <f>股权价值增加表!K47</f>
        <v>-20381871.205999911</v>
      </c>
      <c r="L5" s="33">
        <f>股权价值增加表!L47</f>
        <v>-101369601.50720003</v>
      </c>
      <c r="M5" s="33">
        <f>股权价值增加表!M47</f>
        <v>216193185.8619999</v>
      </c>
      <c r="N5" s="33">
        <f>股权价值增加表!N47</f>
        <v>59334144.647999913</v>
      </c>
      <c r="O5" s="33">
        <f>股权价值增加表!O47</f>
        <v>-1731123.299600035</v>
      </c>
      <c r="P5" s="33">
        <f>股权价值增加表!P47</f>
        <v>-80238323.045600057</v>
      </c>
      <c r="Q5" s="33">
        <f>股权价值增加表!Q47</f>
        <v>201656797.46719983</v>
      </c>
      <c r="R5" s="33">
        <f>股权价值增加表!R47</f>
        <v>77245872.710800111</v>
      </c>
      <c r="S5" s="33">
        <f>股权价值增加表!S47</f>
        <v>-1548598.3711999953</v>
      </c>
      <c r="T5" s="33">
        <f>股权价值增加表!T47</f>
        <v>-52027048.02880004</v>
      </c>
      <c r="U5" s="33">
        <f>股权价值增加表!U47</f>
        <v>169085532.52760002</v>
      </c>
      <c r="V5" s="33">
        <f>股权价值增加表!V47</f>
        <v>75621590.279599816</v>
      </c>
      <c r="W5" s="33">
        <f>股权价值增加表!W47</f>
        <v>7434167.1336000711</v>
      </c>
      <c r="X5" s="33">
        <f>股权价值增加表!X47</f>
        <v>-40456187.086800039</v>
      </c>
      <c r="Y5" s="33">
        <f>股权价值增加表!Y47</f>
        <v>136132753.26560003</v>
      </c>
      <c r="Z5" s="33">
        <f>股权价值增加表!Z47</f>
        <v>50339974.012400046</v>
      </c>
      <c r="AA5" s="33">
        <f>股权价值增加表!AA47</f>
        <v>1215714.8380000144</v>
      </c>
      <c r="AB5" s="33">
        <f>股权价值增加表!AB47</f>
        <v>-28432426.702800021</v>
      </c>
      <c r="AC5" s="33">
        <f>股权价值增加表!AC47</f>
        <v>105081518.00359999</v>
      </c>
      <c r="AD5" s="33">
        <f>股权价值增加表!AD47</f>
        <v>36119808.15200001</v>
      </c>
      <c r="AE5" s="33">
        <f>股权价值增加表!AE47</f>
        <v>-10937115.854399934</v>
      </c>
      <c r="AF5" s="33">
        <f>股权价值增加表!AF47</f>
        <v>-34953613.662800059</v>
      </c>
      <c r="AG5" s="33">
        <f>股权价值增加表!AG47</f>
        <v>35773403.079600006</v>
      </c>
      <c r="AH5" s="33">
        <f>股权价值增加表!AH47</f>
        <v>-15773829.938800052</v>
      </c>
      <c r="AI5" s="33">
        <f>股权价值增加表!AI47</f>
        <v>-39418329.112000011</v>
      </c>
      <c r="AJ5" s="33">
        <f>股权价值增加表!AJ47</f>
        <v>-49980600.914400004</v>
      </c>
      <c r="AK5" s="33">
        <f>股权价值增加表!AK47</f>
        <v>917871.99840001762</v>
      </c>
      <c r="AL5" s="33">
        <f>股权价值增加表!AL47</f>
        <v>28998276.840399947</v>
      </c>
      <c r="AM5" s="33">
        <f>股权价值增加表!AM47</f>
        <v>13315347.184000004</v>
      </c>
      <c r="AN5" s="33">
        <f>股权价值增加表!AN47</f>
        <v>7058225.7936000191</v>
      </c>
      <c r="AO5" s="33">
        <f>股权价值增加表!AO47</f>
        <v>50119906.295599982</v>
      </c>
      <c r="AP5" s="33">
        <f>股权价值增加表!AP47</f>
        <v>35939004.436000027</v>
      </c>
      <c r="AQ5" s="33">
        <f>股权价值增加表!AQ47</f>
        <v>58354125.520000018</v>
      </c>
      <c r="AR5" s="33">
        <f>股权价值增加表!AR47</f>
        <v>33780411.490000002</v>
      </c>
      <c r="AS5" s="33">
        <f>股权价值增加表!AS47</f>
        <v>0</v>
      </c>
      <c r="AT5" s="33">
        <f>股权价值增加表!AT47</f>
        <v>-551211614.52399993</v>
      </c>
      <c r="AU5" s="33">
        <f>股权价值增加表!AU47</f>
        <v>-496320397.45679998</v>
      </c>
      <c r="AV5" s="33">
        <f>股权价值增加表!AV47</f>
        <v>-445505388.23360002</v>
      </c>
      <c r="AW5" s="33">
        <f>股权价值增加表!AW47</f>
        <v>-398055066.47280002</v>
      </c>
      <c r="AX5" s="33">
        <f>股权价值增加表!AX47</f>
        <v>-377567714.57360005</v>
      </c>
      <c r="AY5" s="33">
        <f>股权价值增加表!AY47</f>
        <v>-387409290.14840001</v>
      </c>
      <c r="AZ5" s="33">
        <f>股权价值增加表!AZ47</f>
        <v>-411743268.77480006</v>
      </c>
      <c r="BA5" s="33">
        <f>股权价值增加表!BA47</f>
        <v>-544316182.85319996</v>
      </c>
      <c r="BB5" s="33">
        <f>股权价值增加表!BB47</f>
        <v>-531683858.44279993</v>
      </c>
      <c r="BC5" s="33">
        <f>股权价值增加表!BC47</f>
        <v>-454875507.8448</v>
      </c>
      <c r="BD5" s="33">
        <f>股权价值增加表!BD47</f>
        <v>-417115730.546</v>
      </c>
      <c r="BE5" s="33">
        <f>股权价值增加表!BE47</f>
        <v>-439952204.87879997</v>
      </c>
      <c r="BF5" s="33">
        <f>股权价值增加表!BF47</f>
        <v>-417533251.67519999</v>
      </c>
      <c r="BG5" s="33">
        <f>股权价值增加表!BG47</f>
        <v>-398320315.3308</v>
      </c>
      <c r="BH5" s="33">
        <f>股权价值增加表!BH47</f>
        <v>-401893920.58120006</v>
      </c>
      <c r="BI5" s="33">
        <f>股权价值增加表!BI47</f>
        <v>-407190740.5424</v>
      </c>
      <c r="BJ5" s="33">
        <f>股权价值增加表!BJ47</f>
        <v>-355900380.39039999</v>
      </c>
      <c r="BK5" s="33">
        <f>股权价值增加表!BK47</f>
        <v>-329089631.60519999</v>
      </c>
      <c r="BL5" s="33">
        <f>股权价值增加表!BL47</f>
        <v>-356588493.17480004</v>
      </c>
      <c r="BM5" s="33">
        <f>股权价值增加表!BM47</f>
        <v>-406912335.89759994</v>
      </c>
      <c r="BN5" s="33">
        <f>股权价值增加表!BN47</f>
        <v>-369068809.83399999</v>
      </c>
      <c r="BO5" s="33">
        <f>股权价值增加表!BO47</f>
        <v>-337805848.72119999</v>
      </c>
      <c r="BP5" s="33">
        <f>股权价值增加表!BP47</f>
        <v>-329201658.89320004</v>
      </c>
      <c r="BQ5" s="33">
        <f>股权价值增加表!BQ47</f>
        <v>-381930577.79279995</v>
      </c>
      <c r="BR5" s="33">
        <f>股权价值增加表!BR47</f>
        <v>-316699207.17080003</v>
      </c>
      <c r="BS5" s="33">
        <f>股权价值增加表!BS47</f>
        <v>-281528970.51560003</v>
      </c>
      <c r="BT5" s="33">
        <f>股权价值增加表!BT47</f>
        <v>-290105071.28399998</v>
      </c>
      <c r="BU5" s="33">
        <f>股权价值增加表!BU47</f>
        <v>-336479452.12200004</v>
      </c>
      <c r="BV5" s="33">
        <f>股权价值增加表!BV47</f>
        <v>-228928071.36839998</v>
      </c>
      <c r="BW5" s="33">
        <f>股权价值增加表!BW47</f>
        <v>-127930477.604</v>
      </c>
      <c r="BX5" s="33">
        <f>股权价值增加表!BX47</f>
        <v>-118210057.0932</v>
      </c>
      <c r="BY5" s="33">
        <f>股权价值增加表!BY47</f>
        <v>-86922966.762400001</v>
      </c>
      <c r="BZ5" s="33">
        <f>股权价值增加表!BZ47</f>
        <v>-93493923.737599999</v>
      </c>
      <c r="CA5" s="33">
        <f>股权价值增加表!CA47</f>
        <v>-139322016.55840001</v>
      </c>
      <c r="CB5" s="33">
        <f>股权价值增加表!CB47</f>
        <v>-101361125.44559999</v>
      </c>
      <c r="CC5" s="33">
        <f>股权价值增加表!CC47</f>
        <v>-127997818.6724</v>
      </c>
      <c r="CD5" s="33">
        <f>股权价值增加表!CD47</f>
        <v>-100067779.6664</v>
      </c>
      <c r="CE5" s="33">
        <f>股权价值增加表!CE47</f>
        <v>-106460040</v>
      </c>
      <c r="CF5" s="33">
        <f>股权价值增加表!CF47</f>
        <v>-94692832.060800001</v>
      </c>
      <c r="CG5" s="33">
        <f>股权价值增加表!CG47</f>
        <v>-43745192.029600002</v>
      </c>
      <c r="CH5" s="33">
        <f>股权价值增加表!CH47</f>
        <v>-4220000</v>
      </c>
      <c r="CI5" s="33">
        <f>股权价值增加表!CI47</f>
        <v>-12510000</v>
      </c>
      <c r="CJ5" s="33">
        <f>股权价值增加表!CJ47</f>
        <v>-3630000</v>
      </c>
      <c r="CK5" s="33">
        <f>股权价值增加表!CK47</f>
        <v>0</v>
      </c>
    </row>
    <row r="6" spans="1:89" s="72" customFormat="1">
      <c r="A6" s="72" t="s">
        <v>444</v>
      </c>
      <c r="E6" s="72">
        <f>股权价值增加表!E31/股权价值增加表!E4</f>
        <v>0.22773512198928478</v>
      </c>
      <c r="F6" s="72">
        <f>股权价值增加表!F31/股权价值增加表!F4</f>
        <v>0.19911675154981412</v>
      </c>
      <c r="G6" s="72">
        <f>股权价值增加表!G31/股权价值增加表!G4</f>
        <v>0.20993503634200336</v>
      </c>
      <c r="H6" s="72">
        <f>股权价值增加表!H31/股权价值增加表!H4</f>
        <v>0.23352535339272942</v>
      </c>
      <c r="I6" s="72">
        <f>股权价值增加表!I31/股权价值增加表!I4</f>
        <v>0.24094084266004157</v>
      </c>
      <c r="J6" s="72">
        <f>股权价值增加表!J31/股权价值增加表!J4</f>
        <v>0.22645383225083304</v>
      </c>
      <c r="K6" s="72">
        <f>股权价值增加表!K31/股权价值增加表!K4</f>
        <v>0.24038975342067759</v>
      </c>
      <c r="L6" s="72">
        <f>股权价值增加表!L31/股权价值增加表!L4</f>
        <v>0.2567309598634096</v>
      </c>
      <c r="M6" s="72">
        <f>股权价值增加表!M31/股权价值增加表!M4</f>
        <v>0.23476872857083991</v>
      </c>
      <c r="N6" s="72">
        <f>股权价值增加表!N31/股权价值增加表!N4</f>
        <v>0.23453879027630176</v>
      </c>
      <c r="O6" s="72">
        <f>股权价值增加表!O31/股权价值增加表!O4</f>
        <v>0.25962527742125657</v>
      </c>
      <c r="P6" s="72">
        <f>股权价值增加表!P31/股权价值增加表!P4</f>
        <v>0.26935922607804536</v>
      </c>
      <c r="Q6" s="72">
        <f>股权价值增加表!Q31/股权价值增加表!Q4</f>
        <v>0.24905048103337862</v>
      </c>
      <c r="R6" s="72">
        <f>股权价值增加表!R31/股权价值增加表!R4</f>
        <v>0.24252145999179653</v>
      </c>
      <c r="S6" s="72">
        <f>股权价值增加表!S31/股权价值增加表!S4</f>
        <v>0.23990763533752121</v>
      </c>
      <c r="T6" s="72">
        <f>股权价值增加表!T31/股权价值增加表!T4</f>
        <v>0.29370432114974532</v>
      </c>
      <c r="U6" s="72">
        <f>股权价值增加表!U31/股权价值增加表!U4</f>
        <v>0.22667957622379534</v>
      </c>
      <c r="V6" s="72">
        <f>股权价值增加表!V31/股权价值增加表!V4</f>
        <v>0.22011931419356609</v>
      </c>
      <c r="W6" s="72">
        <f>股权价值增加表!W31/股权价值增加表!W4</f>
        <v>0.21759816286017497</v>
      </c>
      <c r="X6" s="72">
        <f>股权价值增加表!X31/股权价值增加表!X4</f>
        <v>0.26459202784343511</v>
      </c>
      <c r="Y6" s="72">
        <f>股权价值增加表!Y31/股权价值增加表!Y4</f>
        <v>0.1985680329481776</v>
      </c>
      <c r="Z6" s="72">
        <f>股权价值增加表!Z31/股权价值增加表!Z4</f>
        <v>0.17929098789625555</v>
      </c>
      <c r="AA6" s="72">
        <f>股权价值增加表!AA31/股权价值增加表!AA4</f>
        <v>0.18860550852079175</v>
      </c>
      <c r="AB6" s="72">
        <f>股权价值增加表!AB31/股权价值增加表!AB4</f>
        <v>0.25346477523690375</v>
      </c>
      <c r="AC6" s="72">
        <f>股权价值增加表!AC31/股权价值增加表!AC4</f>
        <v>0.18736503005985147</v>
      </c>
      <c r="AD6" s="72">
        <f>股权价值增加表!AD31/股权价值增加表!AD4</f>
        <v>0.16999182865054766</v>
      </c>
      <c r="AE6" s="72">
        <f>股权价值增加表!AE31/股权价值增加表!AE4</f>
        <v>0.17855658217504014</v>
      </c>
      <c r="AF6" s="72">
        <f>股权价值增加表!AF31/股权价值增加表!AF4</f>
        <v>0.22825738354904673</v>
      </c>
      <c r="AG6" s="72">
        <f>股权价值增加表!AG31/股权价值增加表!AG4</f>
        <v>0.15151719842007066</v>
      </c>
      <c r="AH6" s="72">
        <f>股权价值增加表!AH31/股权价值增加表!AH4</f>
        <v>0.12438836436845285</v>
      </c>
      <c r="AI6" s="72">
        <f>股权价值增加表!AI31/股权价值增加表!AI4</f>
        <v>0.13348023723314686</v>
      </c>
      <c r="AJ6" s="72">
        <f>股权价值增加表!AJ31/股权价值增加表!AJ4</f>
        <v>0.18223909553176137</v>
      </c>
      <c r="AK6" s="72">
        <f>股权价值增加表!AK31/股权价值增加表!AK4</f>
        <v>0.14048468691510191</v>
      </c>
      <c r="AL6" s="72">
        <f>股权价值增加表!AL31/股权价值增加表!AL4</f>
        <v>0.1293144786440989</v>
      </c>
      <c r="AM6" s="72">
        <f>股权价值增加表!AM31/股权价值增加表!AM4</f>
        <v>0.14288490866249925</v>
      </c>
      <c r="AN6" s="72">
        <f>股权价值增加表!AN31/股权价值增加表!AN4</f>
        <v>0.17849933216747937</v>
      </c>
      <c r="AO6" s="72">
        <f>股权价值增加表!AO31/股权价值增加表!AO4</f>
        <v>0.12405380122583123</v>
      </c>
      <c r="AP6" s="72">
        <f>股权价值增加表!AP31/股权价值增加表!AP4</f>
        <v>0.12702834095281218</v>
      </c>
      <c r="AQ6" s="72">
        <f>股权价值增加表!AQ31/股权价值增加表!AQ4</f>
        <v>0.11694973603907757</v>
      </c>
      <c r="AR6" s="72">
        <f>股权价值增加表!AR31/股权价值增加表!AR4</f>
        <v>0.10152066968587373</v>
      </c>
      <c r="AS6" s="72" t="e">
        <f>股权价值增加表!AS31/股权价值增加表!AS4</f>
        <v>#DIV/0!</v>
      </c>
      <c r="AT6" s="72" t="e">
        <f>股权价值增加表!AT31/股权价值增加表!AT4</f>
        <v>#DIV/0!</v>
      </c>
      <c r="AU6" s="72" t="e">
        <f>股权价值增加表!AU31/股权价值增加表!AU4</f>
        <v>#DIV/0!</v>
      </c>
      <c r="AV6" s="72" t="e">
        <f>股权价值增加表!AV31/股权价值增加表!AV4</f>
        <v>#DIV/0!</v>
      </c>
      <c r="AW6" s="72" t="e">
        <f>股权价值增加表!AW31/股权价值增加表!AW4</f>
        <v>#DIV/0!</v>
      </c>
      <c r="AX6" s="72" t="e">
        <f>股权价值增加表!AX31/股权价值增加表!AX4</f>
        <v>#DIV/0!</v>
      </c>
      <c r="AY6" s="72" t="e">
        <f>股权价值增加表!AY31/股权价值增加表!AY4</f>
        <v>#DIV/0!</v>
      </c>
      <c r="AZ6" s="72" t="e">
        <f>股权价值增加表!AZ31/股权价值增加表!AZ4</f>
        <v>#DIV/0!</v>
      </c>
      <c r="BA6" s="72" t="e">
        <f>股权价值增加表!BA31/股权价值增加表!BA4</f>
        <v>#DIV/0!</v>
      </c>
      <c r="BB6" s="72" t="e">
        <f>股权价值增加表!BB31/股权价值增加表!BB4</f>
        <v>#DIV/0!</v>
      </c>
      <c r="BC6" s="72" t="e">
        <f>股权价值增加表!BC31/股权价值增加表!BC4</f>
        <v>#DIV/0!</v>
      </c>
      <c r="BD6" s="72" t="e">
        <f>股权价值增加表!BD31/股权价值增加表!BD4</f>
        <v>#DIV/0!</v>
      </c>
      <c r="BE6" s="72" t="e">
        <f>股权价值增加表!BE31/股权价值增加表!BE4</f>
        <v>#DIV/0!</v>
      </c>
      <c r="BF6" s="72" t="e">
        <f>股权价值增加表!BF31/股权价值增加表!BF4</f>
        <v>#DIV/0!</v>
      </c>
      <c r="BG6" s="72" t="e">
        <f>股权价值增加表!BG31/股权价值增加表!BG4</f>
        <v>#DIV/0!</v>
      </c>
      <c r="BH6" s="72" t="e">
        <f>股权价值增加表!BH31/股权价值增加表!BH4</f>
        <v>#DIV/0!</v>
      </c>
      <c r="BI6" s="72" t="e">
        <f>股权价值增加表!BI31/股权价值增加表!BI4</f>
        <v>#DIV/0!</v>
      </c>
      <c r="BJ6" s="72" t="e">
        <f>股权价值增加表!BJ31/股权价值增加表!BJ4</f>
        <v>#DIV/0!</v>
      </c>
      <c r="BK6" s="72" t="e">
        <f>股权价值增加表!BK31/股权价值增加表!BK4</f>
        <v>#DIV/0!</v>
      </c>
      <c r="BL6" s="72" t="e">
        <f>股权价值增加表!BL31/股权价值增加表!BL4</f>
        <v>#DIV/0!</v>
      </c>
      <c r="BM6" s="72" t="e">
        <f>股权价值增加表!BM31/股权价值增加表!BM4</f>
        <v>#DIV/0!</v>
      </c>
      <c r="BN6" s="72" t="e">
        <f>股权价值增加表!BN31/股权价值增加表!BN4</f>
        <v>#DIV/0!</v>
      </c>
      <c r="BO6" s="72" t="e">
        <f>股权价值增加表!BO31/股权价值增加表!BO4</f>
        <v>#DIV/0!</v>
      </c>
      <c r="BP6" s="72" t="e">
        <f>股权价值增加表!BP31/股权价值增加表!BP4</f>
        <v>#DIV/0!</v>
      </c>
      <c r="BQ6" s="72" t="e">
        <f>股权价值增加表!BQ31/股权价值增加表!BQ4</f>
        <v>#DIV/0!</v>
      </c>
      <c r="BR6" s="72" t="e">
        <f>股权价值增加表!BR31/股权价值增加表!BR4</f>
        <v>#DIV/0!</v>
      </c>
      <c r="BS6" s="72" t="e">
        <f>股权价值增加表!BS31/股权价值增加表!BS4</f>
        <v>#DIV/0!</v>
      </c>
      <c r="BT6" s="72" t="e">
        <f>股权价值增加表!BT31/股权价值增加表!BT4</f>
        <v>#DIV/0!</v>
      </c>
      <c r="BU6" s="72" t="e">
        <f>股权价值增加表!BU31/股权价值增加表!BU4</f>
        <v>#DIV/0!</v>
      </c>
      <c r="BV6" s="72" t="e">
        <f>股权价值增加表!BV31/股权价值增加表!BV4</f>
        <v>#DIV/0!</v>
      </c>
      <c r="BW6" s="72" t="e">
        <f>股权价值增加表!BW31/股权价值增加表!BW4</f>
        <v>#DIV/0!</v>
      </c>
      <c r="BX6" s="72" t="e">
        <f>股权价值增加表!BX31/股权价值增加表!BX4</f>
        <v>#DIV/0!</v>
      </c>
      <c r="BY6" s="72" t="e">
        <f>股权价值增加表!BY31/股权价值增加表!BY4</f>
        <v>#DIV/0!</v>
      </c>
      <c r="BZ6" s="72" t="e">
        <f>股权价值增加表!BZ31/股权价值增加表!BZ4</f>
        <v>#DIV/0!</v>
      </c>
      <c r="CA6" s="72" t="e">
        <f>股权价值增加表!CA31/股权价值增加表!CA4</f>
        <v>#DIV/0!</v>
      </c>
      <c r="CB6" s="72" t="e">
        <f>股权价值增加表!CB31/股权价值增加表!CB4</f>
        <v>#DIV/0!</v>
      </c>
      <c r="CC6" s="72" t="e">
        <f>股权价值增加表!CC31/股权价值增加表!CC4</f>
        <v>#DIV/0!</v>
      </c>
      <c r="CD6" s="72" t="e">
        <f>股权价值增加表!CD31/股权价值增加表!CD4</f>
        <v>#DIV/0!</v>
      </c>
      <c r="CE6" s="72" t="e">
        <f>股权价值增加表!CE31/股权价值增加表!CE4</f>
        <v>#DIV/0!</v>
      </c>
      <c r="CF6" s="72" t="e">
        <f>股权价值增加表!CF31/股权价值增加表!CF4</f>
        <v>#DIV/0!</v>
      </c>
      <c r="CG6" s="72" t="e">
        <f>股权价值增加表!CG31/股权价值增加表!CG4</f>
        <v>#DIV/0!</v>
      </c>
      <c r="CH6" s="72" t="e">
        <f>股权价值增加表!CH31/股权价值增加表!CH4</f>
        <v>#DIV/0!</v>
      </c>
      <c r="CI6" s="72" t="e">
        <f>股权价值增加表!CI31/股权价值增加表!CI4</f>
        <v>#DIV/0!</v>
      </c>
      <c r="CJ6" s="72" t="e">
        <f>股权价值增加表!CJ31/股权价值增加表!CJ4</f>
        <v>#DIV/0!</v>
      </c>
    </row>
    <row r="7" spans="1:89" s="70" customFormat="1">
      <c r="A7" s="70" t="s">
        <v>438</v>
      </c>
      <c r="E7" s="70">
        <f>股权价值增加表!E4/资产资本表!E70</f>
        <v>0.83249790378913258</v>
      </c>
      <c r="F7" s="70">
        <f>股权价值增加表!F4/资产资本表!F70</f>
        <v>0.53447417731870139</v>
      </c>
      <c r="G7" s="70">
        <f>股权价值增加表!G4/资产资本表!G70</f>
        <v>0.34012075322758789</v>
      </c>
      <c r="H7" s="70">
        <f>股权价值增加表!H4/资产资本表!H70</f>
        <v>0.15303198340250146</v>
      </c>
      <c r="I7" s="70">
        <f>股权价值增加表!I4/资产资本表!I70</f>
        <v>0.86383727665491949</v>
      </c>
      <c r="J7" s="70">
        <f>股权价值增加表!J4/资产资本表!J70</f>
        <v>0.54321354022769985</v>
      </c>
      <c r="K7" s="70">
        <f>股权价值增加表!K4/资产资本表!K70</f>
        <v>0.3652182587713817</v>
      </c>
      <c r="L7" s="70">
        <f>股权价值增加表!L4/资产资本表!L70</f>
        <v>0.17993158782196611</v>
      </c>
      <c r="M7" s="70">
        <f>股权价值增加表!M4/资产资本表!M70</f>
        <v>0.90286640133901286</v>
      </c>
      <c r="N7" s="70">
        <f>股权价值增加表!N4/资产资本表!N70</f>
        <v>0.53628055665637642</v>
      </c>
      <c r="O7" s="70">
        <f>股权价值增加表!O4/资产资本表!O70</f>
        <v>0.36845546175495569</v>
      </c>
      <c r="P7" s="70">
        <f>股权价值增加表!P4/资产资本表!P70</f>
        <v>0.2033864023250947</v>
      </c>
      <c r="Q7" s="70">
        <f>股权价值增加表!Q4/资产资本表!Q70</f>
        <v>0.90429393213516429</v>
      </c>
      <c r="R7" s="70">
        <f>股权价值增加表!R4/资产资本表!R70</f>
        <v>0.61442568521369645</v>
      </c>
      <c r="S7" s="70">
        <f>股权价值增加表!S4/资产资本表!S70</f>
        <v>0.42241265046836757</v>
      </c>
      <c r="T7" s="70">
        <f>股权价值增加表!T4/资产资本表!T70</f>
        <v>0.23343312923682027</v>
      </c>
      <c r="U7" s="70">
        <f>股权价值增加表!U4/资产资本表!U70</f>
        <v>1.0166097303896713</v>
      </c>
      <c r="V7" s="70">
        <f>股权价值增加表!V4/资产资本表!V70</f>
        <v>0.73318332632327554</v>
      </c>
      <c r="W7" s="70">
        <f>股权价值增加表!W4/资产资本表!W70</f>
        <v>0.49123637145024673</v>
      </c>
      <c r="X7" s="70">
        <f>股权价值增加表!X4/资产资本表!X70</f>
        <v>0.26799524394681173</v>
      </c>
      <c r="Y7" s="70">
        <f>股权价值增加表!Y4/资产资本表!Y70</f>
        <v>1.1465226886498496</v>
      </c>
      <c r="Z7" s="70">
        <f>股权价值增加表!Z4/资产资本表!Z70</f>
        <v>0.81605709701579487</v>
      </c>
      <c r="AA7" s="70">
        <f>股权价值增加表!AA4/资产资本表!AA70</f>
        <v>0.53829463621308016</v>
      </c>
      <c r="AB7" s="70">
        <f>股权价值增加表!AB4/资产资本表!AB70</f>
        <v>0.29229780414405965</v>
      </c>
      <c r="AC7" s="70">
        <f>股权价值增加表!AC4/资产资本表!AC70</f>
        <v>1.1103202572061341</v>
      </c>
      <c r="AD7" s="70">
        <f>股权价值增加表!AD4/资产资本表!AD70</f>
        <v>0.76207794893525616</v>
      </c>
      <c r="AE7" s="70">
        <f>股权价值增加表!AE4/资产资本表!AE70</f>
        <v>0.49176082421301598</v>
      </c>
      <c r="AF7" s="70">
        <f>股权价值增加表!AF4/资产资本表!AF70</f>
        <v>0.27232796519974389</v>
      </c>
      <c r="AG7" s="70">
        <f>股权价值增加表!AG4/资产资本表!AG70</f>
        <v>0.89229852392803666</v>
      </c>
      <c r="AH7" s="70">
        <f>股权价值增加表!AH4/资产资本表!AH70</f>
        <v>0.62184412931748889</v>
      </c>
      <c r="AI7" s="70">
        <f>股权价值增加表!AI4/资产资本表!AI70</f>
        <v>0.41578024586409773</v>
      </c>
      <c r="AJ7" s="70">
        <f>股权价值增加表!AJ4/资产资本表!AJ70</f>
        <v>0.23472737271740068</v>
      </c>
      <c r="AK7" s="70">
        <f>股权价值增加表!AK4/资产资本表!AK70</f>
        <v>0.75967526626601856</v>
      </c>
      <c r="AL7" s="70">
        <f>股权价值增加表!AL4/资产资本表!AL70</f>
        <v>1.8662762381662772</v>
      </c>
      <c r="AM7" s="70">
        <f>股权价值增加表!AM4/资产资本表!AM70</f>
        <v>1.1712853469565967</v>
      </c>
      <c r="AN7" s="70">
        <f>股权价值增加表!AN4/资产资本表!AN70</f>
        <v>0.63456941450796522</v>
      </c>
      <c r="AO7" s="70">
        <f>股权价值增加表!AO4/资产资本表!AO70</f>
        <v>2.6029135458888244</v>
      </c>
      <c r="AP7" s="70">
        <f>股权价值增加表!AP4/资产资本表!AP70</f>
        <v>2.6543948754741011</v>
      </c>
      <c r="AQ7" s="70" t="e">
        <f>股权价值增加表!AQ4/资产资本表!AQ70</f>
        <v>#DIV/0!</v>
      </c>
      <c r="AR7" s="70" t="e">
        <f>股权价值增加表!AR4/资产资本表!AR70</f>
        <v>#DIV/0!</v>
      </c>
      <c r="AS7" s="70" t="e">
        <f>股权价值增加表!AS4/资产资本表!AS70</f>
        <v>#DIV/0!</v>
      </c>
      <c r="AT7" s="70" t="e">
        <f>股权价值增加表!AT4/资产资本表!AT70</f>
        <v>#DIV/0!</v>
      </c>
      <c r="AU7" s="70" t="e">
        <f>股权价值增加表!AU4/资产资本表!AU70</f>
        <v>#DIV/0!</v>
      </c>
      <c r="AV7" s="70" t="e">
        <f>股权价值增加表!AV4/资产资本表!AV70</f>
        <v>#DIV/0!</v>
      </c>
      <c r="AW7" s="70" t="e">
        <f>股权价值增加表!AW4/资产资本表!AW70</f>
        <v>#DIV/0!</v>
      </c>
      <c r="AX7" s="70" t="e">
        <f>股权价值增加表!AX4/资产资本表!AX70</f>
        <v>#DIV/0!</v>
      </c>
      <c r="AY7" s="70" t="e">
        <f>股权价值增加表!AY4/资产资本表!AY70</f>
        <v>#DIV/0!</v>
      </c>
      <c r="AZ7" s="70" t="e">
        <f>股权价值增加表!AZ4/资产资本表!AZ70</f>
        <v>#DIV/0!</v>
      </c>
      <c r="BA7" s="70" t="e">
        <f>股权价值增加表!BA4/资产资本表!BA70</f>
        <v>#DIV/0!</v>
      </c>
      <c r="BB7" s="70" t="e">
        <f>股权价值增加表!BB4/资产资本表!BB70</f>
        <v>#DIV/0!</v>
      </c>
      <c r="BC7" s="70" t="e">
        <f>股权价值增加表!BC4/资产资本表!BC70</f>
        <v>#DIV/0!</v>
      </c>
      <c r="BD7" s="70" t="e">
        <f>股权价值增加表!BD4/资产资本表!BD70</f>
        <v>#DIV/0!</v>
      </c>
      <c r="BE7" s="70" t="e">
        <f>股权价值增加表!BE4/资产资本表!BE70</f>
        <v>#DIV/0!</v>
      </c>
      <c r="BF7" s="70" t="e">
        <f>股权价值增加表!BF4/资产资本表!BF70</f>
        <v>#DIV/0!</v>
      </c>
      <c r="BG7" s="70" t="e">
        <f>股权价值增加表!BG4/资产资本表!BG70</f>
        <v>#DIV/0!</v>
      </c>
      <c r="BH7" s="70" t="e">
        <f>股权价值增加表!BH4/资产资本表!BH70</f>
        <v>#DIV/0!</v>
      </c>
      <c r="BI7" s="70" t="e">
        <f>股权价值增加表!BI4/资产资本表!BI70</f>
        <v>#DIV/0!</v>
      </c>
      <c r="BJ7" s="70" t="e">
        <f>股权价值增加表!BJ4/资产资本表!BJ70</f>
        <v>#DIV/0!</v>
      </c>
      <c r="BK7" s="70" t="e">
        <f>股权价值增加表!BK4/资产资本表!BK70</f>
        <v>#DIV/0!</v>
      </c>
      <c r="BL7" s="70" t="e">
        <f>股权价值增加表!BL4/资产资本表!BL70</f>
        <v>#DIV/0!</v>
      </c>
      <c r="BM7" s="70" t="e">
        <f>股权价值增加表!BM4/资产资本表!BM70</f>
        <v>#DIV/0!</v>
      </c>
      <c r="BN7" s="70" t="e">
        <f>股权价值增加表!BN4/资产资本表!BN70</f>
        <v>#DIV/0!</v>
      </c>
      <c r="BO7" s="70" t="e">
        <f>股权价值增加表!BO4/资产资本表!BO70</f>
        <v>#DIV/0!</v>
      </c>
      <c r="BP7" s="70" t="e">
        <f>股权价值增加表!BP4/资产资本表!BP70</f>
        <v>#DIV/0!</v>
      </c>
      <c r="BQ7" s="70" t="e">
        <f>股权价值增加表!BQ4/资产资本表!BQ70</f>
        <v>#DIV/0!</v>
      </c>
      <c r="BR7" s="70" t="e">
        <f>股权价值增加表!BR4/资产资本表!BR70</f>
        <v>#DIV/0!</v>
      </c>
      <c r="BS7" s="70" t="e">
        <f>股权价值增加表!BS4/资产资本表!BS70</f>
        <v>#DIV/0!</v>
      </c>
      <c r="BT7" s="70" t="e">
        <f>股权价值增加表!BT4/资产资本表!BT70</f>
        <v>#DIV/0!</v>
      </c>
      <c r="BU7" s="70" t="e">
        <f>股权价值增加表!BU4/资产资本表!BU70</f>
        <v>#DIV/0!</v>
      </c>
      <c r="BV7" s="70" t="e">
        <f>股权价值增加表!BV4/资产资本表!BV70</f>
        <v>#DIV/0!</v>
      </c>
      <c r="BW7" s="70" t="e">
        <f>股权价值增加表!BW4/资产资本表!BW70</f>
        <v>#DIV/0!</v>
      </c>
      <c r="BX7" s="70" t="e">
        <f>股权价值增加表!BX4/资产资本表!BX70</f>
        <v>#DIV/0!</v>
      </c>
      <c r="BY7" s="70" t="e">
        <f>股权价值增加表!BY4/资产资本表!BY70</f>
        <v>#DIV/0!</v>
      </c>
      <c r="BZ7" s="70" t="e">
        <f>股权价值增加表!BZ4/资产资本表!BZ70</f>
        <v>#DIV/0!</v>
      </c>
      <c r="CA7" s="70" t="e">
        <f>股权价值增加表!CA4/资产资本表!CA70</f>
        <v>#DIV/0!</v>
      </c>
      <c r="CB7" s="70" t="e">
        <f>股权价值增加表!CB4/资产资本表!CB70</f>
        <v>#DIV/0!</v>
      </c>
      <c r="CC7" s="70" t="e">
        <f>股权价值增加表!CC4/资产资本表!CC70</f>
        <v>#DIV/0!</v>
      </c>
      <c r="CD7" s="70" t="e">
        <f>股权价值增加表!CD4/资产资本表!CD70</f>
        <v>#DIV/0!</v>
      </c>
      <c r="CE7" s="70" t="e">
        <f>股权价值增加表!CE4/资产资本表!CE70</f>
        <v>#DIV/0!</v>
      </c>
      <c r="CF7" s="70" t="e">
        <f>股权价值增加表!CF4/资产资本表!CF70</f>
        <v>#DIV/0!</v>
      </c>
      <c r="CG7" s="70" t="e">
        <f>股权价值增加表!CG4/资产资本表!CG70</f>
        <v>#DIV/0!</v>
      </c>
      <c r="CH7" s="70" t="e">
        <f>股权价值增加表!CH4/资产资本表!CH70</f>
        <v>#DIV/0!</v>
      </c>
      <c r="CI7" s="70" t="e">
        <f>股权价值增加表!CI4/资产资本表!CI70</f>
        <v>#DIV/0!</v>
      </c>
      <c r="CJ7" s="70" t="e">
        <f>股权价值增加表!CJ4/资产资本表!CJ70</f>
        <v>#DIV/0!</v>
      </c>
    </row>
    <row r="8" spans="1:89" s="73" customFormat="1">
      <c r="A8" s="66" t="s">
        <v>445</v>
      </c>
      <c r="E8" s="73">
        <f>股权价值增加表!E31/资产资本表!E70</f>
        <v>0.18958901167524198</v>
      </c>
      <c r="F8" s="73">
        <f>股权价值增加表!F31/资产资本表!F70</f>
        <v>0.10642276197495915</v>
      </c>
      <c r="G8" s="73">
        <f>股权价值增加表!G31/资产资本表!G70</f>
        <v>7.1403262689503214E-2</v>
      </c>
      <c r="H8" s="73">
        <f>股权价值增加表!H31/资产资本表!H70</f>
        <v>3.5736848004459462E-2</v>
      </c>
      <c r="I8" s="73">
        <f>股权价值增加表!I31/资产资本表!I70</f>
        <v>0.20813368135839175</v>
      </c>
      <c r="J8" s="73">
        <f>股权价值增加表!J31/资产资本表!J70</f>
        <v>0.1230127879151047</v>
      </c>
      <c r="K8" s="73">
        <f>股权价值增加表!K31/资产资本表!K70</f>
        <v>8.7794727170781656E-2</v>
      </c>
      <c r="L8" s="73">
        <f>股权价值增加表!L31/资产资本表!L70</f>
        <v>4.619400925128074E-2</v>
      </c>
      <c r="M8" s="73">
        <f>股权价值增加表!M31/资产资本表!M70</f>
        <v>0.21196479711168972</v>
      </c>
      <c r="N8" s="73">
        <f>股权价值增加表!N31/资产资本表!N70</f>
        <v>0.12577859300688823</v>
      </c>
      <c r="O8" s="73">
        <f>股权价值增加表!O31/资产资本表!O70</f>
        <v>9.5660351475507555E-2</v>
      </c>
      <c r="P8" s="73">
        <f>股权价值增加表!P31/资产资本表!P70</f>
        <v>5.4784003925085471E-2</v>
      </c>
      <c r="Q8" s="73">
        <f>股权价值增加表!Q31/资产资本表!Q70</f>
        <v>0.22521483879382811</v>
      </c>
      <c r="R8" s="73">
        <f>股权价值增加表!R31/资产资本表!R70</f>
        <v>0.14901141423448566</v>
      </c>
      <c r="S8" s="73">
        <f>股权价值增加表!S31/资产资本表!S70</f>
        <v>0.10134002011052093</v>
      </c>
      <c r="T8" s="73">
        <f>股权价值增加表!T31/资产资本表!T70</f>
        <v>6.8560318756361066E-2</v>
      </c>
      <c r="U8" s="73">
        <f>股权价值增加表!U31/资产资本表!U70</f>
        <v>0.23044466286971754</v>
      </c>
      <c r="V8" s="73">
        <f>股权价值增加表!V31/资产资本表!V70</f>
        <v>0.16138781096843699</v>
      </c>
      <c r="W8" s="73">
        <f>股权价值增加表!W31/资产资本表!W70</f>
        <v>0.10689213195767219</v>
      </c>
      <c r="X8" s="73">
        <f>股权价值增加表!X31/资产资本表!X70</f>
        <v>7.0909405048282997E-2</v>
      </c>
      <c r="Y8" s="73">
        <f>股权价值增加表!Y31/资产资本表!Y70</f>
        <v>0.22766275501565653</v>
      </c>
      <c r="Z8" s="73">
        <f>股权价值增加表!Z31/资产资本表!Z70</f>
        <v>0.14631168310371234</v>
      </c>
      <c r="AA8" s="73">
        <f>股权价值增加表!AA31/资产资本表!AA70</f>
        <v>0.10152533359698257</v>
      </c>
      <c r="AB8" s="73">
        <f>股权价值增加表!AB31/资产资本表!AB70</f>
        <v>7.4087197229614599E-2</v>
      </c>
      <c r="AC8" s="73">
        <f>股权价值增加表!AC31/资产资本表!AC70</f>
        <v>0.20803518836748933</v>
      </c>
      <c r="AD8" s="73">
        <f>股权价值增加表!AD31/资产资本表!AD70</f>
        <v>0.12954702411376287</v>
      </c>
      <c r="AE8" s="73">
        <f>股权价值增加表!AE31/资产资本表!AE70</f>
        <v>8.7807132019056849E-2</v>
      </c>
      <c r="AF8" s="73">
        <f>股权价值增加表!AF31/资产资本表!AF70</f>
        <v>6.216086880372939E-2</v>
      </c>
      <c r="AG8" s="73">
        <f>股权价值增加表!AG31/资产资本表!AG70</f>
        <v>0.13519857249994052</v>
      </c>
      <c r="AH8" s="73">
        <f>股权价值增加表!AH31/资产资本表!AH70</f>
        <v>7.7350174137927122E-2</v>
      </c>
      <c r="AI8" s="73">
        <f>股权价值增加表!AI31/资产资本表!AI70</f>
        <v>5.5498445854795887E-2</v>
      </c>
      <c r="AJ8" s="73">
        <f>股权价值增加表!AJ31/资产资本表!AJ70</f>
        <v>4.2776504100565743E-2</v>
      </c>
      <c r="AK8" s="73">
        <f>股权价值增加表!AK31/资产资本表!AK70</f>
        <v>0.10672274193852829</v>
      </c>
      <c r="AL8" s="73">
        <f>股权价值增加表!AL31/资产资本表!AL70</f>
        <v>0.24133653874434233</v>
      </c>
      <c r="AM8" s="73">
        <f>股权价值增加表!AM31/资产资本表!AM70</f>
        <v>0.16735899981761707</v>
      </c>
      <c r="AN8" s="73">
        <f>股权价值增加表!AN31/资产资本表!AN70</f>
        <v>0.11327021670358019</v>
      </c>
      <c r="AO8" s="73">
        <f>股权价值增加表!AO31/资产资本表!AO70</f>
        <v>0.3229013196297158</v>
      </c>
      <c r="AP8" s="73">
        <f>股权价值增加表!AP31/资产资本表!AP70</f>
        <v>0.3371833772651216</v>
      </c>
      <c r="AQ8" s="73" t="e">
        <f>股权价值增加表!AQ31/资产资本表!AQ70</f>
        <v>#DIV/0!</v>
      </c>
      <c r="AR8" s="73" t="e">
        <f>股权价值增加表!AR31/资产资本表!AR70</f>
        <v>#DIV/0!</v>
      </c>
      <c r="AS8" s="73" t="e">
        <f>股权价值增加表!AS31/资产资本表!AS70</f>
        <v>#DIV/0!</v>
      </c>
      <c r="AT8" s="73" t="e">
        <f>股权价值增加表!AT31/资产资本表!AT70</f>
        <v>#DIV/0!</v>
      </c>
      <c r="AU8" s="73" t="e">
        <f>股权价值增加表!AU31/资产资本表!AU70</f>
        <v>#DIV/0!</v>
      </c>
      <c r="AV8" s="73" t="e">
        <f>股权价值增加表!AV31/资产资本表!AV70</f>
        <v>#DIV/0!</v>
      </c>
      <c r="AW8" s="73" t="e">
        <f>股权价值增加表!AW31/资产资本表!AW70</f>
        <v>#DIV/0!</v>
      </c>
      <c r="AX8" s="73" t="e">
        <f>股权价值增加表!AX31/资产资本表!AX70</f>
        <v>#DIV/0!</v>
      </c>
      <c r="AY8" s="73" t="e">
        <f>股权价值增加表!AY31/资产资本表!AY70</f>
        <v>#DIV/0!</v>
      </c>
      <c r="AZ8" s="73" t="e">
        <f>股权价值增加表!AZ31/资产资本表!AZ70</f>
        <v>#DIV/0!</v>
      </c>
      <c r="BA8" s="73" t="e">
        <f>股权价值增加表!BA31/资产资本表!BA70</f>
        <v>#DIV/0!</v>
      </c>
      <c r="BB8" s="73" t="e">
        <f>股权价值增加表!BB31/资产资本表!BB70</f>
        <v>#DIV/0!</v>
      </c>
      <c r="BC8" s="73" t="e">
        <f>股权价值增加表!BC31/资产资本表!BC70</f>
        <v>#DIV/0!</v>
      </c>
      <c r="BD8" s="73" t="e">
        <f>股权价值增加表!BD31/资产资本表!BD70</f>
        <v>#DIV/0!</v>
      </c>
      <c r="BE8" s="73" t="e">
        <f>股权价值增加表!BE31/资产资本表!BE70</f>
        <v>#DIV/0!</v>
      </c>
      <c r="BF8" s="73" t="e">
        <f>股权价值增加表!BF31/资产资本表!BF70</f>
        <v>#DIV/0!</v>
      </c>
      <c r="BG8" s="73" t="e">
        <f>股权价值增加表!BG31/资产资本表!BG70</f>
        <v>#DIV/0!</v>
      </c>
      <c r="BH8" s="73" t="e">
        <f>股权价值增加表!BH31/资产资本表!BH70</f>
        <v>#DIV/0!</v>
      </c>
      <c r="BI8" s="73" t="e">
        <f>股权价值增加表!BI31/资产资本表!BI70</f>
        <v>#DIV/0!</v>
      </c>
      <c r="BJ8" s="73" t="e">
        <f>股权价值增加表!BJ31/资产资本表!BJ70</f>
        <v>#DIV/0!</v>
      </c>
      <c r="BK8" s="73" t="e">
        <f>股权价值增加表!BK31/资产资本表!BK70</f>
        <v>#DIV/0!</v>
      </c>
      <c r="BL8" s="73" t="e">
        <f>股权价值增加表!BL31/资产资本表!BL70</f>
        <v>#DIV/0!</v>
      </c>
      <c r="BM8" s="73" t="e">
        <f>股权价值增加表!BM31/资产资本表!BM70</f>
        <v>#DIV/0!</v>
      </c>
      <c r="BN8" s="73" t="e">
        <f>股权价值增加表!BN31/资产资本表!BN70</f>
        <v>#DIV/0!</v>
      </c>
      <c r="BO8" s="73" t="e">
        <f>股权价值增加表!BO31/资产资本表!BO70</f>
        <v>#DIV/0!</v>
      </c>
      <c r="BP8" s="73" t="e">
        <f>股权价值增加表!BP31/资产资本表!BP70</f>
        <v>#DIV/0!</v>
      </c>
      <c r="BQ8" s="73" t="e">
        <f>股权价值增加表!BQ31/资产资本表!BQ70</f>
        <v>#DIV/0!</v>
      </c>
      <c r="BR8" s="73" t="e">
        <f>股权价值增加表!BR31/资产资本表!BR70</f>
        <v>#DIV/0!</v>
      </c>
      <c r="BS8" s="73" t="e">
        <f>股权价值增加表!BS31/资产资本表!BS70</f>
        <v>#DIV/0!</v>
      </c>
      <c r="BT8" s="73" t="e">
        <f>股权价值增加表!BT31/资产资本表!BT70</f>
        <v>#DIV/0!</v>
      </c>
      <c r="BU8" s="73" t="e">
        <f>股权价值增加表!BU31/资产资本表!BU70</f>
        <v>#DIV/0!</v>
      </c>
      <c r="BV8" s="73" t="e">
        <f>股权价值增加表!BV31/资产资本表!BV70</f>
        <v>#DIV/0!</v>
      </c>
      <c r="BW8" s="73" t="e">
        <f>股权价值增加表!BW31/资产资本表!BW70</f>
        <v>#DIV/0!</v>
      </c>
      <c r="BX8" s="73" t="e">
        <f>股权价值增加表!BX31/资产资本表!BX70</f>
        <v>#DIV/0!</v>
      </c>
      <c r="BY8" s="73" t="e">
        <f>股权价值增加表!BY31/资产资本表!BY70</f>
        <v>#DIV/0!</v>
      </c>
      <c r="BZ8" s="73" t="e">
        <f>股权价值增加表!BZ31/资产资本表!BZ70</f>
        <v>#DIV/0!</v>
      </c>
      <c r="CA8" s="73" t="e">
        <f>股权价值增加表!CA31/资产资本表!CA70</f>
        <v>#DIV/0!</v>
      </c>
      <c r="CB8" s="73" t="e">
        <f>股权价值增加表!CB31/资产资本表!CB70</f>
        <v>#DIV/0!</v>
      </c>
      <c r="CC8" s="73" t="e">
        <f>股权价值增加表!CC31/资产资本表!CC70</f>
        <v>#DIV/0!</v>
      </c>
      <c r="CD8" s="73" t="e">
        <f>股权价值增加表!CD31/资产资本表!CD70</f>
        <v>#DIV/0!</v>
      </c>
      <c r="CE8" s="73" t="e">
        <f>股权价值增加表!CE31/资产资本表!CE70</f>
        <v>#DIV/0!</v>
      </c>
      <c r="CF8" s="73" t="e">
        <f>股权价值增加表!CF31/资产资本表!CF70</f>
        <v>#DIV/0!</v>
      </c>
      <c r="CG8" s="73" t="e">
        <f>股权价值增加表!CG31/资产资本表!CG70</f>
        <v>#DIV/0!</v>
      </c>
      <c r="CH8" s="73" t="e">
        <f>股权价值增加表!CH31/资产资本表!CH70</f>
        <v>#DIV/0!</v>
      </c>
      <c r="CI8" s="73" t="e">
        <f>股权价值增加表!CI31/资产资本表!CI70</f>
        <v>#DIV/0!</v>
      </c>
      <c r="CJ8" s="73" t="e">
        <f>股权价值增加表!CJ31/资产资本表!CJ70</f>
        <v>#DIV/0!</v>
      </c>
    </row>
    <row r="9" spans="1:89" s="70" customFormat="1">
      <c r="A9" s="70" t="s">
        <v>439</v>
      </c>
      <c r="E9" s="70">
        <f>股权价值增加表!E38/股权价值增加表!E31</f>
        <v>0.99613330932265831</v>
      </c>
      <c r="F9" s="70">
        <f>股权价值增加表!F38/股权价值增加表!F31</f>
        <v>1.0041299439331863</v>
      </c>
      <c r="G9" s="70">
        <f>股权价值增加表!G38/股权价值增加表!G31</f>
        <v>1.0034120036081564</v>
      </c>
      <c r="H9" s="70">
        <f>股权价值增加表!H38/股权价值增加表!H31</f>
        <v>1.0085295131255623</v>
      </c>
      <c r="I9" s="70">
        <f>股权价值增加表!I38/股权价值增加表!I31</f>
        <v>0.99670177814120375</v>
      </c>
      <c r="J9" s="70">
        <f>股权价值增加表!J38/股权价值增加表!J31</f>
        <v>1.0132356075889266</v>
      </c>
      <c r="K9" s="70">
        <f>股权价值增加表!K38/股权价值增加表!K31</f>
        <v>1.0162620309204806</v>
      </c>
      <c r="L9" s="70">
        <f>股权价值增加表!L38/股权价值增加表!L31</f>
        <v>1.0260967095654698</v>
      </c>
      <c r="M9" s="70">
        <f>股权价值增加表!M38/股权价值增加表!M31</f>
        <v>0.99597441631819772</v>
      </c>
      <c r="N9" s="70">
        <f>股权价值增加表!N38/股权价值增加表!N31</f>
        <v>1.0513269474672853</v>
      </c>
      <c r="O9" s="70">
        <f>股权价值增加表!O38/股权价值增加表!O31</f>
        <v>1.0443995512469315</v>
      </c>
      <c r="P9" s="70">
        <f>股权价值增加表!P38/股权价值增加表!P31</f>
        <v>1.0450982151564661</v>
      </c>
      <c r="Q9" s="70">
        <f>股权价值增加表!Q38/股权价值增加表!Q31</f>
        <v>0.99648600929884812</v>
      </c>
      <c r="R9" s="70">
        <f>股权价值增加表!R38/股权价值增加表!R31</f>
        <v>1.013905103093403</v>
      </c>
      <c r="S9" s="70">
        <f>股权价值增加表!S38/股权价值增加表!S31</f>
        <v>1.0101752623473905</v>
      </c>
      <c r="T9" s="70">
        <f>股权价值增加表!T38/股权价值增加表!T31</f>
        <v>1.0026535037816584</v>
      </c>
      <c r="U9" s="70">
        <f>股权价值增加表!U38/股权价值增加表!U31</f>
        <v>0.99594994787417068</v>
      </c>
      <c r="V9" s="70">
        <f>股权价值增加表!V38/股权价值增加表!V31</f>
        <v>1.0161807550607445</v>
      </c>
      <c r="W9" s="70">
        <f>股权价值增加表!W38/股权价值增加表!W31</f>
        <v>1.0147939969143813</v>
      </c>
      <c r="X9" s="70">
        <f>股权价值增加表!X38/股权价值增加表!X31</f>
        <v>1.0069808490569432</v>
      </c>
      <c r="Y9" s="70">
        <f>股权价值增加表!Y38/股权价值增加表!Y31</f>
        <v>0.991001544054532</v>
      </c>
      <c r="Z9" s="70">
        <f>股权价值增加表!Z38/股权价值增加表!Z31</f>
        <v>1.0162637643798054</v>
      </c>
      <c r="AA9" s="70">
        <f>股权价值增加表!AA38/股权价值增加表!AA31</f>
        <v>1.0194162605664217</v>
      </c>
      <c r="AB9" s="70">
        <f>股权价值增加表!AB38/股权价值增加表!AB31</f>
        <v>1.0009963377345183</v>
      </c>
      <c r="AC9" s="70">
        <f>股权价值增加表!AC38/股权价值增加表!AC31</f>
        <v>0.9893224355773298</v>
      </c>
      <c r="AD9" s="70">
        <f>股权价值增加表!AD38/股权价值增加表!AD31</f>
        <v>1.0467213578171517</v>
      </c>
      <c r="AE9" s="70">
        <f>股权价值增加表!AE38/股权价值增加表!AE31</f>
        <v>1.0337865908340464</v>
      </c>
      <c r="AF9" s="70">
        <f>股权价值增加表!AF38/股权价值增加表!AF31</f>
        <v>1.0177654916728134</v>
      </c>
      <c r="AG9" s="70">
        <f>股权价值增加表!AG38/股权价值增加表!AG31</f>
        <v>0.98146939714911652</v>
      </c>
      <c r="AH9" s="70">
        <f>股权价值增加表!AH38/股权价值增加表!AH31</f>
        <v>1.0158642587841276</v>
      </c>
      <c r="AI9" s="70">
        <f>股权价值增加表!AI38/股权价值增加表!AI31</f>
        <v>1.0124998408952715</v>
      </c>
      <c r="AJ9" s="70">
        <f>股权价值增加表!AJ38/股权价值增加表!AJ31</f>
        <v>1.0037361788185712</v>
      </c>
      <c r="AK9" s="70">
        <f>股权价值增加表!AK38/股权价值增加表!AK31</f>
        <v>0.95916082237199807</v>
      </c>
      <c r="AL9" s="70">
        <f>股权价值增加表!AL38/股权价值增加表!AL31</f>
        <v>0.94374944613243739</v>
      </c>
      <c r="AM9" s="70">
        <f>股权价值增加表!AM38/股权价值增加表!AM31</f>
        <v>0.93275040339235504</v>
      </c>
      <c r="AN9" s="70">
        <f>股权价值增加表!AN38/股权价值增加表!AN31</f>
        <v>0.97187036973643648</v>
      </c>
      <c r="AO9" s="70">
        <f>股权价值增加表!AO38/股权价值增加表!AO31</f>
        <v>0.91444258692790081</v>
      </c>
      <c r="AP9" s="70">
        <f>股权价值增加表!AP38/股权价值增加表!AP31</f>
        <v>0.91088022164454863</v>
      </c>
      <c r="AQ9" s="70">
        <f>股权价值增加表!AQ38/股权价值增加表!AQ31</f>
        <v>0.91297732359500861</v>
      </c>
      <c r="AR9" s="70">
        <f>股权价值增加表!AR38/股权价值增加表!AR31</f>
        <v>0.93324924166516932</v>
      </c>
      <c r="AS9" s="70" t="e">
        <f>股权价值增加表!AS38/股权价值增加表!AS31</f>
        <v>#DIV/0!</v>
      </c>
      <c r="AT9" s="70">
        <f>股权价值增加表!AT38/股权价值增加表!AT31</f>
        <v>8.1995451922325753</v>
      </c>
      <c r="AU9" s="70">
        <f>股权价值增加表!AU38/股权价值增加表!AU31</f>
        <v>3.5901201152697588</v>
      </c>
      <c r="AV9" s="70" t="e">
        <f>股权价值增加表!AV38/股权价值增加表!AV31</f>
        <v>#DIV/0!</v>
      </c>
      <c r="AW9" s="70">
        <f>股权价值增加表!AW38/股权价值增加表!AW31</f>
        <v>1.2136830066165387</v>
      </c>
      <c r="AX9" s="70">
        <f>股权价值增加表!AX38/股权价值增加表!AX31</f>
        <v>1.17108713788013</v>
      </c>
      <c r="AY9" s="70">
        <f>股权价值增加表!AY38/股权价值增加表!AY31</f>
        <v>1.2558469449465</v>
      </c>
      <c r="AZ9" s="70">
        <f>股权价值增加表!AZ38/股权价值增加表!AZ31</f>
        <v>1.5172804084842979</v>
      </c>
      <c r="BA9" s="70">
        <f>股权价值增加表!BA38/股权价值增加表!BA31</f>
        <v>0.84101522323099109</v>
      </c>
      <c r="BB9" s="70">
        <f>股权价值增加表!BB38/股权价值增加表!BB31</f>
        <v>0.98266738585029667</v>
      </c>
      <c r="BC9" s="70">
        <f>股权价值增加表!BC38/股权价值增加表!BC31</f>
        <v>0.53721508562915365</v>
      </c>
      <c r="BD9" s="70">
        <f>股权价值增加表!BD38/股权价值增加表!BD31</f>
        <v>1.2646114632183694</v>
      </c>
      <c r="BE9" s="70">
        <f>股权价值增加表!BE38/股权价值增加表!BE31</f>
        <v>1.1697628780958165</v>
      </c>
      <c r="BF9" s="70">
        <f>股权价值增加表!BF38/股权价值增加表!BF31</f>
        <v>1.1329970999606338</v>
      </c>
      <c r="BG9" s="70">
        <f>股权价值增加表!BG38/股权价值增加表!BG31</f>
        <v>1.0657631257332441</v>
      </c>
      <c r="BH9" s="70">
        <f>股权价值增加表!BH38/股权价值增加表!BH31</f>
        <v>1.1934183081699814</v>
      </c>
      <c r="BI9" s="70">
        <f>股权价值增加表!BI38/股权价值增加表!BI31</f>
        <v>0.93239375876556874</v>
      </c>
      <c r="BJ9" s="70">
        <f>股权价值增加表!BJ38/股权价值增加表!BJ31</f>
        <v>0.88394031744720369</v>
      </c>
      <c r="BK9" s="70">
        <f>股权价值增加表!BK38/股权价值增加表!BK31</f>
        <v>0.83934441206942911</v>
      </c>
      <c r="BL9" s="70">
        <f>股权价值增加表!BL38/股权价值增加表!BL31</f>
        <v>0.6964109970745368</v>
      </c>
      <c r="BM9" s="70">
        <f>股权价值增加表!BM38/股权价值增加表!BM31</f>
        <v>0.90865102033009715</v>
      </c>
      <c r="BN9" s="70">
        <f>股权价值增加表!BN38/股权价值增加表!BN31</f>
        <v>0.87805546990787986</v>
      </c>
      <c r="BO9" s="70">
        <f>股权价值增加表!BO38/股权价值增加表!BO31</f>
        <v>0.89787043461825633</v>
      </c>
      <c r="BP9" s="70">
        <f>股权价值增加表!BP38/股权价值增加表!BP31</f>
        <v>0.64573122475441636</v>
      </c>
      <c r="BQ9" s="70">
        <f>股权价值增加表!BQ38/股权价值增加表!BQ31</f>
        <v>0.8830843674664075</v>
      </c>
      <c r="BR9" s="70">
        <f>股权价值增加表!BR38/股权价值增加表!BR31</f>
        <v>0.9126209421137772</v>
      </c>
      <c r="BS9" s="70">
        <f>股权价值增加表!BS38/股权价值增加表!BS31</f>
        <v>0.96917120614172025</v>
      </c>
      <c r="BT9" s="70">
        <f>股权价值增加表!BT38/股权价值增加表!BT31</f>
        <v>1.0015755342387331</v>
      </c>
      <c r="BU9" s="70">
        <f>股权价值增加表!BU38/股权价值增加表!BU31</f>
        <v>1.155461047513072</v>
      </c>
      <c r="BV9" s="70">
        <f>股权价值增加表!BV38/股权价值增加表!BV31</f>
        <v>1.7005889990298568</v>
      </c>
      <c r="BW9" s="70">
        <f>股权价值增加表!BW38/股权价值增加表!BW31</f>
        <v>0.98044726391169423</v>
      </c>
      <c r="BX9" s="70">
        <f>股权价值增加表!BX38/股权价值增加表!BX31</f>
        <v>8.2490079874227398</v>
      </c>
      <c r="BY9" s="70">
        <f>股权价值增加表!BY38/股权价值增加表!BY31</f>
        <v>0.47499676649646466</v>
      </c>
      <c r="BZ9" s="70">
        <f>股权价值增加表!BZ38/股权价值增加表!BZ31</f>
        <v>1</v>
      </c>
      <c r="CA9" s="70">
        <f>股权价值增加表!CA38/股权价值增加表!CA31</f>
        <v>-8.4222826859939399</v>
      </c>
      <c r="CB9" s="70">
        <f>股权价值增加表!CB38/股权价值增加表!CB31</f>
        <v>1</v>
      </c>
      <c r="CC9" s="70">
        <f>股权价值增加表!CC38/股权价值增加表!CC31</f>
        <v>-1.2626486558086338</v>
      </c>
      <c r="CD9" s="70">
        <f>股权价值增加表!CD38/股权价值增加表!CD31</f>
        <v>1</v>
      </c>
      <c r="CE9" s="70">
        <f>股权价值增加表!CE38/股权价值增加表!CE31</f>
        <v>1</v>
      </c>
      <c r="CF9" s="70">
        <f>股权价值增加表!CF38/股权价值增加表!CF31</f>
        <v>1</v>
      </c>
      <c r="CG9" s="70" t="e">
        <f>股权价值增加表!CG38/股权价值增加表!CG31</f>
        <v>#DIV/0!</v>
      </c>
      <c r="CH9" s="70" t="e">
        <f>股权价值增加表!CH38/股权价值增加表!CH31</f>
        <v>#DIV/0!</v>
      </c>
      <c r="CI9" s="70" t="e">
        <f>股权价值增加表!CI38/股权价值增加表!CI31</f>
        <v>#DIV/0!</v>
      </c>
      <c r="CJ9" s="70" t="e">
        <f>股权价值增加表!CJ38/股权价值增加表!CJ31</f>
        <v>#DIV/0!</v>
      </c>
    </row>
    <row r="10" spans="1:89" s="70" customFormat="1">
      <c r="A10" s="70" t="s">
        <v>440</v>
      </c>
      <c r="E10" s="70">
        <f>资产资本表!E70/资产资本表!E107</f>
        <v>1.0003972580513993</v>
      </c>
      <c r="F10" s="70">
        <f>资产资本表!F70/资产资本表!F107</f>
        <v>1.0093525934164989</v>
      </c>
      <c r="G10" s="70">
        <f>资产资本表!G70/资产资本表!G107</f>
        <v>1.000436995821895</v>
      </c>
      <c r="H10" s="70">
        <f>资产资本表!H70/资产资本表!H107</f>
        <v>1.0012894518223427</v>
      </c>
      <c r="I10" s="70">
        <f>资产资本表!I70/资产资本表!I107</f>
        <v>1.0057553578482137</v>
      </c>
      <c r="J10" s="70">
        <f>资产资本表!J70/资产资本表!J107</f>
        <v>1.0094292405240852</v>
      </c>
      <c r="K10" s="70">
        <f>资产资本表!K70/资产资本表!K107</f>
        <v>1.0172352845974202</v>
      </c>
      <c r="L10" s="70">
        <f>资产资本表!L70/资产资本表!L107</f>
        <v>1.0095193658864527</v>
      </c>
      <c r="M10" s="70">
        <f>资产资本表!M70/资产资本表!M107</f>
        <v>1.012917343135219</v>
      </c>
      <c r="N10" s="70">
        <f>资产资本表!N70/资产资本表!N107</f>
        <v>1.0134760820741475</v>
      </c>
      <c r="O10" s="70">
        <f>资产资本表!O70/资产资本表!O107</f>
        <v>1.0143482442980596</v>
      </c>
      <c r="P10" s="70">
        <f>资产资本表!P70/资产资本表!P107</f>
        <v>1.0036192003029127</v>
      </c>
      <c r="Q10" s="70">
        <f>资产资本表!Q70/资产资本表!Q107</f>
        <v>1.006277660785694</v>
      </c>
      <c r="R10" s="70">
        <f>资产资本表!R70/资产资本表!R107</f>
        <v>1.0150701345552571</v>
      </c>
      <c r="S10" s="70">
        <f>资产资本表!S70/资产资本表!S107</f>
        <v>1.0164931896097074</v>
      </c>
      <c r="T10" s="70">
        <f>资产资本表!T70/资产资本表!T107</f>
        <v>1.0156851474898556</v>
      </c>
      <c r="U10" s="70">
        <f>资产资本表!U70/资产资本表!U107</f>
        <v>1.0175279427603787</v>
      </c>
      <c r="V10" s="70">
        <f>资产资本表!V70/资产资本表!V107</f>
        <v>1.0143876881391887</v>
      </c>
      <c r="W10" s="70">
        <f>资产资本表!W70/资产资本表!W107</f>
        <v>1.0390561183610167</v>
      </c>
      <c r="X10" s="70">
        <f>资产资本表!X70/资产资本表!X107</f>
        <v>1.0215791222029129</v>
      </c>
      <c r="Y10" s="70">
        <f>资产资本表!Y70/资产资本表!Y107</f>
        <v>1.0249176986625432</v>
      </c>
      <c r="Z10" s="70">
        <f>资产资本表!Z70/资产资本表!Z107</f>
        <v>1.0385431949603876</v>
      </c>
      <c r="AA10" s="70">
        <f>资产资本表!AA70/资产资本表!AA107</f>
        <v>1.042682309872174</v>
      </c>
      <c r="AB10" s="70">
        <f>资产资本表!AB70/资产资本表!AB107</f>
        <v>1.0503657493808847</v>
      </c>
      <c r="AC10" s="70">
        <f>资产资本表!AC70/资产资本表!AC107</f>
        <v>1.0574307397193545</v>
      </c>
      <c r="AD10" s="70">
        <f>资产资本表!AD70/资产资本表!AD107</f>
        <v>1.0691155374830803</v>
      </c>
      <c r="AE10" s="70">
        <f>资产资本表!AE70/资产资本表!AE107</f>
        <v>1.023148242741424</v>
      </c>
      <c r="AF10" s="70">
        <f>资产资本表!AF70/资产资本表!AF107</f>
        <v>1.0378557499006584</v>
      </c>
      <c r="AG10" s="70">
        <f>资产资本表!AG70/资产资本表!AG107</f>
        <v>1.0693769465689094</v>
      </c>
      <c r="AH10" s="70">
        <f>资产资本表!AH70/资产资本表!AH107</f>
        <v>1.0592633559973084</v>
      </c>
      <c r="AI10" s="70">
        <f>资产资本表!AI70/资产资本表!AI107</f>
        <v>0.99999999999999978</v>
      </c>
      <c r="AJ10" s="70">
        <f>资产资本表!AJ70/资产资本表!AJ107</f>
        <v>1</v>
      </c>
      <c r="AK10" s="70">
        <f>资产资本表!AK70/资产资本表!AK107</f>
        <v>1</v>
      </c>
      <c r="AL10" s="70">
        <f>资产资本表!AL70/资产资本表!AL107</f>
        <v>1.0294177720290747</v>
      </c>
      <c r="AM10" s="70">
        <f>资产资本表!AM70/资产资本表!AM107</f>
        <v>1.0823859624556236</v>
      </c>
      <c r="AN10" s="70">
        <f>资产资本表!AN70/资产资本表!AN107</f>
        <v>1.2948688400211343</v>
      </c>
      <c r="AO10" s="70">
        <f>资产资本表!AO70/资产资本表!AO107</f>
        <v>1.5311079689616243</v>
      </c>
      <c r="AP10" s="70">
        <f>资产资本表!AP70/资产资本表!AP107</f>
        <v>1.5284078741018139</v>
      </c>
      <c r="AQ10" s="70" t="e">
        <f>资产资本表!AQ70/资产资本表!AQ107</f>
        <v>#DIV/0!</v>
      </c>
      <c r="AR10" s="70">
        <f>资产资本表!AR70/资产资本表!AR107</f>
        <v>0</v>
      </c>
      <c r="AS10" s="70">
        <f>资产资本表!AS70/资产资本表!AS107</f>
        <v>0</v>
      </c>
      <c r="AT10" s="70">
        <f>资产资本表!AT70/资产资本表!AT107</f>
        <v>0</v>
      </c>
      <c r="AU10" s="70">
        <f>资产资本表!AU70/资产资本表!AU107</f>
        <v>0</v>
      </c>
      <c r="AV10" s="70">
        <f>资产资本表!AV70/资产资本表!AV107</f>
        <v>0</v>
      </c>
      <c r="AW10" s="70">
        <f>资产资本表!AW70/资产资本表!AW107</f>
        <v>0</v>
      </c>
      <c r="AX10" s="70">
        <f>资产资本表!AX70/资产资本表!AX107</f>
        <v>0</v>
      </c>
      <c r="AY10" s="70">
        <f>资产资本表!AY70/资产资本表!AY107</f>
        <v>0</v>
      </c>
      <c r="AZ10" s="70">
        <f>资产资本表!AZ70/资产资本表!AZ107</f>
        <v>0</v>
      </c>
      <c r="BA10" s="70">
        <f>资产资本表!BA70/资产资本表!BA107</f>
        <v>0</v>
      </c>
      <c r="BB10" s="70">
        <f>资产资本表!BB70/资产资本表!BB107</f>
        <v>0</v>
      </c>
      <c r="BC10" s="70">
        <f>资产资本表!BC70/资产资本表!BC107</f>
        <v>0</v>
      </c>
      <c r="BD10" s="70">
        <f>资产资本表!BD70/资产资本表!BD107</f>
        <v>0</v>
      </c>
      <c r="BE10" s="70">
        <f>资产资本表!BE70/资产资本表!BE107</f>
        <v>0</v>
      </c>
      <c r="BF10" s="70">
        <f>资产资本表!BF70/资产资本表!BF107</f>
        <v>0</v>
      </c>
      <c r="BG10" s="70">
        <f>资产资本表!BG70/资产资本表!BG107</f>
        <v>0</v>
      </c>
      <c r="BH10" s="70">
        <f>资产资本表!BH70/资产资本表!BH107</f>
        <v>0</v>
      </c>
      <c r="BI10" s="70">
        <f>资产资本表!BI70/资产资本表!BI107</f>
        <v>0</v>
      </c>
      <c r="BJ10" s="70">
        <f>资产资本表!BJ70/资产资本表!BJ107</f>
        <v>0</v>
      </c>
      <c r="BK10" s="70">
        <f>资产资本表!BK70/资产资本表!BK107</f>
        <v>0</v>
      </c>
      <c r="BL10" s="70">
        <f>资产资本表!BL70/资产资本表!BL107</f>
        <v>0</v>
      </c>
      <c r="BM10" s="70">
        <f>资产资本表!BM70/资产资本表!BM107</f>
        <v>0</v>
      </c>
      <c r="BN10" s="70">
        <f>资产资本表!BN70/资产资本表!BN107</f>
        <v>0</v>
      </c>
      <c r="BO10" s="70">
        <f>资产资本表!BO70/资产资本表!BO107</f>
        <v>0</v>
      </c>
      <c r="BP10" s="70">
        <f>资产资本表!BP70/资产资本表!BP107</f>
        <v>0</v>
      </c>
      <c r="BQ10" s="70">
        <f>资产资本表!BQ70/资产资本表!BQ107</f>
        <v>0</v>
      </c>
      <c r="BR10" s="70">
        <f>资产资本表!BR70/资产资本表!BR107</f>
        <v>0</v>
      </c>
      <c r="BS10" s="70">
        <f>资产资本表!BS70/资产资本表!BS107</f>
        <v>0</v>
      </c>
      <c r="BT10" s="70">
        <f>资产资本表!BT70/资产资本表!BT107</f>
        <v>0</v>
      </c>
      <c r="BU10" s="70">
        <f>资产资本表!BU70/资产资本表!BU107</f>
        <v>0</v>
      </c>
      <c r="BV10" s="70">
        <f>资产资本表!BV70/资产资本表!BV107</f>
        <v>0</v>
      </c>
      <c r="BW10" s="70">
        <f>资产资本表!BW70/资产资本表!BW107</f>
        <v>0</v>
      </c>
      <c r="BX10" s="70">
        <f>资产资本表!BX70/资产资本表!BX107</f>
        <v>0</v>
      </c>
      <c r="BY10" s="70">
        <f>资产资本表!BY70/资产资本表!BY107</f>
        <v>0</v>
      </c>
      <c r="BZ10" s="70">
        <f>资产资本表!BZ70/资产资本表!BZ107</f>
        <v>0</v>
      </c>
      <c r="CA10" s="70">
        <f>资产资本表!CA70/资产资本表!CA107</f>
        <v>0</v>
      </c>
      <c r="CB10" s="70">
        <f>资产资本表!CB70/资产资本表!CB107</f>
        <v>0</v>
      </c>
      <c r="CC10" s="70">
        <f>资产资本表!CC70/资产资本表!CC107</f>
        <v>0</v>
      </c>
      <c r="CD10" s="70">
        <f>资产资本表!CD70/资产资本表!CD107</f>
        <v>0</v>
      </c>
      <c r="CE10" s="70">
        <f>资产资本表!CE70/资产资本表!CE107</f>
        <v>0</v>
      </c>
      <c r="CF10" s="70">
        <f>资产资本表!CF70/资产资本表!CF107</f>
        <v>0</v>
      </c>
      <c r="CG10" s="70">
        <f>资产资本表!CG70/资产资本表!CG107</f>
        <v>0</v>
      </c>
      <c r="CH10" s="70">
        <f>资产资本表!CH70/资产资本表!CH107</f>
        <v>0</v>
      </c>
      <c r="CI10" s="70">
        <f>资产资本表!CI70/资产资本表!CI107</f>
        <v>0</v>
      </c>
      <c r="CJ10" s="70">
        <f>资产资本表!CJ70/资产资本表!CJ107</f>
        <v>0</v>
      </c>
    </row>
    <row r="11" spans="1:89" s="35" customFormat="1">
      <c r="A11" s="35" t="s">
        <v>446</v>
      </c>
      <c r="E11" s="35">
        <f>E9*E10</f>
        <v>0.99652903130005377</v>
      </c>
      <c r="F11" s="35">
        <f t="shared" ref="F11:BQ11" si="2">F9*F10</f>
        <v>1.0135211630361252</v>
      </c>
      <c r="G11" s="35">
        <f t="shared" si="2"/>
        <v>1.0038504904613725</v>
      </c>
      <c r="H11" s="35">
        <f t="shared" si="2"/>
        <v>1.0098299633441485</v>
      </c>
      <c r="I11" s="35">
        <f t="shared" si="2"/>
        <v>1.0024381535423572</v>
      </c>
      <c r="J11" s="35">
        <f t="shared" si="2"/>
        <v>1.0227896498404503</v>
      </c>
      <c r="K11" s="35">
        <f t="shared" si="2"/>
        <v>1.0337775962489473</v>
      </c>
      <c r="L11" s="35">
        <f t="shared" si="2"/>
        <v>1.0358644995787087</v>
      </c>
      <c r="M11" s="35">
        <f t="shared" si="2"/>
        <v>1.0088397596076792</v>
      </c>
      <c r="N11" s="35">
        <f t="shared" si="2"/>
        <v>1.0654947156981174</v>
      </c>
      <c r="O11" s="35">
        <f t="shared" si="2"/>
        <v>1.0593848511530062</v>
      </c>
      <c r="P11" s="35">
        <f t="shared" si="2"/>
        <v>1.0488806349333339</v>
      </c>
      <c r="Q11" s="35">
        <f t="shared" si="2"/>
        <v>1.0027416104429163</v>
      </c>
      <c r="R11" s="35">
        <f t="shared" si="2"/>
        <v>1.0291847894232824</v>
      </c>
      <c r="S11" s="35">
        <f t="shared" si="2"/>
        <v>1.0268362744883219</v>
      </c>
      <c r="T11" s="35">
        <f t="shared" si="2"/>
        <v>1.0183802718696942</v>
      </c>
      <c r="U11" s="35">
        <f t="shared" si="2"/>
        <v>1.0134069015527114</v>
      </c>
      <c r="V11" s="35">
        <f t="shared" si="2"/>
        <v>1.0308012468576038</v>
      </c>
      <c r="W11" s="35">
        <f t="shared" si="2"/>
        <v>1.0544279113699186</v>
      </c>
      <c r="X11" s="35">
        <f t="shared" si="2"/>
        <v>1.028710611854736</v>
      </c>
      <c r="Y11" s="35">
        <f t="shared" si="2"/>
        <v>1.015695021903398</v>
      </c>
      <c r="Z11" s="35">
        <f t="shared" si="2"/>
        <v>1.0554338167814736</v>
      </c>
      <c r="AA11" s="35">
        <f t="shared" si="2"/>
        <v>1.0629273012886506</v>
      </c>
      <c r="AB11" s="35">
        <f t="shared" si="2"/>
        <v>1.0514122684120384</v>
      </c>
      <c r="AC11" s="35">
        <f t="shared" si="2"/>
        <v>1.0461399548734893</v>
      </c>
      <c r="AD11" s="35">
        <f t="shared" si="2"/>
        <v>1.1190660670577037</v>
      </c>
      <c r="AE11" s="35">
        <f t="shared" si="2"/>
        <v>1.0577169337815022</v>
      </c>
      <c r="AF11" s="35">
        <f t="shared" si="2"/>
        <v>1.0562937675831001</v>
      </c>
      <c r="AG11" s="35">
        <f t="shared" si="2"/>
        <v>1.0495607470741504</v>
      </c>
      <c r="AH11" s="35">
        <f t="shared" si="2"/>
        <v>1.0760677839973931</v>
      </c>
      <c r="AI11" s="35">
        <f t="shared" si="2"/>
        <v>1.0124998408952712</v>
      </c>
      <c r="AJ11" s="35">
        <f t="shared" si="2"/>
        <v>1.0037361788185712</v>
      </c>
      <c r="AK11" s="35">
        <f t="shared" si="2"/>
        <v>0.95916082237199807</v>
      </c>
      <c r="AL11" s="35">
        <f t="shared" si="2"/>
        <v>0.97151245219132698</v>
      </c>
      <c r="AM11" s="35">
        <f t="shared" si="2"/>
        <v>1.0095959431067054</v>
      </c>
      <c r="AN11" s="35">
        <f t="shared" si="2"/>
        <v>1.2584446583115305</v>
      </c>
      <c r="AO11" s="35">
        <f t="shared" si="2"/>
        <v>1.4001103320031918</v>
      </c>
      <c r="AP11" s="35">
        <f t="shared" si="2"/>
        <v>1.3921965031251335</v>
      </c>
      <c r="AQ11" s="35" t="e">
        <f t="shared" si="2"/>
        <v>#DIV/0!</v>
      </c>
      <c r="AR11" s="35">
        <f t="shared" si="2"/>
        <v>0</v>
      </c>
      <c r="AS11" s="35" t="e">
        <f t="shared" si="2"/>
        <v>#DIV/0!</v>
      </c>
      <c r="AT11" s="35">
        <f t="shared" si="2"/>
        <v>0</v>
      </c>
      <c r="AU11" s="35">
        <f t="shared" si="2"/>
        <v>0</v>
      </c>
      <c r="AV11" s="35" t="e">
        <f t="shared" si="2"/>
        <v>#DIV/0!</v>
      </c>
      <c r="AW11" s="35">
        <f t="shared" si="2"/>
        <v>0</v>
      </c>
      <c r="AX11" s="35">
        <f t="shared" si="2"/>
        <v>0</v>
      </c>
      <c r="AY11" s="35">
        <f t="shared" si="2"/>
        <v>0</v>
      </c>
      <c r="AZ11" s="35">
        <f t="shared" si="2"/>
        <v>0</v>
      </c>
      <c r="BA11" s="35">
        <f t="shared" si="2"/>
        <v>0</v>
      </c>
      <c r="BB11" s="35">
        <f t="shared" si="2"/>
        <v>0</v>
      </c>
      <c r="BC11" s="35">
        <f t="shared" si="2"/>
        <v>0</v>
      </c>
      <c r="BD11" s="35">
        <f t="shared" si="2"/>
        <v>0</v>
      </c>
      <c r="BE11" s="35">
        <f t="shared" si="2"/>
        <v>0</v>
      </c>
      <c r="BF11" s="35">
        <f t="shared" si="2"/>
        <v>0</v>
      </c>
      <c r="BG11" s="35">
        <f t="shared" si="2"/>
        <v>0</v>
      </c>
      <c r="BH11" s="35">
        <f t="shared" si="2"/>
        <v>0</v>
      </c>
      <c r="BI11" s="35">
        <f t="shared" si="2"/>
        <v>0</v>
      </c>
      <c r="BJ11" s="35">
        <f t="shared" si="2"/>
        <v>0</v>
      </c>
      <c r="BK11" s="35">
        <f t="shared" si="2"/>
        <v>0</v>
      </c>
      <c r="BL11" s="35">
        <f t="shared" si="2"/>
        <v>0</v>
      </c>
      <c r="BM11" s="35">
        <f t="shared" si="2"/>
        <v>0</v>
      </c>
      <c r="BN11" s="35">
        <f t="shared" si="2"/>
        <v>0</v>
      </c>
      <c r="BO11" s="35">
        <f t="shared" si="2"/>
        <v>0</v>
      </c>
      <c r="BP11" s="35">
        <f t="shared" si="2"/>
        <v>0</v>
      </c>
      <c r="BQ11" s="35">
        <f t="shared" si="2"/>
        <v>0</v>
      </c>
      <c r="BR11" s="35">
        <f t="shared" ref="BR11:CJ11" si="3">BR9*BR10</f>
        <v>0</v>
      </c>
      <c r="BS11" s="35">
        <f t="shared" si="3"/>
        <v>0</v>
      </c>
      <c r="BT11" s="35">
        <f t="shared" si="3"/>
        <v>0</v>
      </c>
      <c r="BU11" s="35">
        <f t="shared" si="3"/>
        <v>0</v>
      </c>
      <c r="BV11" s="35">
        <f t="shared" si="3"/>
        <v>0</v>
      </c>
      <c r="BW11" s="35">
        <f t="shared" si="3"/>
        <v>0</v>
      </c>
      <c r="BX11" s="35">
        <f t="shared" si="3"/>
        <v>0</v>
      </c>
      <c r="BY11" s="35">
        <f t="shared" si="3"/>
        <v>0</v>
      </c>
      <c r="BZ11" s="35">
        <f t="shared" si="3"/>
        <v>0</v>
      </c>
      <c r="CA11" s="35">
        <f t="shared" si="3"/>
        <v>0</v>
      </c>
      <c r="CB11" s="35">
        <f t="shared" si="3"/>
        <v>0</v>
      </c>
      <c r="CC11" s="35">
        <f t="shared" si="3"/>
        <v>0</v>
      </c>
      <c r="CD11" s="35">
        <f t="shared" si="3"/>
        <v>0</v>
      </c>
      <c r="CE11" s="35">
        <f t="shared" si="3"/>
        <v>0</v>
      </c>
      <c r="CF11" s="35">
        <f t="shared" si="3"/>
        <v>0</v>
      </c>
      <c r="CG11" s="35" t="e">
        <f t="shared" si="3"/>
        <v>#DIV/0!</v>
      </c>
      <c r="CH11" s="35" t="e">
        <f t="shared" si="3"/>
        <v>#DIV/0!</v>
      </c>
      <c r="CI11" s="35" t="e">
        <f t="shared" si="3"/>
        <v>#DIV/0!</v>
      </c>
      <c r="CJ11" s="35" t="e">
        <f t="shared" si="3"/>
        <v>#DIV/0!</v>
      </c>
    </row>
    <row r="12" spans="1:89" s="70" customFormat="1">
      <c r="A12" s="70" t="s">
        <v>441</v>
      </c>
      <c r="E12" s="70">
        <f>E2/股权价值增加表!E38</f>
        <v>0.81888501357242616</v>
      </c>
      <c r="F12" s="70">
        <f>F2/股权价值增加表!F38</f>
        <v>0.78200687173066274</v>
      </c>
      <c r="G12" s="70">
        <f>G2/股权价值增加表!G38</f>
        <v>0.78315189917231398</v>
      </c>
      <c r="H12" s="70">
        <f>H2/股权价值增加表!H38</f>
        <v>0.78061190891047383</v>
      </c>
      <c r="I12" s="70">
        <f>I2/股权价值增加表!I38</f>
        <v>0.78755389060124881</v>
      </c>
      <c r="J12" s="70">
        <f>J2/股权价值增加表!J38</f>
        <v>0.78741929181804571</v>
      </c>
      <c r="K12" s="70">
        <f>K2/股权价值增加表!K38</f>
        <v>0.78676022332794426</v>
      </c>
      <c r="L12" s="70">
        <f>L2/股权价值增加表!L38</f>
        <v>0.77931371622386481</v>
      </c>
      <c r="M12" s="70">
        <f>M2/股权价值增加表!M38</f>
        <v>0.81595468056386</v>
      </c>
      <c r="N12" s="70">
        <f>N2/股权价值增加表!N38</f>
        <v>0.7822781584134948</v>
      </c>
      <c r="O12" s="70">
        <f>O2/股权价值增加表!O38</f>
        <v>0.78201189159161455</v>
      </c>
      <c r="P12" s="70">
        <f>P2/股权价值增加表!P38</f>
        <v>0.77590676837935879</v>
      </c>
      <c r="Q12" s="70">
        <f>Q2/股权价值增加表!Q38</f>
        <v>0.76675988824814989</v>
      </c>
      <c r="R12" s="70">
        <f>R2/股权价值增加表!R38</f>
        <v>0.76340049708190716</v>
      </c>
      <c r="S12" s="70">
        <f>S2/股权价值增加表!S38</f>
        <v>0.76130764720649335</v>
      </c>
      <c r="T12" s="70">
        <f>T2/股权价值增加表!T38</f>
        <v>0.75514637188685196</v>
      </c>
      <c r="U12" s="70">
        <f>U2/股权价值增加表!U38</f>
        <v>0.74438542413913056</v>
      </c>
      <c r="V12" s="70">
        <f>V2/股权价值增加表!V38</f>
        <v>0.75018012582272875</v>
      </c>
      <c r="W12" s="70">
        <f>W2/股权价值增加表!W38</f>
        <v>0.75080852922514074</v>
      </c>
      <c r="X12" s="70">
        <f>X2/股权价值增加表!X38</f>
        <v>0.75093630342430062</v>
      </c>
      <c r="Y12" s="70">
        <f>Y2/股权价值增加表!Y38</f>
        <v>0.73527988229958119</v>
      </c>
      <c r="Z12" s="70">
        <f>Z2/股权价值增加表!Z38</f>
        <v>0.74975158543160858</v>
      </c>
      <c r="AA12" s="70">
        <f>AA2/股权价值增加表!AA38</f>
        <v>0.7496672045304178</v>
      </c>
      <c r="AB12" s="70">
        <f>AB2/股权价值增加表!AB38</f>
        <v>0.74983755517152417</v>
      </c>
      <c r="AC12" s="70">
        <f>AC2/股权价值增加表!AC38</f>
        <v>0.75762944694316225</v>
      </c>
      <c r="AD12" s="70">
        <f>AD2/股权价值增加表!AD38</f>
        <v>0.76668900890066916</v>
      </c>
      <c r="AE12" s="70">
        <f>AE2/股权价值增加表!AE38</f>
        <v>0.76385351707065119</v>
      </c>
      <c r="AF12" s="70">
        <f>AF2/股权价值增加表!AF38</f>
        <v>0.76641424834141858</v>
      </c>
      <c r="AG12" s="70">
        <f>AG2/股权价值增加表!AG38</f>
        <v>0.78917073552972805</v>
      </c>
      <c r="AH12" s="70">
        <f>AH2/股权价值增加表!AH38</f>
        <v>0.78232292780423773</v>
      </c>
      <c r="AI12" s="70">
        <f>AI2/股权价值增加表!AI38</f>
        <v>0.78014778161562959</v>
      </c>
      <c r="AJ12" s="70">
        <f>AJ2/股权价值增加表!AJ38</f>
        <v>0.783962292245868</v>
      </c>
      <c r="AK12" s="70">
        <f>AK2/股权价值增加表!AK38</f>
        <v>0.79012575609133995</v>
      </c>
      <c r="AL12" s="70">
        <f>AL2/股权价值增加表!AL38</f>
        <v>0.79600755317759131</v>
      </c>
      <c r="AM12" s="70">
        <f>AM2/股权价值增加表!AM38</f>
        <v>0.78263552223591193</v>
      </c>
      <c r="AN12" s="70">
        <f>AN2/股权价值增加表!AN38</f>
        <v>0.7850903193837665</v>
      </c>
      <c r="AO12" s="70">
        <f>AO2/股权价值增加表!AO38</f>
        <v>0.82595689286422369</v>
      </c>
      <c r="AP12" s="70">
        <f>AP2/股权价值增加表!AP38</f>
        <v>0.83361233016077918</v>
      </c>
      <c r="AQ12" s="70">
        <f>AQ2/股权价值增加表!AQ38</f>
        <v>0.92594652253489695</v>
      </c>
      <c r="AR12" s="70">
        <f>AR2/股权价值增加表!AR38</f>
        <v>0.85077198501166063</v>
      </c>
      <c r="AS12" s="70" t="e">
        <f>AS2/股权价值增加表!AS38</f>
        <v>#DIV/0!</v>
      </c>
      <c r="AT12" s="70">
        <f>AT2/股权价值增加表!AT38</f>
        <v>-4.133296837815446</v>
      </c>
      <c r="AU12" s="70">
        <f>AU2/股权价值增加表!AU38</f>
        <v>-6.2924414182151729</v>
      </c>
      <c r="AV12" s="70">
        <f>AV2/股权价值增加表!AV38</f>
        <v>-3.7146615153439262</v>
      </c>
      <c r="AW12" s="70">
        <f>AW2/股权价值增加表!AW38</f>
        <v>0.1281991249615852</v>
      </c>
      <c r="AX12" s="70">
        <f>AX2/股权价值增加表!AX38</f>
        <v>0.25552943209970863</v>
      </c>
      <c r="AY12" s="70">
        <f>AY2/股权价值增加表!AY38</f>
        <v>-4.5165886770724042E-2</v>
      </c>
      <c r="AZ12" s="70">
        <f>AZ2/股权价值增加表!AZ38</f>
        <v>-1.0551845510368489</v>
      </c>
      <c r="BA12" s="70">
        <f>BA2/股权价值增加表!BA38</f>
        <v>3.4638497240987842</v>
      </c>
      <c r="BB12" s="70">
        <f>BB2/股权价值增加表!BB38</f>
        <v>3.0175241262081895</v>
      </c>
      <c r="BC12" s="70">
        <f>BC2/股权价值增加表!BC38</f>
        <v>29.219198084406898</v>
      </c>
      <c r="BD12" s="70">
        <f>BD2/股权价值增加表!BD38</f>
        <v>-0.66859257824752694</v>
      </c>
      <c r="BE12" s="70">
        <f>BE2/股权价值增加表!BE38</f>
        <v>-0.52865828973609919</v>
      </c>
      <c r="BF12" s="70">
        <f>BF2/股权价值增加表!BF38</f>
        <v>-0.54089875870151938</v>
      </c>
      <c r="BG12" s="70">
        <f>BG2/股权价值增加表!BG38</f>
        <v>-0.38205462511481275</v>
      </c>
      <c r="BH12" s="70">
        <f>BH2/股权价值增加表!BH38</f>
        <v>-1.1220982625406397</v>
      </c>
      <c r="BI12" s="70">
        <f>BI2/股权价值增加表!BI38</f>
        <v>-0.29301994990763941</v>
      </c>
      <c r="BJ12" s="70">
        <f>BJ2/股权价值增加表!BJ38</f>
        <v>2.8813270744965522E-2</v>
      </c>
      <c r="BK12" s="70">
        <f>BK2/股权价值增加表!BK38</f>
        <v>0.17237500756568541</v>
      </c>
      <c r="BL12" s="70">
        <f>BL2/股权价值增加表!BL38</f>
        <v>-0.90970606211028981</v>
      </c>
      <c r="BM12" s="70">
        <f>BM2/股权价值增加表!BM38</f>
        <v>-0.96218756176366538</v>
      </c>
      <c r="BN12" s="70">
        <f>BN2/股权价值增加表!BN38</f>
        <v>-0.65374054993431974</v>
      </c>
      <c r="BO12" s="70">
        <f>BO2/股权价值增加表!BO38</f>
        <v>-0.50335098445535309</v>
      </c>
      <c r="BP12" s="70">
        <f>BP2/股权价值增加表!BP38</f>
        <v>-0.66609923408099037</v>
      </c>
      <c r="BQ12" s="70">
        <f>BQ2/股权价值增加表!BQ38</f>
        <v>-1.7271567271639192</v>
      </c>
      <c r="BR12" s="70">
        <f>BR2/股权价值增加表!BR38</f>
        <v>-0.33203395096035015</v>
      </c>
      <c r="BS12" s="70">
        <f>BS2/股权价值增加表!BS38</f>
        <v>6.0007400717286184E-2</v>
      </c>
      <c r="BT12" s="70">
        <f>BT2/股权价值增加表!BT38</f>
        <v>0.15022707175783542</v>
      </c>
      <c r="BU12" s="70">
        <f>BU2/股权价值增加表!BU38</f>
        <v>-0.99616523232812748</v>
      </c>
      <c r="BV12" s="70">
        <f>BV2/股权价值增加表!BV38</f>
        <v>3.7244503664361717</v>
      </c>
      <c r="BW12" s="70">
        <f>BW2/股权价值增加表!BW38</f>
        <v>0.93578276968567697</v>
      </c>
      <c r="BX12" s="70">
        <f>BX2/股权价值增加表!BX38</f>
        <v>1</v>
      </c>
      <c r="BY12" s="70">
        <f>BY2/股权价值增加表!BY38</f>
        <v>0.60507835898872442</v>
      </c>
      <c r="BZ12" s="70">
        <f>BZ2/股权价值增加表!BZ38</f>
        <v>0.22637357142857142</v>
      </c>
      <c r="CA12" s="70">
        <f>CA2/股权价值增加表!CA38</f>
        <v>1.0403277752162126</v>
      </c>
      <c r="CB12" s="70">
        <f>CB2/股权价值增加表!CB38</f>
        <v>-2.1966168493593825</v>
      </c>
      <c r="CC12" s="70">
        <f>CC2/股权价值增加表!CC38</f>
        <v>3.1089259931778246</v>
      </c>
      <c r="CD12" s="70">
        <f>CD2/股权价值增加表!CD38</f>
        <v>-2.4075993091537131</v>
      </c>
      <c r="CE12" s="70">
        <f>CE2/股权价值增加表!CE38</f>
        <v>-2.5981368870487773</v>
      </c>
      <c r="CF12" s="70">
        <f>CF2/股权价值增加表!CF38</f>
        <v>-6.859739633359264</v>
      </c>
      <c r="CG12" s="70" t="e">
        <f>CG2/股权价值增加表!CG38</f>
        <v>#DIV/0!</v>
      </c>
      <c r="CH12" s="70" t="e">
        <f>CH2/股权价值增加表!CH38</f>
        <v>#DIV/0!</v>
      </c>
      <c r="CI12" s="70" t="e">
        <f>CI2/股权价值增加表!CI38</f>
        <v>#DIV/0!</v>
      </c>
      <c r="CJ12" s="70" t="e">
        <f>CJ2/股权价值增加表!CJ38</f>
        <v>#DIV/0!</v>
      </c>
    </row>
    <row r="13" spans="1:89" s="73" customFormat="1">
      <c r="A13" s="73" t="s">
        <v>442</v>
      </c>
      <c r="E13" s="73">
        <f>1-E2/股权价值增加表!E38</f>
        <v>0.18111498642757384</v>
      </c>
      <c r="F13" s="73">
        <f>1-F2/股权价值增加表!F38</f>
        <v>0.21799312826933726</v>
      </c>
      <c r="G13" s="73">
        <f>1-G2/股权价值增加表!G38</f>
        <v>0.21684810082768602</v>
      </c>
      <c r="H13" s="73">
        <f>1-H2/股权价值增加表!H38</f>
        <v>0.21938809108952617</v>
      </c>
      <c r="I13" s="73">
        <f>1-I2/股权价值增加表!I38</f>
        <v>0.21244610939875119</v>
      </c>
      <c r="J13" s="73">
        <f>1-J2/股权价值增加表!J38</f>
        <v>0.21258070818195429</v>
      </c>
      <c r="K13" s="73">
        <f>1-K2/股权价值增加表!K38</f>
        <v>0.21323977667205574</v>
      </c>
      <c r="L13" s="73">
        <f>1-L2/股权价值增加表!L38</f>
        <v>0.22068628377613519</v>
      </c>
      <c r="M13" s="73">
        <f>1-M2/股权价值增加表!M38</f>
        <v>0.18404531943614</v>
      </c>
      <c r="N13" s="73">
        <f>1-N2/股权价值增加表!N38</f>
        <v>0.2177218415865052</v>
      </c>
      <c r="O13" s="73">
        <f>1-O2/股权价值增加表!O38</f>
        <v>0.21798810840838545</v>
      </c>
      <c r="P13" s="73">
        <f>1-P2/股权价值增加表!P38</f>
        <v>0.22409323162064121</v>
      </c>
      <c r="Q13" s="73">
        <f>1-Q2/股权价值增加表!Q38</f>
        <v>0.23324011175185011</v>
      </c>
      <c r="R13" s="73">
        <f>1-R2/股权价值增加表!R38</f>
        <v>0.23659950291809284</v>
      </c>
      <c r="S13" s="73">
        <f>1-S2/股权价值增加表!S38</f>
        <v>0.23869235279350665</v>
      </c>
      <c r="T13" s="73">
        <f>1-T2/股权价值增加表!T38</f>
        <v>0.24485362811314804</v>
      </c>
      <c r="U13" s="73">
        <f>1-U2/股权价值增加表!U38</f>
        <v>0.25561457586086944</v>
      </c>
      <c r="V13" s="73">
        <f>1-V2/股权价值增加表!V38</f>
        <v>0.24981987417727125</v>
      </c>
      <c r="W13" s="73">
        <f>1-W2/股权价值增加表!W38</f>
        <v>0.24919147077485926</v>
      </c>
      <c r="X13" s="73">
        <f>1-X2/股权价值增加表!X38</f>
        <v>0.24906369657569938</v>
      </c>
      <c r="Y13" s="73">
        <f>1-Y2/股权价值增加表!Y38</f>
        <v>0.26472011770041881</v>
      </c>
      <c r="Z13" s="73">
        <f>1-Z2/股权价值增加表!Z38</f>
        <v>0.25024841456839142</v>
      </c>
      <c r="AA13" s="73">
        <f>1-AA2/股权价值增加表!AA38</f>
        <v>0.2503327954695822</v>
      </c>
      <c r="AB13" s="73">
        <f>1-AB2/股权价值增加表!AB38</f>
        <v>0.25016244482847583</v>
      </c>
      <c r="AC13" s="73">
        <f>1-AC2/股权价值增加表!AC38</f>
        <v>0.24237055305683775</v>
      </c>
      <c r="AD13" s="73">
        <f>1-AD2/股权价值增加表!AD38</f>
        <v>0.23331099109933084</v>
      </c>
      <c r="AE13" s="73">
        <f>1-AE2/股权价值增加表!AE38</f>
        <v>0.23614648292934881</v>
      </c>
      <c r="AF13" s="73">
        <f>1-AF2/股权价值增加表!AF38</f>
        <v>0.23358575165858142</v>
      </c>
      <c r="AG13" s="73">
        <f>1-AG2/股权价值增加表!AG38</f>
        <v>0.21082926447027195</v>
      </c>
      <c r="AH13" s="73">
        <f>1-AH2/股权价值增加表!AH38</f>
        <v>0.21767707219576227</v>
      </c>
      <c r="AI13" s="73">
        <f>1-AI2/股权价值增加表!AI38</f>
        <v>0.21985221838437041</v>
      </c>
      <c r="AJ13" s="73">
        <f>1-AJ2/股权价值增加表!AJ38</f>
        <v>0.216037707754132</v>
      </c>
      <c r="AK13" s="73">
        <f>1-AK2/股权价值增加表!AK38</f>
        <v>0.20987424390866005</v>
      </c>
      <c r="AL13" s="73">
        <f>1-AL2/股权价值增加表!AL38</f>
        <v>0.20399244682240869</v>
      </c>
      <c r="AM13" s="73">
        <f>1-AM2/股权价值增加表!AM38</f>
        <v>0.21736447776408807</v>
      </c>
      <c r="AN13" s="73">
        <f>1-AN2/股权价值增加表!AN38</f>
        <v>0.2149096806162335</v>
      </c>
      <c r="AO13" s="73">
        <f>1-AO2/股权价值增加表!AO38</f>
        <v>0.17404310713577631</v>
      </c>
      <c r="AP13" s="73">
        <f>1-AP2/股权价值增加表!AP38</f>
        <v>0.16638766983922082</v>
      </c>
      <c r="AQ13" s="73">
        <f>1-AQ2/股权价值增加表!AQ38</f>
        <v>7.4053477465103046E-2</v>
      </c>
      <c r="AR13" s="73">
        <f>1-AR2/股权价值增加表!AR38</f>
        <v>0.14922801498833937</v>
      </c>
      <c r="AS13" s="73" t="e">
        <f>1-AS2/股权价值增加表!AS38</f>
        <v>#DIV/0!</v>
      </c>
      <c r="AT13" s="73">
        <f>1-AT2/股权价值增加表!AT38</f>
        <v>5.133296837815446</v>
      </c>
      <c r="AU13" s="73">
        <f>1-AU2/股权价值增加表!AU38</f>
        <v>7.2924414182151729</v>
      </c>
      <c r="AV13" s="73">
        <f>1-AV2/股权价值增加表!AV38</f>
        <v>4.7146615153439262</v>
      </c>
      <c r="AW13" s="73">
        <f>1-AW2/股权价值增加表!AW38</f>
        <v>0.87180087503841475</v>
      </c>
      <c r="AX13" s="73">
        <f>1-AX2/股权价值增加表!AX38</f>
        <v>0.74447056790029142</v>
      </c>
      <c r="AY13" s="73">
        <f>1-AY2/股权价值增加表!AY38</f>
        <v>1.0451658867707241</v>
      </c>
      <c r="AZ13" s="73">
        <f>1-AZ2/股权价值增加表!AZ38</f>
        <v>2.0551845510368487</v>
      </c>
      <c r="BA13" s="73">
        <f>1-BA2/股权价值增加表!BA38</f>
        <v>-2.4638497240987842</v>
      </c>
      <c r="BB13" s="73">
        <f>1-BB2/股权价值增加表!BB38</f>
        <v>-2.0175241262081895</v>
      </c>
      <c r="BC13" s="73">
        <f>1-BC2/股权价值增加表!BC38</f>
        <v>-28.219198084406898</v>
      </c>
      <c r="BD13" s="73">
        <f>1-BD2/股权价值增加表!BD38</f>
        <v>1.668592578247527</v>
      </c>
      <c r="BE13" s="73">
        <f>1-BE2/股权价值增加表!BE38</f>
        <v>1.5286582897360992</v>
      </c>
      <c r="BF13" s="73">
        <f>1-BF2/股权价值增加表!BF38</f>
        <v>1.5408987587015193</v>
      </c>
      <c r="BG13" s="73">
        <f>1-BG2/股权价值增加表!BG38</f>
        <v>1.3820546251148127</v>
      </c>
      <c r="BH13" s="73">
        <f>1-BH2/股权价值增加表!BH38</f>
        <v>2.1220982625406397</v>
      </c>
      <c r="BI13" s="73">
        <f>1-BI2/股权价值增加表!BI38</f>
        <v>1.2930199499076394</v>
      </c>
      <c r="BJ13" s="73">
        <f>1-BJ2/股权价值增加表!BJ38</f>
        <v>0.97118672925503446</v>
      </c>
      <c r="BK13" s="73">
        <f>1-BK2/股权价值增加表!BK38</f>
        <v>0.82762499243431464</v>
      </c>
      <c r="BL13" s="73">
        <f>1-BL2/股权价值增加表!BL38</f>
        <v>1.9097060621102897</v>
      </c>
      <c r="BM13" s="73">
        <f>1-BM2/股权价值增加表!BM38</f>
        <v>1.9621875617636655</v>
      </c>
      <c r="BN13" s="73">
        <f>1-BN2/股权价值增加表!BN38</f>
        <v>1.6537405499343198</v>
      </c>
      <c r="BO13" s="73">
        <f>1-BO2/股权价值增加表!BO38</f>
        <v>1.503350984455353</v>
      </c>
      <c r="BP13" s="73">
        <f>1-BP2/股权价值增加表!BP38</f>
        <v>1.6660992340809904</v>
      </c>
      <c r="BQ13" s="73">
        <f>1-BQ2/股权价值增加表!BQ38</f>
        <v>2.7271567271639192</v>
      </c>
      <c r="BR13" s="73">
        <f>1-BR2/股权价值增加表!BR38</f>
        <v>1.33203395096035</v>
      </c>
      <c r="BS13" s="73">
        <f>1-BS2/股权价值增加表!BS38</f>
        <v>0.93999259928271384</v>
      </c>
      <c r="BT13" s="73">
        <f>1-BT2/股权价值增加表!BT38</f>
        <v>0.84977292824216455</v>
      </c>
      <c r="BU13" s="73">
        <f>1-BU2/股权价值增加表!BU38</f>
        <v>1.9961652323281274</v>
      </c>
      <c r="BV13" s="73">
        <f>1-BV2/股权价值增加表!BV38</f>
        <v>-2.7244503664361717</v>
      </c>
      <c r="BW13" s="73">
        <f>1-BW2/股权价值增加表!BW38</f>
        <v>6.4217230314323026E-2</v>
      </c>
      <c r="BX13" s="73">
        <f>1-BX2/股权价值增加表!BX38</f>
        <v>0</v>
      </c>
      <c r="BY13" s="73">
        <f>1-BY2/股权价值增加表!BY38</f>
        <v>0.39492164101127558</v>
      </c>
      <c r="BZ13" s="73">
        <f>1-BZ2/股权价值增加表!BZ38</f>
        <v>0.7736264285714286</v>
      </c>
      <c r="CA13" s="73">
        <f>1-CA2/股权价值增加表!CA38</f>
        <v>-4.0327775216212558E-2</v>
      </c>
      <c r="CB13" s="73">
        <f>1-CB2/股权价值增加表!CB38</f>
        <v>3.1966168493593825</v>
      </c>
      <c r="CC13" s="73">
        <f>1-CC2/股权价值增加表!CC38</f>
        <v>-2.1089259931778246</v>
      </c>
      <c r="CD13" s="73">
        <f>1-CD2/股权价值增加表!CD38</f>
        <v>3.4075993091537131</v>
      </c>
      <c r="CE13" s="73">
        <f>1-CE2/股权价值增加表!CE38</f>
        <v>3.5981368870487773</v>
      </c>
      <c r="CF13" s="73">
        <f>1-CF2/股权价值增加表!CF38</f>
        <v>7.859739633359264</v>
      </c>
      <c r="CG13" s="73" t="e">
        <f>1-CG2/股权价值增加表!CG38</f>
        <v>#DIV/0!</v>
      </c>
      <c r="CH13" s="73" t="e">
        <f>1-CH2/股权价值增加表!CH38</f>
        <v>#DIV/0!</v>
      </c>
      <c r="CI13" s="73" t="e">
        <f>1-CI2/股权价值增加表!CI38</f>
        <v>#DIV/0!</v>
      </c>
      <c r="CJ13" s="73" t="e">
        <f>1-CJ2/股权价值增加表!CJ38</f>
        <v>#DIV/0!</v>
      </c>
    </row>
    <row r="14" spans="1:89" s="68" customFormat="1">
      <c r="A14" s="68" t="s">
        <v>443</v>
      </c>
      <c r="E14" s="68">
        <f>E6*E7*E9*E10*E12</f>
        <v>0.15471272695326238</v>
      </c>
      <c r="F14" s="68">
        <f t="shared" ref="F14:BQ14" si="4">F6*F7*F9*F10*F12</f>
        <v>8.4348607402173967E-2</v>
      </c>
      <c r="G14" s="68">
        <f t="shared" si="4"/>
        <v>5.6134918671800399E-2</v>
      </c>
      <c r="H14" s="68">
        <f t="shared" si="4"/>
        <v>2.8170831784468969E-2</v>
      </c>
      <c r="I14" s="68">
        <f t="shared" si="4"/>
        <v>0.16431614409097162</v>
      </c>
      <c r="J14" s="68">
        <f t="shared" si="4"/>
        <v>9.9070108046331096E-2</v>
      </c>
      <c r="K14" s="68">
        <f t="shared" si="4"/>
        <v>7.1406532544130499E-2</v>
      </c>
      <c r="L14" s="68">
        <f t="shared" si="4"/>
        <v>3.7290733553147298E-2</v>
      </c>
      <c r="M14" s="68">
        <f t="shared" si="4"/>
        <v>0.17448253716925008</v>
      </c>
      <c r="N14" s="68">
        <f t="shared" si="4"/>
        <v>0.10483812308237793</v>
      </c>
      <c r="O14" s="68">
        <f t="shared" si="4"/>
        <v>7.9249966584834158E-2</v>
      </c>
      <c r="P14" s="68">
        <f t="shared" si="4"/>
        <v>4.4585062252925863E-2</v>
      </c>
      <c r="Q14" s="68">
        <f t="shared" si="4"/>
        <v>0.17315914155652404</v>
      </c>
      <c r="R14" s="68">
        <f t="shared" si="4"/>
        <v>0.11707531473319926</v>
      </c>
      <c r="S14" s="68">
        <f t="shared" si="4"/>
        <v>7.9221375873847116E-2</v>
      </c>
      <c r="T14" s="68">
        <f t="shared" si="4"/>
        <v>5.2724679176025802E-2</v>
      </c>
      <c r="U14" s="68">
        <f t="shared" si="4"/>
        <v>0.17383946328548286</v>
      </c>
      <c r="V14" s="68">
        <f t="shared" si="4"/>
        <v>0.12479903308834511</v>
      </c>
      <c r="W14" s="68">
        <f t="shared" si="4"/>
        <v>8.4623664948828378E-2</v>
      </c>
      <c r="X14" s="68">
        <f t="shared" si="4"/>
        <v>5.4777241984446057E-2</v>
      </c>
      <c r="Y14" s="68">
        <f t="shared" si="4"/>
        <v>0.17002312514550649</v>
      </c>
      <c r="Z14" s="68">
        <f t="shared" si="4"/>
        <v>0.11577836285486247</v>
      </c>
      <c r="AA14" s="68">
        <f t="shared" si="4"/>
        <v>8.0899623332940554E-2</v>
      </c>
      <c r="AB14" s="68">
        <f t="shared" si="4"/>
        <v>5.8409487241694633E-2</v>
      </c>
      <c r="AC14" s="68">
        <f t="shared" si="4"/>
        <v>0.16488586839343403</v>
      </c>
      <c r="AD14" s="68">
        <f t="shared" si="4"/>
        <v>0.11114819271791813</v>
      </c>
      <c r="AE14" s="68">
        <f t="shared" si="4"/>
        <v>7.0942964483403426E-2</v>
      </c>
      <c r="AF14" s="68">
        <f t="shared" si="4"/>
        <v>5.0322865544966587E-2</v>
      </c>
      <c r="AG14" s="68">
        <f t="shared" si="4"/>
        <v>0.11198262876332252</v>
      </c>
      <c r="AH14" s="68">
        <f t="shared" si="4"/>
        <v>6.5115890415253549E-2</v>
      </c>
      <c r="AI14" s="68">
        <f t="shared" si="4"/>
        <v>4.383819489568757E-2</v>
      </c>
      <c r="AJ14" s="68">
        <f t="shared" si="4"/>
        <v>3.3660459586611416E-2</v>
      </c>
      <c r="AK14" s="68">
        <f t="shared" si="4"/>
        <v>8.0880648540462841E-2</v>
      </c>
      <c r="AL14" s="68">
        <f t="shared" si="4"/>
        <v>0.18663308716586047</v>
      </c>
      <c r="AM14" s="68">
        <f t="shared" si="4"/>
        <v>0.13223798538974366</v>
      </c>
      <c r="AN14" s="68">
        <f t="shared" si="4"/>
        <v>0.11191014935104107</v>
      </c>
      <c r="AO14" s="68">
        <f t="shared" si="4"/>
        <v>0.37341302475724225</v>
      </c>
      <c r="AP14" s="68">
        <f t="shared" si="4"/>
        <v>0.39131890051413809</v>
      </c>
      <c r="AQ14" s="68" t="e">
        <f t="shared" si="4"/>
        <v>#DIV/0!</v>
      </c>
      <c r="AR14" s="68" t="e">
        <f t="shared" si="4"/>
        <v>#DIV/0!</v>
      </c>
      <c r="AS14" s="68" t="e">
        <f t="shared" si="4"/>
        <v>#DIV/0!</v>
      </c>
      <c r="AT14" s="68" t="e">
        <f t="shared" si="4"/>
        <v>#DIV/0!</v>
      </c>
      <c r="AU14" s="68" t="e">
        <f t="shared" si="4"/>
        <v>#DIV/0!</v>
      </c>
      <c r="AV14" s="68" t="e">
        <f t="shared" si="4"/>
        <v>#DIV/0!</v>
      </c>
      <c r="AW14" s="68" t="e">
        <f t="shared" si="4"/>
        <v>#DIV/0!</v>
      </c>
      <c r="AX14" s="68" t="e">
        <f t="shared" si="4"/>
        <v>#DIV/0!</v>
      </c>
      <c r="AY14" s="68" t="e">
        <f t="shared" si="4"/>
        <v>#DIV/0!</v>
      </c>
      <c r="AZ14" s="68" t="e">
        <f t="shared" si="4"/>
        <v>#DIV/0!</v>
      </c>
      <c r="BA14" s="68" t="e">
        <f t="shared" si="4"/>
        <v>#DIV/0!</v>
      </c>
      <c r="BB14" s="68" t="e">
        <f t="shared" si="4"/>
        <v>#DIV/0!</v>
      </c>
      <c r="BC14" s="68" t="e">
        <f t="shared" si="4"/>
        <v>#DIV/0!</v>
      </c>
      <c r="BD14" s="68" t="e">
        <f t="shared" si="4"/>
        <v>#DIV/0!</v>
      </c>
      <c r="BE14" s="68" t="e">
        <f t="shared" si="4"/>
        <v>#DIV/0!</v>
      </c>
      <c r="BF14" s="68" t="e">
        <f t="shared" si="4"/>
        <v>#DIV/0!</v>
      </c>
      <c r="BG14" s="68" t="e">
        <f t="shared" si="4"/>
        <v>#DIV/0!</v>
      </c>
      <c r="BH14" s="68" t="e">
        <f t="shared" si="4"/>
        <v>#DIV/0!</v>
      </c>
      <c r="BI14" s="68" t="e">
        <f t="shared" si="4"/>
        <v>#DIV/0!</v>
      </c>
      <c r="BJ14" s="68" t="e">
        <f t="shared" si="4"/>
        <v>#DIV/0!</v>
      </c>
      <c r="BK14" s="68" t="e">
        <f t="shared" si="4"/>
        <v>#DIV/0!</v>
      </c>
      <c r="BL14" s="68" t="e">
        <f t="shared" si="4"/>
        <v>#DIV/0!</v>
      </c>
      <c r="BM14" s="68" t="e">
        <f t="shared" si="4"/>
        <v>#DIV/0!</v>
      </c>
      <c r="BN14" s="68" t="e">
        <f t="shared" si="4"/>
        <v>#DIV/0!</v>
      </c>
      <c r="BO14" s="68" t="e">
        <f t="shared" si="4"/>
        <v>#DIV/0!</v>
      </c>
      <c r="BP14" s="68" t="e">
        <f t="shared" si="4"/>
        <v>#DIV/0!</v>
      </c>
      <c r="BQ14" s="68" t="e">
        <f t="shared" si="4"/>
        <v>#DIV/0!</v>
      </c>
      <c r="BR14" s="68" t="e">
        <f t="shared" ref="BR14:CJ14" si="5">BR6*BR7*BR9*BR10*BR12</f>
        <v>#DIV/0!</v>
      </c>
      <c r="BS14" s="68" t="e">
        <f t="shared" si="5"/>
        <v>#DIV/0!</v>
      </c>
      <c r="BT14" s="68" t="e">
        <f t="shared" si="5"/>
        <v>#DIV/0!</v>
      </c>
      <c r="BU14" s="68" t="e">
        <f t="shared" si="5"/>
        <v>#DIV/0!</v>
      </c>
      <c r="BV14" s="68" t="e">
        <f t="shared" si="5"/>
        <v>#DIV/0!</v>
      </c>
      <c r="BW14" s="68" t="e">
        <f t="shared" si="5"/>
        <v>#DIV/0!</v>
      </c>
      <c r="BX14" s="68" t="e">
        <f t="shared" si="5"/>
        <v>#DIV/0!</v>
      </c>
      <c r="BY14" s="68" t="e">
        <f t="shared" si="5"/>
        <v>#DIV/0!</v>
      </c>
      <c r="BZ14" s="68" t="e">
        <f t="shared" si="5"/>
        <v>#DIV/0!</v>
      </c>
      <c r="CA14" s="68" t="e">
        <f t="shared" si="5"/>
        <v>#DIV/0!</v>
      </c>
      <c r="CB14" s="68" t="e">
        <f t="shared" si="5"/>
        <v>#DIV/0!</v>
      </c>
      <c r="CC14" s="68" t="e">
        <f t="shared" si="5"/>
        <v>#DIV/0!</v>
      </c>
      <c r="CD14" s="68" t="e">
        <f t="shared" si="5"/>
        <v>#DIV/0!</v>
      </c>
      <c r="CE14" s="68" t="e">
        <f t="shared" si="5"/>
        <v>#DIV/0!</v>
      </c>
      <c r="CF14" s="68" t="e">
        <f t="shared" si="5"/>
        <v>#DIV/0!</v>
      </c>
      <c r="CG14" s="68" t="e">
        <f t="shared" si="5"/>
        <v>#DIV/0!</v>
      </c>
      <c r="CH14" s="68" t="e">
        <f t="shared" si="5"/>
        <v>#DIV/0!</v>
      </c>
      <c r="CI14" s="68" t="e">
        <f t="shared" si="5"/>
        <v>#DIV/0!</v>
      </c>
      <c r="CJ14" s="68" t="e">
        <f t="shared" si="5"/>
        <v>#DIV/0!</v>
      </c>
    </row>
    <row r="15" spans="1:89" s="22" customFormat="1" ht="36.75" customHeight="1">
      <c r="A15" s="165" t="s">
        <v>598</v>
      </c>
      <c r="B15" s="166"/>
      <c r="C15" s="166"/>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row>
    <row r="19" spans="1:89" s="148" customFormat="1">
      <c r="A19" s="147" t="s">
        <v>447</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40451</v>
      </c>
      <c r="AI19" s="1">
        <v>40359</v>
      </c>
      <c r="AJ19" s="1">
        <v>40268</v>
      </c>
      <c r="AK19" s="1">
        <v>40178</v>
      </c>
      <c r="AL19" s="1">
        <v>40086</v>
      </c>
      <c r="AM19" s="1">
        <v>39994</v>
      </c>
      <c r="AN19" s="1">
        <v>39903</v>
      </c>
      <c r="AO19" s="1">
        <v>39813</v>
      </c>
      <c r="AP19" s="1">
        <v>39721</v>
      </c>
      <c r="AQ19" s="1">
        <v>39447</v>
      </c>
      <c r="AR19" s="1">
        <v>39082</v>
      </c>
      <c r="AS19" s="1">
        <v>25569</v>
      </c>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row>
    <row r="20" spans="1:89" s="86" customFormat="1">
      <c r="A20" s="149" t="s">
        <v>453</v>
      </c>
      <c r="E20" s="86">
        <f>股权价值增加表!E4</f>
        <v>2616208430.02</v>
      </c>
      <c r="F20" s="86">
        <f>股权价值增加表!F4</f>
        <v>1538538792.47</v>
      </c>
      <c r="G20" s="86">
        <f>股权价值增加表!G4</f>
        <v>961289995.45000005</v>
      </c>
      <c r="H20" s="86">
        <f>股权价值增加表!H4</f>
        <v>431372254.86000001</v>
      </c>
      <c r="I20" s="86">
        <f>股权价值增加表!I4</f>
        <v>2311575474.5900002</v>
      </c>
      <c r="J20" s="86">
        <f>股权价值增加表!J4</f>
        <v>1347750467</v>
      </c>
      <c r="K20" s="86">
        <f>股权价值增加表!K4</f>
        <v>881149327.19000006</v>
      </c>
      <c r="L20" s="86">
        <f>股权价值增加表!L4</f>
        <v>431129453.88</v>
      </c>
      <c r="M20" s="86">
        <f>股权价值增加表!M4</f>
        <v>2092608347.29</v>
      </c>
      <c r="N20" s="86">
        <f>股权价值增加表!N4</f>
        <v>1298349056.04</v>
      </c>
      <c r="O20" s="86">
        <f>股权价值增加表!O4</f>
        <v>862619894.12</v>
      </c>
      <c r="P20" s="86">
        <f>股权价值增加表!P4</f>
        <v>462472843.76999998</v>
      </c>
      <c r="Q20" s="86">
        <f>股权价值增加表!Q4</f>
        <v>1969766903.8199999</v>
      </c>
      <c r="R20" s="86">
        <f>股权价值增加表!R4</f>
        <v>1299438859.97</v>
      </c>
      <c r="S20" s="86">
        <f>股权价值增加表!S4</f>
        <v>853989106.69000006</v>
      </c>
      <c r="T20" s="86">
        <f>股权价值增加表!T4</f>
        <v>452252432.13999999</v>
      </c>
      <c r="U20" s="86">
        <f>股权价值增加表!U4</f>
        <v>1863895419.51</v>
      </c>
      <c r="V20" s="86">
        <f>股权价值增加表!V4</f>
        <v>1255433504.79</v>
      </c>
      <c r="W20" s="86">
        <f>股权价值增加表!W4</f>
        <v>820683087.59000003</v>
      </c>
      <c r="X20" s="86">
        <f>股权价值增加表!X4</f>
        <v>439128345.19999999</v>
      </c>
      <c r="Y20" s="86">
        <f>股权价值增加表!Y4</f>
        <v>1776970381.24</v>
      </c>
      <c r="Z20" s="86">
        <f>股权价值增加表!Z4</f>
        <v>1192443012.9400001</v>
      </c>
      <c r="AA20" s="86">
        <f>股权价值增加表!AA4</f>
        <v>758478132.33000004</v>
      </c>
      <c r="AB20" s="86">
        <f>股权价值增加表!AB4</f>
        <v>404312414</v>
      </c>
      <c r="AC20" s="86">
        <f>股权价值增加表!AC4</f>
        <v>1453420015.48</v>
      </c>
      <c r="AD20" s="86">
        <f>股权价值增加表!AD4</f>
        <v>944792894.37</v>
      </c>
      <c r="AE20" s="86">
        <f>股权价值增加表!AE4</f>
        <v>607588062.33000004</v>
      </c>
      <c r="AF20" s="86">
        <f>股权价值增加表!AF4</f>
        <v>332888930.76999998</v>
      </c>
      <c r="AG20" s="86">
        <f>股权价值增加表!AG4</f>
        <v>1067301429.12</v>
      </c>
      <c r="AH20" s="86">
        <f>股权价值增加表!AH4</f>
        <v>698071299.27999997</v>
      </c>
      <c r="AI20" s="86">
        <f>股权价值增加表!AI4</f>
        <v>453223021.43000001</v>
      </c>
      <c r="AJ20" s="86">
        <f>股权价值增加表!AJ4</f>
        <v>253170727.09</v>
      </c>
      <c r="AK20" s="86">
        <f>股权价值增加表!AK4</f>
        <v>791785397.63</v>
      </c>
      <c r="AL20" s="86">
        <f>股权价值增加表!AL4</f>
        <v>522453685.52999997</v>
      </c>
      <c r="AM20" s="86">
        <f>股权价值增加表!AM4</f>
        <v>323155042.13999999</v>
      </c>
      <c r="AN20" s="86">
        <f>股权价值增加表!AN4</f>
        <v>181748831.08000001</v>
      </c>
      <c r="AO20" s="86">
        <f>股权价值增加表!AO4</f>
        <v>680763750.52999997</v>
      </c>
      <c r="AP20" s="86">
        <f>股权价值增加表!AP4</f>
        <v>468344420.81</v>
      </c>
      <c r="AQ20" s="86">
        <f>股权价值增加表!AQ4</f>
        <v>590236990.59000003</v>
      </c>
      <c r="AR20" s="86">
        <f>股权价值增加表!AR4</f>
        <v>419082605.45999998</v>
      </c>
      <c r="AS20" s="86">
        <f>股权价值增加表!AS4</f>
        <v>0</v>
      </c>
      <c r="AT20" s="86">
        <f>股权价值增加表!AT4</f>
        <v>0</v>
      </c>
      <c r="AU20" s="86">
        <f>股权价值增加表!AU4</f>
        <v>0</v>
      </c>
      <c r="AV20" s="86">
        <f>股权价值增加表!AV4</f>
        <v>0</v>
      </c>
      <c r="AW20" s="86">
        <f>股权价值增加表!AW4</f>
        <v>0</v>
      </c>
      <c r="AX20" s="86">
        <f>股权价值增加表!AX4</f>
        <v>0</v>
      </c>
      <c r="AY20" s="86">
        <f>股权价值增加表!AY4</f>
        <v>0</v>
      </c>
      <c r="AZ20" s="86">
        <f>股权价值增加表!AZ4</f>
        <v>0</v>
      </c>
      <c r="BA20" s="86">
        <f>股权价值增加表!BA4</f>
        <v>0</v>
      </c>
      <c r="BB20" s="86">
        <f>股权价值增加表!BB4</f>
        <v>0</v>
      </c>
      <c r="BC20" s="86">
        <f>股权价值增加表!BC4</f>
        <v>0</v>
      </c>
      <c r="BD20" s="86">
        <f>股权价值增加表!BD4</f>
        <v>0</v>
      </c>
      <c r="BE20" s="86">
        <f>股权价值增加表!BE4</f>
        <v>0</v>
      </c>
      <c r="BF20" s="86">
        <f>股权价值增加表!BF4</f>
        <v>0</v>
      </c>
      <c r="BG20" s="86">
        <f>股权价值增加表!BG4</f>
        <v>0</v>
      </c>
      <c r="BH20" s="86">
        <f>股权价值增加表!BH4</f>
        <v>0</v>
      </c>
      <c r="BI20" s="86">
        <f>股权价值增加表!BI4</f>
        <v>0</v>
      </c>
      <c r="BJ20" s="86">
        <f>股权价值增加表!BJ4</f>
        <v>0</v>
      </c>
      <c r="BK20" s="86">
        <f>股权价值增加表!BK4</f>
        <v>0</v>
      </c>
      <c r="BL20" s="86">
        <f>股权价值增加表!BL4</f>
        <v>0</v>
      </c>
      <c r="BM20" s="86">
        <f>股权价值增加表!BM4</f>
        <v>0</v>
      </c>
      <c r="BN20" s="86">
        <f>股权价值增加表!BN4</f>
        <v>0</v>
      </c>
      <c r="BO20" s="86">
        <f>股权价值增加表!BO4</f>
        <v>0</v>
      </c>
      <c r="BP20" s="86">
        <f>股权价值增加表!BP4</f>
        <v>0</v>
      </c>
      <c r="BQ20" s="86">
        <f>股权价值增加表!BQ4</f>
        <v>0</v>
      </c>
      <c r="BR20" s="86">
        <f>股权价值增加表!BR4</f>
        <v>0</v>
      </c>
      <c r="BS20" s="86">
        <f>股权价值增加表!BS4</f>
        <v>0</v>
      </c>
      <c r="BT20" s="86">
        <f>股权价值增加表!BT4</f>
        <v>0</v>
      </c>
      <c r="BU20" s="86">
        <f>股权价值增加表!BU4</f>
        <v>0</v>
      </c>
      <c r="BV20" s="86">
        <f>股权价值增加表!BV4</f>
        <v>0</v>
      </c>
      <c r="BW20" s="86">
        <f>股权价值增加表!BW4</f>
        <v>0</v>
      </c>
      <c r="BX20" s="86">
        <f>股权价值增加表!BX4</f>
        <v>0</v>
      </c>
      <c r="BY20" s="86">
        <f>股权价值增加表!BY4</f>
        <v>0</v>
      </c>
      <c r="BZ20" s="86">
        <f>股权价值增加表!BZ4</f>
        <v>0</v>
      </c>
      <c r="CA20" s="86">
        <f>股权价值增加表!CA4</f>
        <v>0</v>
      </c>
      <c r="CB20" s="86">
        <f>股权价值增加表!CB4</f>
        <v>0</v>
      </c>
      <c r="CC20" s="86">
        <f>股权价值增加表!CC4</f>
        <v>0</v>
      </c>
      <c r="CD20" s="86">
        <f>股权价值增加表!CD4</f>
        <v>0</v>
      </c>
      <c r="CE20" s="86">
        <f>股权价值增加表!CE4</f>
        <v>0</v>
      </c>
      <c r="CF20" s="86">
        <f>股权价值增加表!CF4</f>
        <v>0</v>
      </c>
      <c r="CG20" s="86">
        <f>股权价值增加表!CG4</f>
        <v>0</v>
      </c>
      <c r="CH20" s="86">
        <f>股权价值增加表!CH4</f>
        <v>0</v>
      </c>
      <c r="CI20" s="86">
        <f>股权价值增加表!CI4</f>
        <v>0</v>
      </c>
      <c r="CJ20" s="86">
        <f>股权价值增加表!CJ4</f>
        <v>0</v>
      </c>
      <c r="CK20" s="86">
        <f>股权价值增加表!CK4</f>
        <v>0</v>
      </c>
    </row>
    <row r="21" spans="1:89" s="86" customFormat="1">
      <c r="A21" s="149" t="s">
        <v>454</v>
      </c>
      <c r="E21" s="86">
        <f>股权价值增加表!E15</f>
        <v>562157568.32999992</v>
      </c>
      <c r="F21" s="86">
        <f>股权价值增加表!F15</f>
        <v>284282589.74000001</v>
      </c>
      <c r="G21" s="86">
        <f>股权价值增加表!G15</f>
        <v>188510752.72</v>
      </c>
      <c r="H21" s="86">
        <f>股权价值增加表!H15</f>
        <v>87873938.110000044</v>
      </c>
      <c r="I21" s="86">
        <f>股权价值增加表!I15</f>
        <v>529215483.66000021</v>
      </c>
      <c r="J21" s="86">
        <f>股权价值增加表!J15</f>
        <v>283001092.30999988</v>
      </c>
      <c r="K21" s="86">
        <f>股权价值增加表!K15</f>
        <v>199237146.22000006</v>
      </c>
      <c r="L21" s="86">
        <f>股权价值增加表!L15</f>
        <v>103181127.83999999</v>
      </c>
      <c r="M21" s="86">
        <f>股权价值增加表!M15</f>
        <v>453873250.42999995</v>
      </c>
      <c r="N21" s="86">
        <f>股权价值增加表!N15</f>
        <v>285317230.76999992</v>
      </c>
      <c r="O21" s="86">
        <f>股权价值增加表!O15</f>
        <v>209379038.97999996</v>
      </c>
      <c r="P21" s="86">
        <f>股权价值增加表!P15</f>
        <v>119776532.83999997</v>
      </c>
      <c r="Q21" s="86">
        <f>股权价值增加表!Q15</f>
        <v>463820769.41999984</v>
      </c>
      <c r="R21" s="86">
        <f>股权价值增加表!R15</f>
        <v>308483252.49000007</v>
      </c>
      <c r="S21" s="86">
        <f>股权价值增加表!S15</f>
        <v>201005489.76000002</v>
      </c>
      <c r="T21" s="86">
        <f>股权价值增加表!T15</f>
        <v>132055616.85999997</v>
      </c>
      <c r="U21" s="86">
        <f>股权价值增加表!U15</f>
        <v>400909684.53000003</v>
      </c>
      <c r="V21" s="86">
        <f>股权价值增加表!V15</f>
        <v>270027689.67999983</v>
      </c>
      <c r="W21" s="86">
        <f>股权价值增加表!W15</f>
        <v>176934881.96000007</v>
      </c>
      <c r="X21" s="86">
        <f>股权价值增加表!X15</f>
        <v>116071503.17999998</v>
      </c>
      <c r="Y21" s="86">
        <f>股权价值增加表!Y15</f>
        <v>342182165.74000001</v>
      </c>
      <c r="Z21" s="86">
        <f>股权价值增加表!Z15</f>
        <v>213794285.80000007</v>
      </c>
      <c r="AA21" s="86">
        <f>股权价值增加表!AA15</f>
        <v>143053153.85000002</v>
      </c>
      <c r="AB21" s="86">
        <f>股权价值增加表!AB15</f>
        <v>102478955.13999999</v>
      </c>
      <c r="AC21" s="86">
        <f>股权价值增加表!AC15</f>
        <v>261313569.26999998</v>
      </c>
      <c r="AD21" s="86">
        <f>股权价值增加表!AD15</f>
        <v>160607071.81</v>
      </c>
      <c r="AE21" s="86">
        <f>股权价值增加表!AE15</f>
        <v>108488847.78000006</v>
      </c>
      <c r="AF21" s="86">
        <f>股权价值增加表!AF15</f>
        <v>75984356.349999949</v>
      </c>
      <c r="AG21" s="86">
        <f>股权价值增加表!AG15</f>
        <v>150804519.74000004</v>
      </c>
      <c r="AH21" s="86">
        <f>股权价值增加表!AH15</f>
        <v>86831947.129999936</v>
      </c>
      <c r="AI21" s="86">
        <f>股权价值增加表!AI15</f>
        <v>60496316.420000002</v>
      </c>
      <c r="AJ21" s="86">
        <f>股权价值增加表!AJ15</f>
        <v>46137604.32</v>
      </c>
      <c r="AK21" s="86">
        <f>股权价值增加表!AK15</f>
        <v>110954948.48000002</v>
      </c>
      <c r="AL21" s="86">
        <f>股权价值增加表!AL15</f>
        <v>67540497.199999943</v>
      </c>
      <c r="AM21" s="86">
        <f>股权价值增加表!AM15</f>
        <v>46173978.68</v>
      </c>
      <c r="AN21" s="86">
        <f>股权价值增加表!AN15</f>
        <v>32442044.970000021</v>
      </c>
      <c r="AO21" s="86">
        <f>股权价值增加表!AO15</f>
        <v>84527025.859999985</v>
      </c>
      <c r="AP21" s="86">
        <f>股权价值增加表!AP15</f>
        <v>59493014.770000026</v>
      </c>
      <c r="AQ21" s="86">
        <f>股权价值增加表!AQ15</f>
        <v>69098633.860000014</v>
      </c>
      <c r="AR21" s="86">
        <f>股权价值增加表!AR15</f>
        <v>42177946.759999998</v>
      </c>
      <c r="AS21" s="86">
        <f>股权价值增加表!AS15</f>
        <v>0</v>
      </c>
      <c r="AT21" s="86">
        <f>股权价值增加表!AT15</f>
        <v>0</v>
      </c>
      <c r="AU21" s="86">
        <f>股权价值增加表!AU15</f>
        <v>0</v>
      </c>
      <c r="AV21" s="86">
        <f>股权价值增加表!AV15</f>
        <v>0</v>
      </c>
      <c r="AW21" s="86">
        <f>股权价值增加表!AW15</f>
        <v>0</v>
      </c>
      <c r="AX21" s="86">
        <f>股权价值增加表!AX15</f>
        <v>0</v>
      </c>
      <c r="AY21" s="86">
        <f>股权价值增加表!AY15</f>
        <v>0</v>
      </c>
      <c r="AZ21" s="86">
        <f>股权价值增加表!AZ15</f>
        <v>0</v>
      </c>
      <c r="BA21" s="86">
        <f>股权价值增加表!BA15</f>
        <v>0</v>
      </c>
      <c r="BB21" s="86">
        <f>股权价值增加表!BB15</f>
        <v>0</v>
      </c>
      <c r="BC21" s="86">
        <f>股权价值增加表!BC15</f>
        <v>0</v>
      </c>
      <c r="BD21" s="86">
        <f>股权价值增加表!BD15</f>
        <v>0</v>
      </c>
      <c r="BE21" s="86">
        <f>股权价值增加表!BE15</f>
        <v>0</v>
      </c>
      <c r="BF21" s="86">
        <f>股权价值增加表!BF15</f>
        <v>0</v>
      </c>
      <c r="BG21" s="86">
        <f>股权价值增加表!BG15</f>
        <v>0</v>
      </c>
      <c r="BH21" s="86">
        <f>股权价值增加表!BH15</f>
        <v>0</v>
      </c>
      <c r="BI21" s="86">
        <f>股权价值增加表!BI15</f>
        <v>0</v>
      </c>
      <c r="BJ21" s="86">
        <f>股权价值增加表!BJ15</f>
        <v>0</v>
      </c>
      <c r="BK21" s="86">
        <f>股权价值增加表!BK15</f>
        <v>0</v>
      </c>
      <c r="BL21" s="86">
        <f>股权价值增加表!BL15</f>
        <v>0</v>
      </c>
      <c r="BM21" s="86">
        <f>股权价值增加表!BM15</f>
        <v>0</v>
      </c>
      <c r="BN21" s="86">
        <f>股权价值增加表!BN15</f>
        <v>0</v>
      </c>
      <c r="BO21" s="86">
        <f>股权价值增加表!BO15</f>
        <v>0</v>
      </c>
      <c r="BP21" s="86">
        <f>股权价值增加表!BP15</f>
        <v>0</v>
      </c>
      <c r="BQ21" s="86">
        <f>股权价值增加表!BQ15</f>
        <v>0</v>
      </c>
      <c r="BR21" s="86">
        <f>股权价值增加表!BR15</f>
        <v>0</v>
      </c>
      <c r="BS21" s="86">
        <f>股权价值增加表!BS15</f>
        <v>0</v>
      </c>
      <c r="BT21" s="86">
        <f>股权价值增加表!BT15</f>
        <v>0</v>
      </c>
      <c r="BU21" s="86">
        <f>股权价值增加表!BU15</f>
        <v>0</v>
      </c>
      <c r="BV21" s="86">
        <f>股权价值增加表!BV15</f>
        <v>0</v>
      </c>
      <c r="BW21" s="86">
        <f>股权价值增加表!BW15</f>
        <v>0</v>
      </c>
      <c r="BX21" s="86">
        <f>股权价值增加表!BX15</f>
        <v>0</v>
      </c>
      <c r="BY21" s="86">
        <f>股权价值增加表!BY15</f>
        <v>0</v>
      </c>
      <c r="BZ21" s="86">
        <f>股权价值增加表!BZ15</f>
        <v>0</v>
      </c>
      <c r="CA21" s="86">
        <f>股权价值增加表!CA15</f>
        <v>0</v>
      </c>
      <c r="CB21" s="86">
        <f>股权价值增加表!CB15</f>
        <v>0</v>
      </c>
      <c r="CC21" s="86">
        <f>股权价值增加表!CC15</f>
        <v>0</v>
      </c>
      <c r="CD21" s="86">
        <f>股权价值增加表!CD15</f>
        <v>0</v>
      </c>
      <c r="CE21" s="86">
        <f>股权价值增加表!CE15</f>
        <v>0</v>
      </c>
      <c r="CF21" s="86">
        <f>股权价值增加表!CF15</f>
        <v>0</v>
      </c>
      <c r="CG21" s="86">
        <f>股权价值增加表!CG15</f>
        <v>0</v>
      </c>
      <c r="CH21" s="86">
        <f>股权价值增加表!CH15</f>
        <v>0</v>
      </c>
      <c r="CI21" s="86">
        <f>股权价值增加表!CI15</f>
        <v>0</v>
      </c>
      <c r="CJ21" s="86">
        <f>股权价值增加表!CJ15</f>
        <v>0</v>
      </c>
      <c r="CK21" s="86">
        <f>股权价值增加表!CK15</f>
        <v>0</v>
      </c>
    </row>
    <row r="22" spans="1:89" s="139" customFormat="1">
      <c r="A22" s="138" t="s">
        <v>455</v>
      </c>
      <c r="E22" s="139">
        <f>E21/E20</f>
        <v>0.21487491664634015</v>
      </c>
      <c r="F22" s="139">
        <f t="shared" ref="F22:BQ22" si="6">F21/F20</f>
        <v>0.18477440486476601</v>
      </c>
      <c r="G22" s="139">
        <f t="shared" si="6"/>
        <v>0.1961018564764675</v>
      </c>
      <c r="H22" s="139">
        <f t="shared" si="6"/>
        <v>0.20370790453020476</v>
      </c>
      <c r="I22" s="139">
        <f t="shared" si="6"/>
        <v>0.22894146848216851</v>
      </c>
      <c r="J22" s="139">
        <f t="shared" si="6"/>
        <v>0.20998033333272803</v>
      </c>
      <c r="K22" s="139">
        <f t="shared" si="6"/>
        <v>0.22611053549274179</v>
      </c>
      <c r="L22" s="139">
        <f t="shared" si="6"/>
        <v>0.23932748484569855</v>
      </c>
      <c r="M22" s="139">
        <f t="shared" si="6"/>
        <v>0.21689354867468702</v>
      </c>
      <c r="N22" s="139">
        <f t="shared" si="6"/>
        <v>0.21975387084288817</v>
      </c>
      <c r="O22" s="139">
        <f t="shared" si="6"/>
        <v>0.2427245654861665</v>
      </c>
      <c r="P22" s="139">
        <f t="shared" si="6"/>
        <v>0.25899149421099421</v>
      </c>
      <c r="Q22" s="139">
        <f t="shared" si="6"/>
        <v>0.23546987642065917</v>
      </c>
      <c r="R22" s="139">
        <f t="shared" si="6"/>
        <v>0.23739728123655005</v>
      </c>
      <c r="S22" s="139">
        <f t="shared" si="6"/>
        <v>0.23537242827263072</v>
      </c>
      <c r="T22" s="139">
        <f t="shared" si="6"/>
        <v>0.2919953713352737</v>
      </c>
      <c r="U22" s="139">
        <f t="shared" si="6"/>
        <v>0.21509237070575307</v>
      </c>
      <c r="V22" s="139">
        <f t="shared" si="6"/>
        <v>0.21508720983607024</v>
      </c>
      <c r="W22" s="139">
        <f t="shared" si="6"/>
        <v>0.21559464869634778</v>
      </c>
      <c r="X22" s="139">
        <f t="shared" si="6"/>
        <v>0.26432250263219853</v>
      </c>
      <c r="Y22" s="139">
        <f t="shared" si="6"/>
        <v>0.19256492362085378</v>
      </c>
      <c r="Z22" s="139">
        <f t="shared" si="6"/>
        <v>0.17929098789625555</v>
      </c>
      <c r="AA22" s="139">
        <f t="shared" si="6"/>
        <v>0.18860550852079175</v>
      </c>
      <c r="AB22" s="139">
        <f t="shared" si="6"/>
        <v>0.25346477523690375</v>
      </c>
      <c r="AC22" s="139">
        <f t="shared" si="6"/>
        <v>0.17979219116760253</v>
      </c>
      <c r="AD22" s="139">
        <f t="shared" si="6"/>
        <v>0.16999182865054766</v>
      </c>
      <c r="AE22" s="139">
        <f t="shared" si="6"/>
        <v>0.17855658217504014</v>
      </c>
      <c r="AF22" s="139">
        <f t="shared" si="6"/>
        <v>0.22825738354904673</v>
      </c>
      <c r="AG22" s="139">
        <f t="shared" si="6"/>
        <v>0.14129515395134415</v>
      </c>
      <c r="AH22" s="139">
        <f t="shared" si="6"/>
        <v>0.12438836436845285</v>
      </c>
      <c r="AI22" s="139">
        <f t="shared" si="6"/>
        <v>0.13348023723314686</v>
      </c>
      <c r="AJ22" s="139">
        <f t="shared" si="6"/>
        <v>0.18223909553176137</v>
      </c>
      <c r="AK22" s="139">
        <f t="shared" si="6"/>
        <v>0.14013260261191263</v>
      </c>
      <c r="AL22" s="139">
        <f t="shared" si="6"/>
        <v>0.12927556847739316</v>
      </c>
      <c r="AM22" s="139">
        <f t="shared" si="6"/>
        <v>0.14288490866249925</v>
      </c>
      <c r="AN22" s="139">
        <f t="shared" si="6"/>
        <v>0.17849933216747937</v>
      </c>
      <c r="AO22" s="139">
        <f t="shared" si="6"/>
        <v>0.12416499232544703</v>
      </c>
      <c r="AP22" s="139">
        <f t="shared" si="6"/>
        <v>0.12702834095281218</v>
      </c>
      <c r="AQ22" s="139">
        <f t="shared" si="6"/>
        <v>0.11706930429915807</v>
      </c>
      <c r="AR22" s="139">
        <f t="shared" si="6"/>
        <v>0.1006435156470023</v>
      </c>
      <c r="AS22" s="139" t="e">
        <f t="shared" si="6"/>
        <v>#DIV/0!</v>
      </c>
      <c r="AT22" s="139" t="e">
        <f t="shared" si="6"/>
        <v>#DIV/0!</v>
      </c>
      <c r="AU22" s="139" t="e">
        <f t="shared" si="6"/>
        <v>#DIV/0!</v>
      </c>
      <c r="AV22" s="139" t="e">
        <f t="shared" si="6"/>
        <v>#DIV/0!</v>
      </c>
      <c r="AW22" s="139" t="e">
        <f t="shared" si="6"/>
        <v>#DIV/0!</v>
      </c>
      <c r="AX22" s="139" t="e">
        <f t="shared" si="6"/>
        <v>#DIV/0!</v>
      </c>
      <c r="AY22" s="139" t="e">
        <f t="shared" si="6"/>
        <v>#DIV/0!</v>
      </c>
      <c r="AZ22" s="139" t="e">
        <f t="shared" si="6"/>
        <v>#DIV/0!</v>
      </c>
      <c r="BA22" s="139" t="e">
        <f t="shared" si="6"/>
        <v>#DIV/0!</v>
      </c>
      <c r="BB22" s="139" t="e">
        <f t="shared" si="6"/>
        <v>#DIV/0!</v>
      </c>
      <c r="BC22" s="139" t="e">
        <f t="shared" si="6"/>
        <v>#DIV/0!</v>
      </c>
      <c r="BD22" s="139" t="e">
        <f t="shared" si="6"/>
        <v>#DIV/0!</v>
      </c>
      <c r="BE22" s="139" t="e">
        <f t="shared" si="6"/>
        <v>#DIV/0!</v>
      </c>
      <c r="BF22" s="139" t="e">
        <f t="shared" si="6"/>
        <v>#DIV/0!</v>
      </c>
      <c r="BG22" s="139" t="e">
        <f t="shared" si="6"/>
        <v>#DIV/0!</v>
      </c>
      <c r="BH22" s="139" t="e">
        <f t="shared" si="6"/>
        <v>#DIV/0!</v>
      </c>
      <c r="BI22" s="139" t="e">
        <f t="shared" si="6"/>
        <v>#DIV/0!</v>
      </c>
      <c r="BJ22" s="139" t="e">
        <f t="shared" si="6"/>
        <v>#DIV/0!</v>
      </c>
      <c r="BK22" s="139" t="e">
        <f t="shared" si="6"/>
        <v>#DIV/0!</v>
      </c>
      <c r="BL22" s="139" t="e">
        <f t="shared" si="6"/>
        <v>#DIV/0!</v>
      </c>
      <c r="BM22" s="139" t="e">
        <f t="shared" si="6"/>
        <v>#DIV/0!</v>
      </c>
      <c r="BN22" s="139" t="e">
        <f t="shared" si="6"/>
        <v>#DIV/0!</v>
      </c>
      <c r="BO22" s="139" t="e">
        <f t="shared" si="6"/>
        <v>#DIV/0!</v>
      </c>
      <c r="BP22" s="139" t="e">
        <f t="shared" si="6"/>
        <v>#DIV/0!</v>
      </c>
      <c r="BQ22" s="139" t="e">
        <f t="shared" si="6"/>
        <v>#DIV/0!</v>
      </c>
      <c r="BR22" s="139" t="e">
        <f t="shared" ref="BR22:CJ22" si="7">BR21/BR20</f>
        <v>#DIV/0!</v>
      </c>
      <c r="BS22" s="139" t="e">
        <f t="shared" si="7"/>
        <v>#DIV/0!</v>
      </c>
      <c r="BT22" s="139" t="e">
        <f t="shared" si="7"/>
        <v>#DIV/0!</v>
      </c>
      <c r="BU22" s="139" t="e">
        <f t="shared" si="7"/>
        <v>#DIV/0!</v>
      </c>
      <c r="BV22" s="139" t="e">
        <f t="shared" si="7"/>
        <v>#DIV/0!</v>
      </c>
      <c r="BW22" s="139" t="e">
        <f t="shared" si="7"/>
        <v>#DIV/0!</v>
      </c>
      <c r="BX22" s="139" t="e">
        <f t="shared" si="7"/>
        <v>#DIV/0!</v>
      </c>
      <c r="BY22" s="139" t="e">
        <f t="shared" si="7"/>
        <v>#DIV/0!</v>
      </c>
      <c r="BZ22" s="139" t="e">
        <f t="shared" si="7"/>
        <v>#DIV/0!</v>
      </c>
      <c r="CA22" s="139" t="e">
        <f t="shared" si="7"/>
        <v>#DIV/0!</v>
      </c>
      <c r="CB22" s="139" t="e">
        <f t="shared" si="7"/>
        <v>#DIV/0!</v>
      </c>
      <c r="CC22" s="139" t="e">
        <f t="shared" si="7"/>
        <v>#DIV/0!</v>
      </c>
      <c r="CD22" s="139" t="e">
        <f t="shared" si="7"/>
        <v>#DIV/0!</v>
      </c>
      <c r="CE22" s="139" t="e">
        <f t="shared" si="7"/>
        <v>#DIV/0!</v>
      </c>
      <c r="CF22" s="139" t="e">
        <f t="shared" si="7"/>
        <v>#DIV/0!</v>
      </c>
      <c r="CG22" s="139" t="e">
        <f t="shared" si="7"/>
        <v>#DIV/0!</v>
      </c>
      <c r="CH22" s="139" t="e">
        <f t="shared" si="7"/>
        <v>#DIV/0!</v>
      </c>
      <c r="CI22" s="139" t="e">
        <f t="shared" si="7"/>
        <v>#DIV/0!</v>
      </c>
      <c r="CJ22" s="139" t="e">
        <f t="shared" si="7"/>
        <v>#DIV/0!</v>
      </c>
    </row>
    <row r="23" spans="1:89" s="33" customFormat="1"/>
    <row r="24" spans="1:89" s="33" customFormat="1"/>
    <row r="25" spans="1:89" s="148" customFormat="1">
      <c r="A25" s="147" t="s">
        <v>448</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39447</v>
      </c>
      <c r="AR25" s="1">
        <v>39082</v>
      </c>
      <c r="AS25" s="1">
        <v>25569</v>
      </c>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86" customFormat="1">
      <c r="A26" s="149" t="s">
        <v>449</v>
      </c>
      <c r="E26" s="86">
        <f>利润表!E14</f>
        <v>0</v>
      </c>
      <c r="F26" s="86">
        <f>利润表!F14</f>
        <v>0</v>
      </c>
      <c r="G26" s="86">
        <f>利润表!G14</f>
        <v>0</v>
      </c>
      <c r="H26" s="86">
        <f>利润表!H14</f>
        <v>0</v>
      </c>
      <c r="I26" s="86">
        <f>利润表!I14</f>
        <v>0</v>
      </c>
      <c r="J26" s="86">
        <f>利润表!J14</f>
        <v>0</v>
      </c>
      <c r="K26" s="86">
        <f>利润表!K14</f>
        <v>0</v>
      </c>
      <c r="L26" s="86">
        <f>利润表!L14</f>
        <v>0</v>
      </c>
      <c r="M26" s="86">
        <f>利润表!M14</f>
        <v>0</v>
      </c>
      <c r="N26" s="86">
        <f>利润表!N14</f>
        <v>0</v>
      </c>
      <c r="O26" s="86">
        <f>利润表!O14</f>
        <v>0</v>
      </c>
      <c r="P26" s="86">
        <f>利润表!P14</f>
        <v>0</v>
      </c>
      <c r="Q26" s="86">
        <f>利润表!Q14</f>
        <v>0</v>
      </c>
      <c r="R26" s="86">
        <f>利润表!R14</f>
        <v>0</v>
      </c>
      <c r="S26" s="86">
        <f>利润表!S14</f>
        <v>0</v>
      </c>
      <c r="T26" s="86">
        <f>利润表!T14</f>
        <v>0</v>
      </c>
      <c r="U26" s="86">
        <f>利润表!U14</f>
        <v>0</v>
      </c>
      <c r="V26" s="86">
        <f>利润表!V14</f>
        <v>0</v>
      </c>
      <c r="W26" s="86">
        <f>利润表!W14</f>
        <v>0</v>
      </c>
      <c r="X26" s="86">
        <f>利润表!X14</f>
        <v>0</v>
      </c>
      <c r="Y26" s="86">
        <f>利润表!Y14</f>
        <v>0</v>
      </c>
      <c r="Z26" s="86">
        <f>利润表!Z14</f>
        <v>0</v>
      </c>
      <c r="AA26" s="86">
        <f>利润表!AA14</f>
        <v>0</v>
      </c>
      <c r="AB26" s="86">
        <f>利润表!AB14</f>
        <v>0</v>
      </c>
      <c r="AC26" s="86">
        <f>利润表!AC14</f>
        <v>0</v>
      </c>
      <c r="AD26" s="86">
        <f>利润表!AD14</f>
        <v>0</v>
      </c>
      <c r="AE26" s="86">
        <f>利润表!AE14</f>
        <v>0</v>
      </c>
      <c r="AF26" s="86">
        <f>利润表!AF14</f>
        <v>0</v>
      </c>
      <c r="AG26" s="86">
        <f>利润表!AG14</f>
        <v>0</v>
      </c>
      <c r="AH26" s="86">
        <f>利润表!AH14</f>
        <v>0</v>
      </c>
      <c r="AI26" s="86">
        <f>利润表!AI14</f>
        <v>0</v>
      </c>
      <c r="AJ26" s="86">
        <f>利润表!AJ14</f>
        <v>0</v>
      </c>
      <c r="AK26" s="86">
        <f>利润表!AK14</f>
        <v>0</v>
      </c>
      <c r="AL26" s="86">
        <f>利润表!AL14</f>
        <v>0</v>
      </c>
      <c r="AM26" s="86">
        <f>利润表!AM14</f>
        <v>0</v>
      </c>
      <c r="AN26" s="86">
        <f>利润表!AN14</f>
        <v>0</v>
      </c>
      <c r="AO26" s="86">
        <f>利润表!AO14</f>
        <v>0</v>
      </c>
      <c r="AP26" s="86">
        <f>利润表!AP14</f>
        <v>0</v>
      </c>
      <c r="AQ26" s="86">
        <f>利润表!AQ14</f>
        <v>0</v>
      </c>
      <c r="AR26" s="86">
        <f>利润表!AR14</f>
        <v>0</v>
      </c>
      <c r="AS26" s="86">
        <f>利润表!AS14</f>
        <v>0</v>
      </c>
      <c r="AT26" s="86">
        <f>利润表!AT14</f>
        <v>0</v>
      </c>
      <c r="AU26" s="86">
        <f>利润表!AU14</f>
        <v>0</v>
      </c>
      <c r="AV26" s="86">
        <f>利润表!AV14</f>
        <v>0</v>
      </c>
      <c r="AW26" s="86">
        <f>利润表!AW14</f>
        <v>0</v>
      </c>
      <c r="AX26" s="86">
        <f>利润表!AX14</f>
        <v>0</v>
      </c>
      <c r="AY26" s="86">
        <f>利润表!AY14</f>
        <v>0</v>
      </c>
      <c r="AZ26" s="86">
        <f>利润表!AZ14</f>
        <v>0</v>
      </c>
      <c r="BA26" s="86">
        <f>利润表!BA14</f>
        <v>0</v>
      </c>
      <c r="BB26" s="86">
        <f>利润表!BB14</f>
        <v>0</v>
      </c>
      <c r="BC26" s="86">
        <f>利润表!BC14</f>
        <v>0</v>
      </c>
      <c r="BD26" s="86">
        <f>利润表!BD14</f>
        <v>0</v>
      </c>
      <c r="BE26" s="86">
        <f>利润表!BE14</f>
        <v>0</v>
      </c>
      <c r="BF26" s="86">
        <f>利润表!BF14</f>
        <v>0</v>
      </c>
      <c r="BG26" s="86">
        <f>利润表!BG14</f>
        <v>0</v>
      </c>
      <c r="BH26" s="86">
        <f>利润表!BH14</f>
        <v>0</v>
      </c>
      <c r="BI26" s="86">
        <f>利润表!BI14</f>
        <v>0</v>
      </c>
      <c r="BJ26" s="86">
        <f>利润表!BJ14</f>
        <v>0</v>
      </c>
      <c r="BK26" s="86">
        <f>利润表!BK14</f>
        <v>0</v>
      </c>
      <c r="BL26" s="86">
        <f>利润表!BL14</f>
        <v>0</v>
      </c>
      <c r="BM26" s="86">
        <f>利润表!BM14</f>
        <v>0</v>
      </c>
      <c r="BN26" s="86">
        <f>利润表!BN14</f>
        <v>0</v>
      </c>
      <c r="BO26" s="86">
        <f>利润表!BO14</f>
        <v>0</v>
      </c>
      <c r="BP26" s="86">
        <f>利润表!BP14</f>
        <v>0</v>
      </c>
      <c r="BQ26" s="86">
        <f>利润表!BQ14</f>
        <v>0</v>
      </c>
      <c r="BR26" s="86">
        <f>利润表!BR14</f>
        <v>0</v>
      </c>
      <c r="BS26" s="86">
        <f>利润表!BS14</f>
        <v>0</v>
      </c>
      <c r="BT26" s="86">
        <f>利润表!BT14</f>
        <v>0</v>
      </c>
      <c r="BU26" s="86">
        <f>利润表!BU14</f>
        <v>0</v>
      </c>
      <c r="BV26" s="86">
        <f>利润表!BV14</f>
        <v>0</v>
      </c>
      <c r="BW26" s="86">
        <f>利润表!BW14</f>
        <v>0</v>
      </c>
      <c r="BX26" s="86">
        <f>利润表!BX14</f>
        <v>0</v>
      </c>
      <c r="BY26" s="86">
        <f>利润表!BY14</f>
        <v>0</v>
      </c>
      <c r="BZ26" s="86">
        <f>利润表!BZ14</f>
        <v>0</v>
      </c>
      <c r="CA26" s="86">
        <f>利润表!CA14</f>
        <v>0</v>
      </c>
      <c r="CB26" s="86">
        <f>利润表!CB14</f>
        <v>0</v>
      </c>
      <c r="CC26" s="86">
        <f>利润表!CC14</f>
        <v>0</v>
      </c>
      <c r="CD26" s="86">
        <f>利润表!CD14</f>
        <v>0</v>
      </c>
      <c r="CE26" s="86">
        <f>利润表!CE14</f>
        <v>0</v>
      </c>
      <c r="CF26" s="86">
        <f>利润表!CF14</f>
        <v>0</v>
      </c>
      <c r="CG26" s="86">
        <f>利润表!CG14</f>
        <v>0</v>
      </c>
      <c r="CH26" s="86">
        <f>利润表!CH14</f>
        <v>0</v>
      </c>
      <c r="CI26" s="86">
        <f>利润表!CI14</f>
        <v>0</v>
      </c>
      <c r="CJ26" s="86">
        <f>利润表!CJ14</f>
        <v>0</v>
      </c>
    </row>
    <row r="27" spans="1:89" s="86" customFormat="1">
      <c r="A27" s="149" t="s">
        <v>450</v>
      </c>
      <c r="E27" s="86">
        <f>资产资本表!E19</f>
        <v>0</v>
      </c>
      <c r="F27" s="86">
        <f>资产资本表!F19</f>
        <v>0</v>
      </c>
      <c r="G27" s="86">
        <f>资产资本表!G19</f>
        <v>0</v>
      </c>
      <c r="H27" s="86">
        <f>资产资本表!H19</f>
        <v>0</v>
      </c>
      <c r="I27" s="86">
        <f>资产资本表!I19</f>
        <v>0</v>
      </c>
      <c r="J27" s="86">
        <f>资产资本表!J19</f>
        <v>0</v>
      </c>
      <c r="K27" s="86">
        <f>资产资本表!K19</f>
        <v>0</v>
      </c>
      <c r="L27" s="86">
        <f>资产资本表!L19</f>
        <v>0</v>
      </c>
      <c r="M27" s="86">
        <f>资产资本表!M19</f>
        <v>0</v>
      </c>
      <c r="N27" s="86">
        <f>资产资本表!N19</f>
        <v>224500000</v>
      </c>
      <c r="O27" s="86">
        <f>资产资本表!O19</f>
        <v>224500000</v>
      </c>
      <c r="P27" s="86">
        <f>资产资本表!P19</f>
        <v>0</v>
      </c>
      <c r="Q27" s="86">
        <f>资产资本表!Q19</f>
        <v>0</v>
      </c>
      <c r="R27" s="86">
        <f>资产资本表!R19</f>
        <v>0</v>
      </c>
      <c r="S27" s="86">
        <f>资产资本表!S19</f>
        <v>0</v>
      </c>
      <c r="T27" s="86">
        <f>资产资本表!T19</f>
        <v>0</v>
      </c>
      <c r="U27" s="86">
        <f>资产资本表!U19</f>
        <v>0</v>
      </c>
      <c r="V27" s="86">
        <f>资产资本表!V19</f>
        <v>0</v>
      </c>
      <c r="W27" s="86">
        <f>资产资本表!W19</f>
        <v>0</v>
      </c>
      <c r="X27" s="86">
        <f>资产资本表!X19</f>
        <v>0</v>
      </c>
      <c r="Y27" s="86">
        <f>资产资本表!Y19</f>
        <v>0</v>
      </c>
      <c r="Z27" s="86">
        <f>资产资本表!Z19</f>
        <v>0</v>
      </c>
      <c r="AA27" s="86">
        <f>资产资本表!AA19</f>
        <v>0</v>
      </c>
      <c r="AB27" s="86">
        <f>资产资本表!AB19</f>
        <v>0</v>
      </c>
      <c r="AC27" s="86">
        <f>资产资本表!AC19</f>
        <v>0</v>
      </c>
      <c r="AD27" s="86">
        <f>资产资本表!AD19</f>
        <v>0</v>
      </c>
      <c r="AE27" s="86">
        <f>资产资本表!AE19</f>
        <v>0</v>
      </c>
      <c r="AF27" s="86">
        <f>资产资本表!AF19</f>
        <v>0</v>
      </c>
      <c r="AG27" s="86">
        <f>资产资本表!AG19</f>
        <v>0</v>
      </c>
      <c r="AH27" s="86">
        <f>资产资本表!AH19</f>
        <v>0</v>
      </c>
      <c r="AI27" s="86">
        <f>资产资本表!AI19</f>
        <v>0</v>
      </c>
      <c r="AJ27" s="86">
        <f>资产资本表!AJ19</f>
        <v>0</v>
      </c>
      <c r="AK27" s="86">
        <f>资产资本表!AK19</f>
        <v>0</v>
      </c>
      <c r="AL27" s="86">
        <f>资产资本表!AL19</f>
        <v>0</v>
      </c>
      <c r="AM27" s="86">
        <f>资产资本表!AM19</f>
        <v>0</v>
      </c>
      <c r="AN27" s="86">
        <f>资产资本表!AN19</f>
        <v>0</v>
      </c>
      <c r="AO27" s="86">
        <f>资产资本表!AO19</f>
        <v>0</v>
      </c>
      <c r="AP27" s="86">
        <f>资产资本表!AP19</f>
        <v>0</v>
      </c>
      <c r="AQ27" s="86">
        <f>资产资本表!AQ19</f>
        <v>0</v>
      </c>
      <c r="AR27" s="86">
        <f>资产资本表!AR19</f>
        <v>0</v>
      </c>
      <c r="AS27" s="86">
        <f>资产资本表!AS19</f>
        <v>0</v>
      </c>
      <c r="AT27" s="86">
        <f>资产资本表!AT19</f>
        <v>0</v>
      </c>
      <c r="AU27" s="86">
        <f>资产资本表!AU19</f>
        <v>0</v>
      </c>
      <c r="AV27" s="86">
        <f>资产资本表!AV19</f>
        <v>0</v>
      </c>
      <c r="AW27" s="86">
        <f>资产资本表!AW19</f>
        <v>0</v>
      </c>
      <c r="AX27" s="86">
        <f>资产资本表!AX19</f>
        <v>0</v>
      </c>
      <c r="AY27" s="86">
        <f>资产资本表!AY19</f>
        <v>0</v>
      </c>
      <c r="AZ27" s="86">
        <f>资产资本表!AZ19</f>
        <v>0</v>
      </c>
      <c r="BA27" s="86">
        <f>资产资本表!BA19</f>
        <v>0</v>
      </c>
      <c r="BB27" s="86">
        <f>资产资本表!BB19</f>
        <v>0</v>
      </c>
      <c r="BC27" s="86">
        <f>资产资本表!BC19</f>
        <v>0</v>
      </c>
      <c r="BD27" s="86">
        <f>资产资本表!BD19</f>
        <v>0</v>
      </c>
      <c r="BE27" s="86">
        <f>资产资本表!BE19</f>
        <v>0</v>
      </c>
      <c r="BF27" s="86">
        <f>资产资本表!BF19</f>
        <v>0</v>
      </c>
      <c r="BG27" s="86">
        <f>资产资本表!BG19</f>
        <v>0</v>
      </c>
      <c r="BH27" s="86">
        <f>资产资本表!BH19</f>
        <v>0</v>
      </c>
      <c r="BI27" s="86">
        <f>资产资本表!BI19</f>
        <v>0</v>
      </c>
      <c r="BJ27" s="86">
        <f>资产资本表!BJ19</f>
        <v>0</v>
      </c>
      <c r="BK27" s="86">
        <f>资产资本表!BK19</f>
        <v>0</v>
      </c>
      <c r="BL27" s="86">
        <f>资产资本表!BL19</f>
        <v>0</v>
      </c>
      <c r="BM27" s="86">
        <f>资产资本表!BM19</f>
        <v>0</v>
      </c>
      <c r="BN27" s="86">
        <f>资产资本表!BN19</f>
        <v>0</v>
      </c>
      <c r="BO27" s="86">
        <f>资产资本表!BO19</f>
        <v>0</v>
      </c>
      <c r="BP27" s="86">
        <f>资产资本表!BP19</f>
        <v>0</v>
      </c>
      <c r="BQ27" s="86">
        <f>资产资本表!BQ19</f>
        <v>0</v>
      </c>
      <c r="BR27" s="86">
        <f>资产资本表!BR19</f>
        <v>0</v>
      </c>
      <c r="BS27" s="86">
        <f>资产资本表!BS19</f>
        <v>0</v>
      </c>
      <c r="BT27" s="86">
        <f>资产资本表!BT19</f>
        <v>0</v>
      </c>
      <c r="BU27" s="86">
        <f>资产资本表!BU19</f>
        <v>0</v>
      </c>
      <c r="BV27" s="86">
        <f>资产资本表!BV19</f>
        <v>0</v>
      </c>
      <c r="BW27" s="86">
        <f>资产资本表!BW19</f>
        <v>0</v>
      </c>
      <c r="BX27" s="86">
        <f>资产资本表!BX19</f>
        <v>0</v>
      </c>
      <c r="BY27" s="86">
        <f>资产资本表!BY19</f>
        <v>0</v>
      </c>
      <c r="BZ27" s="86">
        <f>资产资本表!BZ19</f>
        <v>0</v>
      </c>
      <c r="CA27" s="86">
        <f>资产资本表!CA19</f>
        <v>0</v>
      </c>
      <c r="CB27" s="86">
        <f>资产资本表!CB19</f>
        <v>0</v>
      </c>
      <c r="CC27" s="86">
        <f>资产资本表!CC19</f>
        <v>0</v>
      </c>
      <c r="CD27" s="86">
        <f>资产资本表!CD19</f>
        <v>0</v>
      </c>
      <c r="CE27" s="86">
        <f>资产资本表!CE19</f>
        <v>0</v>
      </c>
      <c r="CF27" s="86">
        <f>资产资本表!CF19</f>
        <v>0</v>
      </c>
      <c r="CG27" s="86">
        <f>资产资本表!CG19</f>
        <v>0</v>
      </c>
      <c r="CH27" s="86">
        <f>资产资本表!CH19</f>
        <v>0</v>
      </c>
      <c r="CI27" s="86">
        <f>资产资本表!CI19</f>
        <v>0</v>
      </c>
      <c r="CJ27" s="86">
        <f>资产资本表!CJ19</f>
        <v>0</v>
      </c>
      <c r="CK27" s="86">
        <f>资产资本表!CK19</f>
        <v>0</v>
      </c>
    </row>
    <row r="28" spans="1:89" s="139" customFormat="1">
      <c r="A28" s="138" t="s">
        <v>451</v>
      </c>
      <c r="E28" s="139" t="e">
        <f>E26/E27</f>
        <v>#DIV/0!</v>
      </c>
      <c r="F28" s="139" t="e">
        <f t="shared" ref="F28:BQ28" si="8">F26/F27</f>
        <v>#DIV/0!</v>
      </c>
      <c r="G28" s="139" t="e">
        <f t="shared" si="8"/>
        <v>#DIV/0!</v>
      </c>
      <c r="H28" s="139" t="e">
        <f t="shared" si="8"/>
        <v>#DIV/0!</v>
      </c>
      <c r="I28" s="139" t="e">
        <f t="shared" si="8"/>
        <v>#DIV/0!</v>
      </c>
      <c r="J28" s="139" t="e">
        <f t="shared" si="8"/>
        <v>#DIV/0!</v>
      </c>
      <c r="K28" s="139" t="e">
        <f t="shared" si="8"/>
        <v>#DIV/0!</v>
      </c>
      <c r="L28" s="139" t="e">
        <f t="shared" si="8"/>
        <v>#DIV/0!</v>
      </c>
      <c r="M28" s="139" t="e">
        <f t="shared" si="8"/>
        <v>#DIV/0!</v>
      </c>
      <c r="N28" s="139">
        <f t="shared" si="8"/>
        <v>0</v>
      </c>
      <c r="O28" s="139">
        <f t="shared" si="8"/>
        <v>0</v>
      </c>
      <c r="P28" s="139" t="e">
        <f t="shared" si="8"/>
        <v>#DIV/0!</v>
      </c>
      <c r="Q28" s="139" t="e">
        <f t="shared" si="8"/>
        <v>#DIV/0!</v>
      </c>
      <c r="R28" s="139" t="e">
        <f t="shared" si="8"/>
        <v>#DIV/0!</v>
      </c>
      <c r="S28" s="139" t="e">
        <f t="shared" si="8"/>
        <v>#DIV/0!</v>
      </c>
      <c r="T28" s="139" t="e">
        <f t="shared" si="8"/>
        <v>#DIV/0!</v>
      </c>
      <c r="U28" s="139" t="e">
        <f t="shared" si="8"/>
        <v>#DIV/0!</v>
      </c>
      <c r="V28" s="139" t="e">
        <f t="shared" si="8"/>
        <v>#DIV/0!</v>
      </c>
      <c r="W28" s="139" t="e">
        <f t="shared" si="8"/>
        <v>#DIV/0!</v>
      </c>
      <c r="X28" s="139" t="e">
        <f t="shared" si="8"/>
        <v>#DIV/0!</v>
      </c>
      <c r="Y28" s="139" t="e">
        <f t="shared" si="8"/>
        <v>#DIV/0!</v>
      </c>
      <c r="Z28" s="139" t="e">
        <f t="shared" si="8"/>
        <v>#DIV/0!</v>
      </c>
      <c r="AA28" s="139" t="e">
        <f t="shared" si="8"/>
        <v>#DIV/0!</v>
      </c>
      <c r="AB28" s="139" t="e">
        <f t="shared" si="8"/>
        <v>#DIV/0!</v>
      </c>
      <c r="AC28" s="139" t="e">
        <f t="shared" si="8"/>
        <v>#DIV/0!</v>
      </c>
      <c r="AD28" s="139" t="e">
        <f t="shared" si="8"/>
        <v>#DIV/0!</v>
      </c>
      <c r="AE28" s="139" t="e">
        <f t="shared" si="8"/>
        <v>#DIV/0!</v>
      </c>
      <c r="AF28" s="139" t="e">
        <f t="shared" si="8"/>
        <v>#DIV/0!</v>
      </c>
      <c r="AG28" s="139" t="e">
        <f t="shared" si="8"/>
        <v>#DIV/0!</v>
      </c>
      <c r="AH28" s="139" t="e">
        <f t="shared" si="8"/>
        <v>#DIV/0!</v>
      </c>
      <c r="AI28" s="139" t="e">
        <f t="shared" si="8"/>
        <v>#DIV/0!</v>
      </c>
      <c r="AJ28" s="139" t="e">
        <f t="shared" si="8"/>
        <v>#DIV/0!</v>
      </c>
      <c r="AK28" s="139" t="e">
        <f t="shared" si="8"/>
        <v>#DIV/0!</v>
      </c>
      <c r="AL28" s="139" t="e">
        <f t="shared" si="8"/>
        <v>#DIV/0!</v>
      </c>
      <c r="AM28" s="139" t="e">
        <f t="shared" si="8"/>
        <v>#DIV/0!</v>
      </c>
      <c r="AN28" s="139" t="e">
        <f t="shared" si="8"/>
        <v>#DIV/0!</v>
      </c>
      <c r="AO28" s="139" t="e">
        <f t="shared" si="8"/>
        <v>#DIV/0!</v>
      </c>
      <c r="AP28" s="139" t="e">
        <f t="shared" si="8"/>
        <v>#DIV/0!</v>
      </c>
      <c r="AQ28" s="139" t="e">
        <f t="shared" si="8"/>
        <v>#DIV/0!</v>
      </c>
      <c r="AR28" s="139" t="e">
        <f t="shared" si="8"/>
        <v>#DIV/0!</v>
      </c>
      <c r="AS28" s="139" t="e">
        <f t="shared" si="8"/>
        <v>#DIV/0!</v>
      </c>
      <c r="AT28" s="139" t="e">
        <f t="shared" si="8"/>
        <v>#DIV/0!</v>
      </c>
      <c r="AU28" s="139" t="e">
        <f t="shared" si="8"/>
        <v>#DIV/0!</v>
      </c>
      <c r="AV28" s="139" t="e">
        <f t="shared" si="8"/>
        <v>#DIV/0!</v>
      </c>
      <c r="AW28" s="139" t="e">
        <f t="shared" si="8"/>
        <v>#DIV/0!</v>
      </c>
      <c r="AX28" s="139" t="e">
        <f t="shared" si="8"/>
        <v>#DIV/0!</v>
      </c>
      <c r="AY28" s="139" t="e">
        <f t="shared" si="8"/>
        <v>#DIV/0!</v>
      </c>
      <c r="AZ28" s="139" t="e">
        <f t="shared" si="8"/>
        <v>#DIV/0!</v>
      </c>
      <c r="BA28" s="139" t="e">
        <f t="shared" si="8"/>
        <v>#DIV/0!</v>
      </c>
      <c r="BB28" s="139" t="e">
        <f t="shared" si="8"/>
        <v>#DIV/0!</v>
      </c>
      <c r="BC28" s="139" t="e">
        <f t="shared" si="8"/>
        <v>#DIV/0!</v>
      </c>
      <c r="BD28" s="139" t="e">
        <f t="shared" si="8"/>
        <v>#DIV/0!</v>
      </c>
      <c r="BE28" s="139" t="e">
        <f t="shared" si="8"/>
        <v>#DIV/0!</v>
      </c>
      <c r="BF28" s="139" t="e">
        <f t="shared" si="8"/>
        <v>#DIV/0!</v>
      </c>
      <c r="BG28" s="139" t="e">
        <f t="shared" si="8"/>
        <v>#DIV/0!</v>
      </c>
      <c r="BH28" s="139" t="e">
        <f t="shared" si="8"/>
        <v>#DIV/0!</v>
      </c>
      <c r="BI28" s="139" t="e">
        <f t="shared" si="8"/>
        <v>#DIV/0!</v>
      </c>
      <c r="BJ28" s="139" t="e">
        <f t="shared" si="8"/>
        <v>#DIV/0!</v>
      </c>
      <c r="BK28" s="139" t="e">
        <f t="shared" si="8"/>
        <v>#DIV/0!</v>
      </c>
      <c r="BL28" s="139" t="e">
        <f t="shared" si="8"/>
        <v>#DIV/0!</v>
      </c>
      <c r="BM28" s="139" t="e">
        <f t="shared" si="8"/>
        <v>#DIV/0!</v>
      </c>
      <c r="BN28" s="139" t="e">
        <f t="shared" si="8"/>
        <v>#DIV/0!</v>
      </c>
      <c r="BO28" s="139" t="e">
        <f t="shared" si="8"/>
        <v>#DIV/0!</v>
      </c>
      <c r="BP28" s="139" t="e">
        <f t="shared" si="8"/>
        <v>#DIV/0!</v>
      </c>
      <c r="BQ28" s="139" t="e">
        <f t="shared" si="8"/>
        <v>#DIV/0!</v>
      </c>
      <c r="BR28" s="139" t="e">
        <f t="shared" ref="BR28:CJ28" si="9">BR26/BR27</f>
        <v>#DIV/0!</v>
      </c>
      <c r="BS28" s="139" t="e">
        <f t="shared" si="9"/>
        <v>#DIV/0!</v>
      </c>
      <c r="BT28" s="139" t="e">
        <f t="shared" si="9"/>
        <v>#DIV/0!</v>
      </c>
      <c r="BU28" s="139" t="e">
        <f t="shared" si="9"/>
        <v>#DIV/0!</v>
      </c>
      <c r="BV28" s="139" t="e">
        <f t="shared" si="9"/>
        <v>#DIV/0!</v>
      </c>
      <c r="BW28" s="139" t="e">
        <f t="shared" si="9"/>
        <v>#DIV/0!</v>
      </c>
      <c r="BX28" s="139" t="e">
        <f t="shared" si="9"/>
        <v>#DIV/0!</v>
      </c>
      <c r="BY28" s="139" t="e">
        <f t="shared" si="9"/>
        <v>#DIV/0!</v>
      </c>
      <c r="BZ28" s="139" t="e">
        <f t="shared" si="9"/>
        <v>#DIV/0!</v>
      </c>
      <c r="CA28" s="139" t="e">
        <f t="shared" si="9"/>
        <v>#DIV/0!</v>
      </c>
      <c r="CB28" s="139" t="e">
        <f t="shared" si="9"/>
        <v>#DIV/0!</v>
      </c>
      <c r="CC28" s="139" t="e">
        <f t="shared" si="9"/>
        <v>#DIV/0!</v>
      </c>
      <c r="CD28" s="139" t="e">
        <f t="shared" si="9"/>
        <v>#DIV/0!</v>
      </c>
      <c r="CE28" s="139" t="e">
        <f t="shared" si="9"/>
        <v>#DIV/0!</v>
      </c>
      <c r="CF28" s="139" t="e">
        <f t="shared" si="9"/>
        <v>#DIV/0!</v>
      </c>
      <c r="CG28" s="139" t="e">
        <f t="shared" si="9"/>
        <v>#DIV/0!</v>
      </c>
      <c r="CH28" s="139" t="e">
        <f t="shared" si="9"/>
        <v>#DIV/0!</v>
      </c>
      <c r="CI28" s="139" t="e">
        <f t="shared" si="9"/>
        <v>#DIV/0!</v>
      </c>
      <c r="CJ28" s="139" t="e">
        <f t="shared" si="9"/>
        <v>#DIV/0!</v>
      </c>
    </row>
    <row r="29" spans="1:89" s="33" customFormat="1"/>
    <row r="30" spans="1:89" s="33" customFormat="1"/>
    <row r="31" spans="1:89" s="148" customFormat="1">
      <c r="A31" s="147" t="s">
        <v>452</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39447</v>
      </c>
      <c r="AR31" s="1">
        <v>39082</v>
      </c>
      <c r="AS31" s="1">
        <v>25569</v>
      </c>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86" customFormat="1">
      <c r="A32" s="149" t="s">
        <v>456</v>
      </c>
      <c r="E32" s="86">
        <f>股权价值增加表!E29</f>
        <v>27551367.963186529</v>
      </c>
      <c r="F32" s="86">
        <f>股权价值增加表!F29</f>
        <v>17255964.411873121</v>
      </c>
      <c r="G32" s="86">
        <f>股权价值增加表!G29</f>
        <v>10414116.981260261</v>
      </c>
      <c r="H32" s="86">
        <f>股权价值增加表!H29</f>
        <v>10040558.346500043</v>
      </c>
      <c r="I32" s="86">
        <f>股权价值增加表!I29</f>
        <v>21844743.79809586</v>
      </c>
      <c r="J32" s="86">
        <f>股权价值增加表!J29</f>
        <v>17482413.718307994</v>
      </c>
      <c r="K32" s="86">
        <f>股权价值增加表!K29</f>
        <v>9899114.1138449237</v>
      </c>
      <c r="L32" s="86">
        <f>股权价值增加表!L29</f>
        <v>5847308.2398184184</v>
      </c>
      <c r="M32" s="86">
        <f>股权价值增加表!M29</f>
        <v>30521397.331031691</v>
      </c>
      <c r="N32" s="86">
        <f>股权价值增加表!N29</f>
        <v>15016600.72564408</v>
      </c>
      <c r="O32" s="86">
        <f>股权价值增加表!O29</f>
        <v>11400865.612090116</v>
      </c>
      <c r="P32" s="86">
        <f>股权价值增加表!P29</f>
        <v>3720313.4589837175</v>
      </c>
      <c r="Q32" s="86">
        <f>股权价值增加表!Q29</f>
        <v>20511306.618948113</v>
      </c>
      <c r="R32" s="86">
        <f>股权价值增加表!R29</f>
        <v>5083145.7236482119</v>
      </c>
      <c r="S32" s="86">
        <f>股权价值增加表!S29</f>
        <v>2948557.7872230392</v>
      </c>
      <c r="T32" s="86">
        <f>股权价值增加表!T29</f>
        <v>583635.04347234662</v>
      </c>
      <c r="U32" s="86">
        <f>股权价值增加表!U29</f>
        <v>16076744.567663359</v>
      </c>
      <c r="V32" s="86">
        <f>股权价值增加表!V29</f>
        <v>4739242.2474154178</v>
      </c>
      <c r="W32" s="86">
        <f>股权价值增加表!W29</f>
        <v>1234517.0668320581</v>
      </c>
      <c r="X32" s="86">
        <f>股权价值增加表!X29</f>
        <v>88877.937277895078</v>
      </c>
      <c r="Y32" s="86">
        <f>股权价值增加表!Y29</f>
        <v>7843485.9921903359</v>
      </c>
      <c r="Z32" s="86">
        <f>股权价值增加表!Z29</f>
        <v>0</v>
      </c>
      <c r="AA32" s="86">
        <f>股权价值增加表!AA29</f>
        <v>0</v>
      </c>
      <c r="AB32" s="86">
        <f>股权价值增加表!AB29</f>
        <v>0</v>
      </c>
      <c r="AC32" s="86">
        <f>股权价值增加表!AC29</f>
        <v>8338860.3419518769</v>
      </c>
      <c r="AD32" s="86">
        <f>股权价值增加表!AD29</f>
        <v>0</v>
      </c>
      <c r="AE32" s="86">
        <f>股权价值增加表!AE29</f>
        <v>0</v>
      </c>
      <c r="AF32" s="86">
        <f>股权价值增加表!AF29</f>
        <v>0</v>
      </c>
      <c r="AG32" s="86">
        <f>股权价值增加表!AG29</f>
        <v>8609854.8317151982</v>
      </c>
      <c r="AH32" s="86">
        <f>股权价值增加表!AH29</f>
        <v>0</v>
      </c>
      <c r="AI32" s="86">
        <f>股权价值增加表!AI29</f>
        <v>0</v>
      </c>
      <c r="AJ32" s="86">
        <f>股权价值增加表!AJ29</f>
        <v>0</v>
      </c>
      <c r="AK32" s="86">
        <f>股权价值增加表!AK29</f>
        <v>220267.47358077206</v>
      </c>
      <c r="AL32" s="86">
        <f>股权价值增加表!AL29</f>
        <v>16181.84650673449</v>
      </c>
      <c r="AM32" s="86">
        <f>股权价值增加表!AM29</f>
        <v>0</v>
      </c>
      <c r="AN32" s="86">
        <f>股权价值增加表!AN29</f>
        <v>0</v>
      </c>
      <c r="AO32" s="86">
        <f>股权价值增加表!AO29</f>
        <v>-62520.699630961331</v>
      </c>
      <c r="AP32" s="86">
        <f>股权价值增加表!AP29</f>
        <v>0</v>
      </c>
      <c r="AQ32" s="86">
        <f>股权价值增加表!AQ29</f>
        <v>-70573.61</v>
      </c>
      <c r="AR32" s="86">
        <f>股权价值增加表!AR29</f>
        <v>312743.78169028641</v>
      </c>
      <c r="AS32" s="86" t="e">
        <f>股权价值增加表!AS29</f>
        <v>#DIV/0!</v>
      </c>
      <c r="AT32" s="86">
        <f>股权价值增加表!AT29</f>
        <v>-13003140.681632061</v>
      </c>
      <c r="AU32" s="86">
        <f>股权价值增加表!AU29</f>
        <v>-20273858.635097776</v>
      </c>
      <c r="AV32" s="86">
        <f>股权价值增加表!AV29</f>
        <v>0</v>
      </c>
      <c r="AW32" s="86">
        <f>股权价值增加表!AW29</f>
        <v>13589374.630842954</v>
      </c>
      <c r="AX32" s="86">
        <f>股权价值增加表!AX29</f>
        <v>19968810.999266259</v>
      </c>
      <c r="AY32" s="86">
        <f>股权价值增加表!AY29</f>
        <v>-1423099.2058320753</v>
      </c>
      <c r="AZ32" s="86">
        <f>股权价值增加表!AZ29</f>
        <v>-7194596.6275969138</v>
      </c>
      <c r="BA32" s="86">
        <f>股权价值增加表!BA29</f>
        <v>-181556067.22954905</v>
      </c>
      <c r="BB32" s="86">
        <f>股权价值增加表!BB29</f>
        <v>-143078150.54667872</v>
      </c>
      <c r="BC32" s="86">
        <f>股权价值增加表!BC29</f>
        <v>-130799362.71280822</v>
      </c>
      <c r="BD32" s="86">
        <f>股权价值增加表!BD29</f>
        <v>-9180723.6354263648</v>
      </c>
      <c r="BE32" s="86">
        <f>股权价值增加表!BE29</f>
        <v>-39163425.10763751</v>
      </c>
      <c r="BF32" s="86">
        <f>股权价值增加表!BF29</f>
        <v>-29010920.011306331</v>
      </c>
      <c r="BG32" s="86">
        <f>股权价值增加表!BG29</f>
        <v>-17084859.33726842</v>
      </c>
      <c r="BH32" s="86">
        <f>股权价值增加表!BH29</f>
        <v>-14601441.917478967</v>
      </c>
      <c r="BI32" s="86">
        <f>股权价值增加表!BI29</f>
        <v>-37902491.761407793</v>
      </c>
      <c r="BJ32" s="86">
        <f>股权价值增加表!BJ29</f>
        <v>3637143.7941476554</v>
      </c>
      <c r="BK32" s="86">
        <f>股权价值增加表!BK29</f>
        <v>17088874.201992691</v>
      </c>
      <c r="BL32" s="86">
        <f>股权价值增加表!BL29</f>
        <v>-19157263.320142653</v>
      </c>
      <c r="BM32" s="86">
        <f>股权价值增加表!BM29</f>
        <v>-77532345.976353824</v>
      </c>
      <c r="BN32" s="86">
        <f>股权价值增加表!BN29</f>
        <v>-44465528.91937016</v>
      </c>
      <c r="BO32" s="86">
        <f>股权价值增加表!BO29</f>
        <v>-23927295.945694104</v>
      </c>
      <c r="BP32" s="86">
        <f>股权价值增加表!BP29</f>
        <v>-15677534.370202009</v>
      </c>
      <c r="BQ32" s="86">
        <f>股权价值增加表!BQ29</f>
        <v>-81369625.584198147</v>
      </c>
      <c r="BR32" s="86">
        <f>股权价值增加表!BR29</f>
        <v>-14320831.603676498</v>
      </c>
      <c r="BS32" s="86">
        <f>股权价值增加表!BS29</f>
        <v>6639032.4941815287</v>
      </c>
      <c r="BT32" s="86">
        <f>股权价值增加表!BT29</f>
        <v>8336415.3521843404</v>
      </c>
      <c r="BU32" s="86">
        <f>股权价值增加表!BU29</f>
        <v>-42090769.441926852</v>
      </c>
      <c r="BV32" s="86">
        <f>股权价值增加表!BV29</f>
        <v>-31537945.171112079</v>
      </c>
      <c r="BW32" s="86">
        <f>股权价值增加表!BW29</f>
        <v>41571053.049183644</v>
      </c>
      <c r="BX32" s="86">
        <f>股权价值增加表!BX29</f>
        <v>-2405395.41</v>
      </c>
      <c r="BY32" s="86">
        <f>股权价值增加表!BY29</f>
        <v>26374725.858461704</v>
      </c>
      <c r="BZ32" s="86">
        <f>股权价值增加表!BZ29</f>
        <v>475384.5</v>
      </c>
      <c r="CA32" s="86">
        <f>股权价值增加表!CA29</f>
        <v>5512911.5004907371</v>
      </c>
      <c r="CB32" s="86">
        <f>股权价值增加表!CB29</f>
        <v>-6664176.4400000013</v>
      </c>
      <c r="CC32" s="86">
        <f>股权价值增加表!CC29</f>
        <v>33083162.000634164</v>
      </c>
      <c r="CD32" s="86">
        <f>股权价值增加表!CD29</f>
        <v>-13940000</v>
      </c>
      <c r="CE32" s="86">
        <f>股权价值增加表!CE29</f>
        <v>-20081000</v>
      </c>
      <c r="CF32" s="86">
        <f>股权价值增加表!CF29</f>
        <v>-14354563.84</v>
      </c>
      <c r="CG32" s="86" t="e">
        <f>股权价值增加表!CG29</f>
        <v>#DIV/0!</v>
      </c>
      <c r="CH32" s="86" t="e">
        <f>股权价值增加表!CH29</f>
        <v>#DIV/0!</v>
      </c>
      <c r="CI32" s="86" t="e">
        <f>股权价值增加表!CI29</f>
        <v>#DIV/0!</v>
      </c>
      <c r="CJ32" s="86" t="e">
        <f>股权价值增加表!CJ29</f>
        <v>#DIV/0!</v>
      </c>
    </row>
    <row r="33" spans="1:89" s="86" customFormat="1">
      <c r="A33" s="150" t="s">
        <v>457</v>
      </c>
    </row>
    <row r="34" spans="1:89" s="86" customFormat="1">
      <c r="A34" s="149" t="s">
        <v>458</v>
      </c>
      <c r="E34" s="86">
        <f>资产资本表!E4</f>
        <v>487793476.30000001</v>
      </c>
      <c r="F34" s="86">
        <f>资产资本表!F4</f>
        <v>453443896.37</v>
      </c>
      <c r="G34" s="86">
        <f>资产资本表!G4</f>
        <v>270725427.14999998</v>
      </c>
      <c r="H34" s="86">
        <f>资产资本表!H4</f>
        <v>437399309.26999998</v>
      </c>
      <c r="I34" s="86">
        <f>资产资本表!I4</f>
        <v>553442517.54999995</v>
      </c>
      <c r="J34" s="86">
        <f>资产资本表!J4</f>
        <v>392984863.17000002</v>
      </c>
      <c r="K34" s="86">
        <f>资产资本表!K4</f>
        <v>427624009.98000002</v>
      </c>
      <c r="L34" s="86">
        <f>资产资本表!L4</f>
        <v>562010036.55999994</v>
      </c>
      <c r="M34" s="86">
        <f>资产资本表!M4</f>
        <v>747939234.26999998</v>
      </c>
      <c r="N34" s="86">
        <f>资产资本表!N4</f>
        <v>798736604.16999996</v>
      </c>
      <c r="O34" s="86">
        <f>资产资本表!O4</f>
        <v>562510971.26999998</v>
      </c>
      <c r="P34" s="86">
        <f>资产资本表!P4</f>
        <v>909436222.82000005</v>
      </c>
      <c r="Q34" s="86">
        <f>资产资本表!Q4</f>
        <v>964507014.34000003</v>
      </c>
      <c r="R34" s="86">
        <f>资产资本表!R4</f>
        <v>755741642.29999995</v>
      </c>
      <c r="S34" s="86">
        <f>资产资本表!S4</f>
        <v>665116750.71000004</v>
      </c>
      <c r="T34" s="86">
        <f>资产资本表!T4</f>
        <v>763230395.60000002</v>
      </c>
      <c r="U34" s="86">
        <f>资产资本表!U4</f>
        <v>703488319.61000001</v>
      </c>
      <c r="V34" s="86">
        <f>资产资本表!V4</f>
        <v>501180113.66000003</v>
      </c>
      <c r="W34" s="86">
        <f>资产资本表!W4</f>
        <v>502241523.37</v>
      </c>
      <c r="X34" s="86">
        <f>资产资本表!X4</f>
        <v>602246499.29999995</v>
      </c>
      <c r="Y34" s="86">
        <f>资产资本表!Y4</f>
        <v>673380231.46000004</v>
      </c>
      <c r="Z34" s="86">
        <f>资产资本表!Z4</f>
        <v>643489726.26999998</v>
      </c>
      <c r="AA34" s="86">
        <f>资产资本表!AA4</f>
        <v>488036620.79000002</v>
      </c>
      <c r="AB34" s="86">
        <f>资产资本表!AB4</f>
        <v>510333384.02999997</v>
      </c>
      <c r="AC34" s="86">
        <f>资产资本表!AC4</f>
        <v>534179707.85000002</v>
      </c>
      <c r="AD34" s="86">
        <f>资产资本表!AD4</f>
        <v>523746129.82999998</v>
      </c>
      <c r="AE34" s="86">
        <f>资产资本表!AE4</f>
        <v>641391460.04999995</v>
      </c>
      <c r="AF34" s="86">
        <f>资产资本表!AF4</f>
        <v>665322811.37</v>
      </c>
      <c r="AG34" s="86">
        <f>资产资本表!AG4</f>
        <v>666518672.60000002</v>
      </c>
      <c r="AH34" s="86">
        <f>资产资本表!AH4</f>
        <v>628738523.15999997</v>
      </c>
      <c r="AI34" s="86">
        <f>资产资本表!AI4</f>
        <v>719788534.54999995</v>
      </c>
      <c r="AJ34" s="86">
        <f>资产资本表!AJ4</f>
        <v>836933325.63999999</v>
      </c>
      <c r="AK34" s="86">
        <f>资产资本表!AK4</f>
        <v>853443052.58000004</v>
      </c>
      <c r="AL34" s="86">
        <f>资产资本表!AL4</f>
        <v>79196016.939999998</v>
      </c>
      <c r="AM34" s="86">
        <f>资产资本表!AM4</f>
        <v>63469949.020000003</v>
      </c>
      <c r="AN34" s="86">
        <f>资产资本表!AN4</f>
        <v>78477223.810000002</v>
      </c>
      <c r="AO34" s="86">
        <f>资产资本表!AO4</f>
        <v>78997061.840000004</v>
      </c>
      <c r="AP34" s="86">
        <f>资产资本表!AP4</f>
        <v>44249685.200000003</v>
      </c>
      <c r="AQ34" s="86">
        <f>资产资本表!AQ4</f>
        <v>0</v>
      </c>
      <c r="AR34" s="86">
        <f>资产资本表!AR4</f>
        <v>0</v>
      </c>
      <c r="AS34" s="86">
        <f>资产资本表!AS4</f>
        <v>0</v>
      </c>
      <c r="AT34" s="86">
        <f>资产资本表!AT4</f>
        <v>0</v>
      </c>
      <c r="AU34" s="86">
        <f>资产资本表!AU4</f>
        <v>0</v>
      </c>
      <c r="AV34" s="86">
        <f>资产资本表!AV4</f>
        <v>0</v>
      </c>
      <c r="AW34" s="86">
        <f>资产资本表!AW4</f>
        <v>0</v>
      </c>
      <c r="AX34" s="86">
        <f>资产资本表!AX4</f>
        <v>0</v>
      </c>
      <c r="AY34" s="86">
        <f>资产资本表!AY4</f>
        <v>0</v>
      </c>
      <c r="AZ34" s="86">
        <f>资产资本表!AZ4</f>
        <v>0</v>
      </c>
      <c r="BA34" s="86">
        <f>资产资本表!BA4</f>
        <v>0</v>
      </c>
      <c r="BB34" s="86">
        <f>资产资本表!BB4</f>
        <v>0</v>
      </c>
      <c r="BC34" s="86">
        <f>资产资本表!BC4</f>
        <v>0</v>
      </c>
      <c r="BD34" s="86">
        <f>资产资本表!BD4</f>
        <v>0</v>
      </c>
      <c r="BE34" s="86">
        <f>资产资本表!BE4</f>
        <v>0</v>
      </c>
      <c r="BF34" s="86">
        <f>资产资本表!BF4</f>
        <v>0</v>
      </c>
      <c r="BG34" s="86">
        <f>资产资本表!BG4</f>
        <v>0</v>
      </c>
      <c r="BH34" s="86">
        <f>资产资本表!BH4</f>
        <v>0</v>
      </c>
      <c r="BI34" s="86">
        <f>资产资本表!BI4</f>
        <v>0</v>
      </c>
      <c r="BJ34" s="86">
        <f>资产资本表!BJ4</f>
        <v>0</v>
      </c>
      <c r="BK34" s="86">
        <f>资产资本表!BK4</f>
        <v>0</v>
      </c>
      <c r="BL34" s="86">
        <f>资产资本表!BL4</f>
        <v>0</v>
      </c>
      <c r="BM34" s="86">
        <f>资产资本表!BM4</f>
        <v>0</v>
      </c>
      <c r="BN34" s="86">
        <f>资产资本表!BN4</f>
        <v>0</v>
      </c>
      <c r="BO34" s="86">
        <f>资产资本表!BO4</f>
        <v>0</v>
      </c>
      <c r="BP34" s="86">
        <f>资产资本表!BP4</f>
        <v>0</v>
      </c>
      <c r="BQ34" s="86">
        <f>资产资本表!BQ4</f>
        <v>0</v>
      </c>
      <c r="BR34" s="86">
        <f>资产资本表!BR4</f>
        <v>0</v>
      </c>
      <c r="BS34" s="86">
        <f>资产资本表!BS4</f>
        <v>0</v>
      </c>
      <c r="BT34" s="86">
        <f>资产资本表!BT4</f>
        <v>0</v>
      </c>
      <c r="BU34" s="86">
        <f>资产资本表!BU4</f>
        <v>0</v>
      </c>
      <c r="BV34" s="86">
        <f>资产资本表!BV4</f>
        <v>0</v>
      </c>
      <c r="BW34" s="86">
        <f>资产资本表!BW4</f>
        <v>0</v>
      </c>
      <c r="BX34" s="86">
        <f>资产资本表!BX4</f>
        <v>0</v>
      </c>
      <c r="BY34" s="86">
        <f>资产资本表!BY4</f>
        <v>0</v>
      </c>
      <c r="BZ34" s="86">
        <f>资产资本表!BZ4</f>
        <v>0</v>
      </c>
      <c r="CA34" s="86">
        <f>资产资本表!CA4</f>
        <v>0</v>
      </c>
      <c r="CB34" s="86">
        <f>资产资本表!CB4</f>
        <v>0</v>
      </c>
      <c r="CC34" s="86">
        <f>资产资本表!CC4</f>
        <v>0</v>
      </c>
      <c r="CD34" s="86">
        <f>资产资本表!CD4</f>
        <v>0</v>
      </c>
      <c r="CE34" s="86">
        <f>资产资本表!CE4</f>
        <v>0</v>
      </c>
      <c r="CF34" s="86">
        <f>资产资本表!CF4</f>
        <v>0</v>
      </c>
      <c r="CG34" s="86">
        <f>资产资本表!CG4</f>
        <v>0</v>
      </c>
      <c r="CH34" s="86">
        <f>资产资本表!CH4</f>
        <v>0</v>
      </c>
      <c r="CI34" s="86">
        <f>资产资本表!CI4</f>
        <v>0</v>
      </c>
      <c r="CJ34" s="86">
        <f>资产资本表!CJ4</f>
        <v>0</v>
      </c>
    </row>
    <row r="35" spans="1:89" s="86" customFormat="1">
      <c r="A35" s="149" t="s">
        <v>459</v>
      </c>
      <c r="E35" s="86">
        <f>利润表!E12</f>
        <v>0</v>
      </c>
      <c r="F35" s="86">
        <f>利润表!F12</f>
        <v>0</v>
      </c>
      <c r="G35" s="86">
        <f>利润表!G12</f>
        <v>0</v>
      </c>
      <c r="H35" s="86">
        <f>利润表!H12</f>
        <v>0</v>
      </c>
      <c r="I35" s="86">
        <f>利润表!I12</f>
        <v>0</v>
      </c>
      <c r="J35" s="86">
        <f>利润表!J12</f>
        <v>0</v>
      </c>
      <c r="K35" s="86">
        <f>利润表!K12</f>
        <v>0</v>
      </c>
      <c r="L35" s="86">
        <f>利润表!L12</f>
        <v>0</v>
      </c>
      <c r="M35" s="86">
        <f>利润表!M12</f>
        <v>0</v>
      </c>
      <c r="N35" s="86">
        <f>利润表!N12</f>
        <v>0</v>
      </c>
      <c r="O35" s="86">
        <f>利润表!O12</f>
        <v>0</v>
      </c>
      <c r="P35" s="86">
        <f>利润表!P12</f>
        <v>0</v>
      </c>
      <c r="Q35" s="86">
        <f>利润表!Q12</f>
        <v>0</v>
      </c>
      <c r="R35" s="86">
        <f>利润表!R12</f>
        <v>0</v>
      </c>
      <c r="S35" s="86">
        <f>利润表!S12</f>
        <v>0</v>
      </c>
      <c r="T35" s="86">
        <f>利润表!T12</f>
        <v>0</v>
      </c>
      <c r="U35" s="86">
        <f>利润表!U12</f>
        <v>0</v>
      </c>
      <c r="V35" s="86">
        <f>利润表!V12</f>
        <v>0</v>
      </c>
      <c r="W35" s="86">
        <f>利润表!W12</f>
        <v>0</v>
      </c>
      <c r="X35" s="86">
        <f>利润表!X12</f>
        <v>0</v>
      </c>
      <c r="Y35" s="86">
        <f>利润表!Y12</f>
        <v>0</v>
      </c>
      <c r="Z35" s="86">
        <f>利润表!Z12</f>
        <v>0</v>
      </c>
      <c r="AA35" s="86">
        <f>利润表!AA12</f>
        <v>0</v>
      </c>
      <c r="AB35" s="86">
        <f>利润表!AB12</f>
        <v>0</v>
      </c>
      <c r="AC35" s="86">
        <f>利润表!AC12</f>
        <v>0</v>
      </c>
      <c r="AD35" s="86">
        <f>利润表!AD12</f>
        <v>0</v>
      </c>
      <c r="AE35" s="86">
        <f>利润表!AE12</f>
        <v>0</v>
      </c>
      <c r="AF35" s="86">
        <f>利润表!AF12</f>
        <v>0</v>
      </c>
      <c r="AG35" s="86">
        <f>利润表!AG12</f>
        <v>0</v>
      </c>
      <c r="AH35" s="86">
        <f>利润表!AH12</f>
        <v>0</v>
      </c>
      <c r="AI35" s="86">
        <f>利润表!AI12</f>
        <v>0</v>
      </c>
      <c r="AJ35" s="86">
        <f>利润表!AJ12</f>
        <v>0</v>
      </c>
      <c r="AK35" s="86">
        <f>利润表!AK12</f>
        <v>0</v>
      </c>
      <c r="AL35" s="86">
        <f>利润表!AL12</f>
        <v>0</v>
      </c>
      <c r="AM35" s="86">
        <f>利润表!AM12</f>
        <v>0</v>
      </c>
      <c r="AN35" s="86">
        <f>利润表!AN12</f>
        <v>0</v>
      </c>
      <c r="AO35" s="86">
        <f>利润表!AO12</f>
        <v>0</v>
      </c>
      <c r="AP35" s="86">
        <f>利润表!AP12</f>
        <v>0</v>
      </c>
      <c r="AQ35" s="86">
        <f>利润表!AQ12</f>
        <v>0</v>
      </c>
      <c r="AR35" s="86">
        <f>利润表!AR12</f>
        <v>119300</v>
      </c>
      <c r="AS35" s="86">
        <f>利润表!AS12</f>
        <v>0</v>
      </c>
      <c r="AT35" s="86">
        <f>利润表!AT12</f>
        <v>0</v>
      </c>
      <c r="AU35" s="86">
        <f>利润表!AU12</f>
        <v>0</v>
      </c>
      <c r="AV35" s="86">
        <f>利润表!AV12</f>
        <v>0</v>
      </c>
      <c r="AW35" s="86">
        <f>利润表!AW12</f>
        <v>0</v>
      </c>
      <c r="AX35" s="86">
        <f>利润表!AX12</f>
        <v>0</v>
      </c>
      <c r="AY35" s="86">
        <f>利润表!AY12</f>
        <v>0</v>
      </c>
      <c r="AZ35" s="86">
        <f>利润表!AZ12</f>
        <v>0</v>
      </c>
      <c r="BA35" s="86">
        <f>利润表!BA12</f>
        <v>0</v>
      </c>
      <c r="BB35" s="86">
        <f>利润表!BB12</f>
        <v>0</v>
      </c>
      <c r="BC35" s="86">
        <f>利润表!BC12</f>
        <v>0</v>
      </c>
      <c r="BD35" s="86">
        <f>利润表!BD12</f>
        <v>0</v>
      </c>
      <c r="BE35" s="86">
        <f>利润表!BE12</f>
        <v>0</v>
      </c>
      <c r="BF35" s="86">
        <f>利润表!BF12</f>
        <v>0</v>
      </c>
      <c r="BG35" s="86">
        <f>利润表!BG12</f>
        <v>0</v>
      </c>
      <c r="BH35" s="86">
        <f>利润表!BH12</f>
        <v>0</v>
      </c>
      <c r="BI35" s="86">
        <f>利润表!BI12</f>
        <v>0</v>
      </c>
      <c r="BJ35" s="86">
        <f>利润表!BJ12</f>
        <v>0</v>
      </c>
      <c r="BK35" s="86">
        <f>利润表!BK12</f>
        <v>0</v>
      </c>
      <c r="BL35" s="86">
        <f>利润表!BL12</f>
        <v>0</v>
      </c>
      <c r="BM35" s="86">
        <f>利润表!BM12</f>
        <v>0</v>
      </c>
      <c r="BN35" s="86">
        <f>利润表!BN12</f>
        <v>0</v>
      </c>
      <c r="BO35" s="86">
        <f>利润表!BO12</f>
        <v>0</v>
      </c>
      <c r="BP35" s="86">
        <f>利润表!BP12</f>
        <v>0</v>
      </c>
      <c r="BQ35" s="86">
        <f>利润表!BQ12</f>
        <v>0</v>
      </c>
      <c r="BR35" s="86">
        <f>利润表!BR12</f>
        <v>0</v>
      </c>
      <c r="BS35" s="86">
        <f>利润表!BS12</f>
        <v>0</v>
      </c>
      <c r="BT35" s="86">
        <f>利润表!BT12</f>
        <v>0</v>
      </c>
      <c r="BU35" s="86">
        <f>利润表!BU12</f>
        <v>0</v>
      </c>
      <c r="BV35" s="86">
        <f>利润表!BV12</f>
        <v>0</v>
      </c>
      <c r="BW35" s="86">
        <f>利润表!BW12</f>
        <v>0</v>
      </c>
      <c r="BX35" s="86">
        <f>利润表!BX12</f>
        <v>0</v>
      </c>
      <c r="BY35" s="86">
        <f>利润表!BY12</f>
        <v>0</v>
      </c>
      <c r="BZ35" s="86">
        <f>利润表!BZ12</f>
        <v>0</v>
      </c>
      <c r="CA35" s="86">
        <f>利润表!CA12</f>
        <v>0</v>
      </c>
      <c r="CB35" s="86">
        <f>利润表!CB12</f>
        <v>0</v>
      </c>
      <c r="CC35" s="86">
        <f>利润表!CC12</f>
        <v>0</v>
      </c>
      <c r="CD35" s="86">
        <f>利润表!CD12</f>
        <v>0</v>
      </c>
      <c r="CE35" s="86">
        <f>利润表!CE12</f>
        <v>0</v>
      </c>
      <c r="CF35" s="86">
        <f>利润表!CF12</f>
        <v>0</v>
      </c>
      <c r="CG35" s="86">
        <f>利润表!CG12</f>
        <v>0</v>
      </c>
      <c r="CH35" s="86">
        <f>利润表!CH12</f>
        <v>0</v>
      </c>
      <c r="CI35" s="86">
        <f>利润表!CI12</f>
        <v>0</v>
      </c>
      <c r="CJ35" s="86">
        <f>利润表!CJ12</f>
        <v>0</v>
      </c>
    </row>
    <row r="36" spans="1:89" s="86" customFormat="1">
      <c r="A36" s="149" t="s">
        <v>460</v>
      </c>
      <c r="E36" s="86">
        <f>资产资本表!E13</f>
        <v>0</v>
      </c>
      <c r="F36" s="86">
        <f>资产资本表!F13</f>
        <v>1125438.3700000001</v>
      </c>
      <c r="G36" s="86">
        <f>资产资本表!G13</f>
        <v>9949821.9299999997</v>
      </c>
      <c r="H36" s="86">
        <f>资产资本表!H13</f>
        <v>16196054.789999999</v>
      </c>
      <c r="I36" s="86">
        <f>资产资本表!I13</f>
        <v>0</v>
      </c>
      <c r="J36" s="86">
        <f>资产资本表!J13</f>
        <v>6196369.8600000003</v>
      </c>
      <c r="K36" s="86">
        <f>资产资本表!K13</f>
        <v>4663767.12</v>
      </c>
      <c r="L36" s="86">
        <f>资产资本表!L13</f>
        <v>8863150.6799999997</v>
      </c>
      <c r="M36" s="86">
        <f>资产资本表!M13</f>
        <v>847671.23</v>
      </c>
      <c r="N36" s="86">
        <f>资产资本表!N13</f>
        <v>10974553.42</v>
      </c>
      <c r="O36" s="86">
        <f>资产资本表!O13</f>
        <v>8071013.7000000002</v>
      </c>
      <c r="P36" s="86">
        <f>资产资本表!P13</f>
        <v>0</v>
      </c>
      <c r="Q36" s="86">
        <f>资产资本表!Q13</f>
        <v>471664.49</v>
      </c>
      <c r="R36" s="86">
        <f>资产资本表!R13</f>
        <v>0</v>
      </c>
      <c r="S36" s="86">
        <f>资产资本表!S13</f>
        <v>0</v>
      </c>
      <c r="T36" s="86">
        <f>资产资本表!T13</f>
        <v>0</v>
      </c>
      <c r="U36" s="86">
        <f>资产资本表!U13</f>
        <v>3002589.11</v>
      </c>
      <c r="V36" s="86">
        <f>资产资本表!V13</f>
        <v>0</v>
      </c>
      <c r="W36" s="86">
        <f>资产资本表!W13</f>
        <v>0</v>
      </c>
      <c r="X36" s="86">
        <f>资产资本表!X13</f>
        <v>0</v>
      </c>
      <c r="Y36" s="86">
        <f>资产资本表!Y13</f>
        <v>0</v>
      </c>
      <c r="Z36" s="86">
        <f>资产资本表!Z13</f>
        <v>0</v>
      </c>
      <c r="AA36" s="86">
        <f>资产资本表!AA13</f>
        <v>0</v>
      </c>
      <c r="AB36" s="86">
        <f>资产资本表!AB13</f>
        <v>0</v>
      </c>
      <c r="AC36" s="86">
        <f>资产资本表!AC13</f>
        <v>0</v>
      </c>
      <c r="AD36" s="86">
        <f>资产资本表!AD13</f>
        <v>0</v>
      </c>
      <c r="AE36" s="86">
        <f>资产资本表!AE13</f>
        <v>0</v>
      </c>
      <c r="AF36" s="86">
        <f>资产资本表!AF13</f>
        <v>0</v>
      </c>
      <c r="AG36" s="86">
        <f>资产资本表!AG13</f>
        <v>0</v>
      </c>
      <c r="AH36" s="86">
        <f>资产资本表!AH13</f>
        <v>0</v>
      </c>
      <c r="AI36" s="86">
        <f>资产资本表!AI13</f>
        <v>0</v>
      </c>
      <c r="AJ36" s="86">
        <f>资产资本表!AJ13</f>
        <v>0</v>
      </c>
      <c r="AK36" s="86">
        <f>资产资本表!AK13</f>
        <v>0</v>
      </c>
      <c r="AL36" s="86">
        <f>资产资本表!AL13</f>
        <v>0</v>
      </c>
      <c r="AM36" s="86">
        <f>资产资本表!AM13</f>
        <v>0</v>
      </c>
      <c r="AN36" s="86">
        <f>资产资本表!AN13</f>
        <v>0</v>
      </c>
      <c r="AO36" s="86">
        <f>资产资本表!AO13</f>
        <v>0</v>
      </c>
      <c r="AP36" s="86">
        <f>资产资本表!AP13</f>
        <v>0</v>
      </c>
      <c r="AQ36" s="86">
        <f>资产资本表!AQ13</f>
        <v>0</v>
      </c>
      <c r="AR36" s="86">
        <f>资产资本表!AR13</f>
        <v>0</v>
      </c>
      <c r="AS36" s="86">
        <f>资产资本表!AS13</f>
        <v>0</v>
      </c>
      <c r="AT36" s="86">
        <f>资产资本表!AT13</f>
        <v>0</v>
      </c>
      <c r="AU36" s="86">
        <f>资产资本表!AU13</f>
        <v>0</v>
      </c>
      <c r="AV36" s="86">
        <f>资产资本表!AV13</f>
        <v>0</v>
      </c>
      <c r="AW36" s="86">
        <f>资产资本表!AW13</f>
        <v>0</v>
      </c>
      <c r="AX36" s="86">
        <f>资产资本表!AX13</f>
        <v>0</v>
      </c>
      <c r="AY36" s="86">
        <f>资产资本表!AY13</f>
        <v>0</v>
      </c>
      <c r="AZ36" s="86">
        <f>资产资本表!AZ13</f>
        <v>0</v>
      </c>
      <c r="BA36" s="86">
        <f>资产资本表!BA13</f>
        <v>0</v>
      </c>
      <c r="BB36" s="86">
        <f>资产资本表!BB13</f>
        <v>0</v>
      </c>
      <c r="BC36" s="86">
        <f>资产资本表!BC13</f>
        <v>0</v>
      </c>
      <c r="BD36" s="86">
        <f>资产资本表!BD13</f>
        <v>0</v>
      </c>
      <c r="BE36" s="86">
        <f>资产资本表!BE13</f>
        <v>0</v>
      </c>
      <c r="BF36" s="86">
        <f>资产资本表!BF13</f>
        <v>0</v>
      </c>
      <c r="BG36" s="86">
        <f>资产资本表!BG13</f>
        <v>0</v>
      </c>
      <c r="BH36" s="86">
        <f>资产资本表!BH13</f>
        <v>0</v>
      </c>
      <c r="BI36" s="86">
        <f>资产资本表!BI13</f>
        <v>0</v>
      </c>
      <c r="BJ36" s="86">
        <f>资产资本表!BJ13</f>
        <v>0</v>
      </c>
      <c r="BK36" s="86">
        <f>资产资本表!BK13</f>
        <v>0</v>
      </c>
      <c r="BL36" s="86">
        <f>资产资本表!BL13</f>
        <v>0</v>
      </c>
      <c r="BM36" s="86">
        <f>资产资本表!BM13</f>
        <v>0</v>
      </c>
      <c r="BN36" s="86">
        <f>资产资本表!BN13</f>
        <v>0</v>
      </c>
      <c r="BO36" s="86">
        <f>资产资本表!BO13</f>
        <v>0</v>
      </c>
      <c r="BP36" s="86">
        <f>资产资本表!BP13</f>
        <v>0</v>
      </c>
      <c r="BQ36" s="86">
        <f>资产资本表!BQ13</f>
        <v>0</v>
      </c>
      <c r="BR36" s="86">
        <f>资产资本表!BR13</f>
        <v>0</v>
      </c>
      <c r="BS36" s="86">
        <f>资产资本表!BS13</f>
        <v>0</v>
      </c>
      <c r="BT36" s="86">
        <f>资产资本表!BT13</f>
        <v>0</v>
      </c>
      <c r="BU36" s="86">
        <f>资产资本表!BU13</f>
        <v>0</v>
      </c>
      <c r="BV36" s="86">
        <f>资产资本表!BV13</f>
        <v>0</v>
      </c>
      <c r="BW36" s="86">
        <f>资产资本表!BW13</f>
        <v>0</v>
      </c>
      <c r="BX36" s="86">
        <f>资产资本表!BX13</f>
        <v>0</v>
      </c>
      <c r="BY36" s="86">
        <f>资产资本表!BY13</f>
        <v>0</v>
      </c>
      <c r="BZ36" s="86">
        <f>资产资本表!BZ13</f>
        <v>0</v>
      </c>
      <c r="CA36" s="86">
        <f>资产资本表!CA13</f>
        <v>0</v>
      </c>
      <c r="CB36" s="86">
        <f>资产资本表!CB13</f>
        <v>0</v>
      </c>
      <c r="CC36" s="86">
        <f>资产资本表!CC13</f>
        <v>0</v>
      </c>
      <c r="CD36" s="86">
        <f>资产资本表!CD13</f>
        <v>0</v>
      </c>
      <c r="CE36" s="86">
        <f>资产资本表!CE13</f>
        <v>0</v>
      </c>
      <c r="CF36" s="86">
        <f>资产资本表!CF13</f>
        <v>0</v>
      </c>
      <c r="CG36" s="86">
        <f>资产资本表!CG13</f>
        <v>0</v>
      </c>
      <c r="CH36" s="86">
        <f>资产资本表!CH13</f>
        <v>0</v>
      </c>
      <c r="CI36" s="86">
        <f>资产资本表!CI13</f>
        <v>0</v>
      </c>
      <c r="CJ36" s="86">
        <f>资产资本表!CJ13</f>
        <v>0</v>
      </c>
    </row>
    <row r="37" spans="1:89" s="86" customFormat="1">
      <c r="A37" s="149" t="s">
        <v>461</v>
      </c>
      <c r="E37" s="86">
        <f>资产资本表!E11</f>
        <v>0</v>
      </c>
      <c r="F37" s="86">
        <f>资产资本表!F11</f>
        <v>0</v>
      </c>
      <c r="G37" s="86">
        <f>资产资本表!G11</f>
        <v>0</v>
      </c>
      <c r="H37" s="86">
        <f>资产资本表!H11</f>
        <v>0</v>
      </c>
      <c r="I37" s="86">
        <f>资产资本表!I11</f>
        <v>0</v>
      </c>
      <c r="J37" s="86">
        <f>资产资本表!J11</f>
        <v>0</v>
      </c>
      <c r="K37" s="86">
        <f>资产资本表!K11</f>
        <v>0</v>
      </c>
      <c r="L37" s="86">
        <f>资产资本表!L11</f>
        <v>0</v>
      </c>
      <c r="M37" s="86">
        <f>资产资本表!M11</f>
        <v>0</v>
      </c>
      <c r="N37" s="86">
        <f>资产资本表!N11</f>
        <v>0</v>
      </c>
      <c r="O37" s="86">
        <f>资产资本表!O11</f>
        <v>0</v>
      </c>
      <c r="P37" s="86">
        <f>资产资本表!P11</f>
        <v>0</v>
      </c>
      <c r="Q37" s="86">
        <f>资产资本表!Q11</f>
        <v>0</v>
      </c>
      <c r="R37" s="86">
        <f>资产资本表!R11</f>
        <v>0</v>
      </c>
      <c r="S37" s="86">
        <f>资产资本表!S11</f>
        <v>0</v>
      </c>
      <c r="T37" s="86">
        <f>资产资本表!T11</f>
        <v>0</v>
      </c>
      <c r="U37" s="86">
        <f>资产资本表!U11</f>
        <v>0</v>
      </c>
      <c r="V37" s="86">
        <f>资产资本表!V11</f>
        <v>0</v>
      </c>
      <c r="W37" s="86">
        <f>资产资本表!W11</f>
        <v>0</v>
      </c>
      <c r="X37" s="86">
        <f>资产资本表!X11</f>
        <v>0</v>
      </c>
      <c r="Y37" s="86">
        <f>资产资本表!Y11</f>
        <v>0</v>
      </c>
      <c r="Z37" s="86">
        <f>资产资本表!Z11</f>
        <v>0</v>
      </c>
      <c r="AA37" s="86">
        <f>资产资本表!AA11</f>
        <v>0</v>
      </c>
      <c r="AB37" s="86">
        <f>资产资本表!AB11</f>
        <v>0</v>
      </c>
      <c r="AC37" s="86">
        <f>资产资本表!AC11</f>
        <v>0</v>
      </c>
      <c r="AD37" s="86">
        <f>资产资本表!AD11</f>
        <v>0</v>
      </c>
      <c r="AE37" s="86">
        <f>资产资本表!AE11</f>
        <v>0</v>
      </c>
      <c r="AF37" s="86">
        <f>资产资本表!AF11</f>
        <v>0</v>
      </c>
      <c r="AG37" s="86">
        <f>资产资本表!AG11</f>
        <v>0</v>
      </c>
      <c r="AH37" s="86">
        <f>资产资本表!AH11</f>
        <v>0</v>
      </c>
      <c r="AI37" s="86">
        <f>资产资本表!AI11</f>
        <v>0</v>
      </c>
      <c r="AJ37" s="86">
        <f>资产资本表!AJ11</f>
        <v>0</v>
      </c>
      <c r="AK37" s="86">
        <f>资产资本表!AK11</f>
        <v>0</v>
      </c>
      <c r="AL37" s="86">
        <f>资产资本表!AL11</f>
        <v>0</v>
      </c>
      <c r="AM37" s="86">
        <f>资产资本表!AM11</f>
        <v>0</v>
      </c>
      <c r="AN37" s="86">
        <f>资产资本表!AN11</f>
        <v>0</v>
      </c>
      <c r="AO37" s="86">
        <f>资产资本表!AO11</f>
        <v>0</v>
      </c>
      <c r="AP37" s="86">
        <f>资产资本表!AP11</f>
        <v>0</v>
      </c>
      <c r="AQ37" s="86">
        <f>资产资本表!AQ11</f>
        <v>0</v>
      </c>
      <c r="AR37" s="86">
        <f>资产资本表!AR11</f>
        <v>0</v>
      </c>
      <c r="AS37" s="86">
        <f>资产资本表!AS11</f>
        <v>0</v>
      </c>
      <c r="AT37" s="86">
        <f>资产资本表!AT11</f>
        <v>0</v>
      </c>
      <c r="AU37" s="86">
        <f>资产资本表!AU11</f>
        <v>0</v>
      </c>
      <c r="AV37" s="86">
        <f>资产资本表!AV11</f>
        <v>0</v>
      </c>
      <c r="AW37" s="86">
        <f>资产资本表!AW11</f>
        <v>0</v>
      </c>
      <c r="AX37" s="86">
        <f>资产资本表!AX11</f>
        <v>0</v>
      </c>
      <c r="AY37" s="86">
        <f>资产资本表!AY11</f>
        <v>0</v>
      </c>
      <c r="AZ37" s="86">
        <f>资产资本表!AZ11</f>
        <v>0</v>
      </c>
      <c r="BA37" s="86">
        <f>资产资本表!BA11</f>
        <v>0</v>
      </c>
      <c r="BB37" s="86">
        <f>资产资本表!BB11</f>
        <v>0</v>
      </c>
      <c r="BC37" s="86">
        <f>资产资本表!BC11</f>
        <v>0</v>
      </c>
      <c r="BD37" s="86">
        <f>资产资本表!BD11</f>
        <v>0</v>
      </c>
      <c r="BE37" s="86">
        <f>资产资本表!BE11</f>
        <v>0</v>
      </c>
      <c r="BF37" s="86">
        <f>资产资本表!BF11</f>
        <v>0</v>
      </c>
      <c r="BG37" s="86">
        <f>资产资本表!BG11</f>
        <v>0</v>
      </c>
      <c r="BH37" s="86">
        <f>资产资本表!BH11</f>
        <v>0</v>
      </c>
      <c r="BI37" s="86">
        <f>资产资本表!BI11</f>
        <v>0</v>
      </c>
      <c r="BJ37" s="86">
        <f>资产资本表!BJ11</f>
        <v>0</v>
      </c>
      <c r="BK37" s="86">
        <f>资产资本表!BK11</f>
        <v>0</v>
      </c>
      <c r="BL37" s="86">
        <f>资产资本表!BL11</f>
        <v>0</v>
      </c>
      <c r="BM37" s="86">
        <f>资产资本表!BM11</f>
        <v>0</v>
      </c>
      <c r="BN37" s="86">
        <f>资产资本表!BN11</f>
        <v>0</v>
      </c>
      <c r="BO37" s="86">
        <f>资产资本表!BO11</f>
        <v>0</v>
      </c>
      <c r="BP37" s="86">
        <f>资产资本表!BP11</f>
        <v>0</v>
      </c>
      <c r="BQ37" s="86">
        <f>资产资本表!BQ11</f>
        <v>0</v>
      </c>
      <c r="BR37" s="86">
        <f>资产资本表!BR11</f>
        <v>0</v>
      </c>
      <c r="BS37" s="86">
        <f>资产资本表!BS11</f>
        <v>0</v>
      </c>
      <c r="BT37" s="86">
        <f>资产资本表!BT11</f>
        <v>0</v>
      </c>
      <c r="BU37" s="86">
        <f>资产资本表!BU11</f>
        <v>0</v>
      </c>
      <c r="BV37" s="86">
        <f>资产资本表!BV11</f>
        <v>0</v>
      </c>
      <c r="BW37" s="86">
        <f>资产资本表!BW11</f>
        <v>0</v>
      </c>
      <c r="BX37" s="86">
        <f>资产资本表!BX11</f>
        <v>0</v>
      </c>
      <c r="BY37" s="86">
        <f>资产资本表!BY11</f>
        <v>0</v>
      </c>
      <c r="BZ37" s="86">
        <f>资产资本表!BZ11</f>
        <v>0</v>
      </c>
      <c r="CA37" s="86">
        <f>资产资本表!CA11</f>
        <v>0</v>
      </c>
      <c r="CB37" s="86">
        <f>资产资本表!CB11</f>
        <v>0</v>
      </c>
      <c r="CC37" s="86">
        <f>资产资本表!CC11</f>
        <v>0</v>
      </c>
      <c r="CD37" s="86">
        <f>资产资本表!CD11</f>
        <v>0</v>
      </c>
      <c r="CE37" s="86">
        <f>资产资本表!CE11</f>
        <v>0</v>
      </c>
      <c r="CF37" s="86">
        <f>资产资本表!CF11</f>
        <v>0</v>
      </c>
      <c r="CG37" s="86">
        <f>资产资本表!CG11</f>
        <v>0</v>
      </c>
      <c r="CH37" s="86">
        <f>资产资本表!CH11</f>
        <v>0</v>
      </c>
      <c r="CI37" s="86">
        <f>资产资本表!CI11</f>
        <v>0</v>
      </c>
      <c r="CJ37" s="86">
        <f>资产资本表!CJ11</f>
        <v>0</v>
      </c>
    </row>
    <row r="38" spans="1:89" s="86" customFormat="1">
      <c r="A38" s="149" t="s">
        <v>462</v>
      </c>
      <c r="E38" s="86">
        <f>资产资本表!E8</f>
        <v>224500000</v>
      </c>
      <c r="F38" s="86">
        <f>资产资本表!F8</f>
        <v>224500000</v>
      </c>
      <c r="G38" s="86">
        <f>资产资本表!G8</f>
        <v>224500000</v>
      </c>
      <c r="H38" s="86">
        <f>资产资本表!H8</f>
        <v>224500000</v>
      </c>
      <c r="I38" s="86">
        <f>资产资本表!I8</f>
        <v>224500000</v>
      </c>
      <c r="J38" s="86">
        <f>资产资本表!J8</f>
        <v>224500000</v>
      </c>
      <c r="K38" s="86">
        <f>资产资本表!K8</f>
        <v>224500000</v>
      </c>
      <c r="L38" s="86">
        <f>资产资本表!L8</f>
        <v>224500000</v>
      </c>
      <c r="M38" s="86">
        <f>资产资本表!M8</f>
        <v>224500000</v>
      </c>
      <c r="N38" s="86">
        <f>资产资本表!N8</f>
        <v>0</v>
      </c>
      <c r="O38" s="86">
        <f>资产资本表!O8</f>
        <v>0</v>
      </c>
      <c r="P38" s="86">
        <f>资产资本表!P8</f>
        <v>0</v>
      </c>
      <c r="Q38" s="86">
        <f>资产资本表!Q8</f>
        <v>0</v>
      </c>
      <c r="R38" s="86">
        <f>资产资本表!R8</f>
        <v>0</v>
      </c>
      <c r="S38" s="86">
        <f>资产资本表!S8</f>
        <v>0</v>
      </c>
      <c r="T38" s="86">
        <f>资产资本表!T8</f>
        <v>0</v>
      </c>
      <c r="U38" s="86">
        <f>资产资本表!U8</f>
        <v>0</v>
      </c>
      <c r="V38" s="86">
        <f>资产资本表!V8</f>
        <v>0</v>
      </c>
      <c r="W38" s="86">
        <f>资产资本表!W8</f>
        <v>0</v>
      </c>
      <c r="X38" s="86">
        <f>资产资本表!X8</f>
        <v>0</v>
      </c>
      <c r="Y38" s="86">
        <f>资产资本表!Y8</f>
        <v>0</v>
      </c>
      <c r="Z38" s="86">
        <f>资产资本表!Z8</f>
        <v>0</v>
      </c>
      <c r="AA38" s="86">
        <f>资产资本表!AA8</f>
        <v>0</v>
      </c>
      <c r="AB38" s="86">
        <f>资产资本表!AB8</f>
        <v>0</v>
      </c>
      <c r="AC38" s="86">
        <f>资产资本表!AC8</f>
        <v>0</v>
      </c>
      <c r="AD38" s="86">
        <f>资产资本表!AD8</f>
        <v>0</v>
      </c>
      <c r="AE38" s="86">
        <f>资产资本表!AE8</f>
        <v>0</v>
      </c>
      <c r="AF38" s="86">
        <f>资产资本表!AF8</f>
        <v>0</v>
      </c>
      <c r="AG38" s="86">
        <f>资产资本表!AG8</f>
        <v>0</v>
      </c>
      <c r="AH38" s="86">
        <f>资产资本表!AH8</f>
        <v>0</v>
      </c>
      <c r="AI38" s="86">
        <f>资产资本表!AI8</f>
        <v>0</v>
      </c>
      <c r="AJ38" s="86">
        <f>资产资本表!AJ8</f>
        <v>0</v>
      </c>
      <c r="AK38" s="86">
        <f>资产资本表!AK8</f>
        <v>0</v>
      </c>
      <c r="AL38" s="86">
        <f>资产资本表!AL8</f>
        <v>0</v>
      </c>
      <c r="AM38" s="86">
        <f>资产资本表!AM8</f>
        <v>0</v>
      </c>
      <c r="AN38" s="86">
        <f>资产资本表!AN8</f>
        <v>0</v>
      </c>
      <c r="AO38" s="86">
        <f>资产资本表!AO8</f>
        <v>0</v>
      </c>
      <c r="AP38" s="86">
        <f>资产资本表!AP8</f>
        <v>0</v>
      </c>
      <c r="AQ38" s="86">
        <f>资产资本表!AQ8</f>
        <v>0</v>
      </c>
      <c r="AR38" s="86">
        <f>资产资本表!AR8</f>
        <v>0</v>
      </c>
      <c r="AS38" s="86">
        <f>资产资本表!AS8</f>
        <v>0</v>
      </c>
      <c r="AT38" s="86">
        <f>资产资本表!AT8</f>
        <v>0</v>
      </c>
      <c r="AU38" s="86">
        <f>资产资本表!AU8</f>
        <v>0</v>
      </c>
      <c r="AV38" s="86">
        <f>资产资本表!AV8</f>
        <v>0</v>
      </c>
      <c r="AW38" s="86">
        <f>资产资本表!AW8</f>
        <v>0</v>
      </c>
      <c r="AX38" s="86">
        <f>资产资本表!AX8</f>
        <v>0</v>
      </c>
      <c r="AY38" s="86">
        <f>资产资本表!AY8</f>
        <v>0</v>
      </c>
      <c r="AZ38" s="86">
        <f>资产资本表!AZ8</f>
        <v>0</v>
      </c>
      <c r="BA38" s="86">
        <f>资产资本表!BA8</f>
        <v>0</v>
      </c>
      <c r="BB38" s="86">
        <f>资产资本表!BB8</f>
        <v>0</v>
      </c>
      <c r="BC38" s="86">
        <f>资产资本表!BC8</f>
        <v>0</v>
      </c>
      <c r="BD38" s="86">
        <f>资产资本表!BD8</f>
        <v>0</v>
      </c>
      <c r="BE38" s="86">
        <f>资产资本表!BE8</f>
        <v>0</v>
      </c>
      <c r="BF38" s="86">
        <f>资产资本表!BF8</f>
        <v>0</v>
      </c>
      <c r="BG38" s="86">
        <f>资产资本表!BG8</f>
        <v>0</v>
      </c>
      <c r="BH38" s="86">
        <f>资产资本表!BH8</f>
        <v>0</v>
      </c>
      <c r="BI38" s="86">
        <f>资产资本表!BI8</f>
        <v>0</v>
      </c>
      <c r="BJ38" s="86">
        <f>资产资本表!BJ8</f>
        <v>0</v>
      </c>
      <c r="BK38" s="86">
        <f>资产资本表!BK8</f>
        <v>0</v>
      </c>
      <c r="BL38" s="86">
        <f>资产资本表!BL8</f>
        <v>0</v>
      </c>
      <c r="BM38" s="86">
        <f>资产资本表!BM8</f>
        <v>0</v>
      </c>
      <c r="BN38" s="86">
        <f>资产资本表!BN8</f>
        <v>0</v>
      </c>
      <c r="BO38" s="86">
        <f>资产资本表!BO8</f>
        <v>0</v>
      </c>
      <c r="BP38" s="86">
        <f>资产资本表!BP8</f>
        <v>0</v>
      </c>
      <c r="BQ38" s="86">
        <f>资产资本表!BQ8</f>
        <v>0</v>
      </c>
      <c r="BR38" s="86">
        <f>资产资本表!BR8</f>
        <v>0</v>
      </c>
      <c r="BS38" s="86">
        <f>资产资本表!BS8</f>
        <v>0</v>
      </c>
      <c r="BT38" s="86">
        <f>资产资本表!BT8</f>
        <v>0</v>
      </c>
      <c r="BU38" s="86">
        <f>资产资本表!BU8</f>
        <v>0</v>
      </c>
      <c r="BV38" s="86">
        <f>资产资本表!BV8</f>
        <v>0</v>
      </c>
      <c r="BW38" s="86">
        <f>资产资本表!BW8</f>
        <v>0</v>
      </c>
      <c r="BX38" s="86">
        <f>资产资本表!BX8</f>
        <v>0</v>
      </c>
      <c r="BY38" s="86">
        <f>资产资本表!BY8</f>
        <v>0</v>
      </c>
      <c r="BZ38" s="86">
        <f>资产资本表!BZ8</f>
        <v>0</v>
      </c>
      <c r="CA38" s="86">
        <f>资产资本表!CA8</f>
        <v>0</v>
      </c>
      <c r="CB38" s="86">
        <f>资产资本表!CB8</f>
        <v>0</v>
      </c>
      <c r="CC38" s="86">
        <f>资产资本表!CC8</f>
        <v>0</v>
      </c>
      <c r="CD38" s="86">
        <f>资产资本表!CD8</f>
        <v>0</v>
      </c>
      <c r="CE38" s="86">
        <f>资产资本表!CE8</f>
        <v>0</v>
      </c>
      <c r="CF38" s="86">
        <f>资产资本表!CF8</f>
        <v>0</v>
      </c>
      <c r="CG38" s="86">
        <f>资产资本表!CG8</f>
        <v>0</v>
      </c>
      <c r="CH38" s="86">
        <f>资产资本表!CH8</f>
        <v>0</v>
      </c>
      <c r="CI38" s="86">
        <f>资产资本表!CI8</f>
        <v>0</v>
      </c>
      <c r="CJ38" s="86">
        <f>资产资本表!CJ8</f>
        <v>0</v>
      </c>
      <c r="CK38" s="86">
        <f>资产资本表!CK8</f>
        <v>0</v>
      </c>
    </row>
    <row r="39" spans="1:89" s="86" customFormat="1">
      <c r="A39" s="149" t="s">
        <v>463</v>
      </c>
      <c r="E39" s="86">
        <f>资产资本表!E9</f>
        <v>0</v>
      </c>
      <c r="F39" s="86">
        <f>资产资本表!F9</f>
        <v>0</v>
      </c>
      <c r="G39" s="86">
        <f>资产资本表!G9</f>
        <v>0</v>
      </c>
      <c r="H39" s="86">
        <f>资产资本表!H9</f>
        <v>0</v>
      </c>
      <c r="I39" s="86">
        <f>资产资本表!I9</f>
        <v>0</v>
      </c>
      <c r="J39" s="86">
        <f>资产资本表!J9</f>
        <v>0</v>
      </c>
      <c r="K39" s="86">
        <f>资产资本表!K9</f>
        <v>0</v>
      </c>
      <c r="L39" s="86">
        <f>资产资本表!L9</f>
        <v>0</v>
      </c>
      <c r="M39" s="86">
        <f>资产资本表!M9</f>
        <v>0</v>
      </c>
      <c r="N39" s="86">
        <f>资产资本表!N9</f>
        <v>0</v>
      </c>
      <c r="O39" s="86">
        <f>资产资本表!O9</f>
        <v>0</v>
      </c>
      <c r="P39" s="86">
        <f>资产资本表!P9</f>
        <v>0</v>
      </c>
      <c r="Q39" s="86">
        <f>资产资本表!Q9</f>
        <v>0</v>
      </c>
      <c r="R39" s="86">
        <f>资产资本表!R9</f>
        <v>0</v>
      </c>
      <c r="S39" s="86">
        <f>资产资本表!S9</f>
        <v>0</v>
      </c>
      <c r="T39" s="86">
        <f>资产资本表!T9</f>
        <v>0</v>
      </c>
      <c r="U39" s="86">
        <f>资产资本表!U9</f>
        <v>0</v>
      </c>
      <c r="V39" s="86">
        <f>资产资本表!V9</f>
        <v>0</v>
      </c>
      <c r="W39" s="86">
        <f>资产资本表!W9</f>
        <v>0</v>
      </c>
      <c r="X39" s="86">
        <f>资产资本表!X9</f>
        <v>0</v>
      </c>
      <c r="Y39" s="86">
        <f>资产资本表!Y9</f>
        <v>0</v>
      </c>
      <c r="Z39" s="86">
        <f>资产资本表!Z9</f>
        <v>0</v>
      </c>
      <c r="AA39" s="86">
        <f>资产资本表!AA9</f>
        <v>0</v>
      </c>
      <c r="AB39" s="86">
        <f>资产资本表!AB9</f>
        <v>0</v>
      </c>
      <c r="AC39" s="86">
        <f>资产资本表!AC9</f>
        <v>0</v>
      </c>
      <c r="AD39" s="86">
        <f>资产资本表!AD9</f>
        <v>0</v>
      </c>
      <c r="AE39" s="86">
        <f>资产资本表!AE9</f>
        <v>0</v>
      </c>
      <c r="AF39" s="86">
        <f>资产资本表!AF9</f>
        <v>0</v>
      </c>
      <c r="AG39" s="86">
        <f>资产资本表!AG9</f>
        <v>0</v>
      </c>
      <c r="AH39" s="86">
        <f>资产资本表!AH9</f>
        <v>0</v>
      </c>
      <c r="AI39" s="86">
        <f>资产资本表!AI9</f>
        <v>0</v>
      </c>
      <c r="AJ39" s="86">
        <f>资产资本表!AJ9</f>
        <v>0</v>
      </c>
      <c r="AK39" s="86">
        <f>资产资本表!AK9</f>
        <v>0</v>
      </c>
      <c r="AL39" s="86">
        <f>资产资本表!AL9</f>
        <v>0</v>
      </c>
      <c r="AM39" s="86">
        <f>资产资本表!AM9</f>
        <v>0</v>
      </c>
      <c r="AN39" s="86">
        <f>资产资本表!AN9</f>
        <v>0</v>
      </c>
      <c r="AO39" s="86">
        <f>资产资本表!AO9</f>
        <v>0</v>
      </c>
      <c r="AP39" s="86">
        <f>资产资本表!AP9</f>
        <v>0</v>
      </c>
      <c r="AQ39" s="86">
        <f>资产资本表!AQ9</f>
        <v>0</v>
      </c>
      <c r="AR39" s="86">
        <f>资产资本表!AR9</f>
        <v>0</v>
      </c>
      <c r="AS39" s="86">
        <f>资产资本表!AS9</f>
        <v>0</v>
      </c>
      <c r="AT39" s="86">
        <f>资产资本表!AT9</f>
        <v>0</v>
      </c>
      <c r="AU39" s="86">
        <f>资产资本表!AU9</f>
        <v>0</v>
      </c>
      <c r="AV39" s="86">
        <f>资产资本表!AV9</f>
        <v>0</v>
      </c>
      <c r="AW39" s="86">
        <f>资产资本表!AW9</f>
        <v>0</v>
      </c>
      <c r="AX39" s="86">
        <f>资产资本表!AX9</f>
        <v>0</v>
      </c>
      <c r="AY39" s="86">
        <f>资产资本表!AY9</f>
        <v>0</v>
      </c>
      <c r="AZ39" s="86">
        <f>资产资本表!AZ9</f>
        <v>0</v>
      </c>
      <c r="BA39" s="86">
        <f>资产资本表!BA9</f>
        <v>0</v>
      </c>
      <c r="BB39" s="86">
        <f>资产资本表!BB9</f>
        <v>0</v>
      </c>
      <c r="BC39" s="86">
        <f>资产资本表!BC9</f>
        <v>0</v>
      </c>
      <c r="BD39" s="86">
        <f>资产资本表!BD9</f>
        <v>0</v>
      </c>
      <c r="BE39" s="86">
        <f>资产资本表!BE9</f>
        <v>0</v>
      </c>
      <c r="BF39" s="86">
        <f>资产资本表!BF9</f>
        <v>0</v>
      </c>
      <c r="BG39" s="86">
        <f>资产资本表!BG9</f>
        <v>0</v>
      </c>
      <c r="BH39" s="86">
        <f>资产资本表!BH9</f>
        <v>0</v>
      </c>
      <c r="BI39" s="86">
        <f>资产资本表!BI9</f>
        <v>0</v>
      </c>
      <c r="BJ39" s="86">
        <f>资产资本表!BJ9</f>
        <v>0</v>
      </c>
      <c r="BK39" s="86">
        <f>资产资本表!BK9</f>
        <v>0</v>
      </c>
      <c r="BL39" s="86">
        <f>资产资本表!BL9</f>
        <v>0</v>
      </c>
      <c r="BM39" s="86">
        <f>资产资本表!BM9</f>
        <v>0</v>
      </c>
      <c r="BN39" s="86">
        <f>资产资本表!BN9</f>
        <v>0</v>
      </c>
      <c r="BO39" s="86">
        <f>资产资本表!BO9</f>
        <v>0</v>
      </c>
      <c r="BP39" s="86">
        <f>资产资本表!BP9</f>
        <v>0</v>
      </c>
      <c r="BQ39" s="86">
        <f>资产资本表!BQ9</f>
        <v>0</v>
      </c>
      <c r="BR39" s="86">
        <f>资产资本表!BR9</f>
        <v>0</v>
      </c>
      <c r="BS39" s="86">
        <f>资产资本表!BS9</f>
        <v>0</v>
      </c>
      <c r="BT39" s="86">
        <f>资产资本表!BT9</f>
        <v>0</v>
      </c>
      <c r="BU39" s="86">
        <f>资产资本表!BU9</f>
        <v>0</v>
      </c>
      <c r="BV39" s="86">
        <f>资产资本表!BV9</f>
        <v>0</v>
      </c>
      <c r="BW39" s="86">
        <f>资产资本表!BW9</f>
        <v>0</v>
      </c>
      <c r="BX39" s="86">
        <f>资产资本表!BX9</f>
        <v>0</v>
      </c>
      <c r="BY39" s="86">
        <f>资产资本表!BY9</f>
        <v>0</v>
      </c>
      <c r="BZ39" s="86">
        <f>资产资本表!BZ9</f>
        <v>0</v>
      </c>
      <c r="CA39" s="86">
        <f>资产资本表!CA9</f>
        <v>0</v>
      </c>
      <c r="CB39" s="86">
        <f>资产资本表!CB9</f>
        <v>0</v>
      </c>
      <c r="CC39" s="86">
        <f>资产资本表!CC9</f>
        <v>0</v>
      </c>
      <c r="CD39" s="86">
        <f>资产资本表!CD9</f>
        <v>0</v>
      </c>
      <c r="CE39" s="86">
        <f>资产资本表!CE9</f>
        <v>0</v>
      </c>
      <c r="CF39" s="86">
        <f>资产资本表!CF9</f>
        <v>0</v>
      </c>
      <c r="CG39" s="86">
        <f>资产资本表!CG9</f>
        <v>0</v>
      </c>
      <c r="CH39" s="86">
        <f>资产资本表!CH9</f>
        <v>0</v>
      </c>
      <c r="CI39" s="86">
        <f>资产资本表!CI9</f>
        <v>0</v>
      </c>
      <c r="CJ39" s="86">
        <f>资产资本表!CJ9</f>
        <v>0</v>
      </c>
      <c r="CK39" s="86">
        <f>资产资本表!CK9</f>
        <v>0</v>
      </c>
    </row>
    <row r="40" spans="1:89" s="86" customFormat="1">
      <c r="A40" s="149" t="s">
        <v>464</v>
      </c>
      <c r="E40" s="86">
        <f>资产资本表!E10</f>
        <v>0</v>
      </c>
      <c r="F40" s="86">
        <f>资产资本表!F10</f>
        <v>0</v>
      </c>
      <c r="G40" s="86">
        <f>资产资本表!G10</f>
        <v>0</v>
      </c>
      <c r="H40" s="86">
        <f>资产资本表!H10</f>
        <v>0</v>
      </c>
      <c r="I40" s="86">
        <f>资产资本表!I10</f>
        <v>0</v>
      </c>
      <c r="J40" s="86">
        <f>资产资本表!J10</f>
        <v>0</v>
      </c>
      <c r="K40" s="86">
        <f>资产资本表!K10</f>
        <v>0</v>
      </c>
      <c r="L40" s="86">
        <f>资产资本表!L10</f>
        <v>0</v>
      </c>
      <c r="M40" s="86">
        <f>资产资本表!M10</f>
        <v>0</v>
      </c>
      <c r="N40" s="86">
        <f>资产资本表!N10</f>
        <v>0</v>
      </c>
      <c r="O40" s="86">
        <f>资产资本表!O10</f>
        <v>0</v>
      </c>
      <c r="P40" s="86">
        <f>资产资本表!P10</f>
        <v>0</v>
      </c>
      <c r="Q40" s="86">
        <f>资产资本表!Q10</f>
        <v>0</v>
      </c>
      <c r="R40" s="86">
        <f>资产资本表!R10</f>
        <v>0</v>
      </c>
      <c r="S40" s="86">
        <f>资产资本表!S10</f>
        <v>0</v>
      </c>
      <c r="T40" s="86">
        <f>资产资本表!T10</f>
        <v>0</v>
      </c>
      <c r="U40" s="86">
        <f>资产资本表!U10</f>
        <v>0</v>
      </c>
      <c r="V40" s="86">
        <f>资产资本表!V10</f>
        <v>0</v>
      </c>
      <c r="W40" s="86">
        <f>资产资本表!W10</f>
        <v>0</v>
      </c>
      <c r="X40" s="86">
        <f>资产资本表!X10</f>
        <v>0</v>
      </c>
      <c r="Y40" s="86">
        <f>资产资本表!Y10</f>
        <v>0</v>
      </c>
      <c r="Z40" s="86">
        <f>资产资本表!Z10</f>
        <v>0</v>
      </c>
      <c r="AA40" s="86">
        <f>资产资本表!AA10</f>
        <v>0</v>
      </c>
      <c r="AB40" s="86">
        <f>资产资本表!AB10</f>
        <v>0</v>
      </c>
      <c r="AC40" s="86">
        <f>资产资本表!AC10</f>
        <v>0</v>
      </c>
      <c r="AD40" s="86">
        <f>资产资本表!AD10</f>
        <v>0</v>
      </c>
      <c r="AE40" s="86">
        <f>资产资本表!AE10</f>
        <v>0</v>
      </c>
      <c r="AF40" s="86">
        <f>资产资本表!AF10</f>
        <v>0</v>
      </c>
      <c r="AG40" s="86">
        <f>资产资本表!AG10</f>
        <v>0</v>
      </c>
      <c r="AH40" s="86">
        <f>资产资本表!AH10</f>
        <v>0</v>
      </c>
      <c r="AI40" s="86">
        <f>资产资本表!AI10</f>
        <v>0</v>
      </c>
      <c r="AJ40" s="86">
        <f>资产资本表!AJ10</f>
        <v>0</v>
      </c>
      <c r="AK40" s="86">
        <f>资产资本表!AK10</f>
        <v>0</v>
      </c>
      <c r="AL40" s="86">
        <f>资产资本表!AL10</f>
        <v>0</v>
      </c>
      <c r="AM40" s="86">
        <f>资产资本表!AM10</f>
        <v>0</v>
      </c>
      <c r="AN40" s="86">
        <f>资产资本表!AN10</f>
        <v>0</v>
      </c>
      <c r="AO40" s="86">
        <f>资产资本表!AO10</f>
        <v>0</v>
      </c>
      <c r="AP40" s="86">
        <f>资产资本表!AP10</f>
        <v>0</v>
      </c>
      <c r="AQ40" s="86">
        <f>资产资本表!AQ10</f>
        <v>0</v>
      </c>
      <c r="AR40" s="86">
        <f>资产资本表!AR10</f>
        <v>0</v>
      </c>
      <c r="AS40" s="86">
        <f>资产资本表!AS10</f>
        <v>0</v>
      </c>
      <c r="AT40" s="86">
        <f>资产资本表!AT10</f>
        <v>0</v>
      </c>
      <c r="AU40" s="86">
        <f>资产资本表!AU10</f>
        <v>0</v>
      </c>
      <c r="AV40" s="86">
        <f>资产资本表!AV10</f>
        <v>0</v>
      </c>
      <c r="AW40" s="86">
        <f>资产资本表!AW10</f>
        <v>0</v>
      </c>
      <c r="AX40" s="86">
        <f>资产资本表!AX10</f>
        <v>0</v>
      </c>
      <c r="AY40" s="86">
        <f>资产资本表!AY10</f>
        <v>0</v>
      </c>
      <c r="AZ40" s="86">
        <f>资产资本表!AZ10</f>
        <v>0</v>
      </c>
      <c r="BA40" s="86">
        <f>资产资本表!BA10</f>
        <v>0</v>
      </c>
      <c r="BB40" s="86">
        <f>资产资本表!BB10</f>
        <v>0</v>
      </c>
      <c r="BC40" s="86">
        <f>资产资本表!BC10</f>
        <v>0</v>
      </c>
      <c r="BD40" s="86">
        <f>资产资本表!BD10</f>
        <v>0</v>
      </c>
      <c r="BE40" s="86">
        <f>资产资本表!BE10</f>
        <v>0</v>
      </c>
      <c r="BF40" s="86">
        <f>资产资本表!BF10</f>
        <v>0</v>
      </c>
      <c r="BG40" s="86">
        <f>资产资本表!BG10</f>
        <v>0</v>
      </c>
      <c r="BH40" s="86">
        <f>资产资本表!BH10</f>
        <v>0</v>
      </c>
      <c r="BI40" s="86">
        <f>资产资本表!BI10</f>
        <v>0</v>
      </c>
      <c r="BJ40" s="86">
        <f>资产资本表!BJ10</f>
        <v>0</v>
      </c>
      <c r="BK40" s="86">
        <f>资产资本表!BK10</f>
        <v>0</v>
      </c>
      <c r="BL40" s="86">
        <f>资产资本表!BL10</f>
        <v>0</v>
      </c>
      <c r="BM40" s="86">
        <f>资产资本表!BM10</f>
        <v>0</v>
      </c>
      <c r="BN40" s="86">
        <f>资产资本表!BN10</f>
        <v>0</v>
      </c>
      <c r="BO40" s="86">
        <f>资产资本表!BO10</f>
        <v>0</v>
      </c>
      <c r="BP40" s="86">
        <f>资产资本表!BP10</f>
        <v>0</v>
      </c>
      <c r="BQ40" s="86">
        <f>资产资本表!BQ10</f>
        <v>0</v>
      </c>
      <c r="BR40" s="86">
        <f>资产资本表!BR10</f>
        <v>0</v>
      </c>
      <c r="BS40" s="86">
        <f>资产资本表!BS10</f>
        <v>0</v>
      </c>
      <c r="BT40" s="86">
        <f>资产资本表!BT10</f>
        <v>0</v>
      </c>
      <c r="BU40" s="86">
        <f>资产资本表!BU10</f>
        <v>0</v>
      </c>
      <c r="BV40" s="86">
        <f>资产资本表!BV10</f>
        <v>0</v>
      </c>
      <c r="BW40" s="86">
        <f>资产资本表!BW10</f>
        <v>0</v>
      </c>
      <c r="BX40" s="86">
        <f>资产资本表!BX10</f>
        <v>0</v>
      </c>
      <c r="BY40" s="86">
        <f>资产资本表!BY10</f>
        <v>0</v>
      </c>
      <c r="BZ40" s="86">
        <f>资产资本表!BZ10</f>
        <v>0</v>
      </c>
      <c r="CA40" s="86">
        <f>资产资本表!CA10</f>
        <v>0</v>
      </c>
      <c r="CB40" s="86">
        <f>资产资本表!CB10</f>
        <v>0</v>
      </c>
      <c r="CC40" s="86">
        <f>资产资本表!CC10</f>
        <v>0</v>
      </c>
      <c r="CD40" s="86">
        <f>资产资本表!CD10</f>
        <v>0</v>
      </c>
      <c r="CE40" s="86">
        <f>资产资本表!CE10</f>
        <v>0</v>
      </c>
      <c r="CF40" s="86">
        <f>资产资本表!CF10</f>
        <v>0</v>
      </c>
      <c r="CG40" s="86">
        <f>资产资本表!CG10</f>
        <v>0</v>
      </c>
      <c r="CH40" s="86">
        <f>资产资本表!CH10</f>
        <v>0</v>
      </c>
      <c r="CI40" s="86">
        <f>资产资本表!CI10</f>
        <v>0</v>
      </c>
      <c r="CJ40" s="86">
        <f>资产资本表!CJ10</f>
        <v>0</v>
      </c>
      <c r="CK40" s="86">
        <f>资产资本表!CK10</f>
        <v>0</v>
      </c>
    </row>
    <row r="41" spans="1:89" s="86" customFormat="1">
      <c r="A41" s="149" t="s">
        <v>465</v>
      </c>
      <c r="E41" s="86">
        <f>资产资本表!E12</f>
        <v>0</v>
      </c>
      <c r="F41" s="86">
        <f>资产资本表!F12</f>
        <v>0</v>
      </c>
      <c r="G41" s="86">
        <f>资产资本表!G12</f>
        <v>0</v>
      </c>
      <c r="H41" s="86">
        <f>资产资本表!H12</f>
        <v>0</v>
      </c>
      <c r="I41" s="86">
        <f>资产资本表!I12</f>
        <v>0</v>
      </c>
      <c r="J41" s="86">
        <f>资产资本表!J12</f>
        <v>0</v>
      </c>
      <c r="K41" s="86">
        <f>资产资本表!K12</f>
        <v>0</v>
      </c>
      <c r="L41" s="86">
        <f>资产资本表!L12</f>
        <v>0</v>
      </c>
      <c r="M41" s="86">
        <f>资产资本表!M12</f>
        <v>0</v>
      </c>
      <c r="N41" s="86">
        <f>资产资本表!N12</f>
        <v>0</v>
      </c>
      <c r="O41" s="86">
        <f>资产资本表!O12</f>
        <v>0</v>
      </c>
      <c r="P41" s="86">
        <f>资产资本表!P12</f>
        <v>0</v>
      </c>
      <c r="Q41" s="86">
        <f>资产资本表!Q12</f>
        <v>0</v>
      </c>
      <c r="R41" s="86">
        <f>资产资本表!R12</f>
        <v>0</v>
      </c>
      <c r="S41" s="86">
        <f>资产资本表!S12</f>
        <v>0</v>
      </c>
      <c r="T41" s="86">
        <f>资产资本表!T12</f>
        <v>0</v>
      </c>
      <c r="U41" s="86">
        <f>资产资本表!U12</f>
        <v>0</v>
      </c>
      <c r="V41" s="86">
        <f>资产资本表!V12</f>
        <v>0</v>
      </c>
      <c r="W41" s="86">
        <f>资产资本表!W12</f>
        <v>0</v>
      </c>
      <c r="X41" s="86">
        <f>资产资本表!X12</f>
        <v>0</v>
      </c>
      <c r="Y41" s="86">
        <f>资产资本表!Y12</f>
        <v>0</v>
      </c>
      <c r="Z41" s="86">
        <f>资产资本表!Z12</f>
        <v>0</v>
      </c>
      <c r="AA41" s="86">
        <f>资产资本表!AA12</f>
        <v>0</v>
      </c>
      <c r="AB41" s="86">
        <f>资产资本表!AB12</f>
        <v>0</v>
      </c>
      <c r="AC41" s="86">
        <f>资产资本表!AC12</f>
        <v>0</v>
      </c>
      <c r="AD41" s="86">
        <f>资产资本表!AD12</f>
        <v>0</v>
      </c>
      <c r="AE41" s="86">
        <f>资产资本表!AE12</f>
        <v>0</v>
      </c>
      <c r="AF41" s="86">
        <f>资产资本表!AF12</f>
        <v>0</v>
      </c>
      <c r="AG41" s="86">
        <f>资产资本表!AG12</f>
        <v>0</v>
      </c>
      <c r="AH41" s="86">
        <f>资产资本表!AH12</f>
        <v>0</v>
      </c>
      <c r="AI41" s="86">
        <f>资产资本表!AI12</f>
        <v>0</v>
      </c>
      <c r="AJ41" s="86">
        <f>资产资本表!AJ12</f>
        <v>0</v>
      </c>
      <c r="AK41" s="86">
        <f>资产资本表!AK12</f>
        <v>0</v>
      </c>
      <c r="AL41" s="86">
        <f>资产资本表!AL12</f>
        <v>0</v>
      </c>
      <c r="AM41" s="86">
        <f>资产资本表!AM12</f>
        <v>0</v>
      </c>
      <c r="AN41" s="86">
        <f>资产资本表!AN12</f>
        <v>0</v>
      </c>
      <c r="AO41" s="86">
        <f>资产资本表!AO12</f>
        <v>0</v>
      </c>
      <c r="AP41" s="86">
        <f>资产资本表!AP12</f>
        <v>0</v>
      </c>
      <c r="AQ41" s="86">
        <f>资产资本表!AQ12</f>
        <v>0</v>
      </c>
      <c r="AR41" s="86">
        <f>资产资本表!AR12</f>
        <v>0</v>
      </c>
      <c r="AS41" s="86">
        <f>资产资本表!AS12</f>
        <v>0</v>
      </c>
      <c r="AT41" s="86">
        <f>资产资本表!AT12</f>
        <v>0</v>
      </c>
      <c r="AU41" s="86">
        <f>资产资本表!AU12</f>
        <v>0</v>
      </c>
      <c r="AV41" s="86">
        <f>资产资本表!AV12</f>
        <v>0</v>
      </c>
      <c r="AW41" s="86">
        <f>资产资本表!AW12</f>
        <v>0</v>
      </c>
      <c r="AX41" s="86">
        <f>资产资本表!AX12</f>
        <v>0</v>
      </c>
      <c r="AY41" s="86">
        <f>资产资本表!AY12</f>
        <v>0</v>
      </c>
      <c r="AZ41" s="86">
        <f>资产资本表!AZ12</f>
        <v>0</v>
      </c>
      <c r="BA41" s="86">
        <f>资产资本表!BA12</f>
        <v>0</v>
      </c>
      <c r="BB41" s="86">
        <f>资产资本表!BB12</f>
        <v>0</v>
      </c>
      <c r="BC41" s="86">
        <f>资产资本表!BC12</f>
        <v>0</v>
      </c>
      <c r="BD41" s="86">
        <f>资产资本表!BD12</f>
        <v>0</v>
      </c>
      <c r="BE41" s="86">
        <f>资产资本表!BE12</f>
        <v>0</v>
      </c>
      <c r="BF41" s="86">
        <f>资产资本表!BF12</f>
        <v>0</v>
      </c>
      <c r="BG41" s="86">
        <f>资产资本表!BG12</f>
        <v>0</v>
      </c>
      <c r="BH41" s="86">
        <f>资产资本表!BH12</f>
        <v>0</v>
      </c>
      <c r="BI41" s="86">
        <f>资产资本表!BI12</f>
        <v>0</v>
      </c>
      <c r="BJ41" s="86">
        <f>资产资本表!BJ12</f>
        <v>0</v>
      </c>
      <c r="BK41" s="86">
        <f>资产资本表!BK12</f>
        <v>0</v>
      </c>
      <c r="BL41" s="86">
        <f>资产资本表!BL12</f>
        <v>0</v>
      </c>
      <c r="BM41" s="86">
        <f>资产资本表!BM12</f>
        <v>0</v>
      </c>
      <c r="BN41" s="86">
        <f>资产资本表!BN12</f>
        <v>0</v>
      </c>
      <c r="BO41" s="86">
        <f>资产资本表!BO12</f>
        <v>0</v>
      </c>
      <c r="BP41" s="86">
        <f>资产资本表!BP12</f>
        <v>0</v>
      </c>
      <c r="BQ41" s="86">
        <f>资产资本表!BQ12</f>
        <v>0</v>
      </c>
      <c r="BR41" s="86">
        <f>资产资本表!BR12</f>
        <v>0</v>
      </c>
      <c r="BS41" s="86">
        <f>资产资本表!BS12</f>
        <v>0</v>
      </c>
      <c r="BT41" s="86">
        <f>资产资本表!BT12</f>
        <v>0</v>
      </c>
      <c r="BU41" s="86">
        <f>资产资本表!BU12</f>
        <v>0</v>
      </c>
      <c r="BV41" s="86">
        <f>资产资本表!BV12</f>
        <v>0</v>
      </c>
      <c r="BW41" s="86">
        <f>资产资本表!BW12</f>
        <v>0</v>
      </c>
      <c r="BX41" s="86">
        <f>资产资本表!BX12</f>
        <v>0</v>
      </c>
      <c r="BY41" s="86">
        <f>资产资本表!BY12</f>
        <v>0</v>
      </c>
      <c r="BZ41" s="86">
        <f>资产资本表!BZ12</f>
        <v>0</v>
      </c>
      <c r="CA41" s="86">
        <f>资产资本表!CA12</f>
        <v>0</v>
      </c>
      <c r="CB41" s="86">
        <f>资产资本表!CB12</f>
        <v>0</v>
      </c>
      <c r="CC41" s="86">
        <f>资产资本表!CC12</f>
        <v>0</v>
      </c>
      <c r="CD41" s="86">
        <f>资产资本表!CD12</f>
        <v>0</v>
      </c>
      <c r="CE41" s="86">
        <f>资产资本表!CE12</f>
        <v>0</v>
      </c>
      <c r="CF41" s="86">
        <f>资产资本表!CF12</f>
        <v>0</v>
      </c>
      <c r="CG41" s="86">
        <f>资产资本表!CG12</f>
        <v>0</v>
      </c>
      <c r="CH41" s="86">
        <f>资产资本表!CH12</f>
        <v>0</v>
      </c>
      <c r="CI41" s="86">
        <f>资产资本表!CI12</f>
        <v>0</v>
      </c>
      <c r="CJ41" s="86">
        <f>资产资本表!CJ12</f>
        <v>0</v>
      </c>
    </row>
    <row r="42" spans="1:89" s="86" customFormat="1">
      <c r="A42" s="149" t="s">
        <v>466</v>
      </c>
      <c r="E42" s="86">
        <f>资产资本表!E6</f>
        <v>0</v>
      </c>
      <c r="F42" s="86">
        <f>资产资本表!F6</f>
        <v>0</v>
      </c>
      <c r="G42" s="86">
        <f>资产资本表!G6</f>
        <v>0</v>
      </c>
      <c r="H42" s="86">
        <f>资产资本表!H6</f>
        <v>0</v>
      </c>
      <c r="I42" s="86">
        <f>资产资本表!I6</f>
        <v>0</v>
      </c>
      <c r="J42" s="86">
        <f>资产资本表!J6</f>
        <v>0</v>
      </c>
      <c r="K42" s="86">
        <f>资产资本表!K6</f>
        <v>0</v>
      </c>
      <c r="L42" s="86">
        <f>资产资本表!L6</f>
        <v>0</v>
      </c>
      <c r="M42" s="86">
        <f>资产资本表!M6</f>
        <v>0</v>
      </c>
      <c r="N42" s="86">
        <f>资产资本表!N6</f>
        <v>0</v>
      </c>
      <c r="O42" s="86">
        <f>资产资本表!O6</f>
        <v>0</v>
      </c>
      <c r="P42" s="86">
        <f>资产资本表!P6</f>
        <v>0</v>
      </c>
      <c r="Q42" s="86">
        <f>资产资本表!Q6</f>
        <v>0</v>
      </c>
      <c r="R42" s="86">
        <f>资产资本表!R6</f>
        <v>0</v>
      </c>
      <c r="S42" s="86">
        <f>资产资本表!S6</f>
        <v>0</v>
      </c>
      <c r="T42" s="86">
        <f>资产资本表!T6</f>
        <v>0</v>
      </c>
      <c r="U42" s="86">
        <f>资产资本表!U6</f>
        <v>0</v>
      </c>
      <c r="V42" s="86">
        <f>资产资本表!V6</f>
        <v>0</v>
      </c>
      <c r="W42" s="86">
        <f>资产资本表!W6</f>
        <v>0</v>
      </c>
      <c r="X42" s="86">
        <f>资产资本表!X6</f>
        <v>0</v>
      </c>
      <c r="Y42" s="86">
        <f>资产资本表!Y6</f>
        <v>0</v>
      </c>
      <c r="Z42" s="86">
        <f>资产资本表!Z6</f>
        <v>0</v>
      </c>
      <c r="AA42" s="86">
        <f>资产资本表!AA6</f>
        <v>0</v>
      </c>
      <c r="AB42" s="86">
        <f>资产资本表!AB6</f>
        <v>0</v>
      </c>
      <c r="AC42" s="86">
        <f>资产资本表!AC6</f>
        <v>0</v>
      </c>
      <c r="AD42" s="86">
        <f>资产资本表!AD6</f>
        <v>0</v>
      </c>
      <c r="AE42" s="86">
        <f>资产资本表!AE6</f>
        <v>0</v>
      </c>
      <c r="AF42" s="86">
        <f>资产资本表!AF6</f>
        <v>0</v>
      </c>
      <c r="AG42" s="86">
        <f>资产资本表!AG6</f>
        <v>0</v>
      </c>
      <c r="AH42" s="86">
        <f>资产资本表!AH6</f>
        <v>0</v>
      </c>
      <c r="AI42" s="86">
        <f>资产资本表!AI6</f>
        <v>0</v>
      </c>
      <c r="AJ42" s="86">
        <f>资产资本表!AJ6</f>
        <v>0</v>
      </c>
      <c r="AK42" s="86">
        <f>资产资本表!AK6</f>
        <v>0</v>
      </c>
      <c r="AL42" s="86">
        <f>资产资本表!AL6</f>
        <v>0</v>
      </c>
      <c r="AM42" s="86">
        <f>资产资本表!AM6</f>
        <v>0</v>
      </c>
      <c r="AN42" s="86">
        <f>资产资本表!AN6</f>
        <v>0</v>
      </c>
      <c r="AO42" s="86">
        <f>资产资本表!AO6</f>
        <v>0</v>
      </c>
      <c r="AP42" s="86">
        <f>资产资本表!AP6</f>
        <v>0</v>
      </c>
      <c r="AQ42" s="86">
        <f>资产资本表!AQ6</f>
        <v>0</v>
      </c>
      <c r="AR42" s="86">
        <f>资产资本表!AR6</f>
        <v>0</v>
      </c>
      <c r="AS42" s="86">
        <f>资产资本表!AS6</f>
        <v>0</v>
      </c>
      <c r="AT42" s="86">
        <f>资产资本表!AT6</f>
        <v>0</v>
      </c>
      <c r="AU42" s="86">
        <f>资产资本表!AU6</f>
        <v>0</v>
      </c>
      <c r="AV42" s="86">
        <f>资产资本表!AV6</f>
        <v>0</v>
      </c>
      <c r="AW42" s="86">
        <f>资产资本表!AW6</f>
        <v>0</v>
      </c>
      <c r="AX42" s="86">
        <f>资产资本表!AX6</f>
        <v>0</v>
      </c>
      <c r="AY42" s="86">
        <f>资产资本表!AY6</f>
        <v>0</v>
      </c>
      <c r="AZ42" s="86">
        <f>资产资本表!AZ6</f>
        <v>0</v>
      </c>
      <c r="BA42" s="86">
        <f>资产资本表!BA6</f>
        <v>0</v>
      </c>
      <c r="BB42" s="86">
        <f>资产资本表!BB6</f>
        <v>0</v>
      </c>
      <c r="BC42" s="86">
        <f>资产资本表!BC6</f>
        <v>0</v>
      </c>
      <c r="BD42" s="86">
        <f>资产资本表!BD6</f>
        <v>0</v>
      </c>
      <c r="BE42" s="86">
        <f>资产资本表!BE6</f>
        <v>0</v>
      </c>
      <c r="BF42" s="86">
        <f>资产资本表!BF6</f>
        <v>0</v>
      </c>
      <c r="BG42" s="86">
        <f>资产资本表!BG6</f>
        <v>0</v>
      </c>
      <c r="BH42" s="86">
        <f>资产资本表!BH6</f>
        <v>0</v>
      </c>
      <c r="BI42" s="86">
        <f>资产资本表!BI6</f>
        <v>0</v>
      </c>
      <c r="BJ42" s="86">
        <f>资产资本表!BJ6</f>
        <v>0</v>
      </c>
      <c r="BK42" s="86">
        <f>资产资本表!BK6</f>
        <v>0</v>
      </c>
      <c r="BL42" s="86">
        <f>资产资本表!BL6</f>
        <v>0</v>
      </c>
      <c r="BM42" s="86">
        <f>资产资本表!BM6</f>
        <v>0</v>
      </c>
      <c r="BN42" s="86">
        <f>资产资本表!BN6</f>
        <v>0</v>
      </c>
      <c r="BO42" s="86">
        <f>资产资本表!BO6</f>
        <v>0</v>
      </c>
      <c r="BP42" s="86">
        <f>资产资本表!BP6</f>
        <v>0</v>
      </c>
      <c r="BQ42" s="86">
        <f>资产资本表!BQ6</f>
        <v>0</v>
      </c>
      <c r="BR42" s="86">
        <f>资产资本表!BR6</f>
        <v>0</v>
      </c>
      <c r="BS42" s="86">
        <f>资产资本表!BS6</f>
        <v>0</v>
      </c>
      <c r="BT42" s="86">
        <f>资产资本表!BT6</f>
        <v>0</v>
      </c>
      <c r="BU42" s="86">
        <f>资产资本表!BU6</f>
        <v>0</v>
      </c>
      <c r="BV42" s="86">
        <f>资产资本表!BV6</f>
        <v>0</v>
      </c>
      <c r="BW42" s="86">
        <f>资产资本表!BW6</f>
        <v>0</v>
      </c>
      <c r="BX42" s="86">
        <f>资产资本表!BX6</f>
        <v>0</v>
      </c>
      <c r="BY42" s="86">
        <f>资产资本表!BY6</f>
        <v>0</v>
      </c>
      <c r="BZ42" s="86">
        <f>资产资本表!BZ6</f>
        <v>0</v>
      </c>
      <c r="CA42" s="86">
        <f>资产资本表!CA6</f>
        <v>0</v>
      </c>
      <c r="CB42" s="86">
        <f>资产资本表!CB6</f>
        <v>0</v>
      </c>
      <c r="CC42" s="86">
        <f>资产资本表!CC6</f>
        <v>0</v>
      </c>
      <c r="CD42" s="86">
        <f>资产资本表!CD6</f>
        <v>0</v>
      </c>
      <c r="CE42" s="86">
        <f>资产资本表!CE6</f>
        <v>0</v>
      </c>
      <c r="CF42" s="86">
        <f>资产资本表!CF6</f>
        <v>0</v>
      </c>
      <c r="CG42" s="86">
        <f>资产资本表!CG6</f>
        <v>0</v>
      </c>
      <c r="CH42" s="86">
        <f>资产资本表!CH6</f>
        <v>0</v>
      </c>
      <c r="CI42" s="86">
        <f>资产资本表!CI6</f>
        <v>0</v>
      </c>
      <c r="CJ42" s="86">
        <f>资产资本表!CJ6</f>
        <v>0</v>
      </c>
    </row>
    <row r="43" spans="1:89" s="86" customFormat="1">
      <c r="A43" s="150" t="s">
        <v>467</v>
      </c>
      <c r="E43" s="86">
        <f>SUM(E34:E42)</f>
        <v>712293476.29999995</v>
      </c>
      <c r="F43" s="86">
        <f t="shared" ref="F43:BQ43" si="10">SUM(F34:F42)</f>
        <v>679069334.74000001</v>
      </c>
      <c r="G43" s="86">
        <f t="shared" si="10"/>
        <v>505175249.07999998</v>
      </c>
      <c r="H43" s="86">
        <f t="shared" si="10"/>
        <v>678095364.05999994</v>
      </c>
      <c r="I43" s="86">
        <f t="shared" si="10"/>
        <v>777942517.54999995</v>
      </c>
      <c r="J43" s="86">
        <f t="shared" si="10"/>
        <v>623681233.02999997</v>
      </c>
      <c r="K43" s="86">
        <f t="shared" si="10"/>
        <v>656787777.10000002</v>
      </c>
      <c r="L43" s="86">
        <f t="shared" si="10"/>
        <v>795373187.23999989</v>
      </c>
      <c r="M43" s="86">
        <f t="shared" si="10"/>
        <v>973286905.5</v>
      </c>
      <c r="N43" s="86">
        <f t="shared" si="10"/>
        <v>809711157.58999991</v>
      </c>
      <c r="O43" s="86">
        <f t="shared" si="10"/>
        <v>570581984.97000003</v>
      </c>
      <c r="P43" s="86">
        <f t="shared" si="10"/>
        <v>909436222.82000005</v>
      </c>
      <c r="Q43" s="86">
        <f t="shared" si="10"/>
        <v>964978678.83000004</v>
      </c>
      <c r="R43" s="86">
        <f t="shared" si="10"/>
        <v>755741642.29999995</v>
      </c>
      <c r="S43" s="86">
        <f t="shared" si="10"/>
        <v>665116750.71000004</v>
      </c>
      <c r="T43" s="86">
        <f t="shared" si="10"/>
        <v>763230395.60000002</v>
      </c>
      <c r="U43" s="86">
        <f t="shared" si="10"/>
        <v>706490908.72000003</v>
      </c>
      <c r="V43" s="86">
        <f t="shared" si="10"/>
        <v>501180113.66000003</v>
      </c>
      <c r="W43" s="86">
        <f t="shared" si="10"/>
        <v>502241523.37</v>
      </c>
      <c r="X43" s="86">
        <f t="shared" si="10"/>
        <v>602246499.29999995</v>
      </c>
      <c r="Y43" s="86">
        <f t="shared" si="10"/>
        <v>673380231.46000004</v>
      </c>
      <c r="Z43" s="86">
        <f t="shared" si="10"/>
        <v>643489726.26999998</v>
      </c>
      <c r="AA43" s="86">
        <f t="shared" si="10"/>
        <v>488036620.79000002</v>
      </c>
      <c r="AB43" s="86">
        <f t="shared" si="10"/>
        <v>510333384.02999997</v>
      </c>
      <c r="AC43" s="86">
        <f t="shared" si="10"/>
        <v>534179707.85000002</v>
      </c>
      <c r="AD43" s="86">
        <f t="shared" si="10"/>
        <v>523746129.82999998</v>
      </c>
      <c r="AE43" s="86">
        <f t="shared" si="10"/>
        <v>641391460.04999995</v>
      </c>
      <c r="AF43" s="86">
        <f t="shared" si="10"/>
        <v>665322811.37</v>
      </c>
      <c r="AG43" s="86">
        <f t="shared" si="10"/>
        <v>666518672.60000002</v>
      </c>
      <c r="AH43" s="86">
        <f t="shared" si="10"/>
        <v>628738523.15999997</v>
      </c>
      <c r="AI43" s="86">
        <f t="shared" si="10"/>
        <v>719788534.54999995</v>
      </c>
      <c r="AJ43" s="86">
        <f t="shared" si="10"/>
        <v>836933325.63999999</v>
      </c>
      <c r="AK43" s="86">
        <f t="shared" si="10"/>
        <v>853443052.58000004</v>
      </c>
      <c r="AL43" s="86">
        <f t="shared" si="10"/>
        <v>79196016.939999998</v>
      </c>
      <c r="AM43" s="86">
        <f t="shared" si="10"/>
        <v>63469949.020000003</v>
      </c>
      <c r="AN43" s="86">
        <f t="shared" si="10"/>
        <v>78477223.810000002</v>
      </c>
      <c r="AO43" s="86">
        <f t="shared" si="10"/>
        <v>78997061.840000004</v>
      </c>
      <c r="AP43" s="86">
        <f t="shared" si="10"/>
        <v>44249685.200000003</v>
      </c>
      <c r="AQ43" s="86">
        <f t="shared" si="10"/>
        <v>0</v>
      </c>
      <c r="AR43" s="86">
        <f t="shared" si="10"/>
        <v>119300</v>
      </c>
      <c r="AS43" s="86">
        <f t="shared" si="10"/>
        <v>0</v>
      </c>
      <c r="AT43" s="86">
        <f t="shared" si="10"/>
        <v>0</v>
      </c>
      <c r="AU43" s="86">
        <f t="shared" si="10"/>
        <v>0</v>
      </c>
      <c r="AV43" s="86">
        <f t="shared" si="10"/>
        <v>0</v>
      </c>
      <c r="AW43" s="86">
        <f t="shared" si="10"/>
        <v>0</v>
      </c>
      <c r="AX43" s="86">
        <f t="shared" si="10"/>
        <v>0</v>
      </c>
      <c r="AY43" s="86">
        <f t="shared" si="10"/>
        <v>0</v>
      </c>
      <c r="AZ43" s="86">
        <f t="shared" si="10"/>
        <v>0</v>
      </c>
      <c r="BA43" s="86">
        <f t="shared" si="10"/>
        <v>0</v>
      </c>
      <c r="BB43" s="86">
        <f t="shared" si="10"/>
        <v>0</v>
      </c>
      <c r="BC43" s="86">
        <f t="shared" si="10"/>
        <v>0</v>
      </c>
      <c r="BD43" s="86">
        <f t="shared" si="10"/>
        <v>0</v>
      </c>
      <c r="BE43" s="86">
        <f t="shared" si="10"/>
        <v>0</v>
      </c>
      <c r="BF43" s="86">
        <f t="shared" si="10"/>
        <v>0</v>
      </c>
      <c r="BG43" s="86">
        <f t="shared" si="10"/>
        <v>0</v>
      </c>
      <c r="BH43" s="86">
        <f t="shared" si="10"/>
        <v>0</v>
      </c>
      <c r="BI43" s="86">
        <f t="shared" si="10"/>
        <v>0</v>
      </c>
      <c r="BJ43" s="86">
        <f t="shared" si="10"/>
        <v>0</v>
      </c>
      <c r="BK43" s="86">
        <f t="shared" si="10"/>
        <v>0</v>
      </c>
      <c r="BL43" s="86">
        <f t="shared" si="10"/>
        <v>0</v>
      </c>
      <c r="BM43" s="86">
        <f t="shared" si="10"/>
        <v>0</v>
      </c>
      <c r="BN43" s="86">
        <f t="shared" si="10"/>
        <v>0</v>
      </c>
      <c r="BO43" s="86">
        <f t="shared" si="10"/>
        <v>0</v>
      </c>
      <c r="BP43" s="86">
        <f t="shared" si="10"/>
        <v>0</v>
      </c>
      <c r="BQ43" s="86">
        <f t="shared" si="10"/>
        <v>0</v>
      </c>
      <c r="BR43" s="86">
        <f t="shared" ref="BR43:CJ43" si="11">SUM(BR34:BR42)</f>
        <v>0</v>
      </c>
      <c r="BS43" s="86">
        <f t="shared" si="11"/>
        <v>0</v>
      </c>
      <c r="BT43" s="86">
        <f t="shared" si="11"/>
        <v>0</v>
      </c>
      <c r="BU43" s="86">
        <f t="shared" si="11"/>
        <v>0</v>
      </c>
      <c r="BV43" s="86">
        <f t="shared" si="11"/>
        <v>0</v>
      </c>
      <c r="BW43" s="86">
        <f t="shared" si="11"/>
        <v>0</v>
      </c>
      <c r="BX43" s="86">
        <f t="shared" si="11"/>
        <v>0</v>
      </c>
      <c r="BY43" s="86">
        <f t="shared" si="11"/>
        <v>0</v>
      </c>
      <c r="BZ43" s="86">
        <f t="shared" si="11"/>
        <v>0</v>
      </c>
      <c r="CA43" s="86">
        <f t="shared" si="11"/>
        <v>0</v>
      </c>
      <c r="CB43" s="86">
        <f t="shared" si="11"/>
        <v>0</v>
      </c>
      <c r="CC43" s="86">
        <f t="shared" si="11"/>
        <v>0</v>
      </c>
      <c r="CD43" s="86">
        <f t="shared" si="11"/>
        <v>0</v>
      </c>
      <c r="CE43" s="86">
        <f t="shared" si="11"/>
        <v>0</v>
      </c>
      <c r="CF43" s="86">
        <f t="shared" si="11"/>
        <v>0</v>
      </c>
      <c r="CG43" s="86">
        <f t="shared" si="11"/>
        <v>0</v>
      </c>
      <c r="CH43" s="86">
        <f t="shared" si="11"/>
        <v>0</v>
      </c>
      <c r="CI43" s="86">
        <f t="shared" si="11"/>
        <v>0</v>
      </c>
      <c r="CJ43" s="86">
        <f t="shared" si="11"/>
        <v>0</v>
      </c>
    </row>
    <row r="44" spans="1:89" s="139" customFormat="1">
      <c r="A44" s="138" t="s">
        <v>468</v>
      </c>
      <c r="E44" s="139">
        <f>E32/E43</f>
        <v>3.8679798257175935E-2</v>
      </c>
      <c r="F44" s="139">
        <f t="shared" ref="F44:BQ44" si="12">F32/F43</f>
        <v>2.5411196661501483E-2</v>
      </c>
      <c r="G44" s="139">
        <f t="shared" si="12"/>
        <v>2.0614859893128043E-2</v>
      </c>
      <c r="H44" s="139">
        <f t="shared" si="12"/>
        <v>1.4807000428942061E-2</v>
      </c>
      <c r="I44" s="139">
        <f t="shared" si="12"/>
        <v>2.8080151560416357E-2</v>
      </c>
      <c r="J44" s="139">
        <f t="shared" si="12"/>
        <v>2.803100813756098E-2</v>
      </c>
      <c r="K44" s="139">
        <f t="shared" si="12"/>
        <v>1.5072013303222179E-2</v>
      </c>
      <c r="L44" s="139">
        <f t="shared" si="12"/>
        <v>7.3516537062419509E-3</v>
      </c>
      <c r="M44" s="139">
        <f t="shared" si="12"/>
        <v>3.135909582113626E-2</v>
      </c>
      <c r="N44" s="139">
        <f t="shared" si="12"/>
        <v>1.8545626529760367E-2</v>
      </c>
      <c r="O44" s="139">
        <f t="shared" si="12"/>
        <v>1.9981117372097804E-2</v>
      </c>
      <c r="P44" s="139">
        <f t="shared" si="12"/>
        <v>4.090790937980991E-3</v>
      </c>
      <c r="Q44" s="139">
        <f t="shared" si="12"/>
        <v>2.1255709653416686E-2</v>
      </c>
      <c r="R44" s="139">
        <f t="shared" si="12"/>
        <v>6.7260363054473596E-3</v>
      </c>
      <c r="S44" s="139">
        <f t="shared" si="12"/>
        <v>4.4331431798635464E-3</v>
      </c>
      <c r="T44" s="139">
        <f t="shared" si="12"/>
        <v>7.6469051394832395E-4</v>
      </c>
      <c r="U44" s="139">
        <f t="shared" si="12"/>
        <v>2.2755769917536157E-2</v>
      </c>
      <c r="V44" s="139">
        <f t="shared" si="12"/>
        <v>9.45616579398143E-3</v>
      </c>
      <c r="W44" s="139">
        <f t="shared" si="12"/>
        <v>2.4580147387029024E-3</v>
      </c>
      <c r="X44" s="139">
        <f t="shared" si="12"/>
        <v>1.4757734147263492E-4</v>
      </c>
      <c r="Y44" s="139">
        <f t="shared" si="12"/>
        <v>1.164793028625797E-2</v>
      </c>
      <c r="Z44" s="139">
        <f t="shared" si="12"/>
        <v>0</v>
      </c>
      <c r="AA44" s="139">
        <f t="shared" si="12"/>
        <v>0</v>
      </c>
      <c r="AB44" s="139">
        <f t="shared" si="12"/>
        <v>0</v>
      </c>
      <c r="AC44" s="139">
        <f t="shared" si="12"/>
        <v>1.5610589880912259E-2</v>
      </c>
      <c r="AD44" s="139">
        <f t="shared" si="12"/>
        <v>0</v>
      </c>
      <c r="AE44" s="139">
        <f t="shared" si="12"/>
        <v>0</v>
      </c>
      <c r="AF44" s="139">
        <f t="shared" si="12"/>
        <v>0</v>
      </c>
      <c r="AG44" s="139">
        <f t="shared" si="12"/>
        <v>1.2917649850872607E-2</v>
      </c>
      <c r="AH44" s="139">
        <f t="shared" si="12"/>
        <v>0</v>
      </c>
      <c r="AI44" s="139">
        <f t="shared" si="12"/>
        <v>0</v>
      </c>
      <c r="AJ44" s="139">
        <f t="shared" si="12"/>
        <v>0</v>
      </c>
      <c r="AK44" s="139">
        <f t="shared" si="12"/>
        <v>2.5809276074706183E-4</v>
      </c>
      <c r="AL44" s="139">
        <f t="shared" si="12"/>
        <v>2.043265195899193E-4</v>
      </c>
      <c r="AM44" s="139">
        <f t="shared" si="12"/>
        <v>0</v>
      </c>
      <c r="AN44" s="139">
        <f t="shared" si="12"/>
        <v>0</v>
      </c>
      <c r="AO44" s="139">
        <f t="shared" si="12"/>
        <v>-7.914306959617086E-4</v>
      </c>
      <c r="AP44" s="139">
        <f t="shared" si="12"/>
        <v>0</v>
      </c>
      <c r="AQ44" s="139" t="e">
        <f t="shared" si="12"/>
        <v>#DIV/0!</v>
      </c>
      <c r="AR44" s="139">
        <f t="shared" si="12"/>
        <v>2.6214902069596513</v>
      </c>
      <c r="AS44" s="139" t="e">
        <f t="shared" si="12"/>
        <v>#DIV/0!</v>
      </c>
      <c r="AT44" s="139" t="e">
        <f t="shared" si="12"/>
        <v>#DIV/0!</v>
      </c>
      <c r="AU44" s="139" t="e">
        <f t="shared" si="12"/>
        <v>#DIV/0!</v>
      </c>
      <c r="AV44" s="139" t="e">
        <f t="shared" si="12"/>
        <v>#DIV/0!</v>
      </c>
      <c r="AW44" s="139" t="e">
        <f t="shared" si="12"/>
        <v>#DIV/0!</v>
      </c>
      <c r="AX44" s="139" t="e">
        <f t="shared" si="12"/>
        <v>#DIV/0!</v>
      </c>
      <c r="AY44" s="139" t="e">
        <f t="shared" si="12"/>
        <v>#DIV/0!</v>
      </c>
      <c r="AZ44" s="139" t="e">
        <f t="shared" si="12"/>
        <v>#DIV/0!</v>
      </c>
      <c r="BA44" s="139" t="e">
        <f t="shared" si="12"/>
        <v>#DIV/0!</v>
      </c>
      <c r="BB44" s="139" t="e">
        <f t="shared" si="12"/>
        <v>#DIV/0!</v>
      </c>
      <c r="BC44" s="139" t="e">
        <f t="shared" si="12"/>
        <v>#DIV/0!</v>
      </c>
      <c r="BD44" s="139" t="e">
        <f t="shared" si="12"/>
        <v>#DIV/0!</v>
      </c>
      <c r="BE44" s="139" t="e">
        <f t="shared" si="12"/>
        <v>#DIV/0!</v>
      </c>
      <c r="BF44" s="139" t="e">
        <f t="shared" si="12"/>
        <v>#DIV/0!</v>
      </c>
      <c r="BG44" s="139" t="e">
        <f t="shared" si="12"/>
        <v>#DIV/0!</v>
      </c>
      <c r="BH44" s="139" t="e">
        <f t="shared" si="12"/>
        <v>#DIV/0!</v>
      </c>
      <c r="BI44" s="139" t="e">
        <f t="shared" si="12"/>
        <v>#DIV/0!</v>
      </c>
      <c r="BJ44" s="139" t="e">
        <f t="shared" si="12"/>
        <v>#DIV/0!</v>
      </c>
      <c r="BK44" s="139" t="e">
        <f t="shared" si="12"/>
        <v>#DIV/0!</v>
      </c>
      <c r="BL44" s="139" t="e">
        <f t="shared" si="12"/>
        <v>#DIV/0!</v>
      </c>
      <c r="BM44" s="139" t="e">
        <f t="shared" si="12"/>
        <v>#DIV/0!</v>
      </c>
      <c r="BN44" s="139" t="e">
        <f t="shared" si="12"/>
        <v>#DIV/0!</v>
      </c>
      <c r="BO44" s="139" t="e">
        <f t="shared" si="12"/>
        <v>#DIV/0!</v>
      </c>
      <c r="BP44" s="139" t="e">
        <f t="shared" si="12"/>
        <v>#DIV/0!</v>
      </c>
      <c r="BQ44" s="139" t="e">
        <f t="shared" si="12"/>
        <v>#DIV/0!</v>
      </c>
      <c r="BR44" s="139" t="e">
        <f t="shared" ref="BR44:CK44" si="13">BR32/BR43</f>
        <v>#DIV/0!</v>
      </c>
      <c r="BS44" s="139" t="e">
        <f t="shared" si="13"/>
        <v>#DIV/0!</v>
      </c>
      <c r="BT44" s="139" t="e">
        <f t="shared" si="13"/>
        <v>#DIV/0!</v>
      </c>
      <c r="BU44" s="139" t="e">
        <f t="shared" si="13"/>
        <v>#DIV/0!</v>
      </c>
      <c r="BV44" s="139" t="e">
        <f t="shared" si="13"/>
        <v>#DIV/0!</v>
      </c>
      <c r="BW44" s="139" t="e">
        <f t="shared" si="13"/>
        <v>#DIV/0!</v>
      </c>
      <c r="BX44" s="139" t="e">
        <f t="shared" si="13"/>
        <v>#DIV/0!</v>
      </c>
      <c r="BY44" s="139" t="e">
        <f t="shared" si="13"/>
        <v>#DIV/0!</v>
      </c>
      <c r="BZ44" s="139" t="e">
        <f t="shared" si="13"/>
        <v>#DIV/0!</v>
      </c>
      <c r="CA44" s="139" t="e">
        <f t="shared" si="13"/>
        <v>#DIV/0!</v>
      </c>
      <c r="CB44" s="139" t="e">
        <f t="shared" si="13"/>
        <v>#DIV/0!</v>
      </c>
      <c r="CC44" s="139" t="e">
        <f t="shared" si="13"/>
        <v>#DIV/0!</v>
      </c>
      <c r="CD44" s="139" t="e">
        <f t="shared" si="13"/>
        <v>#DIV/0!</v>
      </c>
      <c r="CE44" s="139" t="e">
        <f t="shared" si="13"/>
        <v>#DIV/0!</v>
      </c>
      <c r="CF44" s="139" t="e">
        <f t="shared" si="13"/>
        <v>#DIV/0!</v>
      </c>
      <c r="CG44" s="139" t="e">
        <f t="shared" si="13"/>
        <v>#DIV/0!</v>
      </c>
      <c r="CH44" s="139" t="e">
        <f t="shared" si="13"/>
        <v>#DIV/0!</v>
      </c>
      <c r="CI44" s="139" t="e">
        <f t="shared" si="13"/>
        <v>#DIV/0!</v>
      </c>
      <c r="CJ44" s="139" t="e">
        <f t="shared" si="13"/>
        <v>#DIV/0!</v>
      </c>
      <c r="CK44" s="139" t="e">
        <f t="shared" si="13"/>
        <v>#DIV/0!</v>
      </c>
    </row>
    <row r="45" spans="1:89" s="22" customFormat="1" ht="28.5" customHeight="1">
      <c r="A45" s="165"/>
      <c r="B45" s="166"/>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row>
    <row r="48" spans="1:89" s="148" customFormat="1">
      <c r="A48" s="147" t="s">
        <v>469</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39447</v>
      </c>
      <c r="AR48" s="1">
        <v>39082</v>
      </c>
      <c r="AS48" s="1">
        <v>25569</v>
      </c>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86" customFormat="1">
      <c r="A49" s="149" t="s">
        <v>470</v>
      </c>
      <c r="E49" s="86">
        <f>利润表!E4</f>
        <v>2616208430.02</v>
      </c>
      <c r="F49" s="86">
        <f>利润表!F4</f>
        <v>1538538792.47</v>
      </c>
      <c r="G49" s="86">
        <f>利润表!G4</f>
        <v>961289995.45000005</v>
      </c>
      <c r="H49" s="86">
        <f>利润表!H4</f>
        <v>431372254.86000001</v>
      </c>
      <c r="I49" s="86">
        <f>利润表!I4</f>
        <v>2311575474.5900002</v>
      </c>
      <c r="J49" s="86">
        <f>利润表!J4</f>
        <v>1347750467</v>
      </c>
      <c r="K49" s="86">
        <f>利润表!K4</f>
        <v>881149327.19000006</v>
      </c>
      <c r="L49" s="86">
        <f>利润表!L4</f>
        <v>431129453.88</v>
      </c>
      <c r="M49" s="86">
        <f>利润表!M4</f>
        <v>2092608347.29</v>
      </c>
      <c r="N49" s="86">
        <f>利润表!N4</f>
        <v>1298349056.04</v>
      </c>
      <c r="O49" s="86">
        <f>利润表!O4</f>
        <v>862619894.12</v>
      </c>
      <c r="P49" s="86">
        <f>利润表!P4</f>
        <v>462472843.76999998</v>
      </c>
      <c r="Q49" s="86">
        <f>利润表!Q4</f>
        <v>1969766903.8199999</v>
      </c>
      <c r="R49" s="86">
        <f>利润表!R4</f>
        <v>1299438859.97</v>
      </c>
      <c r="S49" s="86">
        <f>利润表!S4</f>
        <v>853989106.69000006</v>
      </c>
      <c r="T49" s="86">
        <f>利润表!T4</f>
        <v>452252432.13999999</v>
      </c>
      <c r="U49" s="86">
        <f>利润表!U4</f>
        <v>1863895419.51</v>
      </c>
      <c r="V49" s="86">
        <f>利润表!V4</f>
        <v>1255433504.79</v>
      </c>
      <c r="W49" s="86">
        <f>利润表!W4</f>
        <v>820683087.59000003</v>
      </c>
      <c r="X49" s="86">
        <f>利润表!X4</f>
        <v>439128345.19999999</v>
      </c>
      <c r="Y49" s="86">
        <f>利润表!Y4</f>
        <v>1776970381.24</v>
      </c>
      <c r="Z49" s="86">
        <f>利润表!Z4</f>
        <v>1192443012.9400001</v>
      </c>
      <c r="AA49" s="86">
        <f>利润表!AA4</f>
        <v>758478132.33000004</v>
      </c>
      <c r="AB49" s="86">
        <f>利润表!AB4</f>
        <v>404312414</v>
      </c>
      <c r="AC49" s="86">
        <f>利润表!AC4</f>
        <v>1453420015.48</v>
      </c>
      <c r="AD49" s="86">
        <f>利润表!AD4</f>
        <v>944792894.37</v>
      </c>
      <c r="AE49" s="86">
        <f>利润表!AE4</f>
        <v>607588062.33000004</v>
      </c>
      <c r="AF49" s="86">
        <f>利润表!AF4</f>
        <v>332888930.76999998</v>
      </c>
      <c r="AG49" s="86">
        <f>利润表!AG4</f>
        <v>1067301429.12</v>
      </c>
      <c r="AH49" s="86">
        <f>利润表!AH4</f>
        <v>698071299.27999997</v>
      </c>
      <c r="AI49" s="86">
        <f>利润表!AI4</f>
        <v>453223021.43000001</v>
      </c>
      <c r="AJ49" s="86">
        <f>利润表!AJ4</f>
        <v>253170727.09</v>
      </c>
      <c r="AK49" s="86">
        <f>利润表!AK4</f>
        <v>791785397.63</v>
      </c>
      <c r="AL49" s="86">
        <f>利润表!AL4</f>
        <v>522453685.52999997</v>
      </c>
      <c r="AM49" s="86">
        <f>利润表!AM4</f>
        <v>323155042.13999999</v>
      </c>
      <c r="AN49" s="86">
        <f>利润表!AN4</f>
        <v>181748831.08000001</v>
      </c>
      <c r="AO49" s="86">
        <f>利润表!AO4</f>
        <v>680763750.52999997</v>
      </c>
      <c r="AP49" s="86">
        <f>利润表!AP4</f>
        <v>468344420.81</v>
      </c>
      <c r="AQ49" s="86">
        <f>利润表!AQ4</f>
        <v>590236990.59000003</v>
      </c>
      <c r="AR49" s="86">
        <f>利润表!AR4</f>
        <v>419082605.45999998</v>
      </c>
      <c r="AS49" s="86">
        <f>利润表!AS4</f>
        <v>0</v>
      </c>
      <c r="AT49" s="86">
        <f>利润表!AT4</f>
        <v>0</v>
      </c>
      <c r="AU49" s="86">
        <f>利润表!AU4</f>
        <v>0</v>
      </c>
      <c r="AV49" s="86">
        <f>利润表!AV4</f>
        <v>0</v>
      </c>
      <c r="AW49" s="86">
        <f>利润表!AW4</f>
        <v>0</v>
      </c>
      <c r="AX49" s="86">
        <f>利润表!AX4</f>
        <v>0</v>
      </c>
      <c r="AY49" s="86">
        <f>利润表!AY4</f>
        <v>0</v>
      </c>
      <c r="AZ49" s="86">
        <f>利润表!AZ4</f>
        <v>0</v>
      </c>
      <c r="BA49" s="86">
        <f>利润表!BA4</f>
        <v>0</v>
      </c>
      <c r="BB49" s="86">
        <f>利润表!BB4</f>
        <v>0</v>
      </c>
      <c r="BC49" s="86">
        <f>利润表!BC4</f>
        <v>0</v>
      </c>
      <c r="BD49" s="86">
        <f>利润表!BD4</f>
        <v>0</v>
      </c>
      <c r="BE49" s="86">
        <f>利润表!BE4</f>
        <v>0</v>
      </c>
      <c r="BF49" s="86">
        <f>利润表!BF4</f>
        <v>0</v>
      </c>
      <c r="BG49" s="86">
        <f>利润表!BG4</f>
        <v>0</v>
      </c>
      <c r="BH49" s="86">
        <f>利润表!BH4</f>
        <v>0</v>
      </c>
      <c r="BI49" s="86">
        <f>利润表!BI4</f>
        <v>0</v>
      </c>
      <c r="BJ49" s="86">
        <f>利润表!BJ4</f>
        <v>0</v>
      </c>
      <c r="BK49" s="86">
        <f>利润表!BK4</f>
        <v>0</v>
      </c>
      <c r="BL49" s="86">
        <f>利润表!BL4</f>
        <v>0</v>
      </c>
      <c r="BM49" s="86">
        <f>利润表!BM4</f>
        <v>0</v>
      </c>
      <c r="BN49" s="86">
        <f>利润表!BN4</f>
        <v>0</v>
      </c>
      <c r="BO49" s="86">
        <f>利润表!BO4</f>
        <v>0</v>
      </c>
      <c r="BP49" s="86">
        <f>利润表!BP4</f>
        <v>0</v>
      </c>
      <c r="BQ49" s="86">
        <f>利润表!BQ4</f>
        <v>0</v>
      </c>
      <c r="BR49" s="86">
        <f>利润表!BR4</f>
        <v>0</v>
      </c>
      <c r="BS49" s="86">
        <f>利润表!BS4</f>
        <v>0</v>
      </c>
      <c r="BT49" s="86">
        <f>利润表!BT4</f>
        <v>0</v>
      </c>
      <c r="BU49" s="86">
        <f>利润表!BU4</f>
        <v>0</v>
      </c>
      <c r="BV49" s="86">
        <f>利润表!BV4</f>
        <v>0</v>
      </c>
      <c r="BW49" s="86">
        <f>利润表!BW4</f>
        <v>0</v>
      </c>
      <c r="BX49" s="86">
        <f>利润表!BX4</f>
        <v>0</v>
      </c>
      <c r="BY49" s="86">
        <f>利润表!BY4</f>
        <v>0</v>
      </c>
      <c r="BZ49" s="86">
        <f>利润表!BZ4</f>
        <v>0</v>
      </c>
      <c r="CA49" s="86">
        <f>利润表!CA4</f>
        <v>0</v>
      </c>
      <c r="CB49" s="86">
        <f>利润表!CB4</f>
        <v>0</v>
      </c>
      <c r="CC49" s="86">
        <f>利润表!CC4</f>
        <v>0</v>
      </c>
      <c r="CD49" s="86">
        <f>利润表!CD4</f>
        <v>0</v>
      </c>
      <c r="CE49" s="86">
        <f>利润表!CE4</f>
        <v>0</v>
      </c>
      <c r="CF49" s="86">
        <f>利润表!CF4</f>
        <v>0</v>
      </c>
      <c r="CG49" s="86">
        <f>利润表!CG4</f>
        <v>0</v>
      </c>
      <c r="CH49" s="86">
        <f>利润表!CH4</f>
        <v>0</v>
      </c>
      <c r="CI49" s="86">
        <f>利润表!CI4</f>
        <v>0</v>
      </c>
      <c r="CJ49" s="86">
        <f>利润表!CJ4</f>
        <v>0</v>
      </c>
      <c r="CK49" s="86">
        <f>利润表!CK4</f>
        <v>0</v>
      </c>
    </row>
    <row r="50" spans="1:89" s="86" customFormat="1">
      <c r="A50" s="149" t="s">
        <v>471</v>
      </c>
      <c r="E50" s="86">
        <f>资产资本表!E50</f>
        <v>1019359342.77</v>
      </c>
      <c r="F50" s="86">
        <f>资产资本表!F50</f>
        <v>832380086.96000004</v>
      </c>
      <c r="G50" s="86">
        <f>资产资本表!G50</f>
        <v>1051578488.79</v>
      </c>
      <c r="H50" s="86">
        <f>资产资本表!H50</f>
        <v>887439335.81999981</v>
      </c>
      <c r="I50" s="86">
        <f>资产资本表!I50</f>
        <v>660996160.13999999</v>
      </c>
      <c r="J50" s="86">
        <f>资产资本表!J50</f>
        <v>822767964.97000003</v>
      </c>
      <c r="K50" s="86">
        <f>资产资本表!K50</f>
        <v>765383230.66000021</v>
      </c>
      <c r="L50" s="86">
        <f>资产资本表!L50</f>
        <v>640223137.68999994</v>
      </c>
      <c r="M50" s="86">
        <f>资产资本表!M50</f>
        <v>386525963.11999989</v>
      </c>
      <c r="N50" s="86">
        <f>资产资本表!N50</f>
        <v>512819312.0800001</v>
      </c>
      <c r="O50" s="86">
        <f>资产资本表!O50</f>
        <v>693038148.51999998</v>
      </c>
      <c r="P50" s="86">
        <f>资产资本表!P50</f>
        <v>525332145.76999992</v>
      </c>
      <c r="Q50" s="86">
        <f>资产资本表!Q50</f>
        <v>405527471.01999998</v>
      </c>
      <c r="R50" s="86">
        <f>资产资本表!R50</f>
        <v>609878065.87</v>
      </c>
      <c r="S50" s="86">
        <f>资产资本表!S50</f>
        <v>621077633.18000007</v>
      </c>
      <c r="T50" s="86">
        <f>资产资本表!T50</f>
        <v>463470781.43999994</v>
      </c>
      <c r="U50" s="86">
        <f>资产资本表!U50</f>
        <v>427689519.43999994</v>
      </c>
      <c r="V50" s="86">
        <f>资产资本表!V50</f>
        <v>542624943.00999999</v>
      </c>
      <c r="W50" s="86">
        <f>资产资本表!W50</f>
        <v>522165789.11999989</v>
      </c>
      <c r="X50" s="86">
        <f>资产资本表!X50</f>
        <v>403976638.93999994</v>
      </c>
      <c r="Y50" s="86">
        <f>资产资本表!Y50</f>
        <v>257468295.17000002</v>
      </c>
      <c r="Z50" s="86">
        <f>资产资本表!Z50</f>
        <v>252131513.39999992</v>
      </c>
      <c r="AA50" s="86">
        <f>资产资本表!AA50</f>
        <v>377330992.53000009</v>
      </c>
      <c r="AB50" s="86">
        <f>资产资本表!AB50</f>
        <v>363581719.30000001</v>
      </c>
      <c r="AC50" s="86">
        <f>资产资本表!AC50</f>
        <v>296555534.18000013</v>
      </c>
      <c r="AD50" s="86">
        <f>资产资本表!AD50</f>
        <v>339614478.26000011</v>
      </c>
      <c r="AE50" s="86">
        <f>资产资本表!AE50</f>
        <v>284453211.50999999</v>
      </c>
      <c r="AF50" s="86">
        <f>资产资本表!AF50</f>
        <v>261569156.52000001</v>
      </c>
      <c r="AG50" s="86">
        <f>资产资本表!AG50</f>
        <v>253325423.25999996</v>
      </c>
      <c r="AH50" s="86">
        <f>资产资本表!AH50</f>
        <v>260853074.94999999</v>
      </c>
      <c r="AI50" s="86">
        <f>资产资本表!AI50</f>
        <v>168459628.32999992</v>
      </c>
      <c r="AJ50" s="86">
        <f>资产资本表!AJ50</f>
        <v>53954488.209999979</v>
      </c>
      <c r="AK50" s="86">
        <f>资产资本表!AK50</f>
        <v>15067759.359999985</v>
      </c>
      <c r="AL50" s="86">
        <f>资产资本表!AL50</f>
        <v>41918088.459999979</v>
      </c>
      <c r="AM50" s="86">
        <f>资产资本表!AM50</f>
        <v>58662516.229999989</v>
      </c>
      <c r="AN50" s="86">
        <f>资产资本表!AN50</f>
        <v>46438378.349999964</v>
      </c>
      <c r="AO50" s="86">
        <f>资产资本表!AO50</f>
        <v>23875538.120000035</v>
      </c>
      <c r="AP50" s="86">
        <f>资产资本表!AP50</f>
        <v>24020537.819999993</v>
      </c>
      <c r="AQ50" s="86">
        <f>资产资本表!AQ50</f>
        <v>0</v>
      </c>
      <c r="AR50" s="86">
        <f>资产资本表!AR50</f>
        <v>0</v>
      </c>
      <c r="AS50" s="86">
        <f>资产资本表!AS50</f>
        <v>0</v>
      </c>
      <c r="AT50" s="86">
        <f>资产资本表!AT50</f>
        <v>0</v>
      </c>
      <c r="AU50" s="86">
        <f>资产资本表!AU50</f>
        <v>0</v>
      </c>
      <c r="AV50" s="86">
        <f>资产资本表!AV50</f>
        <v>0</v>
      </c>
      <c r="AW50" s="86">
        <f>资产资本表!AW50</f>
        <v>0</v>
      </c>
      <c r="AX50" s="86">
        <f>资产资本表!AX50</f>
        <v>0</v>
      </c>
      <c r="AY50" s="86">
        <f>资产资本表!AY50</f>
        <v>0</v>
      </c>
      <c r="AZ50" s="86">
        <f>资产资本表!AZ50</f>
        <v>0</v>
      </c>
      <c r="BA50" s="86">
        <f>资产资本表!BA50</f>
        <v>0</v>
      </c>
      <c r="BB50" s="86">
        <f>资产资本表!BB50</f>
        <v>0</v>
      </c>
      <c r="BC50" s="86">
        <f>资产资本表!BC50</f>
        <v>0</v>
      </c>
      <c r="BD50" s="86">
        <f>资产资本表!BD50</f>
        <v>0</v>
      </c>
      <c r="BE50" s="86">
        <f>资产资本表!BE50</f>
        <v>0</v>
      </c>
      <c r="BF50" s="86">
        <f>资产资本表!BF50</f>
        <v>0</v>
      </c>
      <c r="BG50" s="86">
        <f>资产资本表!BG50</f>
        <v>0</v>
      </c>
      <c r="BH50" s="86">
        <f>资产资本表!BH50</f>
        <v>0</v>
      </c>
      <c r="BI50" s="86">
        <f>资产资本表!BI50</f>
        <v>0</v>
      </c>
      <c r="BJ50" s="86">
        <f>资产资本表!BJ50</f>
        <v>0</v>
      </c>
      <c r="BK50" s="86">
        <f>资产资本表!BK50</f>
        <v>0</v>
      </c>
      <c r="BL50" s="86">
        <f>资产资本表!BL50</f>
        <v>0</v>
      </c>
      <c r="BM50" s="86">
        <f>资产资本表!BM50</f>
        <v>0</v>
      </c>
      <c r="BN50" s="86">
        <f>资产资本表!BN50</f>
        <v>0</v>
      </c>
      <c r="BO50" s="86">
        <f>资产资本表!BO50</f>
        <v>0</v>
      </c>
      <c r="BP50" s="86">
        <f>资产资本表!BP50</f>
        <v>0</v>
      </c>
      <c r="BQ50" s="86">
        <f>资产资本表!BQ50</f>
        <v>0</v>
      </c>
      <c r="BR50" s="86">
        <f>资产资本表!BR50</f>
        <v>0</v>
      </c>
      <c r="BS50" s="86">
        <f>资产资本表!BS50</f>
        <v>0</v>
      </c>
      <c r="BT50" s="86">
        <f>资产资本表!BT50</f>
        <v>0</v>
      </c>
      <c r="BU50" s="86">
        <f>资产资本表!BU50</f>
        <v>0</v>
      </c>
      <c r="BV50" s="86">
        <f>资产资本表!BV50</f>
        <v>0</v>
      </c>
      <c r="BW50" s="86">
        <f>资产资本表!BW50</f>
        <v>0</v>
      </c>
      <c r="BX50" s="86">
        <f>资产资本表!BX50</f>
        <v>0</v>
      </c>
      <c r="BY50" s="86">
        <f>资产资本表!BY50</f>
        <v>0</v>
      </c>
      <c r="BZ50" s="86">
        <f>资产资本表!BZ50</f>
        <v>0</v>
      </c>
      <c r="CA50" s="86">
        <f>资产资本表!CA50</f>
        <v>0</v>
      </c>
      <c r="CB50" s="86">
        <f>资产资本表!CB50</f>
        <v>0</v>
      </c>
      <c r="CC50" s="86">
        <f>资产资本表!CC50</f>
        <v>0</v>
      </c>
      <c r="CD50" s="86">
        <f>资产资本表!CD50</f>
        <v>0</v>
      </c>
      <c r="CE50" s="86">
        <f>资产资本表!CE50</f>
        <v>0</v>
      </c>
      <c r="CF50" s="86">
        <f>资产资本表!CF50</f>
        <v>0</v>
      </c>
      <c r="CG50" s="86">
        <f>资产资本表!CG50</f>
        <v>0</v>
      </c>
      <c r="CH50" s="86">
        <f>资产资本表!CH50</f>
        <v>0</v>
      </c>
      <c r="CI50" s="86">
        <f>资产资本表!CI50</f>
        <v>0</v>
      </c>
      <c r="CJ50" s="86">
        <f>资产资本表!CJ50</f>
        <v>0</v>
      </c>
      <c r="CK50" s="86">
        <f>资产资本表!CK50</f>
        <v>0</v>
      </c>
    </row>
    <row r="51" spans="1:89" s="52" customFormat="1">
      <c r="A51" s="151" t="s">
        <v>472</v>
      </c>
      <c r="E51" s="52">
        <f>E49/E50</f>
        <v>2.5665222461303325</v>
      </c>
      <c r="F51" s="52">
        <f t="shared" ref="F51:BQ51" si="14">F49/F50</f>
        <v>1.8483608829339215</v>
      </c>
      <c r="G51" s="52">
        <f t="shared" si="14"/>
        <v>0.91414003395610488</v>
      </c>
      <c r="H51" s="52">
        <f t="shared" si="14"/>
        <v>0.48608647087004453</v>
      </c>
      <c r="I51" s="52">
        <f t="shared" si="14"/>
        <v>3.4971087791196926</v>
      </c>
      <c r="J51" s="52">
        <f t="shared" si="14"/>
        <v>1.638068719713877</v>
      </c>
      <c r="K51" s="52">
        <f t="shared" si="14"/>
        <v>1.1512524600652319</v>
      </c>
      <c r="L51" s="52">
        <f t="shared" si="14"/>
        <v>0.67340498726048159</v>
      </c>
      <c r="M51" s="52">
        <f t="shared" si="14"/>
        <v>5.4138881911027905</v>
      </c>
      <c r="N51" s="52">
        <f t="shared" si="14"/>
        <v>2.5317865873145138</v>
      </c>
      <c r="O51" s="52">
        <f t="shared" si="14"/>
        <v>1.2446932336439862</v>
      </c>
      <c r="P51" s="52">
        <f t="shared" si="14"/>
        <v>0.88034369778025934</v>
      </c>
      <c r="Q51" s="52">
        <f t="shared" si="14"/>
        <v>4.8572958543734615</v>
      </c>
      <c r="R51" s="52">
        <f t="shared" si="14"/>
        <v>2.130653539927414</v>
      </c>
      <c r="S51" s="52">
        <f t="shared" si="14"/>
        <v>1.3750118520891861</v>
      </c>
      <c r="T51" s="52">
        <f t="shared" si="14"/>
        <v>0.97579491577625532</v>
      </c>
      <c r="U51" s="52">
        <f t="shared" si="14"/>
        <v>4.358057270027361</v>
      </c>
      <c r="V51" s="52">
        <f t="shared" si="14"/>
        <v>2.3136302909814148</v>
      </c>
      <c r="W51" s="52">
        <f t="shared" si="14"/>
        <v>1.5716906482385373</v>
      </c>
      <c r="X51" s="52">
        <f t="shared" si="14"/>
        <v>1.08701420545563</v>
      </c>
      <c r="Y51" s="52">
        <f t="shared" si="14"/>
        <v>6.9017056258002949</v>
      </c>
      <c r="Z51" s="52">
        <f t="shared" si="14"/>
        <v>4.7294485201785195</v>
      </c>
      <c r="AA51" s="52">
        <f t="shared" si="14"/>
        <v>2.010113527236161</v>
      </c>
      <c r="AB51" s="52">
        <f t="shared" si="14"/>
        <v>1.1120262448244602</v>
      </c>
      <c r="AC51" s="52">
        <f t="shared" si="14"/>
        <v>4.9010045268547193</v>
      </c>
      <c r="AD51" s="52">
        <f t="shared" si="14"/>
        <v>2.7819570567503629</v>
      </c>
      <c r="AE51" s="52">
        <f t="shared" si="14"/>
        <v>2.1359859468791416</v>
      </c>
      <c r="AF51" s="52">
        <f t="shared" si="14"/>
        <v>1.2726612540976203</v>
      </c>
      <c r="AG51" s="52">
        <f t="shared" si="14"/>
        <v>4.2131635087591572</v>
      </c>
      <c r="AH51" s="52">
        <f t="shared" si="14"/>
        <v>2.6761091446355594</v>
      </c>
      <c r="AI51" s="52">
        <f t="shared" si="14"/>
        <v>2.690395472927019</v>
      </c>
      <c r="AJ51" s="52">
        <f t="shared" si="14"/>
        <v>4.6923015209525625</v>
      </c>
      <c r="AK51" s="52">
        <f t="shared" si="14"/>
        <v>52.54831715271041</v>
      </c>
      <c r="AL51" s="52">
        <f t="shared" si="14"/>
        <v>12.463681067626629</v>
      </c>
      <c r="AM51" s="52">
        <f t="shared" si="14"/>
        <v>5.5087143018720122</v>
      </c>
      <c r="AN51" s="52">
        <f t="shared" si="14"/>
        <v>3.9137635192638065</v>
      </c>
      <c r="AO51" s="52">
        <f t="shared" si="14"/>
        <v>28.513022287013442</v>
      </c>
      <c r="AP51" s="52">
        <f t="shared" si="14"/>
        <v>19.497665885734115</v>
      </c>
      <c r="AQ51" s="52" t="e">
        <f t="shared" si="14"/>
        <v>#DIV/0!</v>
      </c>
      <c r="AR51" s="52" t="e">
        <f t="shared" si="14"/>
        <v>#DIV/0!</v>
      </c>
      <c r="AS51" s="52" t="e">
        <f t="shared" si="14"/>
        <v>#DIV/0!</v>
      </c>
      <c r="AT51" s="52" t="e">
        <f t="shared" si="14"/>
        <v>#DIV/0!</v>
      </c>
      <c r="AU51" s="52" t="e">
        <f t="shared" si="14"/>
        <v>#DIV/0!</v>
      </c>
      <c r="AV51" s="52" t="e">
        <f t="shared" si="14"/>
        <v>#DIV/0!</v>
      </c>
      <c r="AW51" s="52" t="e">
        <f t="shared" si="14"/>
        <v>#DIV/0!</v>
      </c>
      <c r="AX51" s="52" t="e">
        <f t="shared" si="14"/>
        <v>#DIV/0!</v>
      </c>
      <c r="AY51" s="52" t="e">
        <f t="shared" si="14"/>
        <v>#DIV/0!</v>
      </c>
      <c r="AZ51" s="52" t="e">
        <f t="shared" si="14"/>
        <v>#DIV/0!</v>
      </c>
      <c r="BA51" s="52" t="e">
        <f t="shared" si="14"/>
        <v>#DIV/0!</v>
      </c>
      <c r="BB51" s="52" t="e">
        <f t="shared" si="14"/>
        <v>#DIV/0!</v>
      </c>
      <c r="BC51" s="52" t="e">
        <f t="shared" si="14"/>
        <v>#DIV/0!</v>
      </c>
      <c r="BD51" s="52" t="e">
        <f t="shared" si="14"/>
        <v>#DIV/0!</v>
      </c>
      <c r="BE51" s="52" t="e">
        <f t="shared" si="14"/>
        <v>#DIV/0!</v>
      </c>
      <c r="BF51" s="52" t="e">
        <f t="shared" si="14"/>
        <v>#DIV/0!</v>
      </c>
      <c r="BG51" s="52" t="e">
        <f t="shared" si="14"/>
        <v>#DIV/0!</v>
      </c>
      <c r="BH51" s="52" t="e">
        <f t="shared" si="14"/>
        <v>#DIV/0!</v>
      </c>
      <c r="BI51" s="52" t="e">
        <f t="shared" si="14"/>
        <v>#DIV/0!</v>
      </c>
      <c r="BJ51" s="52" t="e">
        <f t="shared" si="14"/>
        <v>#DIV/0!</v>
      </c>
      <c r="BK51" s="52" t="e">
        <f t="shared" si="14"/>
        <v>#DIV/0!</v>
      </c>
      <c r="BL51" s="52" t="e">
        <f t="shared" si="14"/>
        <v>#DIV/0!</v>
      </c>
      <c r="BM51" s="52" t="e">
        <f t="shared" si="14"/>
        <v>#DIV/0!</v>
      </c>
      <c r="BN51" s="52" t="e">
        <f t="shared" si="14"/>
        <v>#DIV/0!</v>
      </c>
      <c r="BO51" s="52" t="e">
        <f t="shared" si="14"/>
        <v>#DIV/0!</v>
      </c>
      <c r="BP51" s="52" t="e">
        <f t="shared" si="14"/>
        <v>#DIV/0!</v>
      </c>
      <c r="BQ51" s="52" t="e">
        <f t="shared" si="14"/>
        <v>#DIV/0!</v>
      </c>
      <c r="BR51" s="52" t="e">
        <f t="shared" ref="BR51:CJ51" si="15">BR49/BR50</f>
        <v>#DIV/0!</v>
      </c>
      <c r="BS51" s="52" t="e">
        <f t="shared" si="15"/>
        <v>#DIV/0!</v>
      </c>
      <c r="BT51" s="52" t="e">
        <f t="shared" si="15"/>
        <v>#DIV/0!</v>
      </c>
      <c r="BU51" s="52" t="e">
        <f t="shared" si="15"/>
        <v>#DIV/0!</v>
      </c>
      <c r="BV51" s="52" t="e">
        <f t="shared" si="15"/>
        <v>#DIV/0!</v>
      </c>
      <c r="BW51" s="52" t="e">
        <f t="shared" si="15"/>
        <v>#DIV/0!</v>
      </c>
      <c r="BX51" s="52" t="e">
        <f t="shared" si="15"/>
        <v>#DIV/0!</v>
      </c>
      <c r="BY51" s="52" t="e">
        <f t="shared" si="15"/>
        <v>#DIV/0!</v>
      </c>
      <c r="BZ51" s="52" t="e">
        <f t="shared" si="15"/>
        <v>#DIV/0!</v>
      </c>
      <c r="CA51" s="52" t="e">
        <f t="shared" si="15"/>
        <v>#DIV/0!</v>
      </c>
      <c r="CB51" s="52" t="e">
        <f t="shared" si="15"/>
        <v>#DIV/0!</v>
      </c>
      <c r="CC51" s="52" t="e">
        <f t="shared" si="15"/>
        <v>#DIV/0!</v>
      </c>
      <c r="CD51" s="52" t="e">
        <f t="shared" si="15"/>
        <v>#DIV/0!</v>
      </c>
      <c r="CE51" s="52" t="e">
        <f t="shared" si="15"/>
        <v>#DIV/0!</v>
      </c>
      <c r="CF51" s="52" t="e">
        <f t="shared" si="15"/>
        <v>#DIV/0!</v>
      </c>
      <c r="CG51" s="52" t="e">
        <f t="shared" si="15"/>
        <v>#DIV/0!</v>
      </c>
      <c r="CH51" s="52" t="e">
        <f t="shared" si="15"/>
        <v>#DIV/0!</v>
      </c>
      <c r="CI51" s="52" t="e">
        <f t="shared" si="15"/>
        <v>#DIV/0!</v>
      </c>
      <c r="CJ51" s="52" t="e">
        <f t="shared" si="15"/>
        <v>#DIV/0!</v>
      </c>
    </row>
    <row r="52" spans="1:89" s="86" customFormat="1">
      <c r="A52" s="149" t="s">
        <v>473</v>
      </c>
      <c r="E52" s="86">
        <f>资产资本表!E68</f>
        <v>1410947802.6399999</v>
      </c>
      <c r="F52" s="86">
        <f>资产资本表!F68</f>
        <v>1367153245.6700003</v>
      </c>
      <c r="G52" s="86">
        <f>资产资本表!G68</f>
        <v>1269565992.1900001</v>
      </c>
      <c r="H52" s="86">
        <f>资产资本表!H68</f>
        <v>1253302547.5300002</v>
      </c>
      <c r="I52" s="86">
        <f>资产资本表!I68</f>
        <v>1236999878.1700001</v>
      </c>
      <c r="J52" s="86">
        <f>资产资本表!J68</f>
        <v>1034620155.38</v>
      </c>
      <c r="K52" s="86">
        <f>资产资本表!K68</f>
        <v>990494038.49000001</v>
      </c>
      <c r="L52" s="86">
        <f>资产资本表!L68</f>
        <v>960477978.07999992</v>
      </c>
      <c r="M52" s="86">
        <f>资产资本表!M68</f>
        <v>957925773.76000011</v>
      </c>
      <c r="N52" s="86">
        <f>资产资本表!N68</f>
        <v>873995316.04000008</v>
      </c>
      <c r="O52" s="86">
        <f>资产资本表!O68</f>
        <v>853058064.85000002</v>
      </c>
      <c r="P52" s="86">
        <f>资产资本表!P68</f>
        <v>839094773.1099999</v>
      </c>
      <c r="Q52" s="86">
        <f>资产资本表!Q68</f>
        <v>807731294.66000009</v>
      </c>
      <c r="R52" s="86">
        <f>资产资本表!R68</f>
        <v>749263981.1700002</v>
      </c>
      <c r="S52" s="86">
        <f>资产资本表!S68</f>
        <v>735499582.28999996</v>
      </c>
      <c r="T52" s="86">
        <f>资产资本表!T68</f>
        <v>710694914.16000009</v>
      </c>
      <c r="U52" s="86">
        <f>资产资本表!U68</f>
        <v>699262006.81999993</v>
      </c>
      <c r="V52" s="86">
        <f>资产资本表!V68</f>
        <v>668499983.16999996</v>
      </c>
      <c r="W52" s="86">
        <f>资产资本表!W68</f>
        <v>646240740.63999987</v>
      </c>
      <c r="X52" s="86">
        <f>资产资本表!X68</f>
        <v>632344542.03999996</v>
      </c>
      <c r="Y52" s="86">
        <f>资产资本表!Y68</f>
        <v>619029551.51999998</v>
      </c>
      <c r="Z52" s="86">
        <f>资产资本表!Z68</f>
        <v>565603737.48000002</v>
      </c>
      <c r="AA52" s="86">
        <f>资产资本表!AA68</f>
        <v>543671380.0200001</v>
      </c>
      <c r="AB52" s="86">
        <f>资产资本表!AB68</f>
        <v>509305736.06</v>
      </c>
      <c r="AC52" s="86">
        <f>资产资本表!AC68</f>
        <v>478274483.81</v>
      </c>
      <c r="AD52" s="86">
        <f>资产资本表!AD68</f>
        <v>376398258.69000006</v>
      </c>
      <c r="AE52" s="86">
        <f>资产资本表!AE68</f>
        <v>309691045.02000004</v>
      </c>
      <c r="AF52" s="86">
        <f>资产资本表!AF68</f>
        <v>295490502.18000001</v>
      </c>
      <c r="AG52" s="86">
        <f>资产资本表!AG68</f>
        <v>276281864.78999996</v>
      </c>
      <c r="AH52" s="86">
        <f>资产资本表!AH68</f>
        <v>232990840.75000003</v>
      </c>
      <c r="AI52" s="86">
        <f>资产资本表!AI68</f>
        <v>201806080.77000001</v>
      </c>
      <c r="AJ52" s="86">
        <f>资产资本表!AJ68</f>
        <v>187685699.58000001</v>
      </c>
      <c r="AK52" s="86">
        <f>资产资本表!AK68</f>
        <v>173757421.32999998</v>
      </c>
      <c r="AL52" s="86">
        <f>资产资本表!AL68</f>
        <v>158830350.22</v>
      </c>
      <c r="AM52" s="86">
        <f>资产资本表!AM68</f>
        <v>153765327.69999999</v>
      </c>
      <c r="AN52" s="86">
        <f>资产资本表!AN68</f>
        <v>161497242.40000001</v>
      </c>
      <c r="AO52" s="86">
        <f>资产资本表!AO68</f>
        <v>158666532.44999999</v>
      </c>
      <c r="AP52" s="86">
        <f>资产资本表!AP68</f>
        <v>108170903.03</v>
      </c>
      <c r="AQ52" s="86">
        <f>资产资本表!AQ68</f>
        <v>0</v>
      </c>
      <c r="AR52" s="86">
        <f>资产资本表!AR68</f>
        <v>0</v>
      </c>
      <c r="AS52" s="86">
        <f>资产资本表!AS68</f>
        <v>0</v>
      </c>
      <c r="AT52" s="86">
        <f>资产资本表!AT68</f>
        <v>0</v>
      </c>
      <c r="AU52" s="86">
        <f>资产资本表!AU68</f>
        <v>0</v>
      </c>
      <c r="AV52" s="86">
        <f>资产资本表!AV68</f>
        <v>0</v>
      </c>
      <c r="AW52" s="86">
        <f>资产资本表!AW68</f>
        <v>0</v>
      </c>
      <c r="AX52" s="86">
        <f>资产资本表!AX68</f>
        <v>0</v>
      </c>
      <c r="AY52" s="86">
        <f>资产资本表!AY68</f>
        <v>0</v>
      </c>
      <c r="AZ52" s="86">
        <f>资产资本表!AZ68</f>
        <v>0</v>
      </c>
      <c r="BA52" s="86">
        <f>资产资本表!BA68</f>
        <v>0</v>
      </c>
      <c r="BB52" s="86">
        <f>资产资本表!BB68</f>
        <v>0</v>
      </c>
      <c r="BC52" s="86">
        <f>资产资本表!BC68</f>
        <v>0</v>
      </c>
      <c r="BD52" s="86">
        <f>资产资本表!BD68</f>
        <v>0</v>
      </c>
      <c r="BE52" s="86">
        <f>资产资本表!BE68</f>
        <v>0</v>
      </c>
      <c r="BF52" s="86">
        <f>资产资本表!BF68</f>
        <v>0</v>
      </c>
      <c r="BG52" s="86">
        <f>资产资本表!BG68</f>
        <v>0</v>
      </c>
      <c r="BH52" s="86">
        <f>资产资本表!BH68</f>
        <v>0</v>
      </c>
      <c r="BI52" s="86">
        <f>资产资本表!BI68</f>
        <v>0</v>
      </c>
      <c r="BJ52" s="86">
        <f>资产资本表!BJ68</f>
        <v>0</v>
      </c>
      <c r="BK52" s="86">
        <f>资产资本表!BK68</f>
        <v>0</v>
      </c>
      <c r="BL52" s="86">
        <f>资产资本表!BL68</f>
        <v>0</v>
      </c>
      <c r="BM52" s="86">
        <f>资产资本表!BM68</f>
        <v>0</v>
      </c>
      <c r="BN52" s="86">
        <f>资产资本表!BN68</f>
        <v>0</v>
      </c>
      <c r="BO52" s="86">
        <f>资产资本表!BO68</f>
        <v>0</v>
      </c>
      <c r="BP52" s="86">
        <f>资产资本表!BP68</f>
        <v>0</v>
      </c>
      <c r="BQ52" s="86">
        <f>资产资本表!BQ68</f>
        <v>0</v>
      </c>
      <c r="BR52" s="86">
        <f>资产资本表!BR68</f>
        <v>0</v>
      </c>
      <c r="BS52" s="86">
        <f>资产资本表!BS68</f>
        <v>0</v>
      </c>
      <c r="BT52" s="86">
        <f>资产资本表!BT68</f>
        <v>0</v>
      </c>
      <c r="BU52" s="86">
        <f>资产资本表!BU68</f>
        <v>0</v>
      </c>
      <c r="BV52" s="86">
        <f>资产资本表!BV68</f>
        <v>0</v>
      </c>
      <c r="BW52" s="86">
        <f>资产资本表!BW68</f>
        <v>0</v>
      </c>
      <c r="BX52" s="86">
        <f>资产资本表!BX68</f>
        <v>0</v>
      </c>
      <c r="BY52" s="86">
        <f>资产资本表!BY68</f>
        <v>0</v>
      </c>
      <c r="BZ52" s="86">
        <f>资产资本表!BZ68</f>
        <v>0</v>
      </c>
      <c r="CA52" s="86">
        <f>资产资本表!CA68</f>
        <v>0</v>
      </c>
      <c r="CB52" s="86">
        <f>资产资本表!CB68</f>
        <v>0</v>
      </c>
      <c r="CC52" s="86">
        <f>资产资本表!CC68</f>
        <v>0</v>
      </c>
      <c r="CD52" s="86">
        <f>资产资本表!CD68</f>
        <v>0</v>
      </c>
      <c r="CE52" s="86">
        <f>资产资本表!CE68</f>
        <v>0</v>
      </c>
      <c r="CF52" s="86">
        <f>资产资本表!CF68</f>
        <v>0</v>
      </c>
      <c r="CG52" s="86">
        <f>资产资本表!CG68</f>
        <v>0</v>
      </c>
      <c r="CH52" s="86">
        <f>资产资本表!CH68</f>
        <v>0</v>
      </c>
      <c r="CI52" s="86">
        <f>资产资本表!CI68</f>
        <v>0</v>
      </c>
      <c r="CJ52" s="86">
        <f>资产资本表!CJ68</f>
        <v>0</v>
      </c>
      <c r="CK52" s="86">
        <f>资产资本表!CK68</f>
        <v>0</v>
      </c>
    </row>
    <row r="53" spans="1:89" s="52" customFormat="1">
      <c r="A53" s="151" t="s">
        <v>474</v>
      </c>
      <c r="E53" s="52">
        <f>E49/E52</f>
        <v>1.8542205637408116</v>
      </c>
      <c r="F53" s="52">
        <f t="shared" ref="F53:BQ53" si="16">F49/F52</f>
        <v>1.1253594264891709</v>
      </c>
      <c r="G53" s="52">
        <f t="shared" si="16"/>
        <v>0.75718001377130129</v>
      </c>
      <c r="H53" s="52">
        <f t="shared" si="16"/>
        <v>0.34418844492907591</v>
      </c>
      <c r="I53" s="52">
        <f t="shared" si="16"/>
        <v>1.8686949896953198</v>
      </c>
      <c r="J53" s="52">
        <f t="shared" si="16"/>
        <v>1.302652437217398</v>
      </c>
      <c r="K53" s="52">
        <f t="shared" si="16"/>
        <v>0.88960588650619743</v>
      </c>
      <c r="L53" s="52">
        <f t="shared" si="16"/>
        <v>0.44886969167354551</v>
      </c>
      <c r="M53" s="52">
        <f t="shared" si="16"/>
        <v>2.1845203507534858</v>
      </c>
      <c r="N53" s="52">
        <f t="shared" si="16"/>
        <v>1.4855331970458507</v>
      </c>
      <c r="O53" s="52">
        <f t="shared" si="16"/>
        <v>1.01120888444057</v>
      </c>
      <c r="P53" s="52">
        <f t="shared" si="16"/>
        <v>0.55115686402848418</v>
      </c>
      <c r="Q53" s="52">
        <f t="shared" si="16"/>
        <v>2.4386413115875842</v>
      </c>
      <c r="R53" s="52">
        <f t="shared" si="16"/>
        <v>1.7342871039134748</v>
      </c>
      <c r="S53" s="52">
        <f t="shared" si="16"/>
        <v>1.1611007364967896</v>
      </c>
      <c r="T53" s="52">
        <f t="shared" si="16"/>
        <v>0.63635242511132362</v>
      </c>
      <c r="U53" s="52">
        <f t="shared" si="16"/>
        <v>2.6655179336660191</v>
      </c>
      <c r="V53" s="52">
        <f t="shared" si="16"/>
        <v>1.8779858435250587</v>
      </c>
      <c r="W53" s="52">
        <f t="shared" si="16"/>
        <v>1.2699339982453635</v>
      </c>
      <c r="X53" s="52">
        <f t="shared" si="16"/>
        <v>0.69444474650375365</v>
      </c>
      <c r="Y53" s="52">
        <f t="shared" si="16"/>
        <v>2.8705743964512309</v>
      </c>
      <c r="Z53" s="52">
        <f t="shared" si="16"/>
        <v>2.1082657944461785</v>
      </c>
      <c r="AA53" s="52">
        <f t="shared" si="16"/>
        <v>1.3951040282865319</v>
      </c>
      <c r="AB53" s="52">
        <f t="shared" si="16"/>
        <v>0.79385010883201401</v>
      </c>
      <c r="AC53" s="52">
        <f t="shared" si="16"/>
        <v>3.0388826179934525</v>
      </c>
      <c r="AD53" s="52">
        <f t="shared" si="16"/>
        <v>2.5100883772900962</v>
      </c>
      <c r="AE53" s="52">
        <f t="shared" si="16"/>
        <v>1.9619167944967915</v>
      </c>
      <c r="AF53" s="52">
        <f t="shared" si="16"/>
        <v>1.126563893979978</v>
      </c>
      <c r="AG53" s="52">
        <f t="shared" si="16"/>
        <v>3.8630889867898093</v>
      </c>
      <c r="AH53" s="52">
        <f t="shared" si="16"/>
        <v>2.9961319382036691</v>
      </c>
      <c r="AI53" s="52">
        <f t="shared" si="16"/>
        <v>2.2458343162936791</v>
      </c>
      <c r="AJ53" s="52">
        <f t="shared" si="16"/>
        <v>1.3489079224285139</v>
      </c>
      <c r="AK53" s="52">
        <f t="shared" si="16"/>
        <v>4.5568436246889377</v>
      </c>
      <c r="AL53" s="52">
        <f t="shared" si="16"/>
        <v>3.2893819399525088</v>
      </c>
      <c r="AM53" s="52">
        <f t="shared" si="16"/>
        <v>2.1016118976475866</v>
      </c>
      <c r="AN53" s="52">
        <f t="shared" si="16"/>
        <v>1.1253989751096827</v>
      </c>
      <c r="AO53" s="52">
        <f t="shared" si="16"/>
        <v>4.2905314688497818</v>
      </c>
      <c r="AP53" s="52">
        <f t="shared" si="16"/>
        <v>4.3296709899898858</v>
      </c>
      <c r="AQ53" s="52" t="e">
        <f t="shared" si="16"/>
        <v>#DIV/0!</v>
      </c>
      <c r="AR53" s="52" t="e">
        <f t="shared" si="16"/>
        <v>#DIV/0!</v>
      </c>
      <c r="AS53" s="52" t="e">
        <f t="shared" si="16"/>
        <v>#DIV/0!</v>
      </c>
      <c r="AT53" s="52" t="e">
        <f t="shared" si="16"/>
        <v>#DIV/0!</v>
      </c>
      <c r="AU53" s="52" t="e">
        <f t="shared" si="16"/>
        <v>#DIV/0!</v>
      </c>
      <c r="AV53" s="52" t="e">
        <f t="shared" si="16"/>
        <v>#DIV/0!</v>
      </c>
      <c r="AW53" s="52" t="e">
        <f t="shared" si="16"/>
        <v>#DIV/0!</v>
      </c>
      <c r="AX53" s="52" t="e">
        <f t="shared" si="16"/>
        <v>#DIV/0!</v>
      </c>
      <c r="AY53" s="52" t="e">
        <f t="shared" si="16"/>
        <v>#DIV/0!</v>
      </c>
      <c r="AZ53" s="52" t="e">
        <f t="shared" si="16"/>
        <v>#DIV/0!</v>
      </c>
      <c r="BA53" s="52" t="e">
        <f t="shared" si="16"/>
        <v>#DIV/0!</v>
      </c>
      <c r="BB53" s="52" t="e">
        <f t="shared" si="16"/>
        <v>#DIV/0!</v>
      </c>
      <c r="BC53" s="52" t="e">
        <f t="shared" si="16"/>
        <v>#DIV/0!</v>
      </c>
      <c r="BD53" s="52" t="e">
        <f t="shared" si="16"/>
        <v>#DIV/0!</v>
      </c>
      <c r="BE53" s="52" t="e">
        <f t="shared" si="16"/>
        <v>#DIV/0!</v>
      </c>
      <c r="BF53" s="52" t="e">
        <f t="shared" si="16"/>
        <v>#DIV/0!</v>
      </c>
      <c r="BG53" s="52" t="e">
        <f t="shared" si="16"/>
        <v>#DIV/0!</v>
      </c>
      <c r="BH53" s="52" t="e">
        <f t="shared" si="16"/>
        <v>#DIV/0!</v>
      </c>
      <c r="BI53" s="52" t="e">
        <f t="shared" si="16"/>
        <v>#DIV/0!</v>
      </c>
      <c r="BJ53" s="52" t="e">
        <f t="shared" si="16"/>
        <v>#DIV/0!</v>
      </c>
      <c r="BK53" s="52" t="e">
        <f t="shared" si="16"/>
        <v>#DIV/0!</v>
      </c>
      <c r="BL53" s="52" t="e">
        <f t="shared" si="16"/>
        <v>#DIV/0!</v>
      </c>
      <c r="BM53" s="52" t="e">
        <f t="shared" si="16"/>
        <v>#DIV/0!</v>
      </c>
      <c r="BN53" s="52" t="e">
        <f t="shared" si="16"/>
        <v>#DIV/0!</v>
      </c>
      <c r="BO53" s="52" t="e">
        <f t="shared" si="16"/>
        <v>#DIV/0!</v>
      </c>
      <c r="BP53" s="52" t="e">
        <f t="shared" si="16"/>
        <v>#DIV/0!</v>
      </c>
      <c r="BQ53" s="52" t="e">
        <f t="shared" si="16"/>
        <v>#DIV/0!</v>
      </c>
      <c r="BR53" s="52" t="e">
        <f t="shared" ref="BR53:CK53" si="17">BR49/BR52</f>
        <v>#DIV/0!</v>
      </c>
      <c r="BS53" s="52" t="e">
        <f t="shared" si="17"/>
        <v>#DIV/0!</v>
      </c>
      <c r="BT53" s="52" t="e">
        <f t="shared" si="17"/>
        <v>#DIV/0!</v>
      </c>
      <c r="BU53" s="52" t="e">
        <f t="shared" si="17"/>
        <v>#DIV/0!</v>
      </c>
      <c r="BV53" s="52" t="e">
        <f t="shared" si="17"/>
        <v>#DIV/0!</v>
      </c>
      <c r="BW53" s="52" t="e">
        <f t="shared" si="17"/>
        <v>#DIV/0!</v>
      </c>
      <c r="BX53" s="52" t="e">
        <f t="shared" si="17"/>
        <v>#DIV/0!</v>
      </c>
      <c r="BY53" s="52" t="e">
        <f t="shared" si="17"/>
        <v>#DIV/0!</v>
      </c>
      <c r="BZ53" s="52" t="e">
        <f t="shared" si="17"/>
        <v>#DIV/0!</v>
      </c>
      <c r="CA53" s="52" t="e">
        <f t="shared" si="17"/>
        <v>#DIV/0!</v>
      </c>
      <c r="CB53" s="52" t="e">
        <f t="shared" si="17"/>
        <v>#DIV/0!</v>
      </c>
      <c r="CC53" s="52" t="e">
        <f t="shared" si="17"/>
        <v>#DIV/0!</v>
      </c>
      <c r="CD53" s="52" t="e">
        <f t="shared" si="17"/>
        <v>#DIV/0!</v>
      </c>
      <c r="CE53" s="52" t="e">
        <f t="shared" si="17"/>
        <v>#DIV/0!</v>
      </c>
      <c r="CF53" s="52" t="e">
        <f t="shared" si="17"/>
        <v>#DIV/0!</v>
      </c>
      <c r="CG53" s="52" t="e">
        <f t="shared" si="17"/>
        <v>#DIV/0!</v>
      </c>
      <c r="CH53" s="52" t="e">
        <f t="shared" si="17"/>
        <v>#DIV/0!</v>
      </c>
      <c r="CI53" s="52" t="e">
        <f t="shared" si="17"/>
        <v>#DIV/0!</v>
      </c>
      <c r="CJ53" s="52" t="e">
        <f t="shared" si="17"/>
        <v>#DIV/0!</v>
      </c>
      <c r="CK53" s="52" t="e">
        <f t="shared" si="17"/>
        <v>#DIV/0!</v>
      </c>
    </row>
    <row r="54" spans="1:89" s="86" customFormat="1">
      <c r="A54" s="149" t="s">
        <v>475</v>
      </c>
      <c r="E54" s="86">
        <f>资产资本表!E17</f>
        <v>712293476.29999995</v>
      </c>
      <c r="F54" s="86">
        <f>资产资本表!F17</f>
        <v>679069334.74000001</v>
      </c>
      <c r="G54" s="86">
        <f>资产资本表!G17</f>
        <v>505175249.07999998</v>
      </c>
      <c r="H54" s="86">
        <f>资产资本表!H17</f>
        <v>678095364.05999994</v>
      </c>
      <c r="I54" s="86">
        <f>资产资本表!I17</f>
        <v>777942517.54999995</v>
      </c>
      <c r="J54" s="86">
        <f>资产资本表!J17</f>
        <v>623681233.03000009</v>
      </c>
      <c r="K54" s="86">
        <f>资产资本表!K17</f>
        <v>656787777.10000002</v>
      </c>
      <c r="L54" s="86">
        <f>资产资本表!L17</f>
        <v>795373187.23999989</v>
      </c>
      <c r="M54" s="86">
        <f>资产资本表!M17</f>
        <v>973286905.5</v>
      </c>
      <c r="N54" s="86">
        <f>资产资本表!N17</f>
        <v>809711157.58999991</v>
      </c>
      <c r="O54" s="86">
        <f>资产资本表!O17</f>
        <v>570581984.97000003</v>
      </c>
      <c r="P54" s="86">
        <f>资产资本表!P17</f>
        <v>909436222.82000005</v>
      </c>
      <c r="Q54" s="86">
        <f>资产资本表!Q17</f>
        <v>964978678.83000004</v>
      </c>
      <c r="R54" s="86">
        <f>资产资本表!R17</f>
        <v>755741642.29999995</v>
      </c>
      <c r="S54" s="86">
        <f>资产资本表!S17</f>
        <v>665116750.71000004</v>
      </c>
      <c r="T54" s="86">
        <f>资产资本表!T17</f>
        <v>763230395.60000002</v>
      </c>
      <c r="U54" s="86">
        <f>资产资本表!U17</f>
        <v>706490908.72000003</v>
      </c>
      <c r="V54" s="86">
        <f>资产资本表!V17</f>
        <v>501180113.66000003</v>
      </c>
      <c r="W54" s="86">
        <f>资产资本表!W17</f>
        <v>502241523.37</v>
      </c>
      <c r="X54" s="86">
        <f>资产资本表!X17</f>
        <v>602246499.29999995</v>
      </c>
      <c r="Y54" s="86">
        <f>资产资本表!Y17</f>
        <v>673380231.46000004</v>
      </c>
      <c r="Z54" s="86">
        <f>资产资本表!Z17</f>
        <v>643489726.26999998</v>
      </c>
      <c r="AA54" s="86">
        <f>资产资本表!AA17</f>
        <v>488036620.79000002</v>
      </c>
      <c r="AB54" s="86">
        <f>资产资本表!AB17</f>
        <v>510333384.02999997</v>
      </c>
      <c r="AC54" s="86">
        <f>资产资本表!AC17</f>
        <v>534179707.85000002</v>
      </c>
      <c r="AD54" s="86">
        <f>资产资本表!AD17</f>
        <v>523746129.82999998</v>
      </c>
      <c r="AE54" s="86">
        <f>资产资本表!AE17</f>
        <v>641391460.04999995</v>
      </c>
      <c r="AF54" s="86">
        <f>资产资本表!AF17</f>
        <v>665322811.37</v>
      </c>
      <c r="AG54" s="86">
        <f>资产资本表!AG17</f>
        <v>666518672.60000002</v>
      </c>
      <c r="AH54" s="86">
        <f>资产资本表!AH17</f>
        <v>628738523.15999997</v>
      </c>
      <c r="AI54" s="86">
        <f>资产资本表!AI17</f>
        <v>719788534.54999995</v>
      </c>
      <c r="AJ54" s="86">
        <f>资产资本表!AJ17</f>
        <v>836933325.63999999</v>
      </c>
      <c r="AK54" s="86">
        <f>资产资本表!AK17</f>
        <v>853443052.58000004</v>
      </c>
      <c r="AL54" s="86">
        <f>资产资本表!AL17</f>
        <v>79196016.939999998</v>
      </c>
      <c r="AM54" s="86">
        <f>资产资本表!AM17</f>
        <v>63469949.020000003</v>
      </c>
      <c r="AN54" s="86">
        <f>资产资本表!AN17</f>
        <v>78477223.810000002</v>
      </c>
      <c r="AO54" s="86">
        <f>资产资本表!AO17</f>
        <v>78997061.840000004</v>
      </c>
      <c r="AP54" s="86">
        <f>资产资本表!AP17</f>
        <v>44249685.200000003</v>
      </c>
      <c r="AQ54" s="86">
        <f>资产资本表!AQ17</f>
        <v>0</v>
      </c>
      <c r="AR54" s="86">
        <f>资产资本表!AR17</f>
        <v>0</v>
      </c>
      <c r="AS54" s="86">
        <f>资产资本表!AS17</f>
        <v>0</v>
      </c>
      <c r="AT54" s="86">
        <f>资产资本表!AT17</f>
        <v>0</v>
      </c>
      <c r="AU54" s="86">
        <f>资产资本表!AU17</f>
        <v>0</v>
      </c>
      <c r="AV54" s="86">
        <f>资产资本表!AV17</f>
        <v>0</v>
      </c>
      <c r="AW54" s="86">
        <f>资产资本表!AW17</f>
        <v>0</v>
      </c>
      <c r="AX54" s="86">
        <f>资产资本表!AX17</f>
        <v>0</v>
      </c>
      <c r="AY54" s="86">
        <f>资产资本表!AY17</f>
        <v>0</v>
      </c>
      <c r="AZ54" s="86">
        <f>资产资本表!AZ17</f>
        <v>0</v>
      </c>
      <c r="BA54" s="86">
        <f>资产资本表!BA17</f>
        <v>0</v>
      </c>
      <c r="BB54" s="86">
        <f>资产资本表!BB17</f>
        <v>0</v>
      </c>
      <c r="BC54" s="86">
        <f>资产资本表!BC17</f>
        <v>0</v>
      </c>
      <c r="BD54" s="86">
        <f>资产资本表!BD17</f>
        <v>0</v>
      </c>
      <c r="BE54" s="86">
        <f>资产资本表!BE17</f>
        <v>0</v>
      </c>
      <c r="BF54" s="86">
        <f>资产资本表!BF17</f>
        <v>0</v>
      </c>
      <c r="BG54" s="86">
        <f>资产资本表!BG17</f>
        <v>0</v>
      </c>
      <c r="BH54" s="86">
        <f>资产资本表!BH17</f>
        <v>0</v>
      </c>
      <c r="BI54" s="86">
        <f>资产资本表!BI17</f>
        <v>0</v>
      </c>
      <c r="BJ54" s="86">
        <f>资产资本表!BJ17</f>
        <v>0</v>
      </c>
      <c r="BK54" s="86">
        <f>资产资本表!BK17</f>
        <v>0</v>
      </c>
      <c r="BL54" s="86">
        <f>资产资本表!BL17</f>
        <v>0</v>
      </c>
      <c r="BM54" s="86">
        <f>资产资本表!BM17</f>
        <v>0</v>
      </c>
      <c r="BN54" s="86">
        <f>资产资本表!BN17</f>
        <v>0</v>
      </c>
      <c r="BO54" s="86">
        <f>资产资本表!BO17</f>
        <v>0</v>
      </c>
      <c r="BP54" s="86">
        <f>资产资本表!BP17</f>
        <v>0</v>
      </c>
      <c r="BQ54" s="86">
        <f>资产资本表!BQ17</f>
        <v>0</v>
      </c>
      <c r="BR54" s="86">
        <f>资产资本表!BR17</f>
        <v>0</v>
      </c>
      <c r="BS54" s="86">
        <f>资产资本表!BS17</f>
        <v>0</v>
      </c>
      <c r="BT54" s="86">
        <f>资产资本表!BT17</f>
        <v>0</v>
      </c>
      <c r="BU54" s="86">
        <f>资产资本表!BU17</f>
        <v>0</v>
      </c>
      <c r="BV54" s="86">
        <f>资产资本表!BV17</f>
        <v>0</v>
      </c>
      <c r="BW54" s="86">
        <f>资产资本表!BW17</f>
        <v>0</v>
      </c>
      <c r="BX54" s="86">
        <f>资产资本表!BX17</f>
        <v>0</v>
      </c>
      <c r="BY54" s="86">
        <f>资产资本表!BY17</f>
        <v>0</v>
      </c>
      <c r="BZ54" s="86">
        <f>资产资本表!BZ17</f>
        <v>0</v>
      </c>
      <c r="CA54" s="86">
        <f>资产资本表!CA17</f>
        <v>0</v>
      </c>
      <c r="CB54" s="86">
        <f>资产资本表!CB17</f>
        <v>0</v>
      </c>
      <c r="CC54" s="86">
        <f>资产资本表!CC17</f>
        <v>0</v>
      </c>
      <c r="CD54" s="86">
        <f>资产资本表!CD17</f>
        <v>0</v>
      </c>
      <c r="CE54" s="86">
        <f>资产资本表!CE17</f>
        <v>0</v>
      </c>
      <c r="CF54" s="86">
        <f>资产资本表!CF17</f>
        <v>0</v>
      </c>
      <c r="CG54" s="86">
        <f>资产资本表!CG17</f>
        <v>0</v>
      </c>
      <c r="CH54" s="86">
        <f>资产资本表!CH17</f>
        <v>0</v>
      </c>
      <c r="CI54" s="86">
        <f>资产资本表!CI17</f>
        <v>0</v>
      </c>
      <c r="CJ54" s="86">
        <f>资产资本表!CJ17</f>
        <v>0</v>
      </c>
      <c r="CK54" s="86">
        <f>资产资本表!CK17</f>
        <v>0</v>
      </c>
    </row>
    <row r="55" spans="1:89" s="52" customFormat="1">
      <c r="A55" s="151" t="s">
        <v>476</v>
      </c>
      <c r="E55" s="52">
        <f>E49/E54</f>
        <v>3.6729361100004225</v>
      </c>
      <c r="F55" s="52">
        <f t="shared" ref="F55:BQ55" si="18">F49/F54</f>
        <v>2.2656578846386446</v>
      </c>
      <c r="G55" s="52">
        <f t="shared" si="18"/>
        <v>1.9028841915763957</v>
      </c>
      <c r="H55" s="52">
        <f t="shared" si="18"/>
        <v>0.63615278576337664</v>
      </c>
      <c r="I55" s="52">
        <f t="shared" si="18"/>
        <v>2.9713962438637767</v>
      </c>
      <c r="J55" s="52">
        <f t="shared" si="18"/>
        <v>2.1609604323867333</v>
      </c>
      <c r="K55" s="52">
        <f t="shared" si="18"/>
        <v>1.3416043323471283</v>
      </c>
      <c r="L55" s="52">
        <f t="shared" si="18"/>
        <v>0.54204675339389941</v>
      </c>
      <c r="M55" s="52">
        <f t="shared" si="18"/>
        <v>2.1500426394979377</v>
      </c>
      <c r="N55" s="52">
        <f t="shared" si="18"/>
        <v>1.603471860143767</v>
      </c>
      <c r="O55" s="52">
        <f t="shared" si="18"/>
        <v>1.5118246226532279</v>
      </c>
      <c r="P55" s="52">
        <f t="shared" si="18"/>
        <v>0.50852696666947561</v>
      </c>
      <c r="Q55" s="52">
        <f t="shared" si="18"/>
        <v>2.0412543272026147</v>
      </c>
      <c r="R55" s="52">
        <f t="shared" si="18"/>
        <v>1.7194220712985053</v>
      </c>
      <c r="S55" s="52">
        <f t="shared" si="18"/>
        <v>1.2839687254581729</v>
      </c>
      <c r="T55" s="52">
        <f t="shared" si="18"/>
        <v>0.59255034226522096</v>
      </c>
      <c r="U55" s="52">
        <f t="shared" si="18"/>
        <v>2.6382440262210198</v>
      </c>
      <c r="V55" s="52">
        <f t="shared" si="18"/>
        <v>2.5049547469508826</v>
      </c>
      <c r="W55" s="52">
        <f t="shared" si="18"/>
        <v>1.634040694372068</v>
      </c>
      <c r="X55" s="52">
        <f t="shared" si="18"/>
        <v>0.7291505151302754</v>
      </c>
      <c r="Y55" s="52">
        <f t="shared" si="18"/>
        <v>2.638881122760663</v>
      </c>
      <c r="Z55" s="52">
        <f t="shared" si="18"/>
        <v>1.8530878804421911</v>
      </c>
      <c r="AA55" s="52">
        <f t="shared" si="18"/>
        <v>1.5541418410410022</v>
      </c>
      <c r="AB55" s="52">
        <f t="shared" si="18"/>
        <v>0.79225154899181061</v>
      </c>
      <c r="AC55" s="52">
        <f t="shared" si="18"/>
        <v>2.7208446785255398</v>
      </c>
      <c r="AD55" s="52">
        <f t="shared" si="18"/>
        <v>1.8039138440539224</v>
      </c>
      <c r="AE55" s="52">
        <f t="shared" si="18"/>
        <v>0.94729677611023266</v>
      </c>
      <c r="AF55" s="52">
        <f t="shared" si="18"/>
        <v>0.50034197697886151</v>
      </c>
      <c r="AG55" s="52">
        <f t="shared" si="18"/>
        <v>1.6013076197199401</v>
      </c>
      <c r="AH55" s="52">
        <f t="shared" si="18"/>
        <v>1.1102728297473134</v>
      </c>
      <c r="AI55" s="52">
        <f t="shared" si="18"/>
        <v>0.62966135145976954</v>
      </c>
      <c r="AJ55" s="52">
        <f t="shared" si="18"/>
        <v>0.30249808357959845</v>
      </c>
      <c r="AK55" s="52">
        <f t="shared" si="18"/>
        <v>0.92775422476800773</v>
      </c>
      <c r="AL55" s="52">
        <f t="shared" si="18"/>
        <v>6.5969692128054636</v>
      </c>
      <c r="AM55" s="52">
        <f t="shared" si="18"/>
        <v>5.0914652860075664</v>
      </c>
      <c r="AN55" s="52">
        <f t="shared" si="18"/>
        <v>2.3159436873051131</v>
      </c>
      <c r="AO55" s="52">
        <f t="shared" si="18"/>
        <v>8.6175831692172711</v>
      </c>
      <c r="AP55" s="52">
        <f t="shared" si="18"/>
        <v>10.584130004387013</v>
      </c>
      <c r="AQ55" s="52" t="e">
        <f t="shared" si="18"/>
        <v>#DIV/0!</v>
      </c>
      <c r="AR55" s="52" t="e">
        <f t="shared" si="18"/>
        <v>#DIV/0!</v>
      </c>
      <c r="AS55" s="52" t="e">
        <f t="shared" si="18"/>
        <v>#DIV/0!</v>
      </c>
      <c r="AT55" s="52" t="e">
        <f t="shared" si="18"/>
        <v>#DIV/0!</v>
      </c>
      <c r="AU55" s="52" t="e">
        <f t="shared" si="18"/>
        <v>#DIV/0!</v>
      </c>
      <c r="AV55" s="52" t="e">
        <f t="shared" si="18"/>
        <v>#DIV/0!</v>
      </c>
      <c r="AW55" s="52" t="e">
        <f t="shared" si="18"/>
        <v>#DIV/0!</v>
      </c>
      <c r="AX55" s="52" t="e">
        <f t="shared" si="18"/>
        <v>#DIV/0!</v>
      </c>
      <c r="AY55" s="52" t="e">
        <f t="shared" si="18"/>
        <v>#DIV/0!</v>
      </c>
      <c r="AZ55" s="52" t="e">
        <f t="shared" si="18"/>
        <v>#DIV/0!</v>
      </c>
      <c r="BA55" s="52" t="e">
        <f t="shared" si="18"/>
        <v>#DIV/0!</v>
      </c>
      <c r="BB55" s="52" t="e">
        <f t="shared" si="18"/>
        <v>#DIV/0!</v>
      </c>
      <c r="BC55" s="52" t="e">
        <f t="shared" si="18"/>
        <v>#DIV/0!</v>
      </c>
      <c r="BD55" s="52" t="e">
        <f t="shared" si="18"/>
        <v>#DIV/0!</v>
      </c>
      <c r="BE55" s="52" t="e">
        <f t="shared" si="18"/>
        <v>#DIV/0!</v>
      </c>
      <c r="BF55" s="52" t="e">
        <f t="shared" si="18"/>
        <v>#DIV/0!</v>
      </c>
      <c r="BG55" s="52" t="e">
        <f t="shared" si="18"/>
        <v>#DIV/0!</v>
      </c>
      <c r="BH55" s="52" t="e">
        <f t="shared" si="18"/>
        <v>#DIV/0!</v>
      </c>
      <c r="BI55" s="52" t="e">
        <f t="shared" si="18"/>
        <v>#DIV/0!</v>
      </c>
      <c r="BJ55" s="52" t="e">
        <f t="shared" si="18"/>
        <v>#DIV/0!</v>
      </c>
      <c r="BK55" s="52" t="e">
        <f t="shared" si="18"/>
        <v>#DIV/0!</v>
      </c>
      <c r="BL55" s="52" t="e">
        <f t="shared" si="18"/>
        <v>#DIV/0!</v>
      </c>
      <c r="BM55" s="52" t="e">
        <f t="shared" si="18"/>
        <v>#DIV/0!</v>
      </c>
      <c r="BN55" s="52" t="e">
        <f t="shared" si="18"/>
        <v>#DIV/0!</v>
      </c>
      <c r="BO55" s="52" t="e">
        <f t="shared" si="18"/>
        <v>#DIV/0!</v>
      </c>
      <c r="BP55" s="52" t="e">
        <f t="shared" si="18"/>
        <v>#DIV/0!</v>
      </c>
      <c r="BQ55" s="52" t="e">
        <f t="shared" si="18"/>
        <v>#DIV/0!</v>
      </c>
      <c r="BR55" s="52" t="e">
        <f t="shared" ref="BR55:CK55" si="19">BR49/BR54</f>
        <v>#DIV/0!</v>
      </c>
      <c r="BS55" s="52" t="e">
        <f t="shared" si="19"/>
        <v>#DIV/0!</v>
      </c>
      <c r="BT55" s="52" t="e">
        <f t="shared" si="19"/>
        <v>#DIV/0!</v>
      </c>
      <c r="BU55" s="52" t="e">
        <f t="shared" si="19"/>
        <v>#DIV/0!</v>
      </c>
      <c r="BV55" s="52" t="e">
        <f t="shared" si="19"/>
        <v>#DIV/0!</v>
      </c>
      <c r="BW55" s="52" t="e">
        <f t="shared" si="19"/>
        <v>#DIV/0!</v>
      </c>
      <c r="BX55" s="52" t="e">
        <f t="shared" si="19"/>
        <v>#DIV/0!</v>
      </c>
      <c r="BY55" s="52" t="e">
        <f t="shared" si="19"/>
        <v>#DIV/0!</v>
      </c>
      <c r="BZ55" s="52" t="e">
        <f t="shared" si="19"/>
        <v>#DIV/0!</v>
      </c>
      <c r="CA55" s="52" t="e">
        <f t="shared" si="19"/>
        <v>#DIV/0!</v>
      </c>
      <c r="CB55" s="52" t="e">
        <f t="shared" si="19"/>
        <v>#DIV/0!</v>
      </c>
      <c r="CC55" s="52" t="e">
        <f t="shared" si="19"/>
        <v>#DIV/0!</v>
      </c>
      <c r="CD55" s="52" t="e">
        <f t="shared" si="19"/>
        <v>#DIV/0!</v>
      </c>
      <c r="CE55" s="52" t="e">
        <f t="shared" si="19"/>
        <v>#DIV/0!</v>
      </c>
      <c r="CF55" s="52" t="e">
        <f t="shared" si="19"/>
        <v>#DIV/0!</v>
      </c>
      <c r="CG55" s="52" t="e">
        <f t="shared" si="19"/>
        <v>#DIV/0!</v>
      </c>
      <c r="CH55" s="52" t="e">
        <f t="shared" si="19"/>
        <v>#DIV/0!</v>
      </c>
      <c r="CI55" s="52" t="e">
        <f t="shared" si="19"/>
        <v>#DIV/0!</v>
      </c>
      <c r="CJ55" s="52" t="e">
        <f t="shared" si="19"/>
        <v>#DIV/0!</v>
      </c>
      <c r="CK55" s="52" t="e">
        <f t="shared" si="19"/>
        <v>#DIV/0!</v>
      </c>
    </row>
    <row r="56" spans="1:89" s="86" customFormat="1">
      <c r="A56" s="149" t="s">
        <v>450</v>
      </c>
      <c r="E56" s="86">
        <f>资产资本表!E19</f>
        <v>0</v>
      </c>
      <c r="F56" s="86">
        <f>资产资本表!F19</f>
        <v>0</v>
      </c>
      <c r="G56" s="86">
        <f>资产资本表!G19</f>
        <v>0</v>
      </c>
      <c r="H56" s="86">
        <f>资产资本表!H19</f>
        <v>0</v>
      </c>
      <c r="I56" s="86">
        <f>资产资本表!I19</f>
        <v>0</v>
      </c>
      <c r="J56" s="86">
        <f>资产资本表!J19</f>
        <v>0</v>
      </c>
      <c r="K56" s="86">
        <f>资产资本表!K19</f>
        <v>0</v>
      </c>
      <c r="L56" s="86">
        <f>资产资本表!L19</f>
        <v>0</v>
      </c>
      <c r="M56" s="86">
        <f>资产资本表!M19</f>
        <v>0</v>
      </c>
      <c r="N56" s="86">
        <f>资产资本表!N19</f>
        <v>224500000</v>
      </c>
      <c r="O56" s="86">
        <f>资产资本表!O19</f>
        <v>224500000</v>
      </c>
      <c r="P56" s="86">
        <f>资产资本表!P19</f>
        <v>0</v>
      </c>
      <c r="Q56" s="86">
        <f>资产资本表!Q19</f>
        <v>0</v>
      </c>
      <c r="R56" s="86">
        <f>资产资本表!R19</f>
        <v>0</v>
      </c>
      <c r="S56" s="86">
        <f>资产资本表!S19</f>
        <v>0</v>
      </c>
      <c r="T56" s="86">
        <f>资产资本表!T19</f>
        <v>0</v>
      </c>
      <c r="U56" s="86">
        <f>资产资本表!U19</f>
        <v>0</v>
      </c>
      <c r="V56" s="86">
        <f>资产资本表!V19</f>
        <v>0</v>
      </c>
      <c r="W56" s="86">
        <f>资产资本表!W19</f>
        <v>0</v>
      </c>
      <c r="X56" s="86">
        <f>资产资本表!X19</f>
        <v>0</v>
      </c>
      <c r="Y56" s="86">
        <f>资产资本表!Y19</f>
        <v>0</v>
      </c>
      <c r="Z56" s="86">
        <f>资产资本表!Z19</f>
        <v>0</v>
      </c>
      <c r="AA56" s="86">
        <f>资产资本表!AA19</f>
        <v>0</v>
      </c>
      <c r="AB56" s="86">
        <f>资产资本表!AB19</f>
        <v>0</v>
      </c>
      <c r="AC56" s="86">
        <f>资产资本表!AC19</f>
        <v>0</v>
      </c>
      <c r="AD56" s="86">
        <f>资产资本表!AD19</f>
        <v>0</v>
      </c>
      <c r="AE56" s="86">
        <f>资产资本表!AE19</f>
        <v>0</v>
      </c>
      <c r="AF56" s="86">
        <f>资产资本表!AF19</f>
        <v>0</v>
      </c>
      <c r="AG56" s="86">
        <f>资产资本表!AG19</f>
        <v>0</v>
      </c>
      <c r="AH56" s="86">
        <f>资产资本表!AH19</f>
        <v>0</v>
      </c>
      <c r="AI56" s="86">
        <f>资产资本表!AI19</f>
        <v>0</v>
      </c>
      <c r="AJ56" s="86">
        <f>资产资本表!AJ19</f>
        <v>0</v>
      </c>
      <c r="AK56" s="86">
        <f>资产资本表!AK19</f>
        <v>0</v>
      </c>
      <c r="AL56" s="86">
        <f>资产资本表!AL19</f>
        <v>0</v>
      </c>
      <c r="AM56" s="86">
        <f>资产资本表!AM19</f>
        <v>0</v>
      </c>
      <c r="AN56" s="86">
        <f>资产资本表!AN19</f>
        <v>0</v>
      </c>
      <c r="AO56" s="86">
        <f>资产资本表!AO19</f>
        <v>0</v>
      </c>
      <c r="AP56" s="86">
        <f>资产资本表!AP19</f>
        <v>0</v>
      </c>
      <c r="AQ56" s="86">
        <f>资产资本表!AQ19</f>
        <v>0</v>
      </c>
      <c r="AR56" s="86">
        <f>资产资本表!AR19</f>
        <v>0</v>
      </c>
      <c r="AS56" s="86">
        <f>资产资本表!AS19</f>
        <v>0</v>
      </c>
      <c r="AT56" s="86">
        <f>资产资本表!AT19</f>
        <v>0</v>
      </c>
      <c r="AU56" s="86">
        <f>资产资本表!AU19</f>
        <v>0</v>
      </c>
      <c r="AV56" s="86">
        <f>资产资本表!AV19</f>
        <v>0</v>
      </c>
      <c r="AW56" s="86">
        <f>资产资本表!AW19</f>
        <v>0</v>
      </c>
      <c r="AX56" s="86">
        <f>资产资本表!AX19</f>
        <v>0</v>
      </c>
      <c r="AY56" s="86">
        <f>资产资本表!AY19</f>
        <v>0</v>
      </c>
      <c r="AZ56" s="86">
        <f>资产资本表!AZ19</f>
        <v>0</v>
      </c>
      <c r="BA56" s="86">
        <f>资产资本表!BA19</f>
        <v>0</v>
      </c>
      <c r="BB56" s="86">
        <f>资产资本表!BB19</f>
        <v>0</v>
      </c>
      <c r="BC56" s="86">
        <f>资产资本表!BC19</f>
        <v>0</v>
      </c>
      <c r="BD56" s="86">
        <f>资产资本表!BD19</f>
        <v>0</v>
      </c>
      <c r="BE56" s="86">
        <f>资产资本表!BE19</f>
        <v>0</v>
      </c>
      <c r="BF56" s="86">
        <f>资产资本表!BF19</f>
        <v>0</v>
      </c>
      <c r="BG56" s="86">
        <f>资产资本表!BG19</f>
        <v>0</v>
      </c>
      <c r="BH56" s="86">
        <f>资产资本表!BH19</f>
        <v>0</v>
      </c>
      <c r="BI56" s="86">
        <f>资产资本表!BI19</f>
        <v>0</v>
      </c>
      <c r="BJ56" s="86">
        <f>资产资本表!BJ19</f>
        <v>0</v>
      </c>
      <c r="BK56" s="86">
        <f>资产资本表!BK19</f>
        <v>0</v>
      </c>
      <c r="BL56" s="86">
        <f>资产资本表!BL19</f>
        <v>0</v>
      </c>
      <c r="BM56" s="86">
        <f>资产资本表!BM19</f>
        <v>0</v>
      </c>
      <c r="BN56" s="86">
        <f>资产资本表!BN19</f>
        <v>0</v>
      </c>
      <c r="BO56" s="86">
        <f>资产资本表!BO19</f>
        <v>0</v>
      </c>
      <c r="BP56" s="86">
        <f>资产资本表!BP19</f>
        <v>0</v>
      </c>
      <c r="BQ56" s="86">
        <f>资产资本表!BQ19</f>
        <v>0</v>
      </c>
      <c r="BR56" s="86">
        <f>资产资本表!BR19</f>
        <v>0</v>
      </c>
      <c r="BS56" s="86">
        <f>资产资本表!BS19</f>
        <v>0</v>
      </c>
      <c r="BT56" s="86">
        <f>资产资本表!BT19</f>
        <v>0</v>
      </c>
      <c r="BU56" s="86">
        <f>资产资本表!BU19</f>
        <v>0</v>
      </c>
      <c r="BV56" s="86">
        <f>资产资本表!BV19</f>
        <v>0</v>
      </c>
      <c r="BW56" s="86">
        <f>资产资本表!BW19</f>
        <v>0</v>
      </c>
      <c r="BX56" s="86">
        <f>资产资本表!BX19</f>
        <v>0</v>
      </c>
      <c r="BY56" s="86">
        <f>资产资本表!BY19</f>
        <v>0</v>
      </c>
      <c r="BZ56" s="86">
        <f>资产资本表!BZ19</f>
        <v>0</v>
      </c>
      <c r="CA56" s="86">
        <f>资产资本表!CA19</f>
        <v>0</v>
      </c>
      <c r="CB56" s="86">
        <f>资产资本表!CB19</f>
        <v>0</v>
      </c>
      <c r="CC56" s="86">
        <f>资产资本表!CC19</f>
        <v>0</v>
      </c>
      <c r="CD56" s="86">
        <f>资产资本表!CD19</f>
        <v>0</v>
      </c>
      <c r="CE56" s="86">
        <f>资产资本表!CE19</f>
        <v>0</v>
      </c>
      <c r="CF56" s="86">
        <f>资产资本表!CF19</f>
        <v>0</v>
      </c>
      <c r="CG56" s="86">
        <f>资产资本表!CG19</f>
        <v>0</v>
      </c>
      <c r="CH56" s="86">
        <f>资产资本表!CH19</f>
        <v>0</v>
      </c>
      <c r="CI56" s="86">
        <f>资产资本表!CI19</f>
        <v>0</v>
      </c>
      <c r="CJ56" s="86">
        <f>资产资本表!CJ19</f>
        <v>0</v>
      </c>
    </row>
    <row r="57" spans="1:89" s="153" customFormat="1">
      <c r="A57" s="152" t="s">
        <v>477</v>
      </c>
      <c r="E57" s="153" t="e">
        <f>E49/E56</f>
        <v>#DIV/0!</v>
      </c>
      <c r="F57" s="153" t="e">
        <f t="shared" ref="F57:BQ57" si="20">F49/F56</f>
        <v>#DIV/0!</v>
      </c>
      <c r="G57" s="153" t="e">
        <f t="shared" si="20"/>
        <v>#DIV/0!</v>
      </c>
      <c r="H57" s="153" t="e">
        <f t="shared" si="20"/>
        <v>#DIV/0!</v>
      </c>
      <c r="I57" s="153" t="e">
        <f t="shared" si="20"/>
        <v>#DIV/0!</v>
      </c>
      <c r="J57" s="153" t="e">
        <f t="shared" si="20"/>
        <v>#DIV/0!</v>
      </c>
      <c r="K57" s="153" t="e">
        <f t="shared" si="20"/>
        <v>#DIV/0!</v>
      </c>
      <c r="L57" s="153" t="e">
        <f t="shared" si="20"/>
        <v>#DIV/0!</v>
      </c>
      <c r="M57" s="153" t="e">
        <f t="shared" si="20"/>
        <v>#DIV/0!</v>
      </c>
      <c r="N57" s="153">
        <f t="shared" si="20"/>
        <v>5.7832920090868596</v>
      </c>
      <c r="O57" s="153">
        <f t="shared" si="20"/>
        <v>3.8424048735857461</v>
      </c>
      <c r="P57" s="153" t="e">
        <f t="shared" si="20"/>
        <v>#DIV/0!</v>
      </c>
      <c r="Q57" s="153" t="e">
        <f t="shared" si="20"/>
        <v>#DIV/0!</v>
      </c>
      <c r="R57" s="153" t="e">
        <f t="shared" si="20"/>
        <v>#DIV/0!</v>
      </c>
      <c r="S57" s="153" t="e">
        <f t="shared" si="20"/>
        <v>#DIV/0!</v>
      </c>
      <c r="T57" s="153" t="e">
        <f t="shared" si="20"/>
        <v>#DIV/0!</v>
      </c>
      <c r="U57" s="153" t="e">
        <f t="shared" si="20"/>
        <v>#DIV/0!</v>
      </c>
      <c r="V57" s="153" t="e">
        <f t="shared" si="20"/>
        <v>#DIV/0!</v>
      </c>
      <c r="W57" s="153" t="e">
        <f t="shared" si="20"/>
        <v>#DIV/0!</v>
      </c>
      <c r="X57" s="153" t="e">
        <f t="shared" si="20"/>
        <v>#DIV/0!</v>
      </c>
      <c r="Y57" s="153" t="e">
        <f t="shared" si="20"/>
        <v>#DIV/0!</v>
      </c>
      <c r="Z57" s="153" t="e">
        <f t="shared" si="20"/>
        <v>#DIV/0!</v>
      </c>
      <c r="AA57" s="153" t="e">
        <f t="shared" si="20"/>
        <v>#DIV/0!</v>
      </c>
      <c r="AB57" s="153" t="e">
        <f t="shared" si="20"/>
        <v>#DIV/0!</v>
      </c>
      <c r="AC57" s="153" t="e">
        <f t="shared" si="20"/>
        <v>#DIV/0!</v>
      </c>
      <c r="AD57" s="153" t="e">
        <f t="shared" si="20"/>
        <v>#DIV/0!</v>
      </c>
      <c r="AE57" s="153" t="e">
        <f t="shared" si="20"/>
        <v>#DIV/0!</v>
      </c>
      <c r="AF57" s="153" t="e">
        <f t="shared" si="20"/>
        <v>#DIV/0!</v>
      </c>
      <c r="AG57" s="153" t="e">
        <f t="shared" si="20"/>
        <v>#DIV/0!</v>
      </c>
      <c r="AH57" s="153" t="e">
        <f t="shared" si="20"/>
        <v>#DIV/0!</v>
      </c>
      <c r="AI57" s="153" t="e">
        <f t="shared" si="20"/>
        <v>#DIV/0!</v>
      </c>
      <c r="AJ57" s="153" t="e">
        <f t="shared" si="20"/>
        <v>#DIV/0!</v>
      </c>
      <c r="AK57" s="153" t="e">
        <f t="shared" si="20"/>
        <v>#DIV/0!</v>
      </c>
      <c r="AL57" s="153" t="e">
        <f t="shared" si="20"/>
        <v>#DIV/0!</v>
      </c>
      <c r="AM57" s="153" t="e">
        <f t="shared" si="20"/>
        <v>#DIV/0!</v>
      </c>
      <c r="AN57" s="153" t="e">
        <f t="shared" si="20"/>
        <v>#DIV/0!</v>
      </c>
      <c r="AO57" s="153" t="e">
        <f t="shared" si="20"/>
        <v>#DIV/0!</v>
      </c>
      <c r="AP57" s="153" t="e">
        <f t="shared" si="20"/>
        <v>#DIV/0!</v>
      </c>
      <c r="AQ57" s="153" t="e">
        <f t="shared" si="20"/>
        <v>#DIV/0!</v>
      </c>
      <c r="AR57" s="153" t="e">
        <f t="shared" si="20"/>
        <v>#DIV/0!</v>
      </c>
      <c r="AS57" s="153" t="e">
        <f t="shared" si="20"/>
        <v>#DIV/0!</v>
      </c>
      <c r="AT57" s="153" t="e">
        <f t="shared" si="20"/>
        <v>#DIV/0!</v>
      </c>
      <c r="AU57" s="153" t="e">
        <f t="shared" si="20"/>
        <v>#DIV/0!</v>
      </c>
      <c r="AV57" s="153" t="e">
        <f t="shared" si="20"/>
        <v>#DIV/0!</v>
      </c>
      <c r="AW57" s="153" t="e">
        <f t="shared" si="20"/>
        <v>#DIV/0!</v>
      </c>
      <c r="AX57" s="153" t="e">
        <f t="shared" si="20"/>
        <v>#DIV/0!</v>
      </c>
      <c r="AY57" s="153" t="e">
        <f t="shared" si="20"/>
        <v>#DIV/0!</v>
      </c>
      <c r="AZ57" s="153" t="e">
        <f t="shared" si="20"/>
        <v>#DIV/0!</v>
      </c>
      <c r="BA57" s="153" t="e">
        <f t="shared" si="20"/>
        <v>#DIV/0!</v>
      </c>
      <c r="BB57" s="153" t="e">
        <f t="shared" si="20"/>
        <v>#DIV/0!</v>
      </c>
      <c r="BC57" s="153" t="e">
        <f t="shared" si="20"/>
        <v>#DIV/0!</v>
      </c>
      <c r="BD57" s="153" t="e">
        <f t="shared" si="20"/>
        <v>#DIV/0!</v>
      </c>
      <c r="BE57" s="153" t="e">
        <f t="shared" si="20"/>
        <v>#DIV/0!</v>
      </c>
      <c r="BF57" s="153" t="e">
        <f t="shared" si="20"/>
        <v>#DIV/0!</v>
      </c>
      <c r="BG57" s="153" t="e">
        <f t="shared" si="20"/>
        <v>#DIV/0!</v>
      </c>
      <c r="BH57" s="153" t="e">
        <f t="shared" si="20"/>
        <v>#DIV/0!</v>
      </c>
      <c r="BI57" s="153" t="e">
        <f t="shared" si="20"/>
        <v>#DIV/0!</v>
      </c>
      <c r="BJ57" s="153" t="e">
        <f t="shared" si="20"/>
        <v>#DIV/0!</v>
      </c>
      <c r="BK57" s="153" t="e">
        <f t="shared" si="20"/>
        <v>#DIV/0!</v>
      </c>
      <c r="BL57" s="153" t="e">
        <f t="shared" si="20"/>
        <v>#DIV/0!</v>
      </c>
      <c r="BM57" s="153" t="e">
        <f t="shared" si="20"/>
        <v>#DIV/0!</v>
      </c>
      <c r="BN57" s="153" t="e">
        <f t="shared" si="20"/>
        <v>#DIV/0!</v>
      </c>
      <c r="BO57" s="153" t="e">
        <f t="shared" si="20"/>
        <v>#DIV/0!</v>
      </c>
      <c r="BP57" s="153" t="e">
        <f t="shared" si="20"/>
        <v>#DIV/0!</v>
      </c>
      <c r="BQ57" s="153" t="e">
        <f t="shared" si="20"/>
        <v>#DIV/0!</v>
      </c>
      <c r="BR57" s="153" t="e">
        <f t="shared" ref="BR57:CK57" si="21">BR49/BR56</f>
        <v>#DIV/0!</v>
      </c>
      <c r="BS57" s="153" t="e">
        <f t="shared" si="21"/>
        <v>#DIV/0!</v>
      </c>
      <c r="BT57" s="153" t="e">
        <f t="shared" si="21"/>
        <v>#DIV/0!</v>
      </c>
      <c r="BU57" s="153" t="e">
        <f t="shared" si="21"/>
        <v>#DIV/0!</v>
      </c>
      <c r="BV57" s="153" t="e">
        <f t="shared" si="21"/>
        <v>#DIV/0!</v>
      </c>
      <c r="BW57" s="153" t="e">
        <f t="shared" si="21"/>
        <v>#DIV/0!</v>
      </c>
      <c r="BX57" s="153" t="e">
        <f t="shared" si="21"/>
        <v>#DIV/0!</v>
      </c>
      <c r="BY57" s="153" t="e">
        <f t="shared" si="21"/>
        <v>#DIV/0!</v>
      </c>
      <c r="BZ57" s="153" t="e">
        <f t="shared" si="21"/>
        <v>#DIV/0!</v>
      </c>
      <c r="CA57" s="153" t="e">
        <f t="shared" si="21"/>
        <v>#DIV/0!</v>
      </c>
      <c r="CB57" s="153" t="e">
        <f t="shared" si="21"/>
        <v>#DIV/0!</v>
      </c>
      <c r="CC57" s="153" t="e">
        <f t="shared" si="21"/>
        <v>#DIV/0!</v>
      </c>
      <c r="CD57" s="153" t="e">
        <f t="shared" si="21"/>
        <v>#DIV/0!</v>
      </c>
      <c r="CE57" s="153" t="e">
        <f t="shared" si="21"/>
        <v>#DIV/0!</v>
      </c>
      <c r="CF57" s="153" t="e">
        <f t="shared" si="21"/>
        <v>#DIV/0!</v>
      </c>
      <c r="CG57" s="153" t="e">
        <f t="shared" si="21"/>
        <v>#DIV/0!</v>
      </c>
      <c r="CH57" s="153" t="e">
        <f t="shared" si="21"/>
        <v>#DIV/0!</v>
      </c>
      <c r="CI57" s="153" t="e">
        <f t="shared" si="21"/>
        <v>#DIV/0!</v>
      </c>
      <c r="CJ57" s="153" t="e">
        <f t="shared" si="21"/>
        <v>#DIV/0!</v>
      </c>
      <c r="CK57" s="153" t="e">
        <f t="shared" si="21"/>
        <v>#DIV/0!</v>
      </c>
    </row>
    <row r="58" spans="1:89" s="22" customFormat="1" ht="28.5" customHeight="1">
      <c r="A58" s="165" t="s">
        <v>599</v>
      </c>
      <c r="B58" s="166"/>
      <c r="C58" s="166"/>
      <c r="D58" s="166"/>
      <c r="E58" s="166"/>
      <c r="F58" s="166"/>
      <c r="G58" s="166"/>
      <c r="H58" s="166"/>
      <c r="I58" s="166"/>
      <c r="J58" s="166"/>
      <c r="K58" s="166"/>
      <c r="L58" s="166"/>
      <c r="M58" s="166"/>
      <c r="N58" s="166"/>
      <c r="O58" s="166"/>
      <c r="P58" s="166"/>
      <c r="Q58" s="166"/>
      <c r="R58" s="166"/>
      <c r="S58" s="166"/>
      <c r="T58" s="166"/>
      <c r="U58" s="166"/>
      <c r="V58" s="166"/>
      <c r="W58" s="166"/>
      <c r="X58" s="166"/>
      <c r="Y58" s="166"/>
      <c r="Z58" s="166"/>
      <c r="AA58" s="166"/>
      <c r="AB58" s="166"/>
      <c r="AC58" s="166"/>
      <c r="AD58" s="166"/>
      <c r="AE58" s="166"/>
      <c r="AF58" s="166"/>
      <c r="AG58" s="166"/>
    </row>
    <row r="61" spans="1:89" s="155" customFormat="1">
      <c r="A61" s="154" t="s">
        <v>478</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39447</v>
      </c>
      <c r="AR61" s="1">
        <v>39082</v>
      </c>
      <c r="AS61" s="1">
        <v>25569</v>
      </c>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86" customFormat="1">
      <c r="A62" s="149" t="s">
        <v>479</v>
      </c>
      <c r="E62" s="86">
        <v>365</v>
      </c>
      <c r="F62" s="86">
        <v>365</v>
      </c>
      <c r="G62" s="86">
        <v>365</v>
      </c>
      <c r="H62" s="86">
        <v>365</v>
      </c>
      <c r="I62" s="86">
        <v>365</v>
      </c>
      <c r="J62" s="86">
        <v>365</v>
      </c>
      <c r="K62" s="86">
        <v>365</v>
      </c>
      <c r="L62" s="86">
        <v>365</v>
      </c>
      <c r="M62" s="86">
        <v>365</v>
      </c>
      <c r="N62" s="86">
        <v>365</v>
      </c>
      <c r="O62" s="86">
        <v>365</v>
      </c>
      <c r="P62" s="86">
        <v>365</v>
      </c>
      <c r="Q62" s="86">
        <v>365</v>
      </c>
      <c r="R62" s="86">
        <v>365</v>
      </c>
      <c r="S62" s="86">
        <v>365</v>
      </c>
      <c r="T62" s="86">
        <v>365</v>
      </c>
      <c r="U62" s="86">
        <v>365</v>
      </c>
      <c r="V62" s="86">
        <v>365</v>
      </c>
      <c r="W62" s="86">
        <v>365</v>
      </c>
      <c r="X62" s="86">
        <v>365</v>
      </c>
      <c r="Y62" s="86">
        <v>365</v>
      </c>
      <c r="Z62" s="86">
        <v>365</v>
      </c>
      <c r="AA62" s="86">
        <v>365</v>
      </c>
      <c r="AB62" s="86">
        <v>365</v>
      </c>
      <c r="AC62" s="86">
        <v>365</v>
      </c>
      <c r="AD62" s="86">
        <v>365</v>
      </c>
      <c r="AE62" s="86">
        <v>365</v>
      </c>
      <c r="AF62" s="86">
        <v>365</v>
      </c>
      <c r="AG62" s="86">
        <v>365</v>
      </c>
      <c r="AH62" s="86">
        <v>365</v>
      </c>
      <c r="AI62" s="86">
        <v>365</v>
      </c>
      <c r="AJ62" s="86">
        <v>365</v>
      </c>
      <c r="AK62" s="86">
        <v>365</v>
      </c>
      <c r="AL62" s="86">
        <v>365</v>
      </c>
      <c r="AM62" s="86">
        <v>365</v>
      </c>
      <c r="AN62" s="86">
        <v>365</v>
      </c>
      <c r="AO62" s="86">
        <v>365</v>
      </c>
      <c r="AP62" s="86">
        <v>365</v>
      </c>
      <c r="AQ62" s="86">
        <v>365</v>
      </c>
      <c r="AR62" s="86">
        <v>365</v>
      </c>
      <c r="AS62" s="86">
        <v>365</v>
      </c>
      <c r="AT62" s="86">
        <v>365</v>
      </c>
      <c r="AU62" s="86">
        <v>365</v>
      </c>
      <c r="AV62" s="86">
        <v>365</v>
      </c>
      <c r="AW62" s="86">
        <v>365</v>
      </c>
      <c r="AX62" s="86">
        <v>365</v>
      </c>
      <c r="AY62" s="86">
        <v>365</v>
      </c>
      <c r="AZ62" s="86">
        <v>365</v>
      </c>
      <c r="BA62" s="86">
        <v>365</v>
      </c>
      <c r="BB62" s="86">
        <v>365</v>
      </c>
      <c r="BC62" s="86">
        <v>365</v>
      </c>
      <c r="BD62" s="86">
        <v>365</v>
      </c>
      <c r="BE62" s="86">
        <v>365</v>
      </c>
      <c r="BF62" s="86">
        <v>365</v>
      </c>
      <c r="BG62" s="86">
        <v>365</v>
      </c>
      <c r="BH62" s="86">
        <v>365</v>
      </c>
      <c r="BI62" s="86">
        <v>365</v>
      </c>
      <c r="BJ62" s="86">
        <v>365</v>
      </c>
      <c r="BK62" s="86">
        <v>365</v>
      </c>
      <c r="BL62" s="86">
        <v>365</v>
      </c>
      <c r="BM62" s="86">
        <v>365</v>
      </c>
      <c r="BN62" s="86">
        <v>365</v>
      </c>
      <c r="BO62" s="86">
        <v>365</v>
      </c>
      <c r="BP62" s="86">
        <v>365</v>
      </c>
      <c r="BQ62" s="86">
        <v>365</v>
      </c>
      <c r="BR62" s="86">
        <v>365</v>
      </c>
      <c r="BS62" s="86">
        <v>365</v>
      </c>
      <c r="BT62" s="86">
        <v>365</v>
      </c>
      <c r="BU62" s="86">
        <v>365</v>
      </c>
      <c r="BV62" s="86">
        <v>365</v>
      </c>
      <c r="BW62" s="86">
        <v>365</v>
      </c>
      <c r="BX62" s="86">
        <v>365</v>
      </c>
      <c r="BY62" s="86">
        <v>365</v>
      </c>
      <c r="BZ62" s="86">
        <v>365</v>
      </c>
      <c r="CA62" s="86">
        <v>365</v>
      </c>
      <c r="CB62" s="86">
        <v>365</v>
      </c>
      <c r="CC62" s="86">
        <v>365</v>
      </c>
      <c r="CD62" s="86">
        <v>365</v>
      </c>
      <c r="CE62" s="86">
        <v>365</v>
      </c>
      <c r="CF62" s="86">
        <v>365</v>
      </c>
      <c r="CG62" s="86">
        <v>365</v>
      </c>
      <c r="CH62" s="86">
        <v>365</v>
      </c>
      <c r="CI62" s="86">
        <v>365</v>
      </c>
      <c r="CJ62" s="86">
        <v>365</v>
      </c>
    </row>
    <row r="63" spans="1:89" s="86" customFormat="1">
      <c r="A63" s="149" t="s">
        <v>470</v>
      </c>
      <c r="E63" s="86">
        <f>E49</f>
        <v>2616208430.02</v>
      </c>
      <c r="F63" s="86">
        <f t="shared" ref="F63:BQ63" si="22">F49</f>
        <v>1538538792.47</v>
      </c>
      <c r="G63" s="86">
        <f t="shared" si="22"/>
        <v>961289995.45000005</v>
      </c>
      <c r="H63" s="86">
        <f t="shared" si="22"/>
        <v>431372254.86000001</v>
      </c>
      <c r="I63" s="86">
        <f t="shared" si="22"/>
        <v>2311575474.5900002</v>
      </c>
      <c r="J63" s="86">
        <f t="shared" si="22"/>
        <v>1347750467</v>
      </c>
      <c r="K63" s="86">
        <f t="shared" si="22"/>
        <v>881149327.19000006</v>
      </c>
      <c r="L63" s="86">
        <f t="shared" si="22"/>
        <v>431129453.88</v>
      </c>
      <c r="M63" s="86">
        <f t="shared" si="22"/>
        <v>2092608347.29</v>
      </c>
      <c r="N63" s="86">
        <f t="shared" si="22"/>
        <v>1298349056.04</v>
      </c>
      <c r="O63" s="86">
        <f t="shared" si="22"/>
        <v>862619894.12</v>
      </c>
      <c r="P63" s="86">
        <f t="shared" si="22"/>
        <v>462472843.76999998</v>
      </c>
      <c r="Q63" s="86">
        <f t="shared" si="22"/>
        <v>1969766903.8199999</v>
      </c>
      <c r="R63" s="86">
        <f t="shared" si="22"/>
        <v>1299438859.97</v>
      </c>
      <c r="S63" s="86">
        <f t="shared" si="22"/>
        <v>853989106.69000006</v>
      </c>
      <c r="T63" s="86">
        <f t="shared" si="22"/>
        <v>452252432.13999999</v>
      </c>
      <c r="U63" s="86">
        <f t="shared" si="22"/>
        <v>1863895419.51</v>
      </c>
      <c r="V63" s="86">
        <f t="shared" si="22"/>
        <v>1255433504.79</v>
      </c>
      <c r="W63" s="86">
        <f t="shared" si="22"/>
        <v>820683087.59000003</v>
      </c>
      <c r="X63" s="86">
        <f t="shared" si="22"/>
        <v>439128345.19999999</v>
      </c>
      <c r="Y63" s="86">
        <f t="shared" si="22"/>
        <v>1776970381.24</v>
      </c>
      <c r="Z63" s="86">
        <f t="shared" si="22"/>
        <v>1192443012.9400001</v>
      </c>
      <c r="AA63" s="86">
        <f t="shared" si="22"/>
        <v>758478132.33000004</v>
      </c>
      <c r="AB63" s="86">
        <f t="shared" si="22"/>
        <v>404312414</v>
      </c>
      <c r="AC63" s="86">
        <f t="shared" si="22"/>
        <v>1453420015.48</v>
      </c>
      <c r="AD63" s="86">
        <f t="shared" si="22"/>
        <v>944792894.37</v>
      </c>
      <c r="AE63" s="86">
        <f t="shared" si="22"/>
        <v>607588062.33000004</v>
      </c>
      <c r="AF63" s="86">
        <f t="shared" si="22"/>
        <v>332888930.76999998</v>
      </c>
      <c r="AG63" s="86">
        <f t="shared" si="22"/>
        <v>1067301429.12</v>
      </c>
      <c r="AH63" s="86">
        <f t="shared" si="22"/>
        <v>698071299.27999997</v>
      </c>
      <c r="AI63" s="86">
        <f t="shared" si="22"/>
        <v>453223021.43000001</v>
      </c>
      <c r="AJ63" s="86">
        <f t="shared" si="22"/>
        <v>253170727.09</v>
      </c>
      <c r="AK63" s="86">
        <f t="shared" si="22"/>
        <v>791785397.63</v>
      </c>
      <c r="AL63" s="86">
        <f t="shared" si="22"/>
        <v>522453685.52999997</v>
      </c>
      <c r="AM63" s="86">
        <f t="shared" si="22"/>
        <v>323155042.13999999</v>
      </c>
      <c r="AN63" s="86">
        <f t="shared" si="22"/>
        <v>181748831.08000001</v>
      </c>
      <c r="AO63" s="86">
        <f t="shared" si="22"/>
        <v>680763750.52999997</v>
      </c>
      <c r="AP63" s="86">
        <f t="shared" si="22"/>
        <v>468344420.81</v>
      </c>
      <c r="AQ63" s="86">
        <f t="shared" si="22"/>
        <v>590236990.59000003</v>
      </c>
      <c r="AR63" s="86">
        <f t="shared" si="22"/>
        <v>419082605.45999998</v>
      </c>
      <c r="AS63" s="86">
        <f t="shared" si="22"/>
        <v>0</v>
      </c>
      <c r="AT63" s="86">
        <f t="shared" si="22"/>
        <v>0</v>
      </c>
      <c r="AU63" s="86">
        <f t="shared" si="22"/>
        <v>0</v>
      </c>
      <c r="AV63" s="86">
        <f t="shared" si="22"/>
        <v>0</v>
      </c>
      <c r="AW63" s="86">
        <f t="shared" si="22"/>
        <v>0</v>
      </c>
      <c r="AX63" s="86">
        <f t="shared" si="22"/>
        <v>0</v>
      </c>
      <c r="AY63" s="86">
        <f t="shared" si="22"/>
        <v>0</v>
      </c>
      <c r="AZ63" s="86">
        <f t="shared" si="22"/>
        <v>0</v>
      </c>
      <c r="BA63" s="86">
        <f t="shared" si="22"/>
        <v>0</v>
      </c>
      <c r="BB63" s="86">
        <f t="shared" si="22"/>
        <v>0</v>
      </c>
      <c r="BC63" s="86">
        <f t="shared" si="22"/>
        <v>0</v>
      </c>
      <c r="BD63" s="86">
        <f t="shared" si="22"/>
        <v>0</v>
      </c>
      <c r="BE63" s="86">
        <f t="shared" si="22"/>
        <v>0</v>
      </c>
      <c r="BF63" s="86">
        <f t="shared" si="22"/>
        <v>0</v>
      </c>
      <c r="BG63" s="86">
        <f t="shared" si="22"/>
        <v>0</v>
      </c>
      <c r="BH63" s="86">
        <f t="shared" si="22"/>
        <v>0</v>
      </c>
      <c r="BI63" s="86">
        <f t="shared" si="22"/>
        <v>0</v>
      </c>
      <c r="BJ63" s="86">
        <f t="shared" si="22"/>
        <v>0</v>
      </c>
      <c r="BK63" s="86">
        <f t="shared" si="22"/>
        <v>0</v>
      </c>
      <c r="BL63" s="86">
        <f t="shared" si="22"/>
        <v>0</v>
      </c>
      <c r="BM63" s="86">
        <f t="shared" si="22"/>
        <v>0</v>
      </c>
      <c r="BN63" s="86">
        <f t="shared" si="22"/>
        <v>0</v>
      </c>
      <c r="BO63" s="86">
        <f t="shared" si="22"/>
        <v>0</v>
      </c>
      <c r="BP63" s="86">
        <f t="shared" si="22"/>
        <v>0</v>
      </c>
      <c r="BQ63" s="86">
        <f t="shared" si="22"/>
        <v>0</v>
      </c>
      <c r="BR63" s="86">
        <f t="shared" ref="BR63:CJ63" si="23">BR49</f>
        <v>0</v>
      </c>
      <c r="BS63" s="86">
        <f t="shared" si="23"/>
        <v>0</v>
      </c>
      <c r="BT63" s="86">
        <f t="shared" si="23"/>
        <v>0</v>
      </c>
      <c r="BU63" s="86">
        <f t="shared" si="23"/>
        <v>0</v>
      </c>
      <c r="BV63" s="86">
        <f t="shared" si="23"/>
        <v>0</v>
      </c>
      <c r="BW63" s="86">
        <f t="shared" si="23"/>
        <v>0</v>
      </c>
      <c r="BX63" s="86">
        <f t="shared" si="23"/>
        <v>0</v>
      </c>
      <c r="BY63" s="86">
        <f t="shared" si="23"/>
        <v>0</v>
      </c>
      <c r="BZ63" s="86">
        <f t="shared" si="23"/>
        <v>0</v>
      </c>
      <c r="CA63" s="86">
        <f t="shared" si="23"/>
        <v>0</v>
      </c>
      <c r="CB63" s="86">
        <f t="shared" si="23"/>
        <v>0</v>
      </c>
      <c r="CC63" s="86">
        <f t="shared" si="23"/>
        <v>0</v>
      </c>
      <c r="CD63" s="86">
        <f t="shared" si="23"/>
        <v>0</v>
      </c>
      <c r="CE63" s="86">
        <f t="shared" si="23"/>
        <v>0</v>
      </c>
      <c r="CF63" s="86">
        <f t="shared" si="23"/>
        <v>0</v>
      </c>
      <c r="CG63" s="86">
        <f t="shared" si="23"/>
        <v>0</v>
      </c>
      <c r="CH63" s="86">
        <f t="shared" si="23"/>
        <v>0</v>
      </c>
      <c r="CI63" s="86">
        <f t="shared" si="23"/>
        <v>0</v>
      </c>
      <c r="CJ63" s="86">
        <f t="shared" si="23"/>
        <v>0</v>
      </c>
    </row>
    <row r="64" spans="1:89" s="86" customFormat="1">
      <c r="A64" s="149" t="s">
        <v>480</v>
      </c>
      <c r="E64" s="86">
        <f>资产资本表!E22+资产资本表!E23-资产资本表!E37</f>
        <v>296266860.93000001</v>
      </c>
      <c r="F64" s="86">
        <f>资产资本表!F22+资产资本表!F23-资产资本表!F37</f>
        <v>181374531.75999999</v>
      </c>
      <c r="G64" s="86">
        <f>资产资本表!G22+资产资本表!G23-资产资本表!G37</f>
        <v>134707167.36000001</v>
      </c>
      <c r="H64" s="86">
        <f>资产资本表!H22+资产资本表!H23-资产资本表!H37</f>
        <v>124818826.84999999</v>
      </c>
      <c r="I64" s="86">
        <f>资产资本表!I22+资产资本表!I23-资产资本表!I37</f>
        <v>278261833.24000001</v>
      </c>
      <c r="J64" s="86">
        <f>资产资本表!J22+资产资本表!J23-资产资本表!J37</f>
        <v>121306121.44999999</v>
      </c>
      <c r="K64" s="86">
        <f>资产资本表!K22+资产资本表!K23-资产资本表!K37</f>
        <v>102922200.67</v>
      </c>
      <c r="L64" s="86">
        <f>资产资本表!L22+资产资本表!L23-资产资本表!L37</f>
        <v>92869044.890000001</v>
      </c>
      <c r="M64" s="86">
        <f>资产资本表!M22+资产资本表!M23-资产资本表!M37</f>
        <v>179603742.86000001</v>
      </c>
      <c r="N64" s="86">
        <f>资产资本表!N22+资产资本表!N23-资产资本表!N37</f>
        <v>65781179.640000001</v>
      </c>
      <c r="O64" s="86">
        <f>资产资本表!O22+资产资本表!O23-资产资本表!O37</f>
        <v>72720156.299999997</v>
      </c>
      <c r="P64" s="86">
        <f>资产资本表!P22+资产资本表!P23-资产资本表!P37</f>
        <v>69011271.959999993</v>
      </c>
      <c r="Q64" s="86">
        <f>资产资本表!Q22+资产资本表!Q23-资产资本表!Q37</f>
        <v>56967703.679999992</v>
      </c>
      <c r="R64" s="86">
        <f>资产资本表!R22+资产资本表!R23-资产资本表!R37</f>
        <v>27756309.129999999</v>
      </c>
      <c r="S64" s="86">
        <f>资产资本表!S22+资产资本表!S23-资产资本表!S37</f>
        <v>40477378.039999999</v>
      </c>
      <c r="T64" s="86">
        <f>资产资本表!T22+资产资本表!T23-资产资本表!T37</f>
        <v>41934711.340000004</v>
      </c>
      <c r="U64" s="86">
        <f>资产资本表!U22+资产资本表!U23-资产资本表!U37</f>
        <v>41287100.010000005</v>
      </c>
      <c r="V64" s="86">
        <f>资产资本表!V22+资产资本表!V23-资产资本表!V37</f>
        <v>66355031.170000002</v>
      </c>
      <c r="W64" s="86">
        <f>资产资本表!W22+资产资本表!W23-资产资本表!W37</f>
        <v>34774990.829999998</v>
      </c>
      <c r="X64" s="86">
        <f>资产资本表!X22+资产资本表!X23-资产资本表!X37</f>
        <v>48276710.280000001</v>
      </c>
      <c r="Y64" s="86">
        <f>资产资本表!Y22+资产资本表!Y23-资产资本表!Y37</f>
        <v>38855026.859999999</v>
      </c>
      <c r="Z64" s="86">
        <f>资产资本表!Z22+资产资本表!Z23-资产资本表!Z37</f>
        <v>47198248.619999997</v>
      </c>
      <c r="AA64" s="86">
        <f>资产资本表!AA22+资产资本表!AA23-资产资本表!AA37</f>
        <v>43167187.289999999</v>
      </c>
      <c r="AB64" s="86">
        <f>资产资本表!AB22+资产资本表!AB23-资产资本表!AB37</f>
        <v>37251403.269999996</v>
      </c>
      <c r="AC64" s="86">
        <f>资产资本表!AC22+资产资本表!AC23-资产资本表!AC37</f>
        <v>46404807.5</v>
      </c>
      <c r="AD64" s="86">
        <f>资产资本表!AD22+资产资本表!AD23-资产资本表!AD37</f>
        <v>33280495.599999998</v>
      </c>
      <c r="AE64" s="86">
        <f>资产资本表!AE22+资产资本表!AE23-资产资本表!AE37</f>
        <v>23629382.059999995</v>
      </c>
      <c r="AF64" s="86">
        <f>资产资本表!AF22+资产资本表!AF23-资产资本表!AF37</f>
        <v>22816488.210000001</v>
      </c>
      <c r="AG64" s="86">
        <f>资产资本表!AG22+资产资本表!AG23-资产资本表!AG37</f>
        <v>1029521.7699999996</v>
      </c>
      <c r="AH64" s="86">
        <f>资产资本表!AH22+资产资本表!AH23-资产资本表!AH37</f>
        <v>3731162.66</v>
      </c>
      <c r="AI64" s="86">
        <f>资产资本表!AI22+资产资本表!AI23-资产资本表!AI37</f>
        <v>-8480080.1099999994</v>
      </c>
      <c r="AJ64" s="86">
        <f>资产资本表!AJ22+资产资本表!AJ23-资产资本表!AJ37</f>
        <v>-1873917.2400000021</v>
      </c>
      <c r="AK64" s="86">
        <f>资产资本表!AK22+资产资本表!AK23-资产资本表!AK37</f>
        <v>3578078.5700000003</v>
      </c>
      <c r="AL64" s="86">
        <f>资产资本表!AL22+资产资本表!AL23-资产资本表!AL37</f>
        <v>7288014.9299999997</v>
      </c>
      <c r="AM64" s="86">
        <f>资产资本表!AM22+资产资本表!AM23-资产资本表!AM37</f>
        <v>1402525.3999999985</v>
      </c>
      <c r="AN64" s="86">
        <f>资产资本表!AN22+资产资本表!AN23-资产资本表!AN37</f>
        <v>8856164.6100000013</v>
      </c>
      <c r="AO64" s="86">
        <f>资产资本表!AO22+资产资本表!AO23-资产资本表!AO37</f>
        <v>15897358.540000001</v>
      </c>
      <c r="AP64" s="86">
        <f>资产资本表!AP22+资产资本表!AP23-资产资本表!AP37</f>
        <v>1733620.8500000015</v>
      </c>
      <c r="AQ64" s="86">
        <f>资产资本表!AQ22+资产资本表!AQ23-资产资本表!AQ37</f>
        <v>0</v>
      </c>
      <c r="AR64" s="86">
        <f>资产资本表!AR22+资产资本表!AR23-资产资本表!AR37</f>
        <v>0</v>
      </c>
      <c r="AS64" s="86">
        <f>资产资本表!AS22+资产资本表!AS23-资产资本表!AS37</f>
        <v>0</v>
      </c>
      <c r="AT64" s="86">
        <f>资产资本表!AT22+资产资本表!AT23-资产资本表!AT37</f>
        <v>0</v>
      </c>
      <c r="AU64" s="86">
        <f>资产资本表!AU22+资产资本表!AU23-资产资本表!AU37</f>
        <v>0</v>
      </c>
      <c r="AV64" s="86">
        <f>资产资本表!AV22+资产资本表!AV23-资产资本表!AV37</f>
        <v>0</v>
      </c>
      <c r="AW64" s="86">
        <f>资产资本表!AW22+资产资本表!AW23-资产资本表!AW37</f>
        <v>0</v>
      </c>
      <c r="AX64" s="86">
        <f>资产资本表!AX22+资产资本表!AX23-资产资本表!AX37</f>
        <v>0</v>
      </c>
      <c r="AY64" s="86">
        <f>资产资本表!AY22+资产资本表!AY23-资产资本表!AY37</f>
        <v>0</v>
      </c>
      <c r="AZ64" s="86">
        <f>资产资本表!AZ22+资产资本表!AZ23-资产资本表!AZ37</f>
        <v>0</v>
      </c>
      <c r="BA64" s="86">
        <f>资产资本表!BA22+资产资本表!BA23-资产资本表!BA37</f>
        <v>0</v>
      </c>
      <c r="BB64" s="86">
        <f>资产资本表!BB22+资产资本表!BB23-资产资本表!BB37</f>
        <v>0</v>
      </c>
      <c r="BC64" s="86">
        <f>资产资本表!BC22+资产资本表!BC23-资产资本表!BC37</f>
        <v>0</v>
      </c>
      <c r="BD64" s="86">
        <f>资产资本表!BD22+资产资本表!BD23-资产资本表!BD37</f>
        <v>0</v>
      </c>
      <c r="BE64" s="86">
        <f>资产资本表!BE22+资产资本表!BE23-资产资本表!BE37</f>
        <v>0</v>
      </c>
      <c r="BF64" s="86">
        <f>资产资本表!BF22+资产资本表!BF23-资产资本表!BF37</f>
        <v>0</v>
      </c>
      <c r="BG64" s="86">
        <f>资产资本表!BG22+资产资本表!BG23-资产资本表!BG37</f>
        <v>0</v>
      </c>
      <c r="BH64" s="86">
        <f>资产资本表!BH22+资产资本表!BH23-资产资本表!BH37</f>
        <v>0</v>
      </c>
      <c r="BI64" s="86">
        <f>资产资本表!BI22+资产资本表!BI23-资产资本表!BI37</f>
        <v>0</v>
      </c>
      <c r="BJ64" s="86">
        <f>资产资本表!BJ22+资产资本表!BJ23-资产资本表!BJ37</f>
        <v>0</v>
      </c>
      <c r="BK64" s="86">
        <f>资产资本表!BK22+资产资本表!BK23-资产资本表!BK37</f>
        <v>0</v>
      </c>
      <c r="BL64" s="86">
        <f>资产资本表!BL22+资产资本表!BL23-资产资本表!BL37</f>
        <v>0</v>
      </c>
      <c r="BM64" s="86">
        <f>资产资本表!BM22+资产资本表!BM23-资产资本表!BM37</f>
        <v>0</v>
      </c>
      <c r="BN64" s="86">
        <f>资产资本表!BN22+资产资本表!BN23-资产资本表!BN37</f>
        <v>0</v>
      </c>
      <c r="BO64" s="86">
        <f>资产资本表!BO22+资产资本表!BO23-资产资本表!BO37</f>
        <v>0</v>
      </c>
      <c r="BP64" s="86">
        <f>资产资本表!BP22+资产资本表!BP23-资产资本表!BP37</f>
        <v>0</v>
      </c>
      <c r="BQ64" s="86">
        <f>资产资本表!BQ22+资产资本表!BQ23-资产资本表!BQ37</f>
        <v>0</v>
      </c>
      <c r="BR64" s="86">
        <f>资产资本表!BR22+资产资本表!BR23-资产资本表!BR37</f>
        <v>0</v>
      </c>
      <c r="BS64" s="86">
        <f>资产资本表!BS22+资产资本表!BS23-资产资本表!BS37</f>
        <v>0</v>
      </c>
      <c r="BT64" s="86">
        <f>资产资本表!BT22+资产资本表!BT23-资产资本表!BT37</f>
        <v>0</v>
      </c>
      <c r="BU64" s="86">
        <f>资产资本表!BU22+资产资本表!BU23-资产资本表!BU37</f>
        <v>0</v>
      </c>
      <c r="BV64" s="86">
        <f>资产资本表!BV22+资产资本表!BV23-资产资本表!BV37</f>
        <v>0</v>
      </c>
      <c r="BW64" s="86">
        <f>资产资本表!BW22+资产资本表!BW23-资产资本表!BW37</f>
        <v>0</v>
      </c>
      <c r="BX64" s="86">
        <f>资产资本表!BX22+资产资本表!BX23-资产资本表!BX37</f>
        <v>0</v>
      </c>
      <c r="BY64" s="86">
        <f>资产资本表!BY22+资产资本表!BY23-资产资本表!BY37</f>
        <v>0</v>
      </c>
      <c r="BZ64" s="86">
        <f>资产资本表!BZ22+资产资本表!BZ23-资产资本表!BZ37</f>
        <v>0</v>
      </c>
      <c r="CA64" s="86">
        <f>资产资本表!CA22+资产资本表!CA23-资产资本表!CA37</f>
        <v>0</v>
      </c>
      <c r="CB64" s="86">
        <f>资产资本表!CB22+资产资本表!CB23-资产资本表!CB37</f>
        <v>0</v>
      </c>
      <c r="CC64" s="86">
        <f>资产资本表!CC22+资产资本表!CC23-资产资本表!CC37</f>
        <v>0</v>
      </c>
      <c r="CD64" s="86">
        <f>资产资本表!CD22+资产资本表!CD23-资产资本表!CD37</f>
        <v>0</v>
      </c>
      <c r="CE64" s="86">
        <f>资产资本表!CE22+资产资本表!CE23-资产资本表!CE37</f>
        <v>0</v>
      </c>
      <c r="CF64" s="86">
        <f>资产资本表!CF22+资产资本表!CF23-资产资本表!CF37</f>
        <v>0</v>
      </c>
      <c r="CG64" s="86">
        <f>资产资本表!CG22+资产资本表!CG23-资产资本表!CG37</f>
        <v>0</v>
      </c>
      <c r="CH64" s="86">
        <f>资产资本表!CH22+资产资本表!CH23-资产资本表!CH37</f>
        <v>0</v>
      </c>
      <c r="CI64" s="86">
        <f>资产资本表!CI22+资产资本表!CI23-资产资本表!CI37</f>
        <v>0</v>
      </c>
      <c r="CJ64" s="86">
        <f>资产资本表!CJ22+资产资本表!CJ23-资产资本表!CJ37</f>
        <v>0</v>
      </c>
      <c r="CK64" s="86">
        <f>资产资本表!CK22+资产资本表!CK23-资产资本表!CK37</f>
        <v>0</v>
      </c>
    </row>
    <row r="65" spans="1:89" s="52" customFormat="1">
      <c r="A65" s="151" t="s">
        <v>492</v>
      </c>
      <c r="E65" s="52">
        <f>E63/(E64+I64)*2</f>
        <v>9.1073203360174642</v>
      </c>
      <c r="F65" s="52">
        <f t="shared" ref="F65:BQ65" si="24">F63/(F64+J64)*2</f>
        <v>10.166086111903301</v>
      </c>
      <c r="G65" s="52">
        <f t="shared" si="24"/>
        <v>8.0906665991607571</v>
      </c>
      <c r="H65" s="52">
        <f t="shared" si="24"/>
        <v>3.9632180829551986</v>
      </c>
      <c r="I65" s="52">
        <f t="shared" si="24"/>
        <v>10.097179588295326</v>
      </c>
      <c r="J65" s="52">
        <f t="shared" si="24"/>
        <v>14.407717243744436</v>
      </c>
      <c r="K65" s="52">
        <f t="shared" si="24"/>
        <v>10.033449133690478</v>
      </c>
      <c r="L65" s="52">
        <f t="shared" si="24"/>
        <v>5.3265210035323696</v>
      </c>
      <c r="M65" s="52">
        <f t="shared" si="24"/>
        <v>17.691132027095055</v>
      </c>
      <c r="N65" s="52">
        <f t="shared" si="24"/>
        <v>27.761041548432409</v>
      </c>
      <c r="O65" s="52">
        <f t="shared" si="24"/>
        <v>15.240966142054575</v>
      </c>
      <c r="P65" s="52">
        <f t="shared" si="24"/>
        <v>8.3369010758950122</v>
      </c>
      <c r="Q65" s="52">
        <f t="shared" si="24"/>
        <v>40.095075860814639</v>
      </c>
      <c r="R65" s="52">
        <f t="shared" si="24"/>
        <v>27.614926231584018</v>
      </c>
      <c r="S65" s="52">
        <f t="shared" si="24"/>
        <v>22.696670404230957</v>
      </c>
      <c r="T65" s="52">
        <f t="shared" si="24"/>
        <v>10.026500503340587</v>
      </c>
      <c r="U65" s="52">
        <f t="shared" si="24"/>
        <v>46.514748043396914</v>
      </c>
      <c r="V65" s="52">
        <f t="shared" si="24"/>
        <v>22.111796455579949</v>
      </c>
      <c r="W65" s="52">
        <f t="shared" si="24"/>
        <v>21.058767085684313</v>
      </c>
      <c r="X65" s="52">
        <f t="shared" si="24"/>
        <v>10.268631610664118</v>
      </c>
      <c r="Y65" s="52">
        <f t="shared" si="24"/>
        <v>41.683646105549393</v>
      </c>
      <c r="Z65" s="52">
        <f t="shared" si="24"/>
        <v>29.633738063314926</v>
      </c>
      <c r="AA65" s="52">
        <f t="shared" si="24"/>
        <v>22.710092440698084</v>
      </c>
      <c r="AB65" s="52">
        <f t="shared" si="24"/>
        <v>13.461848053535174</v>
      </c>
      <c r="AC65" s="52">
        <f t="shared" si="24"/>
        <v>61.281356260231576</v>
      </c>
      <c r="AD65" s="52">
        <f t="shared" si="24"/>
        <v>51.053799736991309</v>
      </c>
      <c r="AE65" s="52">
        <f t="shared" si="24"/>
        <v>80.213341094571064</v>
      </c>
      <c r="AF65" s="52">
        <f t="shared" si="24"/>
        <v>31.79064607176069</v>
      </c>
      <c r="AG65" s="52">
        <f t="shared" si="24"/>
        <v>463.27864847757178</v>
      </c>
      <c r="AH65" s="52">
        <f t="shared" si="24"/>
        <v>126.70116142124904</v>
      </c>
      <c r="AI65" s="52">
        <f t="shared" si="24"/>
        <v>-128.07333606044281</v>
      </c>
      <c r="AJ65" s="52">
        <f t="shared" si="24"/>
        <v>72.518406660232671</v>
      </c>
      <c r="AK65" s="52">
        <f t="shared" si="24"/>
        <v>81.311181172251494</v>
      </c>
      <c r="AL65" s="52">
        <f t="shared" si="24"/>
        <v>115.82238482476177</v>
      </c>
      <c r="AM65" s="52">
        <f t="shared" si="24"/>
        <v>460.81880890000326</v>
      </c>
      <c r="AN65" s="52">
        <f t="shared" si="24"/>
        <v>41.044591893600767</v>
      </c>
      <c r="AO65" s="52">
        <f t="shared" si="24"/>
        <v>85.644888591661584</v>
      </c>
      <c r="AP65" s="52">
        <f t="shared" si="24"/>
        <v>540.30778507307366</v>
      </c>
      <c r="AQ65" s="52" t="e">
        <f t="shared" si="24"/>
        <v>#DIV/0!</v>
      </c>
      <c r="AR65" s="52" t="e">
        <f t="shared" si="24"/>
        <v>#DIV/0!</v>
      </c>
      <c r="AS65" s="52" t="e">
        <f t="shared" si="24"/>
        <v>#DIV/0!</v>
      </c>
      <c r="AT65" s="52" t="e">
        <f t="shared" si="24"/>
        <v>#DIV/0!</v>
      </c>
      <c r="AU65" s="52" t="e">
        <f t="shared" si="24"/>
        <v>#DIV/0!</v>
      </c>
      <c r="AV65" s="52" t="e">
        <f t="shared" si="24"/>
        <v>#DIV/0!</v>
      </c>
      <c r="AW65" s="52" t="e">
        <f t="shared" si="24"/>
        <v>#DIV/0!</v>
      </c>
      <c r="AX65" s="52" t="e">
        <f t="shared" si="24"/>
        <v>#DIV/0!</v>
      </c>
      <c r="AY65" s="52" t="e">
        <f t="shared" si="24"/>
        <v>#DIV/0!</v>
      </c>
      <c r="AZ65" s="52" t="e">
        <f t="shared" si="24"/>
        <v>#DIV/0!</v>
      </c>
      <c r="BA65" s="52" t="e">
        <f t="shared" si="24"/>
        <v>#DIV/0!</v>
      </c>
      <c r="BB65" s="52" t="e">
        <f t="shared" si="24"/>
        <v>#DIV/0!</v>
      </c>
      <c r="BC65" s="52" t="e">
        <f t="shared" si="24"/>
        <v>#DIV/0!</v>
      </c>
      <c r="BD65" s="52" t="e">
        <f t="shared" si="24"/>
        <v>#DIV/0!</v>
      </c>
      <c r="BE65" s="52" t="e">
        <f t="shared" si="24"/>
        <v>#DIV/0!</v>
      </c>
      <c r="BF65" s="52" t="e">
        <f t="shared" si="24"/>
        <v>#DIV/0!</v>
      </c>
      <c r="BG65" s="52" t="e">
        <f t="shared" si="24"/>
        <v>#DIV/0!</v>
      </c>
      <c r="BH65" s="52" t="e">
        <f t="shared" si="24"/>
        <v>#DIV/0!</v>
      </c>
      <c r="BI65" s="52" t="e">
        <f t="shared" si="24"/>
        <v>#DIV/0!</v>
      </c>
      <c r="BJ65" s="52" t="e">
        <f t="shared" si="24"/>
        <v>#DIV/0!</v>
      </c>
      <c r="BK65" s="52" t="e">
        <f t="shared" si="24"/>
        <v>#DIV/0!</v>
      </c>
      <c r="BL65" s="52" t="e">
        <f t="shared" si="24"/>
        <v>#DIV/0!</v>
      </c>
      <c r="BM65" s="52" t="e">
        <f t="shared" si="24"/>
        <v>#DIV/0!</v>
      </c>
      <c r="BN65" s="52" t="e">
        <f t="shared" si="24"/>
        <v>#DIV/0!</v>
      </c>
      <c r="BO65" s="52" t="e">
        <f t="shared" si="24"/>
        <v>#DIV/0!</v>
      </c>
      <c r="BP65" s="52" t="e">
        <f t="shared" si="24"/>
        <v>#DIV/0!</v>
      </c>
      <c r="BQ65" s="52" t="e">
        <f t="shared" si="24"/>
        <v>#DIV/0!</v>
      </c>
      <c r="BR65" s="52" t="e">
        <f t="shared" ref="BR65:CK65" si="25">BR63/(BR64+BV64)*2</f>
        <v>#DIV/0!</v>
      </c>
      <c r="BS65" s="52" t="e">
        <f t="shared" si="25"/>
        <v>#DIV/0!</v>
      </c>
      <c r="BT65" s="52" t="e">
        <f t="shared" si="25"/>
        <v>#DIV/0!</v>
      </c>
      <c r="BU65" s="52" t="e">
        <f t="shared" si="25"/>
        <v>#DIV/0!</v>
      </c>
      <c r="BV65" s="52" t="e">
        <f t="shared" si="25"/>
        <v>#DIV/0!</v>
      </c>
      <c r="BW65" s="52" t="e">
        <f t="shared" si="25"/>
        <v>#DIV/0!</v>
      </c>
      <c r="BX65" s="52" t="e">
        <f t="shared" si="25"/>
        <v>#DIV/0!</v>
      </c>
      <c r="BY65" s="52" t="e">
        <f t="shared" si="25"/>
        <v>#DIV/0!</v>
      </c>
      <c r="BZ65" s="52" t="e">
        <f t="shared" si="25"/>
        <v>#DIV/0!</v>
      </c>
      <c r="CA65" s="52" t="e">
        <f t="shared" si="25"/>
        <v>#DIV/0!</v>
      </c>
      <c r="CB65" s="52" t="e">
        <f t="shared" si="25"/>
        <v>#DIV/0!</v>
      </c>
      <c r="CC65" s="52" t="e">
        <f t="shared" si="25"/>
        <v>#DIV/0!</v>
      </c>
      <c r="CD65" s="52" t="e">
        <f t="shared" si="25"/>
        <v>#DIV/0!</v>
      </c>
      <c r="CE65" s="52" t="e">
        <f t="shared" si="25"/>
        <v>#DIV/0!</v>
      </c>
      <c r="CF65" s="52" t="e">
        <f t="shared" si="25"/>
        <v>#DIV/0!</v>
      </c>
      <c r="CG65" s="52" t="e">
        <f t="shared" si="25"/>
        <v>#DIV/0!</v>
      </c>
      <c r="CH65" s="52" t="e">
        <f t="shared" si="25"/>
        <v>#DIV/0!</v>
      </c>
      <c r="CI65" s="52" t="e">
        <f t="shared" si="25"/>
        <v>#DIV/0!</v>
      </c>
      <c r="CJ65" s="52" t="e">
        <f t="shared" si="25"/>
        <v>#DIV/0!</v>
      </c>
      <c r="CK65" s="52" t="e">
        <f t="shared" si="25"/>
        <v>#DIV/0!</v>
      </c>
    </row>
    <row r="66" spans="1:89" s="93" customFormat="1">
      <c r="A66" s="150" t="s">
        <v>481</v>
      </c>
      <c r="E66" s="93">
        <f>E62/E65</f>
        <v>40.077650344251609</v>
      </c>
      <c r="F66" s="93">
        <f t="shared" ref="F66:BQ66" si="26">F62/F65</f>
        <v>35.903689579476172</v>
      </c>
      <c r="G66" s="93">
        <f t="shared" si="26"/>
        <v>45.113711648662097</v>
      </c>
      <c r="H66" s="93">
        <f t="shared" si="26"/>
        <v>92.09687490319368</v>
      </c>
      <c r="I66" s="93">
        <f t="shared" si="26"/>
        <v>36.148708340605218</v>
      </c>
      <c r="J66" s="93">
        <f t="shared" si="26"/>
        <v>25.333645422454154</v>
      </c>
      <c r="K66" s="93">
        <f t="shared" si="26"/>
        <v>36.37831767885254</v>
      </c>
      <c r="L66" s="93">
        <f t="shared" si="26"/>
        <v>68.52502782922366</v>
      </c>
      <c r="M66" s="93">
        <f t="shared" si="26"/>
        <v>20.631805779357709</v>
      </c>
      <c r="N66" s="93">
        <f t="shared" si="26"/>
        <v>13.147921678774713</v>
      </c>
      <c r="O66" s="93">
        <f t="shared" si="26"/>
        <v>23.948613007731268</v>
      </c>
      <c r="P66" s="93">
        <f t="shared" si="26"/>
        <v>43.781255969960668</v>
      </c>
      <c r="Q66" s="93">
        <f t="shared" si="26"/>
        <v>9.1033622499444764</v>
      </c>
      <c r="R66" s="93">
        <f t="shared" si="26"/>
        <v>13.217489590196282</v>
      </c>
      <c r="S66" s="93">
        <f t="shared" si="26"/>
        <v>16.081653982689868</v>
      </c>
      <c r="T66" s="93">
        <f t="shared" si="26"/>
        <v>36.403528816299449</v>
      </c>
      <c r="U66" s="93">
        <f t="shared" si="26"/>
        <v>7.8469736019953409</v>
      </c>
      <c r="V66" s="93">
        <f t="shared" si="26"/>
        <v>16.507026045271488</v>
      </c>
      <c r="W66" s="93">
        <f t="shared" si="26"/>
        <v>17.332448690603826</v>
      </c>
      <c r="X66" s="93">
        <f t="shared" si="26"/>
        <v>35.545145043565725</v>
      </c>
      <c r="Y66" s="93">
        <f t="shared" si="26"/>
        <v>8.7564316968761311</v>
      </c>
      <c r="Z66" s="93">
        <f t="shared" si="26"/>
        <v>12.317042123411747</v>
      </c>
      <c r="AA66" s="93">
        <f t="shared" si="26"/>
        <v>16.072149461879526</v>
      </c>
      <c r="AB66" s="93">
        <f t="shared" si="26"/>
        <v>27.113662147163254</v>
      </c>
      <c r="AC66" s="93">
        <f t="shared" si="26"/>
        <v>5.9561344962736422</v>
      </c>
      <c r="AD66" s="93">
        <f t="shared" si="26"/>
        <v>7.1493209492796526</v>
      </c>
      <c r="AE66" s="93">
        <f t="shared" si="26"/>
        <v>4.5503652512076158</v>
      </c>
      <c r="AF66" s="93">
        <f t="shared" si="26"/>
        <v>11.481364649717698</v>
      </c>
      <c r="AG66" s="93">
        <f t="shared" si="26"/>
        <v>0.78786277157271223</v>
      </c>
      <c r="AH66" s="93">
        <f t="shared" si="26"/>
        <v>2.8807944292354835</v>
      </c>
      <c r="AI66" s="93">
        <f t="shared" si="26"/>
        <v>-2.8499296670756062</v>
      </c>
      <c r="AJ66" s="93">
        <f t="shared" si="26"/>
        <v>5.0332049035511579</v>
      </c>
      <c r="AK66" s="93">
        <f t="shared" si="26"/>
        <v>4.4889275341699379</v>
      </c>
      <c r="AL66" s="93">
        <f t="shared" si="26"/>
        <v>3.1513770032644528</v>
      </c>
      <c r="AM66" s="93">
        <f t="shared" si="26"/>
        <v>0.79206836385709301</v>
      </c>
      <c r="AN66" s="93">
        <f t="shared" si="26"/>
        <v>8.8927671871164815</v>
      </c>
      <c r="AO66" s="93">
        <f t="shared" si="26"/>
        <v>4.2617838145630627</v>
      </c>
      <c r="AP66" s="93">
        <f t="shared" si="26"/>
        <v>0.6755408862943475</v>
      </c>
      <c r="AQ66" s="93" t="e">
        <f t="shared" si="26"/>
        <v>#DIV/0!</v>
      </c>
      <c r="AR66" s="93" t="e">
        <f t="shared" si="26"/>
        <v>#DIV/0!</v>
      </c>
      <c r="AS66" s="93" t="e">
        <f t="shared" si="26"/>
        <v>#DIV/0!</v>
      </c>
      <c r="AT66" s="93" t="e">
        <f t="shared" si="26"/>
        <v>#DIV/0!</v>
      </c>
      <c r="AU66" s="93" t="e">
        <f t="shared" si="26"/>
        <v>#DIV/0!</v>
      </c>
      <c r="AV66" s="93" t="e">
        <f t="shared" si="26"/>
        <v>#DIV/0!</v>
      </c>
      <c r="AW66" s="93" t="e">
        <f t="shared" si="26"/>
        <v>#DIV/0!</v>
      </c>
      <c r="AX66" s="93" t="e">
        <f t="shared" si="26"/>
        <v>#DIV/0!</v>
      </c>
      <c r="AY66" s="93" t="e">
        <f t="shared" si="26"/>
        <v>#DIV/0!</v>
      </c>
      <c r="AZ66" s="93" t="e">
        <f t="shared" si="26"/>
        <v>#DIV/0!</v>
      </c>
      <c r="BA66" s="93" t="e">
        <f t="shared" si="26"/>
        <v>#DIV/0!</v>
      </c>
      <c r="BB66" s="93" t="e">
        <f t="shared" si="26"/>
        <v>#DIV/0!</v>
      </c>
      <c r="BC66" s="93" t="e">
        <f t="shared" si="26"/>
        <v>#DIV/0!</v>
      </c>
      <c r="BD66" s="93" t="e">
        <f t="shared" si="26"/>
        <v>#DIV/0!</v>
      </c>
      <c r="BE66" s="93" t="e">
        <f t="shared" si="26"/>
        <v>#DIV/0!</v>
      </c>
      <c r="BF66" s="93" t="e">
        <f t="shared" si="26"/>
        <v>#DIV/0!</v>
      </c>
      <c r="BG66" s="93" t="e">
        <f t="shared" si="26"/>
        <v>#DIV/0!</v>
      </c>
      <c r="BH66" s="93" t="e">
        <f t="shared" si="26"/>
        <v>#DIV/0!</v>
      </c>
      <c r="BI66" s="93" t="e">
        <f t="shared" si="26"/>
        <v>#DIV/0!</v>
      </c>
      <c r="BJ66" s="93" t="e">
        <f t="shared" si="26"/>
        <v>#DIV/0!</v>
      </c>
      <c r="BK66" s="93" t="e">
        <f t="shared" si="26"/>
        <v>#DIV/0!</v>
      </c>
      <c r="BL66" s="93" t="e">
        <f t="shared" si="26"/>
        <v>#DIV/0!</v>
      </c>
      <c r="BM66" s="93" t="e">
        <f t="shared" si="26"/>
        <v>#DIV/0!</v>
      </c>
      <c r="BN66" s="93" t="e">
        <f t="shared" si="26"/>
        <v>#DIV/0!</v>
      </c>
      <c r="BO66" s="93" t="e">
        <f t="shared" si="26"/>
        <v>#DIV/0!</v>
      </c>
      <c r="BP66" s="93" t="e">
        <f t="shared" si="26"/>
        <v>#DIV/0!</v>
      </c>
      <c r="BQ66" s="93" t="e">
        <f t="shared" si="26"/>
        <v>#DIV/0!</v>
      </c>
      <c r="BR66" s="93" t="e">
        <f t="shared" ref="BR66:CJ66" si="27">BR62/BR65</f>
        <v>#DIV/0!</v>
      </c>
      <c r="BS66" s="93" t="e">
        <f t="shared" si="27"/>
        <v>#DIV/0!</v>
      </c>
      <c r="BT66" s="93" t="e">
        <f t="shared" si="27"/>
        <v>#DIV/0!</v>
      </c>
      <c r="BU66" s="93" t="e">
        <f t="shared" si="27"/>
        <v>#DIV/0!</v>
      </c>
      <c r="BV66" s="93" t="e">
        <f t="shared" si="27"/>
        <v>#DIV/0!</v>
      </c>
      <c r="BW66" s="93" t="e">
        <f t="shared" si="27"/>
        <v>#DIV/0!</v>
      </c>
      <c r="BX66" s="93" t="e">
        <f t="shared" si="27"/>
        <v>#DIV/0!</v>
      </c>
      <c r="BY66" s="93" t="e">
        <f t="shared" si="27"/>
        <v>#DIV/0!</v>
      </c>
      <c r="BZ66" s="93" t="e">
        <f t="shared" si="27"/>
        <v>#DIV/0!</v>
      </c>
      <c r="CA66" s="93" t="e">
        <f t="shared" si="27"/>
        <v>#DIV/0!</v>
      </c>
      <c r="CB66" s="93" t="e">
        <f t="shared" si="27"/>
        <v>#DIV/0!</v>
      </c>
      <c r="CC66" s="93" t="e">
        <f t="shared" si="27"/>
        <v>#DIV/0!</v>
      </c>
      <c r="CD66" s="93" t="e">
        <f t="shared" si="27"/>
        <v>#DIV/0!</v>
      </c>
      <c r="CE66" s="93" t="e">
        <f t="shared" si="27"/>
        <v>#DIV/0!</v>
      </c>
      <c r="CF66" s="93" t="e">
        <f t="shared" si="27"/>
        <v>#DIV/0!</v>
      </c>
      <c r="CG66" s="93" t="e">
        <f t="shared" si="27"/>
        <v>#DIV/0!</v>
      </c>
      <c r="CH66" s="93" t="e">
        <f t="shared" si="27"/>
        <v>#DIV/0!</v>
      </c>
      <c r="CI66" s="93" t="e">
        <f t="shared" si="27"/>
        <v>#DIV/0!</v>
      </c>
      <c r="CJ66" s="93" t="e">
        <f t="shared" si="27"/>
        <v>#DIV/0!</v>
      </c>
    </row>
    <row r="67" spans="1:89" s="86" customFormat="1">
      <c r="A67" s="149" t="s">
        <v>482</v>
      </c>
      <c r="E67" s="86">
        <f>股权价值增加表!E5</f>
        <v>1319117997.23</v>
      </c>
      <c r="F67" s="86">
        <f>股权价值增加表!F5</f>
        <v>776346533.23000002</v>
      </c>
      <c r="G67" s="86">
        <f>股权价值增加表!G5</f>
        <v>478577159.86000001</v>
      </c>
      <c r="H67" s="86">
        <f>股权价值增加表!H5</f>
        <v>214613391.94</v>
      </c>
      <c r="I67" s="86">
        <f>股权价值增加表!I5</f>
        <v>1150345166.79</v>
      </c>
      <c r="J67" s="86">
        <f>股权价值增加表!J5</f>
        <v>663671186.95000005</v>
      </c>
      <c r="K67" s="86">
        <f>股权价值增加表!K5</f>
        <v>429896966.41000003</v>
      </c>
      <c r="L67" s="86">
        <f>股权价值增加表!L5</f>
        <v>211828510.16999999</v>
      </c>
      <c r="M67" s="86">
        <f>股权价值增加表!M5</f>
        <v>1024309455.52</v>
      </c>
      <c r="N67" s="86">
        <f>股权价值增加表!N5</f>
        <v>632417690.95000005</v>
      </c>
      <c r="O67" s="86">
        <f>股权价值增加表!O5</f>
        <v>413716380.67000002</v>
      </c>
      <c r="P67" s="86">
        <f>股权价值增加表!P5</f>
        <v>225173357.06</v>
      </c>
      <c r="Q67" s="86">
        <f>股权价值增加表!Q5</f>
        <v>958861199.09000003</v>
      </c>
      <c r="R67" s="86">
        <f>股权价值增加表!R5</f>
        <v>630604450.87</v>
      </c>
      <c r="S67" s="86">
        <f>股权价值增加表!S5</f>
        <v>409625571.42000002</v>
      </c>
      <c r="T67" s="86">
        <f>股权价值增加表!T5</f>
        <v>213115587.27000001</v>
      </c>
      <c r="U67" s="86">
        <f>股权价值增加表!U5</f>
        <v>906310286.90999997</v>
      </c>
      <c r="V67" s="86">
        <f>股权价值增加表!V5</f>
        <v>615070206.82000005</v>
      </c>
      <c r="W67" s="86">
        <f>股权价值增加表!W5</f>
        <v>394895420.13999999</v>
      </c>
      <c r="X67" s="86">
        <f>股权价值增加表!X5</f>
        <v>210348888.36000001</v>
      </c>
      <c r="Y67" s="86">
        <f>股权价值增加表!Y5</f>
        <v>916028982.89999998</v>
      </c>
      <c r="Z67" s="86">
        <f>股权价值增加表!Z5</f>
        <v>628905491.99000001</v>
      </c>
      <c r="AA67" s="86">
        <f>股权价值增加表!AA5</f>
        <v>404692572.98000002</v>
      </c>
      <c r="AB67" s="86">
        <f>股权价值增加表!AB5</f>
        <v>203424582.31</v>
      </c>
      <c r="AC67" s="86">
        <f>股权价值增加表!AC5</f>
        <v>769766859.11000001</v>
      </c>
      <c r="AD67" s="86">
        <f>股权价值增加表!AD5</f>
        <v>493964080.81999999</v>
      </c>
      <c r="AE67" s="86">
        <f>股权价值增加表!AE5</f>
        <v>313039939.76999998</v>
      </c>
      <c r="AF67" s="86">
        <f>股权价值增加表!AF5</f>
        <v>167922259.99000001</v>
      </c>
      <c r="AG67" s="86">
        <f>股权价值增加表!AG5</f>
        <v>575141161.89999998</v>
      </c>
      <c r="AH67" s="86">
        <f>股权价值增加表!AH5</f>
        <v>378433980.73000002</v>
      </c>
      <c r="AI67" s="86">
        <f>股权价值增加表!AI5</f>
        <v>242880521.09999999</v>
      </c>
      <c r="AJ67" s="86">
        <f>股权价值增加表!AJ5</f>
        <v>135032498.55000001</v>
      </c>
      <c r="AK67" s="86">
        <f>股权价值增加表!AK5</f>
        <v>451407014.26999998</v>
      </c>
      <c r="AL67" s="86">
        <f>股权价值增加表!AL5</f>
        <v>299938501.99000001</v>
      </c>
      <c r="AM67" s="86">
        <f>股权价值增加表!AM5</f>
        <v>184462048.91999999</v>
      </c>
      <c r="AN67" s="86">
        <f>股权价值增加表!AN5</f>
        <v>103831102.13</v>
      </c>
      <c r="AO67" s="86">
        <f>股权价值增加表!AO5</f>
        <v>374453565.63999999</v>
      </c>
      <c r="AP67" s="86">
        <f>股权价值增加表!AP5</f>
        <v>257326813.56</v>
      </c>
      <c r="AQ67" s="86">
        <f>股权价值增加表!AQ5</f>
        <v>369113439.10000002</v>
      </c>
      <c r="AR67" s="86">
        <f>股权价值增加表!AR5</f>
        <v>292783827.00999999</v>
      </c>
      <c r="AS67" s="86">
        <f>股权价值增加表!AS5</f>
        <v>0</v>
      </c>
      <c r="AT67" s="86">
        <f>股权价值增加表!AT5</f>
        <v>0</v>
      </c>
      <c r="AU67" s="86">
        <f>股权价值增加表!AU5</f>
        <v>0</v>
      </c>
      <c r="AV67" s="86">
        <f>股权价值增加表!AV5</f>
        <v>0</v>
      </c>
      <c r="AW67" s="86">
        <f>股权价值增加表!AW5</f>
        <v>0</v>
      </c>
      <c r="AX67" s="86">
        <f>股权价值增加表!AX5</f>
        <v>0</v>
      </c>
      <c r="AY67" s="86">
        <f>股权价值增加表!AY5</f>
        <v>0</v>
      </c>
      <c r="AZ67" s="86">
        <f>股权价值增加表!AZ5</f>
        <v>0</v>
      </c>
      <c r="BA67" s="86">
        <f>股权价值增加表!BA5</f>
        <v>0</v>
      </c>
      <c r="BB67" s="86">
        <f>股权价值增加表!BB5</f>
        <v>0</v>
      </c>
      <c r="BC67" s="86">
        <f>股权价值增加表!BC5</f>
        <v>0</v>
      </c>
      <c r="BD67" s="86">
        <f>股权价值增加表!BD5</f>
        <v>0</v>
      </c>
      <c r="BE67" s="86">
        <f>股权价值增加表!BE5</f>
        <v>0</v>
      </c>
      <c r="BF67" s="86">
        <f>股权价值增加表!BF5</f>
        <v>0</v>
      </c>
      <c r="BG67" s="86">
        <f>股权价值增加表!BG5</f>
        <v>0</v>
      </c>
      <c r="BH67" s="86">
        <f>股权价值增加表!BH5</f>
        <v>0</v>
      </c>
      <c r="BI67" s="86">
        <f>股权价值增加表!BI5</f>
        <v>0</v>
      </c>
      <c r="BJ67" s="86">
        <f>股权价值增加表!BJ5</f>
        <v>0</v>
      </c>
      <c r="BK67" s="86">
        <f>股权价值增加表!BK5</f>
        <v>0</v>
      </c>
      <c r="BL67" s="86">
        <f>股权价值增加表!BL5</f>
        <v>0</v>
      </c>
      <c r="BM67" s="86">
        <f>股权价值增加表!BM5</f>
        <v>0</v>
      </c>
      <c r="BN67" s="86">
        <f>股权价值增加表!BN5</f>
        <v>0</v>
      </c>
      <c r="BO67" s="86">
        <f>股权价值增加表!BO5</f>
        <v>0</v>
      </c>
      <c r="BP67" s="86">
        <f>股权价值增加表!BP5</f>
        <v>0</v>
      </c>
      <c r="BQ67" s="86">
        <f>股权价值增加表!BQ5</f>
        <v>0</v>
      </c>
      <c r="BR67" s="86">
        <f>股权价值增加表!BR5</f>
        <v>0</v>
      </c>
      <c r="BS67" s="86">
        <f>股权价值增加表!BS5</f>
        <v>0</v>
      </c>
      <c r="BT67" s="86">
        <f>股权价值增加表!BT5</f>
        <v>0</v>
      </c>
      <c r="BU67" s="86">
        <f>股权价值增加表!BU5</f>
        <v>0</v>
      </c>
      <c r="BV67" s="86">
        <f>股权价值增加表!BV5</f>
        <v>0</v>
      </c>
      <c r="BW67" s="86">
        <f>股权价值增加表!BW5</f>
        <v>0</v>
      </c>
      <c r="BX67" s="86">
        <f>股权价值增加表!BX5</f>
        <v>0</v>
      </c>
      <c r="BY67" s="86">
        <f>股权价值增加表!BY5</f>
        <v>0</v>
      </c>
      <c r="BZ67" s="86">
        <f>股权价值增加表!BZ5</f>
        <v>0</v>
      </c>
      <c r="CA67" s="86">
        <f>股权价值增加表!CA5</f>
        <v>0</v>
      </c>
      <c r="CB67" s="86">
        <f>股权价值增加表!CB5</f>
        <v>0</v>
      </c>
      <c r="CC67" s="86">
        <f>股权价值增加表!CC5</f>
        <v>0</v>
      </c>
      <c r="CD67" s="86">
        <f>股权价值增加表!CD5</f>
        <v>0</v>
      </c>
      <c r="CE67" s="86">
        <f>股权价值增加表!CE5</f>
        <v>0</v>
      </c>
      <c r="CF67" s="86">
        <f>股权价值增加表!CF5</f>
        <v>0</v>
      </c>
      <c r="CG67" s="86">
        <f>股权价值增加表!CG5</f>
        <v>0</v>
      </c>
      <c r="CH67" s="86">
        <f>股权价值增加表!CH5</f>
        <v>0</v>
      </c>
      <c r="CI67" s="86">
        <f>股权价值增加表!CI5</f>
        <v>0</v>
      </c>
      <c r="CJ67" s="86">
        <f>股权价值增加表!CJ5</f>
        <v>0</v>
      </c>
      <c r="CK67" s="86">
        <f>股权价值增加表!CK5</f>
        <v>0</v>
      </c>
    </row>
    <row r="68" spans="1:89" s="86" customFormat="1">
      <c r="A68" s="149" t="s">
        <v>483</v>
      </c>
      <c r="E68" s="86">
        <f>资产资本表!E26</f>
        <v>718840382.04999995</v>
      </c>
      <c r="F68" s="86">
        <f>资产资本表!F26</f>
        <v>820851385.72000003</v>
      </c>
      <c r="G68" s="86">
        <f>资产资本表!G26</f>
        <v>774650406.79999995</v>
      </c>
      <c r="H68" s="86">
        <f>资产资本表!H26</f>
        <v>726226041.11000001</v>
      </c>
      <c r="I68" s="86">
        <f>资产资本表!I26</f>
        <v>638530342.94000006</v>
      </c>
      <c r="J68" s="86">
        <f>资产资本表!J26</f>
        <v>698966925.53999996</v>
      </c>
      <c r="K68" s="86">
        <f>资产资本表!K26</f>
        <v>587925170.94000006</v>
      </c>
      <c r="L68" s="86">
        <f>资产资本表!L26</f>
        <v>565796092.24000001</v>
      </c>
      <c r="M68" s="86">
        <f>资产资本表!M26</f>
        <v>533652847.85000002</v>
      </c>
      <c r="N68" s="86">
        <f>资产资本表!N26</f>
        <v>650525217.88999999</v>
      </c>
      <c r="O68" s="86">
        <f>资产资本表!O26</f>
        <v>619197712.64999998</v>
      </c>
      <c r="P68" s="86">
        <f>资产资本表!P26</f>
        <v>557370135.13</v>
      </c>
      <c r="Q68" s="86">
        <f>资产资本表!Q26</f>
        <v>531261388.54000002</v>
      </c>
      <c r="R68" s="86">
        <f>资产资本表!R26</f>
        <v>568192555.25999999</v>
      </c>
      <c r="S68" s="86">
        <f>资产资本表!S26</f>
        <v>525358158.92000002</v>
      </c>
      <c r="T68" s="86">
        <f>资产资本表!T26</f>
        <v>529607992.70999998</v>
      </c>
      <c r="U68" s="86">
        <f>资产资本表!U26</f>
        <v>573407287.41999996</v>
      </c>
      <c r="V68" s="86">
        <f>资产资本表!V26</f>
        <v>579567313.74000001</v>
      </c>
      <c r="W68" s="86">
        <f>资产资本表!W26</f>
        <v>550012582.82000005</v>
      </c>
      <c r="X68" s="86">
        <f>资产资本表!X26</f>
        <v>486279130.36000001</v>
      </c>
      <c r="Y68" s="86">
        <f>资产资本表!Y26</f>
        <v>437231060.58999997</v>
      </c>
      <c r="Z68" s="86">
        <f>资产资本表!Z26</f>
        <v>459814024.52999997</v>
      </c>
      <c r="AA68" s="86">
        <f>资产资本表!AA26</f>
        <v>491454809.50999999</v>
      </c>
      <c r="AB68" s="86">
        <f>资产资本表!AB26</f>
        <v>520517931.63999999</v>
      </c>
      <c r="AC68" s="86">
        <f>资产资本表!AC26</f>
        <v>517055400.97000003</v>
      </c>
      <c r="AD68" s="86">
        <f>资产资本表!AD26</f>
        <v>480801176.99000001</v>
      </c>
      <c r="AE68" s="86">
        <f>资产资本表!AE26</f>
        <v>363216710.76999998</v>
      </c>
      <c r="AF68" s="86">
        <f>资产资本表!AF26</f>
        <v>367129263.45999998</v>
      </c>
      <c r="AG68" s="86">
        <f>资产资本表!AG26</f>
        <v>415122019.25999999</v>
      </c>
      <c r="AH68" s="86">
        <f>资产资本表!AH26</f>
        <v>419263192.25999999</v>
      </c>
      <c r="AI68" s="86">
        <f>资产资本表!AI26</f>
        <v>356433632.55000001</v>
      </c>
      <c r="AJ68" s="86">
        <f>资产资本表!AJ26</f>
        <v>242099788.90000001</v>
      </c>
      <c r="AK68" s="86">
        <f>资产资本表!AK26</f>
        <v>197238388.81</v>
      </c>
      <c r="AL68" s="86">
        <f>资产资本表!AL26</f>
        <v>206845537.66999999</v>
      </c>
      <c r="AM68" s="86">
        <f>资产资本表!AM26</f>
        <v>187254037.84</v>
      </c>
      <c r="AN68" s="86">
        <f>资产资本表!AN26</f>
        <v>219121693.63</v>
      </c>
      <c r="AO68" s="86">
        <f>资产资本表!AO26</f>
        <v>145816330.52000001</v>
      </c>
      <c r="AP68" s="86">
        <f>资产资本表!AP26</f>
        <v>122230341.95</v>
      </c>
      <c r="AQ68" s="86">
        <f>资产资本表!AQ26</f>
        <v>0</v>
      </c>
      <c r="AR68" s="86">
        <f>资产资本表!AR26</f>
        <v>0</v>
      </c>
      <c r="AS68" s="86">
        <f>资产资本表!AS26</f>
        <v>0</v>
      </c>
      <c r="AT68" s="86">
        <f>资产资本表!AT26</f>
        <v>0</v>
      </c>
      <c r="AU68" s="86">
        <f>资产资本表!AU26</f>
        <v>0</v>
      </c>
      <c r="AV68" s="86">
        <f>资产资本表!AV26</f>
        <v>0</v>
      </c>
      <c r="AW68" s="86">
        <f>资产资本表!AW26</f>
        <v>0</v>
      </c>
      <c r="AX68" s="86">
        <f>资产资本表!AX26</f>
        <v>0</v>
      </c>
      <c r="AY68" s="86">
        <f>资产资本表!AY26</f>
        <v>0</v>
      </c>
      <c r="AZ68" s="86">
        <f>资产资本表!AZ26</f>
        <v>0</v>
      </c>
      <c r="BA68" s="86">
        <f>资产资本表!BA26</f>
        <v>0</v>
      </c>
      <c r="BB68" s="86">
        <f>资产资本表!BB26</f>
        <v>0</v>
      </c>
      <c r="BC68" s="86">
        <f>资产资本表!BC26</f>
        <v>0</v>
      </c>
      <c r="BD68" s="86">
        <f>资产资本表!BD26</f>
        <v>0</v>
      </c>
      <c r="BE68" s="86">
        <f>资产资本表!BE26</f>
        <v>0</v>
      </c>
      <c r="BF68" s="86">
        <f>资产资本表!BF26</f>
        <v>0</v>
      </c>
      <c r="BG68" s="86">
        <f>资产资本表!BG26</f>
        <v>0</v>
      </c>
      <c r="BH68" s="86">
        <f>资产资本表!BH26</f>
        <v>0</v>
      </c>
      <c r="BI68" s="86">
        <f>资产资本表!BI26</f>
        <v>0</v>
      </c>
      <c r="BJ68" s="86">
        <f>资产资本表!BJ26</f>
        <v>0</v>
      </c>
      <c r="BK68" s="86">
        <f>资产资本表!BK26</f>
        <v>0</v>
      </c>
      <c r="BL68" s="86">
        <f>资产资本表!BL26</f>
        <v>0</v>
      </c>
      <c r="BM68" s="86">
        <f>资产资本表!BM26</f>
        <v>0</v>
      </c>
      <c r="BN68" s="86">
        <f>资产资本表!BN26</f>
        <v>0</v>
      </c>
      <c r="BO68" s="86">
        <f>资产资本表!BO26</f>
        <v>0</v>
      </c>
      <c r="BP68" s="86">
        <f>资产资本表!BP26</f>
        <v>0</v>
      </c>
      <c r="BQ68" s="86">
        <f>资产资本表!BQ26</f>
        <v>0</v>
      </c>
      <c r="BR68" s="86">
        <f>资产资本表!BR26</f>
        <v>0</v>
      </c>
      <c r="BS68" s="86">
        <f>资产资本表!BS26</f>
        <v>0</v>
      </c>
      <c r="BT68" s="86">
        <f>资产资本表!BT26</f>
        <v>0</v>
      </c>
      <c r="BU68" s="86">
        <f>资产资本表!BU26</f>
        <v>0</v>
      </c>
      <c r="BV68" s="86">
        <f>资产资本表!BV26</f>
        <v>0</v>
      </c>
      <c r="BW68" s="86">
        <f>资产资本表!BW26</f>
        <v>0</v>
      </c>
      <c r="BX68" s="86">
        <f>资产资本表!BX26</f>
        <v>0</v>
      </c>
      <c r="BY68" s="86">
        <f>资产资本表!BY26</f>
        <v>0</v>
      </c>
      <c r="BZ68" s="86">
        <f>资产资本表!BZ26</f>
        <v>0</v>
      </c>
      <c r="CA68" s="86">
        <f>资产资本表!CA26</f>
        <v>0</v>
      </c>
      <c r="CB68" s="86">
        <f>资产资本表!CB26</f>
        <v>0</v>
      </c>
      <c r="CC68" s="86">
        <f>资产资本表!CC26</f>
        <v>0</v>
      </c>
      <c r="CD68" s="86">
        <f>资产资本表!CD26</f>
        <v>0</v>
      </c>
      <c r="CE68" s="86">
        <f>资产资本表!CE26</f>
        <v>0</v>
      </c>
      <c r="CF68" s="86">
        <f>资产资本表!CF26</f>
        <v>0</v>
      </c>
      <c r="CG68" s="86">
        <f>资产资本表!CG26</f>
        <v>0</v>
      </c>
      <c r="CH68" s="86">
        <f>资产资本表!CH26</f>
        <v>0</v>
      </c>
      <c r="CI68" s="86">
        <f>资产资本表!CI26</f>
        <v>0</v>
      </c>
      <c r="CJ68" s="86">
        <f>资产资本表!CJ26</f>
        <v>0</v>
      </c>
    </row>
    <row r="69" spans="1:89" s="52" customFormat="1">
      <c r="A69" s="151" t="s">
        <v>484</v>
      </c>
      <c r="E69" s="52">
        <f>E67/(E68+I68)*2</f>
        <v>1.9436370225823432</v>
      </c>
      <c r="F69" s="52">
        <f t="shared" ref="F69:BQ69" si="28">F67/(F68+J68)*2</f>
        <v>1.0216307139849798</v>
      </c>
      <c r="G69" s="52">
        <f t="shared" si="28"/>
        <v>0.70245961791532974</v>
      </c>
      <c r="H69" s="52">
        <f t="shared" si="28"/>
        <v>0.33221318180291992</v>
      </c>
      <c r="I69" s="52">
        <f t="shared" si="28"/>
        <v>1.9627395714738374</v>
      </c>
      <c r="J69" s="52">
        <f t="shared" si="28"/>
        <v>0.98358658874908178</v>
      </c>
      <c r="K69" s="52">
        <f t="shared" si="28"/>
        <v>0.71226711423360722</v>
      </c>
      <c r="L69" s="52">
        <f t="shared" si="28"/>
        <v>0.37719885980905338</v>
      </c>
      <c r="M69" s="52">
        <f t="shared" si="28"/>
        <v>1.9237407492876646</v>
      </c>
      <c r="N69" s="52">
        <f t="shared" si="28"/>
        <v>1.0378410898454369</v>
      </c>
      <c r="O69" s="52">
        <f t="shared" si="28"/>
        <v>0.72292911328566367</v>
      </c>
      <c r="P69" s="52">
        <f t="shared" si="28"/>
        <v>0.414310741481902</v>
      </c>
      <c r="Q69" s="52">
        <f t="shared" si="28"/>
        <v>1.736015911298856</v>
      </c>
      <c r="R69" s="52">
        <f t="shared" si="28"/>
        <v>1.0988438747547811</v>
      </c>
      <c r="S69" s="52">
        <f t="shared" si="28"/>
        <v>0.76183134898613059</v>
      </c>
      <c r="T69" s="52">
        <f t="shared" si="28"/>
        <v>0.41956548602755589</v>
      </c>
      <c r="U69" s="52">
        <f t="shared" si="28"/>
        <v>1.7935402682761297</v>
      </c>
      <c r="V69" s="52">
        <f t="shared" si="28"/>
        <v>1.1835313646168686</v>
      </c>
      <c r="W69" s="52">
        <f t="shared" si="28"/>
        <v>0.75834428048011926</v>
      </c>
      <c r="X69" s="52">
        <f t="shared" si="28"/>
        <v>0.41785757288989789</v>
      </c>
      <c r="Y69" s="52">
        <f t="shared" si="28"/>
        <v>1.9198197182899162</v>
      </c>
      <c r="Z69" s="52">
        <f t="shared" si="28"/>
        <v>1.337221620432482</v>
      </c>
      <c r="AA69" s="52">
        <f t="shared" si="28"/>
        <v>0.94701312346857702</v>
      </c>
      <c r="AB69" s="52">
        <f t="shared" si="28"/>
        <v>0.45834557565876777</v>
      </c>
      <c r="AC69" s="52">
        <f t="shared" si="28"/>
        <v>1.6515458160745242</v>
      </c>
      <c r="AD69" s="52">
        <f t="shared" si="28"/>
        <v>1.0976194541099484</v>
      </c>
      <c r="AE69" s="52">
        <f t="shared" si="28"/>
        <v>0.86997787932911064</v>
      </c>
      <c r="AF69" s="52">
        <f t="shared" si="28"/>
        <v>0.55126149791941614</v>
      </c>
      <c r="AG69" s="52">
        <f t="shared" si="28"/>
        <v>1.8784400634675082</v>
      </c>
      <c r="AH69" s="52">
        <f t="shared" si="28"/>
        <v>1.2088442873885805</v>
      </c>
      <c r="AI69" s="52">
        <f t="shared" si="28"/>
        <v>0.8934560569518748</v>
      </c>
      <c r="AJ69" s="52">
        <f t="shared" si="28"/>
        <v>0.58554297084900797</v>
      </c>
      <c r="AK69" s="52">
        <f t="shared" si="28"/>
        <v>2.6316910325653962</v>
      </c>
      <c r="AL69" s="52">
        <f t="shared" si="28"/>
        <v>1.8229139269420394</v>
      </c>
      <c r="AM69" s="52">
        <f t="shared" si="28"/>
        <v>1.9701796665940454</v>
      </c>
      <c r="AN69" s="52">
        <f t="shared" si="28"/>
        <v>0.94770262505660419</v>
      </c>
      <c r="AO69" s="52">
        <f t="shared" si="28"/>
        <v>5.1359619914264725</v>
      </c>
      <c r="AP69" s="52">
        <f t="shared" si="28"/>
        <v>4.2105226812711214</v>
      </c>
      <c r="AQ69" s="52" t="e">
        <f t="shared" si="28"/>
        <v>#DIV/0!</v>
      </c>
      <c r="AR69" s="52" t="e">
        <f t="shared" si="28"/>
        <v>#DIV/0!</v>
      </c>
      <c r="AS69" s="52" t="e">
        <f t="shared" si="28"/>
        <v>#DIV/0!</v>
      </c>
      <c r="AT69" s="52" t="e">
        <f t="shared" si="28"/>
        <v>#DIV/0!</v>
      </c>
      <c r="AU69" s="52" t="e">
        <f t="shared" si="28"/>
        <v>#DIV/0!</v>
      </c>
      <c r="AV69" s="52" t="e">
        <f t="shared" si="28"/>
        <v>#DIV/0!</v>
      </c>
      <c r="AW69" s="52" t="e">
        <f t="shared" si="28"/>
        <v>#DIV/0!</v>
      </c>
      <c r="AX69" s="52" t="e">
        <f t="shared" si="28"/>
        <v>#DIV/0!</v>
      </c>
      <c r="AY69" s="52" t="e">
        <f t="shared" si="28"/>
        <v>#DIV/0!</v>
      </c>
      <c r="AZ69" s="52" t="e">
        <f t="shared" si="28"/>
        <v>#DIV/0!</v>
      </c>
      <c r="BA69" s="52" t="e">
        <f t="shared" si="28"/>
        <v>#DIV/0!</v>
      </c>
      <c r="BB69" s="52" t="e">
        <f t="shared" si="28"/>
        <v>#DIV/0!</v>
      </c>
      <c r="BC69" s="52" t="e">
        <f t="shared" si="28"/>
        <v>#DIV/0!</v>
      </c>
      <c r="BD69" s="52" t="e">
        <f t="shared" si="28"/>
        <v>#DIV/0!</v>
      </c>
      <c r="BE69" s="52" t="e">
        <f t="shared" si="28"/>
        <v>#DIV/0!</v>
      </c>
      <c r="BF69" s="52" t="e">
        <f t="shared" si="28"/>
        <v>#DIV/0!</v>
      </c>
      <c r="BG69" s="52" t="e">
        <f t="shared" si="28"/>
        <v>#DIV/0!</v>
      </c>
      <c r="BH69" s="52" t="e">
        <f t="shared" si="28"/>
        <v>#DIV/0!</v>
      </c>
      <c r="BI69" s="52" t="e">
        <f t="shared" si="28"/>
        <v>#DIV/0!</v>
      </c>
      <c r="BJ69" s="52" t="e">
        <f t="shared" si="28"/>
        <v>#DIV/0!</v>
      </c>
      <c r="BK69" s="52" t="e">
        <f t="shared" si="28"/>
        <v>#DIV/0!</v>
      </c>
      <c r="BL69" s="52" t="e">
        <f t="shared" si="28"/>
        <v>#DIV/0!</v>
      </c>
      <c r="BM69" s="52" t="e">
        <f t="shared" si="28"/>
        <v>#DIV/0!</v>
      </c>
      <c r="BN69" s="52" t="e">
        <f t="shared" si="28"/>
        <v>#DIV/0!</v>
      </c>
      <c r="BO69" s="52" t="e">
        <f t="shared" si="28"/>
        <v>#DIV/0!</v>
      </c>
      <c r="BP69" s="52" t="e">
        <f t="shared" si="28"/>
        <v>#DIV/0!</v>
      </c>
      <c r="BQ69" s="52" t="e">
        <f t="shared" si="28"/>
        <v>#DIV/0!</v>
      </c>
      <c r="BR69" s="52" t="e">
        <f t="shared" ref="BR69:CJ69" si="29">BR67/(BR68+BV68)*2</f>
        <v>#DIV/0!</v>
      </c>
      <c r="BS69" s="52" t="e">
        <f t="shared" si="29"/>
        <v>#DIV/0!</v>
      </c>
      <c r="BT69" s="52" t="e">
        <f t="shared" si="29"/>
        <v>#DIV/0!</v>
      </c>
      <c r="BU69" s="52" t="e">
        <f t="shared" si="29"/>
        <v>#DIV/0!</v>
      </c>
      <c r="BV69" s="52" t="e">
        <f t="shared" si="29"/>
        <v>#DIV/0!</v>
      </c>
      <c r="BW69" s="52" t="e">
        <f t="shared" si="29"/>
        <v>#DIV/0!</v>
      </c>
      <c r="BX69" s="52" t="e">
        <f t="shared" si="29"/>
        <v>#DIV/0!</v>
      </c>
      <c r="BY69" s="52" t="e">
        <f t="shared" si="29"/>
        <v>#DIV/0!</v>
      </c>
      <c r="BZ69" s="52" t="e">
        <f t="shared" si="29"/>
        <v>#DIV/0!</v>
      </c>
      <c r="CA69" s="52" t="e">
        <f t="shared" si="29"/>
        <v>#DIV/0!</v>
      </c>
      <c r="CB69" s="52" t="e">
        <f t="shared" si="29"/>
        <v>#DIV/0!</v>
      </c>
      <c r="CC69" s="52" t="e">
        <f t="shared" si="29"/>
        <v>#DIV/0!</v>
      </c>
      <c r="CD69" s="52" t="e">
        <f t="shared" si="29"/>
        <v>#DIV/0!</v>
      </c>
      <c r="CE69" s="52" t="e">
        <f t="shared" si="29"/>
        <v>#DIV/0!</v>
      </c>
      <c r="CF69" s="52" t="e">
        <f t="shared" si="29"/>
        <v>#DIV/0!</v>
      </c>
      <c r="CG69" s="52" t="e">
        <f t="shared" si="29"/>
        <v>#DIV/0!</v>
      </c>
      <c r="CH69" s="52" t="e">
        <f t="shared" si="29"/>
        <v>#DIV/0!</v>
      </c>
      <c r="CI69" s="52" t="e">
        <f t="shared" si="29"/>
        <v>#DIV/0!</v>
      </c>
      <c r="CJ69" s="52" t="e">
        <f t="shared" si="29"/>
        <v>#DIV/0!</v>
      </c>
    </row>
    <row r="70" spans="1:89" s="93" customFormat="1">
      <c r="A70" s="150" t="s">
        <v>485</v>
      </c>
      <c r="E70" s="93">
        <f>E62/E69</f>
        <v>187.79226561297742</v>
      </c>
      <c r="F70" s="93">
        <f t="shared" ref="F70:BQ70" si="30">F62/F69</f>
        <v>357.27195257891032</v>
      </c>
      <c r="G70" s="93">
        <f t="shared" si="30"/>
        <v>519.60282227069581</v>
      </c>
      <c r="H70" s="93">
        <f t="shared" si="30"/>
        <v>1098.692104928366</v>
      </c>
      <c r="I70" s="93">
        <f t="shared" si="30"/>
        <v>185.96455959051076</v>
      </c>
      <c r="J70" s="93">
        <f t="shared" si="30"/>
        <v>371.09086701172322</v>
      </c>
      <c r="K70" s="93">
        <f t="shared" si="30"/>
        <v>512.44819914609786</v>
      </c>
      <c r="L70" s="93">
        <f t="shared" si="30"/>
        <v>967.65934071161109</v>
      </c>
      <c r="M70" s="93">
        <f t="shared" si="30"/>
        <v>189.7345056162867</v>
      </c>
      <c r="N70" s="93">
        <f t="shared" si="30"/>
        <v>351.69160632709054</v>
      </c>
      <c r="O70" s="93">
        <f t="shared" si="30"/>
        <v>504.89044263427132</v>
      </c>
      <c r="P70" s="93">
        <f t="shared" si="30"/>
        <v>880.98126226337286</v>
      </c>
      <c r="Q70" s="93">
        <f t="shared" si="30"/>
        <v>210.25152916191507</v>
      </c>
      <c r="R70" s="93">
        <f t="shared" si="30"/>
        <v>332.16729727091916</v>
      </c>
      <c r="S70" s="93">
        <f t="shared" si="30"/>
        <v>479.10866425456715</v>
      </c>
      <c r="T70" s="93">
        <f t="shared" si="30"/>
        <v>869.9476295245787</v>
      </c>
      <c r="U70" s="93">
        <f t="shared" si="30"/>
        <v>203.50811546083747</v>
      </c>
      <c r="V70" s="93">
        <f t="shared" si="30"/>
        <v>308.39909351972045</v>
      </c>
      <c r="W70" s="93">
        <f t="shared" si="30"/>
        <v>481.31173319974533</v>
      </c>
      <c r="X70" s="93">
        <f t="shared" si="30"/>
        <v>873.50337454856788</v>
      </c>
      <c r="Y70" s="93">
        <f t="shared" si="30"/>
        <v>190.12201850136458</v>
      </c>
      <c r="Z70" s="93">
        <f t="shared" si="30"/>
        <v>272.95400734094642</v>
      </c>
      <c r="AA70" s="93">
        <f t="shared" si="30"/>
        <v>385.42232515546669</v>
      </c>
      <c r="AB70" s="93">
        <f t="shared" si="30"/>
        <v>796.34236563840568</v>
      </c>
      <c r="AC70" s="93">
        <f t="shared" si="30"/>
        <v>221.00507079334321</v>
      </c>
      <c r="AD70" s="93">
        <f t="shared" si="30"/>
        <v>332.53783780278917</v>
      </c>
      <c r="AE70" s="93">
        <f t="shared" si="30"/>
        <v>419.55089741071606</v>
      </c>
      <c r="AF70" s="93">
        <f t="shared" si="30"/>
        <v>662.11770888696458</v>
      </c>
      <c r="AG70" s="93">
        <f t="shared" si="30"/>
        <v>194.3101657053821</v>
      </c>
      <c r="AH70" s="93">
        <f t="shared" si="30"/>
        <v>301.94128706890393</v>
      </c>
      <c r="AI70" s="93">
        <f t="shared" si="30"/>
        <v>408.5259674048641</v>
      </c>
      <c r="AJ70" s="93">
        <f t="shared" si="30"/>
        <v>623.3530554909886</v>
      </c>
      <c r="AK70" s="93">
        <f t="shared" si="30"/>
        <v>138.69409268921461</v>
      </c>
      <c r="AL70" s="93">
        <f t="shared" si="30"/>
        <v>200.22887235948218</v>
      </c>
      <c r="AM70" s="93">
        <f t="shared" si="30"/>
        <v>185.26229165231157</v>
      </c>
      <c r="AN70" s="93">
        <f t="shared" si="30"/>
        <v>385.1419109218985</v>
      </c>
      <c r="AO70" s="93">
        <f t="shared" si="30"/>
        <v>71.067504122752311</v>
      </c>
      <c r="AP70" s="93">
        <f t="shared" si="30"/>
        <v>86.687574828550638</v>
      </c>
      <c r="AQ70" s="93" t="e">
        <f t="shared" si="30"/>
        <v>#DIV/0!</v>
      </c>
      <c r="AR70" s="93" t="e">
        <f t="shared" si="30"/>
        <v>#DIV/0!</v>
      </c>
      <c r="AS70" s="93" t="e">
        <f t="shared" si="30"/>
        <v>#DIV/0!</v>
      </c>
      <c r="AT70" s="93" t="e">
        <f t="shared" si="30"/>
        <v>#DIV/0!</v>
      </c>
      <c r="AU70" s="93" t="e">
        <f t="shared" si="30"/>
        <v>#DIV/0!</v>
      </c>
      <c r="AV70" s="93" t="e">
        <f t="shared" si="30"/>
        <v>#DIV/0!</v>
      </c>
      <c r="AW70" s="93" t="e">
        <f t="shared" si="30"/>
        <v>#DIV/0!</v>
      </c>
      <c r="AX70" s="93" t="e">
        <f t="shared" si="30"/>
        <v>#DIV/0!</v>
      </c>
      <c r="AY70" s="93" t="e">
        <f t="shared" si="30"/>
        <v>#DIV/0!</v>
      </c>
      <c r="AZ70" s="93" t="e">
        <f t="shared" si="30"/>
        <v>#DIV/0!</v>
      </c>
      <c r="BA70" s="93" t="e">
        <f t="shared" si="30"/>
        <v>#DIV/0!</v>
      </c>
      <c r="BB70" s="93" t="e">
        <f t="shared" si="30"/>
        <v>#DIV/0!</v>
      </c>
      <c r="BC70" s="93" t="e">
        <f t="shared" si="30"/>
        <v>#DIV/0!</v>
      </c>
      <c r="BD70" s="93" t="e">
        <f t="shared" si="30"/>
        <v>#DIV/0!</v>
      </c>
      <c r="BE70" s="93" t="e">
        <f t="shared" si="30"/>
        <v>#DIV/0!</v>
      </c>
      <c r="BF70" s="93" t="e">
        <f t="shared" si="30"/>
        <v>#DIV/0!</v>
      </c>
      <c r="BG70" s="93" t="e">
        <f t="shared" si="30"/>
        <v>#DIV/0!</v>
      </c>
      <c r="BH70" s="93" t="e">
        <f t="shared" si="30"/>
        <v>#DIV/0!</v>
      </c>
      <c r="BI70" s="93" t="e">
        <f t="shared" si="30"/>
        <v>#DIV/0!</v>
      </c>
      <c r="BJ70" s="93" t="e">
        <f t="shared" si="30"/>
        <v>#DIV/0!</v>
      </c>
      <c r="BK70" s="93" t="e">
        <f t="shared" si="30"/>
        <v>#DIV/0!</v>
      </c>
      <c r="BL70" s="93" t="e">
        <f t="shared" si="30"/>
        <v>#DIV/0!</v>
      </c>
      <c r="BM70" s="93" t="e">
        <f t="shared" si="30"/>
        <v>#DIV/0!</v>
      </c>
      <c r="BN70" s="93" t="e">
        <f t="shared" si="30"/>
        <v>#DIV/0!</v>
      </c>
      <c r="BO70" s="93" t="e">
        <f t="shared" si="30"/>
        <v>#DIV/0!</v>
      </c>
      <c r="BP70" s="93" t="e">
        <f t="shared" si="30"/>
        <v>#DIV/0!</v>
      </c>
      <c r="BQ70" s="93" t="e">
        <f t="shared" si="30"/>
        <v>#DIV/0!</v>
      </c>
      <c r="BR70" s="93" t="e">
        <f t="shared" ref="BR70:CJ70" si="31">BR62/BR69</f>
        <v>#DIV/0!</v>
      </c>
      <c r="BS70" s="93" t="e">
        <f t="shared" si="31"/>
        <v>#DIV/0!</v>
      </c>
      <c r="BT70" s="93" t="e">
        <f t="shared" si="31"/>
        <v>#DIV/0!</v>
      </c>
      <c r="BU70" s="93" t="e">
        <f t="shared" si="31"/>
        <v>#DIV/0!</v>
      </c>
      <c r="BV70" s="93" t="e">
        <f t="shared" si="31"/>
        <v>#DIV/0!</v>
      </c>
      <c r="BW70" s="93" t="e">
        <f t="shared" si="31"/>
        <v>#DIV/0!</v>
      </c>
      <c r="BX70" s="93" t="e">
        <f t="shared" si="31"/>
        <v>#DIV/0!</v>
      </c>
      <c r="BY70" s="93" t="e">
        <f t="shared" si="31"/>
        <v>#DIV/0!</v>
      </c>
      <c r="BZ70" s="93" t="e">
        <f t="shared" si="31"/>
        <v>#DIV/0!</v>
      </c>
      <c r="CA70" s="93" t="e">
        <f t="shared" si="31"/>
        <v>#DIV/0!</v>
      </c>
      <c r="CB70" s="93" t="e">
        <f t="shared" si="31"/>
        <v>#DIV/0!</v>
      </c>
      <c r="CC70" s="93" t="e">
        <f t="shared" si="31"/>
        <v>#DIV/0!</v>
      </c>
      <c r="CD70" s="93" t="e">
        <f t="shared" si="31"/>
        <v>#DIV/0!</v>
      </c>
      <c r="CE70" s="93" t="e">
        <f t="shared" si="31"/>
        <v>#DIV/0!</v>
      </c>
      <c r="CF70" s="93" t="e">
        <f t="shared" si="31"/>
        <v>#DIV/0!</v>
      </c>
      <c r="CG70" s="93" t="e">
        <f t="shared" si="31"/>
        <v>#DIV/0!</v>
      </c>
      <c r="CH70" s="93" t="e">
        <f t="shared" si="31"/>
        <v>#DIV/0!</v>
      </c>
      <c r="CI70" s="93" t="e">
        <f t="shared" si="31"/>
        <v>#DIV/0!</v>
      </c>
      <c r="CJ70" s="93" t="e">
        <f t="shared" si="31"/>
        <v>#DIV/0!</v>
      </c>
    </row>
    <row r="71" spans="1:89" s="86" customFormat="1">
      <c r="A71" s="149" t="s">
        <v>486</v>
      </c>
      <c r="E71" s="86">
        <f>资产资本表!E35+资产资本表!E36-资产资本表!E24</f>
        <v>398138973.76000005</v>
      </c>
      <c r="F71" s="86">
        <f>资产资本表!F35+资产资本表!F36-资产资本表!F24</f>
        <v>298641285.27999997</v>
      </c>
      <c r="G71" s="86">
        <f>资产资本表!G35+资产资本表!G36-资产资本表!G24</f>
        <v>212298299.94</v>
      </c>
      <c r="H71" s="86">
        <f>资产资本表!H35+资产资本表!H36-资产资本表!H24</f>
        <v>308006587.19999999</v>
      </c>
      <c r="I71" s="86">
        <f>资产资本表!I35+资产资本表!I36-资产资本表!I24</f>
        <v>427343006.70000005</v>
      </c>
      <c r="J71" s="86">
        <f>资产资本表!J35+资产资本表!J36-资产资本表!J24</f>
        <v>316482725.44</v>
      </c>
      <c r="K71" s="86">
        <f>资产资本表!K35+资产资本表!K36-资产资本表!K24</f>
        <v>262198020.99000001</v>
      </c>
      <c r="L71" s="86">
        <f>资产资本表!L35+资产资本表!L36-资产资本表!L24</f>
        <v>255496935.90000004</v>
      </c>
      <c r="M71" s="86">
        <f>资产资本表!M35+资产资本表!M36-资产资本表!M24</f>
        <v>287182500.31000006</v>
      </c>
      <c r="N71" s="86">
        <f>资产资本表!N35+资产资本表!N36-资产资本表!N24</f>
        <v>263550379.46999997</v>
      </c>
      <c r="O71" s="86">
        <f>资产资本表!O35+资产资本表!O36-资产资本表!O24</f>
        <v>239164089.73000002</v>
      </c>
      <c r="P71" s="86">
        <f>资产资本表!P35+资产资本表!P36-资产资本表!P24</f>
        <v>256491211.63999999</v>
      </c>
      <c r="Q71" s="86">
        <f>资产资本表!Q35+资产资本表!Q36-资产资本表!Q24</f>
        <v>312045537.88</v>
      </c>
      <c r="R71" s="86">
        <f>资产资本表!R35+资产资本表!R36-资产资本表!R24</f>
        <v>217766413.71000001</v>
      </c>
      <c r="S71" s="86">
        <f>资产资本表!S35+资产资本表!S36-资产资本表!S24</f>
        <v>193726818.30000001</v>
      </c>
      <c r="T71" s="86">
        <f>资产资本表!T35+资产资本表!T36-资产资本表!T24</f>
        <v>221390382.42999998</v>
      </c>
      <c r="U71" s="86">
        <f>资产资本表!U35+资产资本表!U36-资产资本表!U24</f>
        <v>324203361.49000001</v>
      </c>
      <c r="V71" s="86">
        <f>资产资本表!V35+资产资本表!V36-资产资本表!V24</f>
        <v>255389506.63</v>
      </c>
      <c r="W71" s="86">
        <f>资产资本表!W35+资产资本表!W36-资产资本表!W24</f>
        <v>277400659.45000005</v>
      </c>
      <c r="X71" s="86">
        <f>资产资本表!X35+资产资本表!X36-资产资本表!X24</f>
        <v>292583739.63999999</v>
      </c>
      <c r="Y71" s="86">
        <f>资产资本表!Y35+资产资本表!Y36-资产资本表!Y24</f>
        <v>305561916.97999996</v>
      </c>
      <c r="Z71" s="86">
        <f>资产资本表!Z35+资产资本表!Z36-资产资本表!Z24</f>
        <v>173346124.87</v>
      </c>
      <c r="AA71" s="86">
        <f>资产资本表!AA35+资产资本表!AA36-资产资本表!AA24</f>
        <v>111099747.84999999</v>
      </c>
      <c r="AB71" s="86">
        <f>资产资本表!AB35+资产资本表!AB36-资产资本表!AB24</f>
        <v>103751310.17</v>
      </c>
      <c r="AC71" s="86">
        <f>资产资本表!AC35+资产资本表!AC36-资产资本表!AC24</f>
        <v>171513880.06999999</v>
      </c>
      <c r="AD71" s="86">
        <f>资产资本表!AD35+资产资本表!AD36-资产资本表!AD24</f>
        <v>116440382.81999998</v>
      </c>
      <c r="AE71" s="86">
        <f>资产资本表!AE35+资产资本表!AE36-资产资本表!AE24</f>
        <v>38998614.900000006</v>
      </c>
      <c r="AF71" s="86">
        <f>资产资本表!AF35+资产资本表!AF36-资产资本表!AF24</f>
        <v>52676764.059999995</v>
      </c>
      <c r="AG71" s="86">
        <f>资产资本表!AG35+资产资本表!AG36-资产资本表!AG24</f>
        <v>106215777.72</v>
      </c>
      <c r="AH71" s="86">
        <f>资产资本表!AH35+资产资本表!AH36-资产资本表!AH24</f>
        <v>145664954.19</v>
      </c>
      <c r="AI71" s="86">
        <f>资产资本表!AI35+资产资本表!AI36-资产资本表!AI24</f>
        <v>161985054.16000003</v>
      </c>
      <c r="AJ71" s="86">
        <f>资产资本表!AJ35+资产资本表!AJ36-资产资本表!AJ24</f>
        <v>136399295.52999997</v>
      </c>
      <c r="AK71" s="86">
        <f>资产资本表!AK35+资产资本表!AK36-资产资本表!AK24</f>
        <v>138525053.74000001</v>
      </c>
      <c r="AL71" s="86">
        <f>资产资本表!AL35+资产资本表!AL36-资产资本表!AL24</f>
        <v>140680352.96999997</v>
      </c>
      <c r="AM71" s="86">
        <f>资产资本表!AM35+资产资本表!AM36-资产资本表!AM24</f>
        <v>113452269.78</v>
      </c>
      <c r="AN71" s="86">
        <f>资产资本表!AN35+资产资本表!AN36-资产资本表!AN24</f>
        <v>159547939.79000002</v>
      </c>
      <c r="AO71" s="86">
        <f>资产资本表!AO35+资产资本表!AO36-资产资本表!AO24</f>
        <v>107449108.52</v>
      </c>
      <c r="AP71" s="86">
        <f>资产资本表!AP35+资产资本表!AP36-资产资本表!AP24</f>
        <v>76156497.079999998</v>
      </c>
      <c r="AQ71" s="86">
        <f>资产资本表!AQ35+资产资本表!AQ36-资产资本表!AQ24</f>
        <v>0</v>
      </c>
      <c r="AR71" s="86">
        <f>资产资本表!AR35+资产资本表!AR36-资产资本表!AR24</f>
        <v>0</v>
      </c>
      <c r="AS71" s="86">
        <f>资产资本表!AS35+资产资本表!AS36-资产资本表!AS24</f>
        <v>0</v>
      </c>
      <c r="AT71" s="86">
        <f>资产资本表!AT35+资产资本表!AT36-资产资本表!AT24</f>
        <v>0</v>
      </c>
      <c r="AU71" s="86">
        <f>资产资本表!AU35+资产资本表!AU36-资产资本表!AU24</f>
        <v>0</v>
      </c>
      <c r="AV71" s="86">
        <f>资产资本表!AV35+资产资本表!AV36-资产资本表!AV24</f>
        <v>0</v>
      </c>
      <c r="AW71" s="86">
        <f>资产资本表!AW35+资产资本表!AW36-资产资本表!AW24</f>
        <v>0</v>
      </c>
      <c r="AX71" s="86">
        <f>资产资本表!AX35+资产资本表!AX36-资产资本表!AX24</f>
        <v>0</v>
      </c>
      <c r="AY71" s="86">
        <f>资产资本表!AY35+资产资本表!AY36-资产资本表!AY24</f>
        <v>0</v>
      </c>
      <c r="AZ71" s="86">
        <f>资产资本表!AZ35+资产资本表!AZ36-资产资本表!AZ24</f>
        <v>0</v>
      </c>
      <c r="BA71" s="86">
        <f>资产资本表!BA35+资产资本表!BA36-资产资本表!BA24</f>
        <v>0</v>
      </c>
      <c r="BB71" s="86">
        <f>资产资本表!BB35+资产资本表!BB36-资产资本表!BB24</f>
        <v>0</v>
      </c>
      <c r="BC71" s="86">
        <f>资产资本表!BC35+资产资本表!BC36-资产资本表!BC24</f>
        <v>0</v>
      </c>
      <c r="BD71" s="86">
        <f>资产资本表!BD35+资产资本表!BD36-资产资本表!BD24</f>
        <v>0</v>
      </c>
      <c r="BE71" s="86">
        <f>资产资本表!BE35+资产资本表!BE36-资产资本表!BE24</f>
        <v>0</v>
      </c>
      <c r="BF71" s="86">
        <f>资产资本表!BF35+资产资本表!BF36-资产资本表!BF24</f>
        <v>0</v>
      </c>
      <c r="BG71" s="86">
        <f>资产资本表!BG35+资产资本表!BG36-资产资本表!BG24</f>
        <v>0</v>
      </c>
      <c r="BH71" s="86">
        <f>资产资本表!BH35+资产资本表!BH36-资产资本表!BH24</f>
        <v>0</v>
      </c>
      <c r="BI71" s="86">
        <f>资产资本表!BI35+资产资本表!BI36-资产资本表!BI24</f>
        <v>0</v>
      </c>
      <c r="BJ71" s="86">
        <f>资产资本表!BJ35+资产资本表!BJ36-资产资本表!BJ24</f>
        <v>0</v>
      </c>
      <c r="BK71" s="86">
        <f>资产资本表!BK35+资产资本表!BK36-资产资本表!BK24</f>
        <v>0</v>
      </c>
      <c r="BL71" s="86">
        <f>资产资本表!BL35+资产资本表!BL36-资产资本表!BL24</f>
        <v>0</v>
      </c>
      <c r="BM71" s="86">
        <f>资产资本表!BM35+资产资本表!BM36-资产资本表!BM24</f>
        <v>0</v>
      </c>
      <c r="BN71" s="86">
        <f>资产资本表!BN35+资产资本表!BN36-资产资本表!BN24</f>
        <v>0</v>
      </c>
      <c r="BO71" s="86">
        <f>资产资本表!BO35+资产资本表!BO36-资产资本表!BO24</f>
        <v>0</v>
      </c>
      <c r="BP71" s="86">
        <f>资产资本表!BP35+资产资本表!BP36-资产资本表!BP24</f>
        <v>0</v>
      </c>
      <c r="BQ71" s="86">
        <f>资产资本表!BQ35+资产资本表!BQ36-资产资本表!BQ24</f>
        <v>0</v>
      </c>
      <c r="BR71" s="86">
        <f>资产资本表!BR35+资产资本表!BR36-资产资本表!BR24</f>
        <v>0</v>
      </c>
      <c r="BS71" s="86">
        <f>资产资本表!BS35+资产资本表!BS36-资产资本表!BS24</f>
        <v>0</v>
      </c>
      <c r="BT71" s="86">
        <f>资产资本表!BT35+资产资本表!BT36-资产资本表!BT24</f>
        <v>0</v>
      </c>
      <c r="BU71" s="86">
        <f>资产资本表!BU35+资产资本表!BU36-资产资本表!BU24</f>
        <v>0</v>
      </c>
      <c r="BV71" s="86">
        <f>资产资本表!BV35+资产资本表!BV36-资产资本表!BV24</f>
        <v>0</v>
      </c>
      <c r="BW71" s="86">
        <f>资产资本表!BW35+资产资本表!BW36-资产资本表!BW24</f>
        <v>0</v>
      </c>
      <c r="BX71" s="86">
        <f>资产资本表!BX35+资产资本表!BX36-资产资本表!BX24</f>
        <v>0</v>
      </c>
      <c r="BY71" s="86">
        <f>资产资本表!BY35+资产资本表!BY36-资产资本表!BY24</f>
        <v>0</v>
      </c>
      <c r="BZ71" s="86">
        <f>资产资本表!BZ35+资产资本表!BZ36-资产资本表!BZ24</f>
        <v>0</v>
      </c>
      <c r="CA71" s="86">
        <f>资产资本表!CA35+资产资本表!CA36-资产资本表!CA24</f>
        <v>0</v>
      </c>
      <c r="CB71" s="86">
        <f>资产资本表!CB35+资产资本表!CB36-资产资本表!CB24</f>
        <v>0</v>
      </c>
      <c r="CC71" s="86">
        <f>资产资本表!CC35+资产资本表!CC36-资产资本表!CC24</f>
        <v>0</v>
      </c>
      <c r="CD71" s="86">
        <f>资产资本表!CD35+资产资本表!CD36-资产资本表!CD24</f>
        <v>0</v>
      </c>
      <c r="CE71" s="86">
        <f>资产资本表!CE35+资产资本表!CE36-资产资本表!CE24</f>
        <v>0</v>
      </c>
      <c r="CF71" s="86">
        <f>资产资本表!CF35+资产资本表!CF36-资产资本表!CF24</f>
        <v>0</v>
      </c>
      <c r="CG71" s="86">
        <f>资产资本表!CG35+资产资本表!CG36-资产资本表!CG24</f>
        <v>0</v>
      </c>
      <c r="CH71" s="86">
        <f>资产资本表!CH35+资产资本表!CH36-资产资本表!CH24</f>
        <v>0</v>
      </c>
      <c r="CI71" s="86">
        <f>资产资本表!CI35+资产资本表!CI36-资产资本表!CI24</f>
        <v>0</v>
      </c>
      <c r="CJ71" s="86">
        <f>资产资本表!CJ35+资产资本表!CJ36-资产资本表!CJ24</f>
        <v>0</v>
      </c>
      <c r="CK71" s="86">
        <f>资产资本表!CK35+资产资本表!CK36-资产资本表!CK24</f>
        <v>0</v>
      </c>
    </row>
    <row r="72" spans="1:89" s="52" customFormat="1">
      <c r="A72" s="151" t="s">
        <v>487</v>
      </c>
      <c r="E72" s="52">
        <f>E67/(E71+I71)*2</f>
        <v>3.1959946515002575</v>
      </c>
      <c r="F72" s="52">
        <f t="shared" ref="F72:BQ72" si="32">F67/(F71+J71)*2</f>
        <v>2.5241951856871583</v>
      </c>
      <c r="G72" s="52">
        <f t="shared" si="32"/>
        <v>2.0172007189518419</v>
      </c>
      <c r="H72" s="52">
        <f t="shared" si="32"/>
        <v>0.76171091445657013</v>
      </c>
      <c r="I72" s="52">
        <f t="shared" si="32"/>
        <v>3.2198855198430314</v>
      </c>
      <c r="J72" s="52">
        <f t="shared" si="32"/>
        <v>2.2883907188469101</v>
      </c>
      <c r="K72" s="52">
        <f t="shared" si="32"/>
        <v>1.7149160545563773</v>
      </c>
      <c r="L72" s="52">
        <f t="shared" si="32"/>
        <v>0.82747427333149537</v>
      </c>
      <c r="M72" s="52">
        <f t="shared" si="32"/>
        <v>3.4187634430924856</v>
      </c>
      <c r="N72" s="52">
        <f t="shared" si="32"/>
        <v>2.6278646409641988</v>
      </c>
      <c r="O72" s="52">
        <f t="shared" si="32"/>
        <v>1.9114117344378543</v>
      </c>
      <c r="P72" s="52">
        <f t="shared" si="32"/>
        <v>0.94238137586448534</v>
      </c>
      <c r="Q72" s="52">
        <f t="shared" si="32"/>
        <v>3.0141072150834174</v>
      </c>
      <c r="R72" s="52">
        <f t="shared" si="32"/>
        <v>2.6655249306269306</v>
      </c>
      <c r="S72" s="52">
        <f t="shared" si="32"/>
        <v>1.7389160716173064</v>
      </c>
      <c r="T72" s="52">
        <f t="shared" si="32"/>
        <v>0.82928528156900105</v>
      </c>
      <c r="U72" s="52">
        <f t="shared" si="32"/>
        <v>2.8782478739121964</v>
      </c>
      <c r="V72" s="52">
        <f t="shared" si="32"/>
        <v>2.8692283152117719</v>
      </c>
      <c r="W72" s="52">
        <f t="shared" si="32"/>
        <v>2.0329215245072403</v>
      </c>
      <c r="X72" s="52">
        <f t="shared" si="32"/>
        <v>1.0614700287589487</v>
      </c>
      <c r="Y72" s="52">
        <f t="shared" si="32"/>
        <v>3.8401821620977996</v>
      </c>
      <c r="Z72" s="52">
        <f t="shared" si="32"/>
        <v>4.3404746273610062</v>
      </c>
      <c r="AA72" s="52">
        <f t="shared" si="32"/>
        <v>5.3923649207825886</v>
      </c>
      <c r="AB72" s="52">
        <f t="shared" si="32"/>
        <v>2.6008705062864856</v>
      </c>
      <c r="AC72" s="52">
        <f t="shared" si="32"/>
        <v>5.5432816591164684</v>
      </c>
      <c r="AD72" s="52">
        <f t="shared" si="32"/>
        <v>3.7692027675205559</v>
      </c>
      <c r="AE72" s="52">
        <f t="shared" si="32"/>
        <v>3.1150783666562241</v>
      </c>
      <c r="AF72" s="52">
        <f t="shared" si="32"/>
        <v>1.7762403167712433</v>
      </c>
      <c r="AG72" s="52">
        <f t="shared" si="32"/>
        <v>4.7000016995039093</v>
      </c>
      <c r="AH72" s="52">
        <f t="shared" si="32"/>
        <v>2.6432001591598917</v>
      </c>
      <c r="AI72" s="52">
        <f t="shared" si="32"/>
        <v>1.7635991929177175</v>
      </c>
      <c r="AJ72" s="52">
        <f t="shared" si="32"/>
        <v>0.91254441626388505</v>
      </c>
      <c r="AK72" s="52">
        <f t="shared" si="32"/>
        <v>3.670361229183519</v>
      </c>
      <c r="AL72" s="52">
        <f t="shared" si="32"/>
        <v>2.7664901230656858</v>
      </c>
      <c r="AM72" s="52">
        <f t="shared" si="32"/>
        <v>3.2518000614302029</v>
      </c>
      <c r="AN72" s="52">
        <f t="shared" si="32"/>
        <v>1.3015661909099476</v>
      </c>
      <c r="AO72" s="52">
        <f t="shared" si="32"/>
        <v>6.9698775689758508</v>
      </c>
      <c r="AP72" s="52">
        <f t="shared" si="32"/>
        <v>6.7578426904190803</v>
      </c>
      <c r="AQ72" s="52" t="e">
        <f t="shared" si="32"/>
        <v>#DIV/0!</v>
      </c>
      <c r="AR72" s="52" t="e">
        <f t="shared" si="32"/>
        <v>#DIV/0!</v>
      </c>
      <c r="AS72" s="52" t="e">
        <f t="shared" si="32"/>
        <v>#DIV/0!</v>
      </c>
      <c r="AT72" s="52" t="e">
        <f t="shared" si="32"/>
        <v>#DIV/0!</v>
      </c>
      <c r="AU72" s="52" t="e">
        <f t="shared" si="32"/>
        <v>#DIV/0!</v>
      </c>
      <c r="AV72" s="52" t="e">
        <f t="shared" si="32"/>
        <v>#DIV/0!</v>
      </c>
      <c r="AW72" s="52" t="e">
        <f t="shared" si="32"/>
        <v>#DIV/0!</v>
      </c>
      <c r="AX72" s="52" t="e">
        <f t="shared" si="32"/>
        <v>#DIV/0!</v>
      </c>
      <c r="AY72" s="52" t="e">
        <f t="shared" si="32"/>
        <v>#DIV/0!</v>
      </c>
      <c r="AZ72" s="52" t="e">
        <f t="shared" si="32"/>
        <v>#DIV/0!</v>
      </c>
      <c r="BA72" s="52" t="e">
        <f t="shared" si="32"/>
        <v>#DIV/0!</v>
      </c>
      <c r="BB72" s="52" t="e">
        <f t="shared" si="32"/>
        <v>#DIV/0!</v>
      </c>
      <c r="BC72" s="52" t="e">
        <f t="shared" si="32"/>
        <v>#DIV/0!</v>
      </c>
      <c r="BD72" s="52" t="e">
        <f t="shared" si="32"/>
        <v>#DIV/0!</v>
      </c>
      <c r="BE72" s="52" t="e">
        <f t="shared" si="32"/>
        <v>#DIV/0!</v>
      </c>
      <c r="BF72" s="52" t="e">
        <f t="shared" si="32"/>
        <v>#DIV/0!</v>
      </c>
      <c r="BG72" s="52" t="e">
        <f t="shared" si="32"/>
        <v>#DIV/0!</v>
      </c>
      <c r="BH72" s="52" t="e">
        <f t="shared" si="32"/>
        <v>#DIV/0!</v>
      </c>
      <c r="BI72" s="52" t="e">
        <f t="shared" si="32"/>
        <v>#DIV/0!</v>
      </c>
      <c r="BJ72" s="52" t="e">
        <f t="shared" si="32"/>
        <v>#DIV/0!</v>
      </c>
      <c r="BK72" s="52" t="e">
        <f t="shared" si="32"/>
        <v>#DIV/0!</v>
      </c>
      <c r="BL72" s="52" t="e">
        <f t="shared" si="32"/>
        <v>#DIV/0!</v>
      </c>
      <c r="BM72" s="52" t="e">
        <f t="shared" si="32"/>
        <v>#DIV/0!</v>
      </c>
      <c r="BN72" s="52" t="e">
        <f t="shared" si="32"/>
        <v>#DIV/0!</v>
      </c>
      <c r="BO72" s="52" t="e">
        <f t="shared" si="32"/>
        <v>#DIV/0!</v>
      </c>
      <c r="BP72" s="52" t="e">
        <f t="shared" si="32"/>
        <v>#DIV/0!</v>
      </c>
      <c r="BQ72" s="52" t="e">
        <f t="shared" si="32"/>
        <v>#DIV/0!</v>
      </c>
      <c r="BR72" s="52" t="e">
        <f t="shared" ref="BR72:CJ72" si="33">BR67/(BR71+BV71)*2</f>
        <v>#DIV/0!</v>
      </c>
      <c r="BS72" s="52" t="e">
        <f t="shared" si="33"/>
        <v>#DIV/0!</v>
      </c>
      <c r="BT72" s="52" t="e">
        <f t="shared" si="33"/>
        <v>#DIV/0!</v>
      </c>
      <c r="BU72" s="52" t="e">
        <f t="shared" si="33"/>
        <v>#DIV/0!</v>
      </c>
      <c r="BV72" s="52" t="e">
        <f t="shared" si="33"/>
        <v>#DIV/0!</v>
      </c>
      <c r="BW72" s="52" t="e">
        <f t="shared" si="33"/>
        <v>#DIV/0!</v>
      </c>
      <c r="BX72" s="52" t="e">
        <f t="shared" si="33"/>
        <v>#DIV/0!</v>
      </c>
      <c r="BY72" s="52" t="e">
        <f t="shared" si="33"/>
        <v>#DIV/0!</v>
      </c>
      <c r="BZ72" s="52" t="e">
        <f t="shared" si="33"/>
        <v>#DIV/0!</v>
      </c>
      <c r="CA72" s="52" t="e">
        <f t="shared" si="33"/>
        <v>#DIV/0!</v>
      </c>
      <c r="CB72" s="52" t="e">
        <f t="shared" si="33"/>
        <v>#DIV/0!</v>
      </c>
      <c r="CC72" s="52" t="e">
        <f t="shared" si="33"/>
        <v>#DIV/0!</v>
      </c>
      <c r="CD72" s="52" t="e">
        <f t="shared" si="33"/>
        <v>#DIV/0!</v>
      </c>
      <c r="CE72" s="52" t="e">
        <f t="shared" si="33"/>
        <v>#DIV/0!</v>
      </c>
      <c r="CF72" s="52" t="e">
        <f t="shared" si="33"/>
        <v>#DIV/0!</v>
      </c>
      <c r="CG72" s="52" t="e">
        <f t="shared" si="33"/>
        <v>#DIV/0!</v>
      </c>
      <c r="CH72" s="52" t="e">
        <f t="shared" si="33"/>
        <v>#DIV/0!</v>
      </c>
      <c r="CI72" s="52" t="e">
        <f t="shared" si="33"/>
        <v>#DIV/0!</v>
      </c>
      <c r="CJ72" s="52" t="e">
        <f t="shared" si="33"/>
        <v>#DIV/0!</v>
      </c>
    </row>
    <row r="73" spans="1:89" s="93" customFormat="1">
      <c r="A73" s="150" t="s">
        <v>488</v>
      </c>
      <c r="E73" s="93">
        <f>E62/E72</f>
        <v>114.2054476933065</v>
      </c>
      <c r="F73" s="93">
        <f t="shared" ref="F73:BQ73" si="34">F62/F72</f>
        <v>144.60054518352808</v>
      </c>
      <c r="G73" s="93">
        <f t="shared" si="34"/>
        <v>180.94381811922898</v>
      </c>
      <c r="H73" s="93">
        <f t="shared" si="34"/>
        <v>479.18441638768314</v>
      </c>
      <c r="I73" s="93">
        <f t="shared" si="34"/>
        <v>113.35806746874457</v>
      </c>
      <c r="J73" s="93">
        <f t="shared" si="34"/>
        <v>159.50073429065412</v>
      </c>
      <c r="K73" s="93">
        <f t="shared" si="34"/>
        <v>212.83840630579434</v>
      </c>
      <c r="L73" s="93">
        <f t="shared" si="34"/>
        <v>441.10132696992861</v>
      </c>
      <c r="M73" s="93">
        <f t="shared" si="34"/>
        <v>106.76374837734741</v>
      </c>
      <c r="N73" s="93">
        <f t="shared" si="34"/>
        <v>138.89604293548263</v>
      </c>
      <c r="O73" s="93">
        <f t="shared" si="34"/>
        <v>190.95833379266472</v>
      </c>
      <c r="P73" s="93">
        <f t="shared" si="34"/>
        <v>387.31665262927169</v>
      </c>
      <c r="Q73" s="93">
        <f t="shared" si="34"/>
        <v>121.09721849755049</v>
      </c>
      <c r="R73" s="93">
        <f t="shared" si="34"/>
        <v>136.93362827191871</v>
      </c>
      <c r="S73" s="93">
        <f t="shared" si="34"/>
        <v>209.90087213382643</v>
      </c>
      <c r="T73" s="93">
        <f t="shared" si="34"/>
        <v>440.13804189243893</v>
      </c>
      <c r="U73" s="93">
        <f t="shared" si="34"/>
        <v>126.81326139707406</v>
      </c>
      <c r="V73" s="93">
        <f t="shared" si="34"/>
        <v>127.21190504948021</v>
      </c>
      <c r="W73" s="93">
        <f t="shared" si="34"/>
        <v>179.54455968902801</v>
      </c>
      <c r="X73" s="93">
        <f t="shared" si="34"/>
        <v>343.86274704972249</v>
      </c>
      <c r="Y73" s="93">
        <f t="shared" si="34"/>
        <v>95.047574462095113</v>
      </c>
      <c r="Z73" s="93">
        <f t="shared" si="34"/>
        <v>84.092186070885703</v>
      </c>
      <c r="AA73" s="93">
        <f t="shared" si="34"/>
        <v>67.688297317056936</v>
      </c>
      <c r="AB73" s="93">
        <f t="shared" si="34"/>
        <v>140.33762892761078</v>
      </c>
      <c r="AC73" s="93">
        <f t="shared" si="34"/>
        <v>65.845472491862623</v>
      </c>
      <c r="AD73" s="93">
        <f t="shared" si="34"/>
        <v>96.837454101760372</v>
      </c>
      <c r="AE73" s="93">
        <f t="shared" si="34"/>
        <v>117.17201207743514</v>
      </c>
      <c r="AF73" s="93">
        <f t="shared" si="34"/>
        <v>205.49021241871026</v>
      </c>
      <c r="AG73" s="93">
        <f t="shared" si="34"/>
        <v>77.659546386659002</v>
      </c>
      <c r="AH73" s="93">
        <f t="shared" si="34"/>
        <v>138.09018538952068</v>
      </c>
      <c r="AI73" s="93">
        <f t="shared" si="34"/>
        <v>206.96312487881107</v>
      </c>
      <c r="AJ73" s="93">
        <f t="shared" si="34"/>
        <v>399.98053080459715</v>
      </c>
      <c r="AK73" s="93">
        <f t="shared" si="34"/>
        <v>99.445252717317729</v>
      </c>
      <c r="AL73" s="93">
        <f t="shared" si="34"/>
        <v>131.93612981185174</v>
      </c>
      <c r="AM73" s="93">
        <f t="shared" si="34"/>
        <v>112.24552343463151</v>
      </c>
      <c r="AN73" s="93">
        <f t="shared" si="34"/>
        <v>280.43137763498771</v>
      </c>
      <c r="AO73" s="93">
        <f t="shared" si="34"/>
        <v>52.368208248689918</v>
      </c>
      <c r="AP73" s="93">
        <f t="shared" si="34"/>
        <v>54.011319398937495</v>
      </c>
      <c r="AQ73" s="93" t="e">
        <f t="shared" si="34"/>
        <v>#DIV/0!</v>
      </c>
      <c r="AR73" s="93" t="e">
        <f t="shared" si="34"/>
        <v>#DIV/0!</v>
      </c>
      <c r="AS73" s="93" t="e">
        <f t="shared" si="34"/>
        <v>#DIV/0!</v>
      </c>
      <c r="AT73" s="93" t="e">
        <f t="shared" si="34"/>
        <v>#DIV/0!</v>
      </c>
      <c r="AU73" s="93" t="e">
        <f t="shared" si="34"/>
        <v>#DIV/0!</v>
      </c>
      <c r="AV73" s="93" t="e">
        <f t="shared" si="34"/>
        <v>#DIV/0!</v>
      </c>
      <c r="AW73" s="93" t="e">
        <f t="shared" si="34"/>
        <v>#DIV/0!</v>
      </c>
      <c r="AX73" s="93" t="e">
        <f t="shared" si="34"/>
        <v>#DIV/0!</v>
      </c>
      <c r="AY73" s="93" t="e">
        <f t="shared" si="34"/>
        <v>#DIV/0!</v>
      </c>
      <c r="AZ73" s="93" t="e">
        <f t="shared" si="34"/>
        <v>#DIV/0!</v>
      </c>
      <c r="BA73" s="93" t="e">
        <f t="shared" si="34"/>
        <v>#DIV/0!</v>
      </c>
      <c r="BB73" s="93" t="e">
        <f t="shared" si="34"/>
        <v>#DIV/0!</v>
      </c>
      <c r="BC73" s="93" t="e">
        <f t="shared" si="34"/>
        <v>#DIV/0!</v>
      </c>
      <c r="BD73" s="93" t="e">
        <f t="shared" si="34"/>
        <v>#DIV/0!</v>
      </c>
      <c r="BE73" s="93" t="e">
        <f t="shared" si="34"/>
        <v>#DIV/0!</v>
      </c>
      <c r="BF73" s="93" t="e">
        <f t="shared" si="34"/>
        <v>#DIV/0!</v>
      </c>
      <c r="BG73" s="93" t="e">
        <f t="shared" si="34"/>
        <v>#DIV/0!</v>
      </c>
      <c r="BH73" s="93" t="e">
        <f t="shared" si="34"/>
        <v>#DIV/0!</v>
      </c>
      <c r="BI73" s="93" t="e">
        <f t="shared" si="34"/>
        <v>#DIV/0!</v>
      </c>
      <c r="BJ73" s="93" t="e">
        <f t="shared" si="34"/>
        <v>#DIV/0!</v>
      </c>
      <c r="BK73" s="93" t="e">
        <f t="shared" si="34"/>
        <v>#DIV/0!</v>
      </c>
      <c r="BL73" s="93" t="e">
        <f t="shared" si="34"/>
        <v>#DIV/0!</v>
      </c>
      <c r="BM73" s="93" t="e">
        <f t="shared" si="34"/>
        <v>#DIV/0!</v>
      </c>
      <c r="BN73" s="93" t="e">
        <f t="shared" si="34"/>
        <v>#DIV/0!</v>
      </c>
      <c r="BO73" s="93" t="e">
        <f t="shared" si="34"/>
        <v>#DIV/0!</v>
      </c>
      <c r="BP73" s="93" t="e">
        <f t="shared" si="34"/>
        <v>#DIV/0!</v>
      </c>
      <c r="BQ73" s="93" t="e">
        <f t="shared" si="34"/>
        <v>#DIV/0!</v>
      </c>
      <c r="BR73" s="93" t="e">
        <f t="shared" ref="BR73:CJ73" si="35">BR62/BR72</f>
        <v>#DIV/0!</v>
      </c>
      <c r="BS73" s="93" t="e">
        <f t="shared" si="35"/>
        <v>#DIV/0!</v>
      </c>
      <c r="BT73" s="93" t="e">
        <f t="shared" si="35"/>
        <v>#DIV/0!</v>
      </c>
      <c r="BU73" s="93" t="e">
        <f t="shared" si="35"/>
        <v>#DIV/0!</v>
      </c>
      <c r="BV73" s="93" t="e">
        <f t="shared" si="35"/>
        <v>#DIV/0!</v>
      </c>
      <c r="BW73" s="93" t="e">
        <f t="shared" si="35"/>
        <v>#DIV/0!</v>
      </c>
      <c r="BX73" s="93" t="e">
        <f t="shared" si="35"/>
        <v>#DIV/0!</v>
      </c>
      <c r="BY73" s="93" t="e">
        <f t="shared" si="35"/>
        <v>#DIV/0!</v>
      </c>
      <c r="BZ73" s="93" t="e">
        <f t="shared" si="35"/>
        <v>#DIV/0!</v>
      </c>
      <c r="CA73" s="93" t="e">
        <f t="shared" si="35"/>
        <v>#DIV/0!</v>
      </c>
      <c r="CB73" s="93" t="e">
        <f t="shared" si="35"/>
        <v>#DIV/0!</v>
      </c>
      <c r="CC73" s="93" t="e">
        <f t="shared" si="35"/>
        <v>#DIV/0!</v>
      </c>
      <c r="CD73" s="93" t="e">
        <f t="shared" si="35"/>
        <v>#DIV/0!</v>
      </c>
      <c r="CE73" s="93" t="e">
        <f t="shared" si="35"/>
        <v>#DIV/0!</v>
      </c>
      <c r="CF73" s="93" t="e">
        <f t="shared" si="35"/>
        <v>#DIV/0!</v>
      </c>
      <c r="CG73" s="93" t="e">
        <f t="shared" si="35"/>
        <v>#DIV/0!</v>
      </c>
      <c r="CH73" s="93" t="e">
        <f t="shared" si="35"/>
        <v>#DIV/0!</v>
      </c>
      <c r="CI73" s="93" t="e">
        <f t="shared" si="35"/>
        <v>#DIV/0!</v>
      </c>
      <c r="CJ73" s="93" t="e">
        <f t="shared" si="35"/>
        <v>#DIV/0!</v>
      </c>
    </row>
    <row r="74" spans="1:89" s="86" customFormat="1">
      <c r="A74" s="149" t="s">
        <v>489</v>
      </c>
      <c r="E74" s="86">
        <f>E66+E70</f>
        <v>227.86991595722901</v>
      </c>
      <c r="F74" s="86">
        <f t="shared" ref="F74:BQ74" si="36">F66+F70</f>
        <v>393.17564215838649</v>
      </c>
      <c r="G74" s="86">
        <f t="shared" si="36"/>
        <v>564.71653391935786</v>
      </c>
      <c r="H74" s="86">
        <f t="shared" si="36"/>
        <v>1190.7889798315596</v>
      </c>
      <c r="I74" s="86">
        <f t="shared" si="36"/>
        <v>222.11326793111598</v>
      </c>
      <c r="J74" s="86">
        <f t="shared" si="36"/>
        <v>396.42451243417736</v>
      </c>
      <c r="K74" s="86">
        <f t="shared" si="36"/>
        <v>548.82651682495043</v>
      </c>
      <c r="L74" s="86">
        <f t="shared" si="36"/>
        <v>1036.1843685408348</v>
      </c>
      <c r="M74" s="86">
        <f t="shared" si="36"/>
        <v>210.3663113956444</v>
      </c>
      <c r="N74" s="86">
        <f t="shared" si="36"/>
        <v>364.83952800586525</v>
      </c>
      <c r="O74" s="86">
        <f t="shared" si="36"/>
        <v>528.83905564200256</v>
      </c>
      <c r="P74" s="86">
        <f t="shared" si="36"/>
        <v>924.76251823333348</v>
      </c>
      <c r="Q74" s="86">
        <f t="shared" si="36"/>
        <v>219.35489141185954</v>
      </c>
      <c r="R74" s="86">
        <f t="shared" si="36"/>
        <v>345.38478686111546</v>
      </c>
      <c r="S74" s="86">
        <f t="shared" si="36"/>
        <v>495.19031823725703</v>
      </c>
      <c r="T74" s="86">
        <f t="shared" si="36"/>
        <v>906.3511583408781</v>
      </c>
      <c r="U74" s="86">
        <f t="shared" si="36"/>
        <v>211.3550890628328</v>
      </c>
      <c r="V74" s="86">
        <f t="shared" si="36"/>
        <v>324.90611956499197</v>
      </c>
      <c r="W74" s="86">
        <f t="shared" si="36"/>
        <v>498.64418189034916</v>
      </c>
      <c r="X74" s="86">
        <f t="shared" si="36"/>
        <v>909.04851959213363</v>
      </c>
      <c r="Y74" s="86">
        <f t="shared" si="36"/>
        <v>198.8784501982407</v>
      </c>
      <c r="Z74" s="86">
        <f t="shared" si="36"/>
        <v>285.27104946435816</v>
      </c>
      <c r="AA74" s="86">
        <f t="shared" si="36"/>
        <v>401.49447461734621</v>
      </c>
      <c r="AB74" s="86">
        <f t="shared" si="36"/>
        <v>823.45602778556895</v>
      </c>
      <c r="AC74" s="86">
        <f t="shared" si="36"/>
        <v>226.96120528961686</v>
      </c>
      <c r="AD74" s="86">
        <f t="shared" si="36"/>
        <v>339.6871587520688</v>
      </c>
      <c r="AE74" s="86">
        <f t="shared" si="36"/>
        <v>424.10126266192367</v>
      </c>
      <c r="AF74" s="86">
        <f t="shared" si="36"/>
        <v>673.59907353668223</v>
      </c>
      <c r="AG74" s="86">
        <f t="shared" si="36"/>
        <v>195.09802847695482</v>
      </c>
      <c r="AH74" s="86">
        <f t="shared" si="36"/>
        <v>304.82208149813943</v>
      </c>
      <c r="AI74" s="86">
        <f t="shared" si="36"/>
        <v>405.67603773778848</v>
      </c>
      <c r="AJ74" s="86">
        <f t="shared" si="36"/>
        <v>628.3862603945397</v>
      </c>
      <c r="AK74" s="86">
        <f t="shared" si="36"/>
        <v>143.18302022338455</v>
      </c>
      <c r="AL74" s="86">
        <f t="shared" si="36"/>
        <v>203.38024936274664</v>
      </c>
      <c r="AM74" s="86">
        <f t="shared" si="36"/>
        <v>186.05436001616866</v>
      </c>
      <c r="AN74" s="86">
        <f t="shared" si="36"/>
        <v>394.03467810901498</v>
      </c>
      <c r="AO74" s="86">
        <f t="shared" si="36"/>
        <v>75.329287937315371</v>
      </c>
      <c r="AP74" s="86">
        <f t="shared" si="36"/>
        <v>87.36311571484498</v>
      </c>
      <c r="AQ74" s="86" t="e">
        <f t="shared" si="36"/>
        <v>#DIV/0!</v>
      </c>
      <c r="AR74" s="86" t="e">
        <f t="shared" si="36"/>
        <v>#DIV/0!</v>
      </c>
      <c r="AS74" s="86" t="e">
        <f t="shared" si="36"/>
        <v>#DIV/0!</v>
      </c>
      <c r="AT74" s="86" t="e">
        <f t="shared" si="36"/>
        <v>#DIV/0!</v>
      </c>
      <c r="AU74" s="86" t="e">
        <f t="shared" si="36"/>
        <v>#DIV/0!</v>
      </c>
      <c r="AV74" s="86" t="e">
        <f t="shared" si="36"/>
        <v>#DIV/0!</v>
      </c>
      <c r="AW74" s="86" t="e">
        <f t="shared" si="36"/>
        <v>#DIV/0!</v>
      </c>
      <c r="AX74" s="86" t="e">
        <f t="shared" si="36"/>
        <v>#DIV/0!</v>
      </c>
      <c r="AY74" s="86" t="e">
        <f t="shared" si="36"/>
        <v>#DIV/0!</v>
      </c>
      <c r="AZ74" s="86" t="e">
        <f t="shared" si="36"/>
        <v>#DIV/0!</v>
      </c>
      <c r="BA74" s="86" t="e">
        <f t="shared" si="36"/>
        <v>#DIV/0!</v>
      </c>
      <c r="BB74" s="86" t="e">
        <f t="shared" si="36"/>
        <v>#DIV/0!</v>
      </c>
      <c r="BC74" s="86" t="e">
        <f t="shared" si="36"/>
        <v>#DIV/0!</v>
      </c>
      <c r="BD74" s="86" t="e">
        <f t="shared" si="36"/>
        <v>#DIV/0!</v>
      </c>
      <c r="BE74" s="86" t="e">
        <f t="shared" si="36"/>
        <v>#DIV/0!</v>
      </c>
      <c r="BF74" s="86" t="e">
        <f t="shared" si="36"/>
        <v>#DIV/0!</v>
      </c>
      <c r="BG74" s="86" t="e">
        <f t="shared" si="36"/>
        <v>#DIV/0!</v>
      </c>
      <c r="BH74" s="86" t="e">
        <f t="shared" si="36"/>
        <v>#DIV/0!</v>
      </c>
      <c r="BI74" s="86" t="e">
        <f t="shared" si="36"/>
        <v>#DIV/0!</v>
      </c>
      <c r="BJ74" s="86" t="e">
        <f t="shared" si="36"/>
        <v>#DIV/0!</v>
      </c>
      <c r="BK74" s="86" t="e">
        <f t="shared" si="36"/>
        <v>#DIV/0!</v>
      </c>
      <c r="BL74" s="86" t="e">
        <f t="shared" si="36"/>
        <v>#DIV/0!</v>
      </c>
      <c r="BM74" s="86" t="e">
        <f t="shared" si="36"/>
        <v>#DIV/0!</v>
      </c>
      <c r="BN74" s="86" t="e">
        <f t="shared" si="36"/>
        <v>#DIV/0!</v>
      </c>
      <c r="BO74" s="86" t="e">
        <f t="shared" si="36"/>
        <v>#DIV/0!</v>
      </c>
      <c r="BP74" s="86" t="e">
        <f t="shared" si="36"/>
        <v>#DIV/0!</v>
      </c>
      <c r="BQ74" s="86" t="e">
        <f t="shared" si="36"/>
        <v>#DIV/0!</v>
      </c>
      <c r="BR74" s="86" t="e">
        <f t="shared" ref="BR74:CK74" si="37">BR66+BR70</f>
        <v>#DIV/0!</v>
      </c>
      <c r="BS74" s="86" t="e">
        <f t="shared" si="37"/>
        <v>#DIV/0!</v>
      </c>
      <c r="BT74" s="86" t="e">
        <f t="shared" si="37"/>
        <v>#DIV/0!</v>
      </c>
      <c r="BU74" s="86" t="e">
        <f t="shared" si="37"/>
        <v>#DIV/0!</v>
      </c>
      <c r="BV74" s="86" t="e">
        <f t="shared" si="37"/>
        <v>#DIV/0!</v>
      </c>
      <c r="BW74" s="86" t="e">
        <f t="shared" si="37"/>
        <v>#DIV/0!</v>
      </c>
      <c r="BX74" s="86" t="e">
        <f t="shared" si="37"/>
        <v>#DIV/0!</v>
      </c>
      <c r="BY74" s="86" t="e">
        <f t="shared" si="37"/>
        <v>#DIV/0!</v>
      </c>
      <c r="BZ74" s="86" t="e">
        <f t="shared" si="37"/>
        <v>#DIV/0!</v>
      </c>
      <c r="CA74" s="86" t="e">
        <f t="shared" si="37"/>
        <v>#DIV/0!</v>
      </c>
      <c r="CB74" s="86" t="e">
        <f t="shared" si="37"/>
        <v>#DIV/0!</v>
      </c>
      <c r="CC74" s="86" t="e">
        <f t="shared" si="37"/>
        <v>#DIV/0!</v>
      </c>
      <c r="CD74" s="86" t="e">
        <f t="shared" si="37"/>
        <v>#DIV/0!</v>
      </c>
      <c r="CE74" s="86" t="e">
        <f t="shared" si="37"/>
        <v>#DIV/0!</v>
      </c>
      <c r="CF74" s="86" t="e">
        <f t="shared" si="37"/>
        <v>#DIV/0!</v>
      </c>
      <c r="CG74" s="86" t="e">
        <f t="shared" si="37"/>
        <v>#DIV/0!</v>
      </c>
      <c r="CH74" s="86" t="e">
        <f t="shared" si="37"/>
        <v>#DIV/0!</v>
      </c>
      <c r="CI74" s="86" t="e">
        <f t="shared" si="37"/>
        <v>#DIV/0!</v>
      </c>
      <c r="CJ74" s="86" t="e">
        <f t="shared" si="37"/>
        <v>#DIV/0!</v>
      </c>
      <c r="CK74" s="86">
        <f t="shared" si="37"/>
        <v>0</v>
      </c>
    </row>
    <row r="75" spans="1:89" s="86" customFormat="1">
      <c r="A75" s="149" t="s">
        <v>490</v>
      </c>
      <c r="E75" s="86">
        <f>E74-E73</f>
        <v>113.66446826392252</v>
      </c>
      <c r="F75" s="86">
        <f t="shared" ref="F75:BQ75" si="38">F74-F73</f>
        <v>248.57509697485841</v>
      </c>
      <c r="G75" s="86">
        <f t="shared" si="38"/>
        <v>383.77271580012888</v>
      </c>
      <c r="H75" s="86">
        <f t="shared" si="38"/>
        <v>711.60456344387649</v>
      </c>
      <c r="I75" s="86">
        <f t="shared" si="38"/>
        <v>108.75520046237142</v>
      </c>
      <c r="J75" s="86">
        <f t="shared" si="38"/>
        <v>236.92377814352324</v>
      </c>
      <c r="K75" s="86">
        <f t="shared" si="38"/>
        <v>335.98811051915607</v>
      </c>
      <c r="L75" s="86">
        <f t="shared" si="38"/>
        <v>595.08304157090629</v>
      </c>
      <c r="M75" s="86">
        <f t="shared" si="38"/>
        <v>103.60256301829699</v>
      </c>
      <c r="N75" s="86">
        <f t="shared" si="38"/>
        <v>225.94348507038262</v>
      </c>
      <c r="O75" s="86">
        <f t="shared" si="38"/>
        <v>337.88072184933787</v>
      </c>
      <c r="P75" s="86">
        <f t="shared" si="38"/>
        <v>537.44586560406174</v>
      </c>
      <c r="Q75" s="86">
        <f t="shared" si="38"/>
        <v>98.257672914309055</v>
      </c>
      <c r="R75" s="86">
        <f t="shared" si="38"/>
        <v>208.45115858919675</v>
      </c>
      <c r="S75" s="86">
        <f t="shared" si="38"/>
        <v>285.28944610343058</v>
      </c>
      <c r="T75" s="86">
        <f t="shared" si="38"/>
        <v>466.21311644843917</v>
      </c>
      <c r="U75" s="86">
        <f t="shared" si="38"/>
        <v>84.541827665758746</v>
      </c>
      <c r="V75" s="86">
        <f t="shared" si="38"/>
        <v>197.69421451551176</v>
      </c>
      <c r="W75" s="86">
        <f t="shared" si="38"/>
        <v>319.09962220132115</v>
      </c>
      <c r="X75" s="86">
        <f t="shared" si="38"/>
        <v>565.18577254241109</v>
      </c>
      <c r="Y75" s="86">
        <f t="shared" si="38"/>
        <v>103.83087573614559</v>
      </c>
      <c r="Z75" s="86">
        <f t="shared" si="38"/>
        <v>201.17886339347245</v>
      </c>
      <c r="AA75" s="86">
        <f t="shared" si="38"/>
        <v>333.80617730028928</v>
      </c>
      <c r="AB75" s="86">
        <f t="shared" si="38"/>
        <v>683.11839885795814</v>
      </c>
      <c r="AC75" s="86">
        <f t="shared" si="38"/>
        <v>161.11573279775422</v>
      </c>
      <c r="AD75" s="86">
        <f t="shared" si="38"/>
        <v>242.84970465030841</v>
      </c>
      <c r="AE75" s="86">
        <f t="shared" si="38"/>
        <v>306.9292505844885</v>
      </c>
      <c r="AF75" s="86">
        <f t="shared" si="38"/>
        <v>468.10886111797197</v>
      </c>
      <c r="AG75" s="86">
        <f t="shared" si="38"/>
        <v>117.43848209029582</v>
      </c>
      <c r="AH75" s="86">
        <f t="shared" si="38"/>
        <v>166.73189610861874</v>
      </c>
      <c r="AI75" s="86">
        <f t="shared" si="38"/>
        <v>198.7129128589774</v>
      </c>
      <c r="AJ75" s="86">
        <f t="shared" si="38"/>
        <v>228.40572958994255</v>
      </c>
      <c r="AK75" s="86">
        <f t="shared" si="38"/>
        <v>43.737767506066817</v>
      </c>
      <c r="AL75" s="86">
        <f t="shared" si="38"/>
        <v>71.444119550894897</v>
      </c>
      <c r="AM75" s="86">
        <f t="shared" si="38"/>
        <v>73.80883658153715</v>
      </c>
      <c r="AN75" s="86">
        <f t="shared" si="38"/>
        <v>113.60330047402726</v>
      </c>
      <c r="AO75" s="86">
        <f t="shared" si="38"/>
        <v>22.961079688625453</v>
      </c>
      <c r="AP75" s="86">
        <f t="shared" si="38"/>
        <v>33.351796315907485</v>
      </c>
      <c r="AQ75" s="86" t="e">
        <f t="shared" si="38"/>
        <v>#DIV/0!</v>
      </c>
      <c r="AR75" s="86" t="e">
        <f t="shared" si="38"/>
        <v>#DIV/0!</v>
      </c>
      <c r="AS75" s="86" t="e">
        <f t="shared" si="38"/>
        <v>#DIV/0!</v>
      </c>
      <c r="AT75" s="86" t="e">
        <f t="shared" si="38"/>
        <v>#DIV/0!</v>
      </c>
      <c r="AU75" s="86" t="e">
        <f t="shared" si="38"/>
        <v>#DIV/0!</v>
      </c>
      <c r="AV75" s="86" t="e">
        <f t="shared" si="38"/>
        <v>#DIV/0!</v>
      </c>
      <c r="AW75" s="86" t="e">
        <f t="shared" si="38"/>
        <v>#DIV/0!</v>
      </c>
      <c r="AX75" s="86" t="e">
        <f t="shared" si="38"/>
        <v>#DIV/0!</v>
      </c>
      <c r="AY75" s="86" t="e">
        <f t="shared" si="38"/>
        <v>#DIV/0!</v>
      </c>
      <c r="AZ75" s="86" t="e">
        <f t="shared" si="38"/>
        <v>#DIV/0!</v>
      </c>
      <c r="BA75" s="86" t="e">
        <f t="shared" si="38"/>
        <v>#DIV/0!</v>
      </c>
      <c r="BB75" s="86" t="e">
        <f t="shared" si="38"/>
        <v>#DIV/0!</v>
      </c>
      <c r="BC75" s="86" t="e">
        <f t="shared" si="38"/>
        <v>#DIV/0!</v>
      </c>
      <c r="BD75" s="86" t="e">
        <f t="shared" si="38"/>
        <v>#DIV/0!</v>
      </c>
      <c r="BE75" s="86" t="e">
        <f t="shared" si="38"/>
        <v>#DIV/0!</v>
      </c>
      <c r="BF75" s="86" t="e">
        <f t="shared" si="38"/>
        <v>#DIV/0!</v>
      </c>
      <c r="BG75" s="86" t="e">
        <f t="shared" si="38"/>
        <v>#DIV/0!</v>
      </c>
      <c r="BH75" s="86" t="e">
        <f t="shared" si="38"/>
        <v>#DIV/0!</v>
      </c>
      <c r="BI75" s="86" t="e">
        <f t="shared" si="38"/>
        <v>#DIV/0!</v>
      </c>
      <c r="BJ75" s="86" t="e">
        <f t="shared" si="38"/>
        <v>#DIV/0!</v>
      </c>
      <c r="BK75" s="86" t="e">
        <f t="shared" si="38"/>
        <v>#DIV/0!</v>
      </c>
      <c r="BL75" s="86" t="e">
        <f t="shared" si="38"/>
        <v>#DIV/0!</v>
      </c>
      <c r="BM75" s="86" t="e">
        <f t="shared" si="38"/>
        <v>#DIV/0!</v>
      </c>
      <c r="BN75" s="86" t="e">
        <f t="shared" si="38"/>
        <v>#DIV/0!</v>
      </c>
      <c r="BO75" s="86" t="e">
        <f t="shared" si="38"/>
        <v>#DIV/0!</v>
      </c>
      <c r="BP75" s="86" t="e">
        <f t="shared" si="38"/>
        <v>#DIV/0!</v>
      </c>
      <c r="BQ75" s="86" t="e">
        <f t="shared" si="38"/>
        <v>#DIV/0!</v>
      </c>
      <c r="BR75" s="86" t="e">
        <f t="shared" ref="BR75:CJ75" si="39">BR74-BR73</f>
        <v>#DIV/0!</v>
      </c>
      <c r="BS75" s="86" t="e">
        <f t="shared" si="39"/>
        <v>#DIV/0!</v>
      </c>
      <c r="BT75" s="86" t="e">
        <f t="shared" si="39"/>
        <v>#DIV/0!</v>
      </c>
      <c r="BU75" s="86" t="e">
        <f t="shared" si="39"/>
        <v>#DIV/0!</v>
      </c>
      <c r="BV75" s="86" t="e">
        <f t="shared" si="39"/>
        <v>#DIV/0!</v>
      </c>
      <c r="BW75" s="86" t="e">
        <f t="shared" si="39"/>
        <v>#DIV/0!</v>
      </c>
      <c r="BX75" s="86" t="e">
        <f t="shared" si="39"/>
        <v>#DIV/0!</v>
      </c>
      <c r="BY75" s="86" t="e">
        <f t="shared" si="39"/>
        <v>#DIV/0!</v>
      </c>
      <c r="BZ75" s="86" t="e">
        <f t="shared" si="39"/>
        <v>#DIV/0!</v>
      </c>
      <c r="CA75" s="86" t="e">
        <f t="shared" si="39"/>
        <v>#DIV/0!</v>
      </c>
      <c r="CB75" s="86" t="e">
        <f t="shared" si="39"/>
        <v>#DIV/0!</v>
      </c>
      <c r="CC75" s="86" t="e">
        <f t="shared" si="39"/>
        <v>#DIV/0!</v>
      </c>
      <c r="CD75" s="86" t="e">
        <f t="shared" si="39"/>
        <v>#DIV/0!</v>
      </c>
      <c r="CE75" s="86" t="e">
        <f t="shared" si="39"/>
        <v>#DIV/0!</v>
      </c>
      <c r="CF75" s="86" t="e">
        <f t="shared" si="39"/>
        <v>#DIV/0!</v>
      </c>
      <c r="CG75" s="86" t="e">
        <f t="shared" si="39"/>
        <v>#DIV/0!</v>
      </c>
      <c r="CH75" s="86" t="e">
        <f t="shared" si="39"/>
        <v>#DIV/0!</v>
      </c>
      <c r="CI75" s="86" t="e">
        <f t="shared" si="39"/>
        <v>#DIV/0!</v>
      </c>
      <c r="CJ75" s="86" t="e">
        <f t="shared" si="39"/>
        <v>#DIV/0!</v>
      </c>
    </row>
    <row r="76" spans="1:89" s="157" customFormat="1">
      <c r="A76" s="156" t="s">
        <v>491</v>
      </c>
      <c r="E76" s="157">
        <f>E71-E64-E68</f>
        <v>-616968269.21999991</v>
      </c>
      <c r="F76" s="157">
        <f t="shared" ref="F76:BQ76" si="40">F71-F64-F68</f>
        <v>-703584632.20000005</v>
      </c>
      <c r="G76" s="157">
        <f t="shared" si="40"/>
        <v>-697059274.22000003</v>
      </c>
      <c r="H76" s="157">
        <f t="shared" si="40"/>
        <v>-543038280.75999999</v>
      </c>
      <c r="I76" s="157">
        <f t="shared" si="40"/>
        <v>-489449169.48000002</v>
      </c>
      <c r="J76" s="157">
        <f t="shared" si="40"/>
        <v>-503790321.54999995</v>
      </c>
      <c r="K76" s="157">
        <f t="shared" si="40"/>
        <v>-428649350.62000006</v>
      </c>
      <c r="L76" s="157">
        <f t="shared" si="40"/>
        <v>-403168201.22999996</v>
      </c>
      <c r="M76" s="157">
        <f t="shared" si="40"/>
        <v>-426074090.39999998</v>
      </c>
      <c r="N76" s="157">
        <f t="shared" si="40"/>
        <v>-452756018.06</v>
      </c>
      <c r="O76" s="157">
        <f t="shared" si="40"/>
        <v>-452753779.21999997</v>
      </c>
      <c r="P76" s="157">
        <f t="shared" si="40"/>
        <v>-369890195.44999999</v>
      </c>
      <c r="Q76" s="157">
        <f t="shared" si="40"/>
        <v>-276183554.34000003</v>
      </c>
      <c r="R76" s="157">
        <f t="shared" si="40"/>
        <v>-378182450.67999995</v>
      </c>
      <c r="S76" s="157">
        <f t="shared" si="40"/>
        <v>-372108718.65999997</v>
      </c>
      <c r="T76" s="157">
        <f t="shared" si="40"/>
        <v>-350152321.62</v>
      </c>
      <c r="U76" s="157">
        <f t="shared" si="40"/>
        <v>-290491025.93999994</v>
      </c>
      <c r="V76" s="157">
        <f t="shared" si="40"/>
        <v>-390532838.28000003</v>
      </c>
      <c r="W76" s="157">
        <f t="shared" si="40"/>
        <v>-307386914.19999999</v>
      </c>
      <c r="X76" s="157">
        <f t="shared" si="40"/>
        <v>-241972101.00000003</v>
      </c>
      <c r="Y76" s="157">
        <f t="shared" si="40"/>
        <v>-170524170.47000003</v>
      </c>
      <c r="Z76" s="157">
        <f t="shared" si="40"/>
        <v>-333666148.27999997</v>
      </c>
      <c r="AA76" s="157">
        <f t="shared" si="40"/>
        <v>-423522248.94999999</v>
      </c>
      <c r="AB76" s="157">
        <f t="shared" si="40"/>
        <v>-454018024.74000001</v>
      </c>
      <c r="AC76" s="157">
        <f t="shared" si="40"/>
        <v>-391946328.40000004</v>
      </c>
      <c r="AD76" s="157">
        <f t="shared" si="40"/>
        <v>-397641289.77000004</v>
      </c>
      <c r="AE76" s="157">
        <f t="shared" si="40"/>
        <v>-347847477.92999995</v>
      </c>
      <c r="AF76" s="157">
        <f t="shared" si="40"/>
        <v>-337268987.61000001</v>
      </c>
      <c r="AG76" s="157">
        <f t="shared" si="40"/>
        <v>-309935763.31</v>
      </c>
      <c r="AH76" s="157">
        <f t="shared" si="40"/>
        <v>-277329400.73000002</v>
      </c>
      <c r="AI76" s="157">
        <f t="shared" si="40"/>
        <v>-185968498.27999997</v>
      </c>
      <c r="AJ76" s="157">
        <f t="shared" si="40"/>
        <v>-103826576.13000003</v>
      </c>
      <c r="AK76" s="157">
        <f t="shared" si="40"/>
        <v>-62291413.639999986</v>
      </c>
      <c r="AL76" s="157">
        <f t="shared" si="40"/>
        <v>-73453199.630000025</v>
      </c>
      <c r="AM76" s="157">
        <f t="shared" si="40"/>
        <v>-75204293.460000008</v>
      </c>
      <c r="AN76" s="157">
        <f t="shared" si="40"/>
        <v>-68429918.449999988</v>
      </c>
      <c r="AO76" s="157">
        <f t="shared" si="40"/>
        <v>-54264580.540000021</v>
      </c>
      <c r="AP76" s="157">
        <f t="shared" si="40"/>
        <v>-47807465.720000014</v>
      </c>
      <c r="AQ76" s="157">
        <f t="shared" si="40"/>
        <v>0</v>
      </c>
      <c r="AR76" s="157">
        <f t="shared" si="40"/>
        <v>0</v>
      </c>
      <c r="AS76" s="157">
        <f t="shared" si="40"/>
        <v>0</v>
      </c>
      <c r="AT76" s="157">
        <f t="shared" si="40"/>
        <v>0</v>
      </c>
      <c r="AU76" s="157">
        <f t="shared" si="40"/>
        <v>0</v>
      </c>
      <c r="AV76" s="157">
        <f t="shared" si="40"/>
        <v>0</v>
      </c>
      <c r="AW76" s="157">
        <f t="shared" si="40"/>
        <v>0</v>
      </c>
      <c r="AX76" s="157">
        <f t="shared" si="40"/>
        <v>0</v>
      </c>
      <c r="AY76" s="157">
        <f t="shared" si="40"/>
        <v>0</v>
      </c>
      <c r="AZ76" s="157">
        <f t="shared" si="40"/>
        <v>0</v>
      </c>
      <c r="BA76" s="157">
        <f t="shared" si="40"/>
        <v>0</v>
      </c>
      <c r="BB76" s="157">
        <f t="shared" si="40"/>
        <v>0</v>
      </c>
      <c r="BC76" s="157">
        <f t="shared" si="40"/>
        <v>0</v>
      </c>
      <c r="BD76" s="157">
        <f t="shared" si="40"/>
        <v>0</v>
      </c>
      <c r="BE76" s="157">
        <f t="shared" si="40"/>
        <v>0</v>
      </c>
      <c r="BF76" s="157">
        <f t="shared" si="40"/>
        <v>0</v>
      </c>
      <c r="BG76" s="157">
        <f t="shared" si="40"/>
        <v>0</v>
      </c>
      <c r="BH76" s="157">
        <f t="shared" si="40"/>
        <v>0</v>
      </c>
      <c r="BI76" s="157">
        <f t="shared" si="40"/>
        <v>0</v>
      </c>
      <c r="BJ76" s="157">
        <f t="shared" si="40"/>
        <v>0</v>
      </c>
      <c r="BK76" s="157">
        <f t="shared" si="40"/>
        <v>0</v>
      </c>
      <c r="BL76" s="157">
        <f t="shared" si="40"/>
        <v>0</v>
      </c>
      <c r="BM76" s="157">
        <f t="shared" si="40"/>
        <v>0</v>
      </c>
      <c r="BN76" s="157">
        <f t="shared" si="40"/>
        <v>0</v>
      </c>
      <c r="BO76" s="157">
        <f t="shared" si="40"/>
        <v>0</v>
      </c>
      <c r="BP76" s="157">
        <f t="shared" si="40"/>
        <v>0</v>
      </c>
      <c r="BQ76" s="157">
        <f t="shared" si="40"/>
        <v>0</v>
      </c>
      <c r="BR76" s="157">
        <f t="shared" ref="BR76:CJ76" si="41">BR71-BR64-BR68</f>
        <v>0</v>
      </c>
      <c r="BS76" s="157">
        <f t="shared" si="41"/>
        <v>0</v>
      </c>
      <c r="BT76" s="157">
        <f t="shared" si="41"/>
        <v>0</v>
      </c>
      <c r="BU76" s="157">
        <f t="shared" si="41"/>
        <v>0</v>
      </c>
      <c r="BV76" s="157">
        <f t="shared" si="41"/>
        <v>0</v>
      </c>
      <c r="BW76" s="157">
        <f t="shared" si="41"/>
        <v>0</v>
      </c>
      <c r="BX76" s="157">
        <f t="shared" si="41"/>
        <v>0</v>
      </c>
      <c r="BY76" s="157">
        <f t="shared" si="41"/>
        <v>0</v>
      </c>
      <c r="BZ76" s="157">
        <f t="shared" si="41"/>
        <v>0</v>
      </c>
      <c r="CA76" s="157">
        <f t="shared" si="41"/>
        <v>0</v>
      </c>
      <c r="CB76" s="157">
        <f t="shared" si="41"/>
        <v>0</v>
      </c>
      <c r="CC76" s="157">
        <f t="shared" si="41"/>
        <v>0</v>
      </c>
      <c r="CD76" s="157">
        <f t="shared" si="41"/>
        <v>0</v>
      </c>
      <c r="CE76" s="157">
        <f t="shared" si="41"/>
        <v>0</v>
      </c>
      <c r="CF76" s="157">
        <f t="shared" si="41"/>
        <v>0</v>
      </c>
      <c r="CG76" s="157">
        <f t="shared" si="41"/>
        <v>0</v>
      </c>
      <c r="CH76" s="157">
        <f t="shared" si="41"/>
        <v>0</v>
      </c>
      <c r="CI76" s="157">
        <f t="shared" si="41"/>
        <v>0</v>
      </c>
      <c r="CJ76" s="157">
        <f t="shared" si="41"/>
        <v>0</v>
      </c>
    </row>
    <row r="77" spans="1:89" s="22" customFormat="1" ht="59.25" customHeight="1">
      <c r="A77" s="165" t="s">
        <v>600</v>
      </c>
      <c r="B77" s="166"/>
      <c r="C77" s="166"/>
      <c r="D77" s="166"/>
      <c r="E77" s="166"/>
      <c r="F77" s="166"/>
      <c r="G77" s="166"/>
      <c r="H77" s="166"/>
      <c r="I77" s="166"/>
      <c r="J77" s="166"/>
      <c r="K77" s="166"/>
      <c r="L77" s="166"/>
      <c r="M77" s="166"/>
      <c r="N77" s="166"/>
      <c r="O77" s="166"/>
      <c r="P77" s="166"/>
      <c r="Q77" s="166"/>
      <c r="R77" s="166"/>
      <c r="S77" s="166"/>
      <c r="T77" s="166"/>
      <c r="U77" s="166"/>
      <c r="V77" s="166"/>
      <c r="W77" s="166"/>
      <c r="X77" s="166"/>
      <c r="Y77" s="166"/>
      <c r="Z77" s="166"/>
      <c r="AA77" s="166"/>
      <c r="AB77" s="166"/>
      <c r="AC77" s="166"/>
      <c r="AD77" s="166"/>
      <c r="AE77" s="166"/>
      <c r="AF77" s="166"/>
      <c r="AG77" s="166"/>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42" customFormat="1">
      <c r="A80" s="158" t="s">
        <v>601</v>
      </c>
      <c r="B80" s="159">
        <v>43373</v>
      </c>
      <c r="C80" s="159">
        <v>43281</v>
      </c>
      <c r="D80" s="159">
        <v>43190</v>
      </c>
      <c r="E80" s="159">
        <v>43100</v>
      </c>
      <c r="F80" s="159">
        <v>43008</v>
      </c>
      <c r="G80" s="159">
        <v>42916</v>
      </c>
      <c r="H80" s="159">
        <v>42825</v>
      </c>
      <c r="I80" s="159">
        <v>42735</v>
      </c>
      <c r="J80" s="159">
        <v>42643</v>
      </c>
      <c r="K80" s="159">
        <v>42551</v>
      </c>
      <c r="L80" s="159">
        <v>42460</v>
      </c>
      <c r="M80" s="159">
        <v>42369</v>
      </c>
      <c r="N80" s="159">
        <v>42277</v>
      </c>
      <c r="O80" s="159">
        <v>42185</v>
      </c>
      <c r="P80" s="159">
        <v>42094</v>
      </c>
      <c r="Q80" s="159">
        <v>42004</v>
      </c>
      <c r="R80" s="159">
        <v>41912</v>
      </c>
      <c r="S80" s="159">
        <v>41820</v>
      </c>
      <c r="T80" s="159">
        <v>41729</v>
      </c>
      <c r="U80" s="159">
        <v>41639</v>
      </c>
      <c r="V80" s="159">
        <v>41547</v>
      </c>
      <c r="W80" s="159">
        <v>41455</v>
      </c>
      <c r="X80" s="159">
        <v>41364</v>
      </c>
      <c r="Y80" s="159">
        <v>41274</v>
      </c>
      <c r="Z80" s="159">
        <v>41182</v>
      </c>
      <c r="AA80" s="159">
        <v>41090</v>
      </c>
      <c r="AB80" s="159">
        <v>40999</v>
      </c>
      <c r="AC80" s="159">
        <v>40908</v>
      </c>
      <c r="AD80" s="159">
        <v>40816</v>
      </c>
      <c r="AE80" s="159">
        <v>40724</v>
      </c>
      <c r="AF80" s="159">
        <v>40633</v>
      </c>
      <c r="AG80" s="159">
        <v>40543</v>
      </c>
      <c r="AH80" s="159">
        <v>40451</v>
      </c>
      <c r="AI80" s="159">
        <v>40359</v>
      </c>
      <c r="AJ80" s="159">
        <v>40268</v>
      </c>
      <c r="AK80" s="159">
        <v>40178</v>
      </c>
      <c r="AL80" s="159">
        <v>40086</v>
      </c>
      <c r="AM80" s="159">
        <v>39994</v>
      </c>
      <c r="AN80" s="159">
        <v>39903</v>
      </c>
      <c r="AO80" s="159">
        <v>39813</v>
      </c>
      <c r="AP80" s="159">
        <v>39721</v>
      </c>
      <c r="AQ80" s="159">
        <v>39447</v>
      </c>
      <c r="AR80" s="159">
        <v>39082</v>
      </c>
      <c r="AS80" s="159">
        <v>25569</v>
      </c>
      <c r="AT80" s="159"/>
      <c r="AU80" s="159"/>
      <c r="AV80" s="159"/>
      <c r="AW80" s="159"/>
      <c r="AX80" s="159"/>
      <c r="AY80" s="159"/>
      <c r="AZ80" s="159"/>
      <c r="BA80" s="159"/>
      <c r="BB80" s="159"/>
      <c r="BC80" s="159"/>
      <c r="BD80" s="159"/>
      <c r="BE80" s="159"/>
      <c r="BF80" s="159"/>
      <c r="BG80" s="159"/>
      <c r="BH80" s="159"/>
      <c r="BI80" s="159"/>
      <c r="BJ80" s="159"/>
      <c r="BK80" s="159"/>
      <c r="BL80" s="159"/>
      <c r="BM80" s="159"/>
      <c r="BN80" s="159"/>
      <c r="BO80" s="159"/>
      <c r="BP80" s="159"/>
      <c r="BQ80" s="159"/>
      <c r="BR80" s="159"/>
      <c r="BS80" s="159"/>
      <c r="BT80" s="159"/>
      <c r="BU80" s="159"/>
      <c r="BV80" s="159"/>
      <c r="BW80" s="159"/>
      <c r="BX80" s="159"/>
      <c r="BY80" s="159"/>
      <c r="BZ80" s="159"/>
      <c r="CA80" s="159"/>
      <c r="CB80" s="159"/>
      <c r="CC80" s="159"/>
      <c r="CD80" s="159"/>
      <c r="CE80" s="159"/>
      <c r="CF80" s="159"/>
      <c r="CG80" s="159"/>
      <c r="CH80" s="159"/>
      <c r="CI80" s="159"/>
      <c r="CJ80" s="159"/>
      <c r="CK80" s="159"/>
    </row>
    <row r="81" spans="1:89" s="86" customFormat="1">
      <c r="A81" s="160" t="s">
        <v>602</v>
      </c>
      <c r="E81" s="86">
        <f>股权价值增加表!E4</f>
        <v>2616208430.02</v>
      </c>
      <c r="F81" s="86">
        <f>股权价值增加表!F4</f>
        <v>1538538792.47</v>
      </c>
      <c r="G81" s="86">
        <f>股权价值增加表!G4</f>
        <v>961289995.45000005</v>
      </c>
      <c r="H81" s="86">
        <f>股权价值增加表!H4</f>
        <v>431372254.86000001</v>
      </c>
      <c r="I81" s="86">
        <f>股权价值增加表!I4</f>
        <v>2311575474.5900002</v>
      </c>
      <c r="J81" s="86">
        <f>股权价值增加表!J4</f>
        <v>1347750467</v>
      </c>
      <c r="K81" s="86">
        <f>股权价值增加表!K4</f>
        <v>881149327.19000006</v>
      </c>
      <c r="L81" s="86">
        <f>股权价值增加表!L4</f>
        <v>431129453.88</v>
      </c>
      <c r="M81" s="86">
        <f>股权价值增加表!M4</f>
        <v>2092608347.29</v>
      </c>
      <c r="N81" s="86">
        <f>股权价值增加表!N4</f>
        <v>1298349056.04</v>
      </c>
      <c r="O81" s="86">
        <f>股权价值增加表!O4</f>
        <v>862619894.12</v>
      </c>
      <c r="P81" s="86">
        <f>股权价值增加表!P4</f>
        <v>462472843.76999998</v>
      </c>
      <c r="Q81" s="86">
        <f>股权价值增加表!Q4</f>
        <v>1969766903.8199999</v>
      </c>
      <c r="R81" s="86">
        <f>股权价值增加表!R4</f>
        <v>1299438859.97</v>
      </c>
      <c r="S81" s="86">
        <f>股权价值增加表!S4</f>
        <v>853989106.69000006</v>
      </c>
      <c r="T81" s="86">
        <f>股权价值增加表!T4</f>
        <v>452252432.13999999</v>
      </c>
      <c r="U81" s="86">
        <f>股权价值增加表!U4</f>
        <v>1863895419.51</v>
      </c>
      <c r="V81" s="86">
        <f>股权价值增加表!V4</f>
        <v>1255433504.79</v>
      </c>
      <c r="W81" s="86">
        <f>股权价值增加表!W4</f>
        <v>820683087.59000003</v>
      </c>
      <c r="X81" s="86">
        <f>股权价值增加表!X4</f>
        <v>439128345.19999999</v>
      </c>
      <c r="Y81" s="86">
        <f>股权价值增加表!Y4</f>
        <v>1776970381.24</v>
      </c>
      <c r="Z81" s="86">
        <f>股权价值增加表!Z4</f>
        <v>1192443012.9400001</v>
      </c>
      <c r="AA81" s="86">
        <f>股权价值增加表!AA4</f>
        <v>758478132.33000004</v>
      </c>
      <c r="AB81" s="86">
        <f>股权价值增加表!AB4</f>
        <v>404312414</v>
      </c>
      <c r="AC81" s="86">
        <f>股权价值增加表!AC4</f>
        <v>1453420015.48</v>
      </c>
      <c r="AD81" s="86">
        <f>股权价值增加表!AD4</f>
        <v>944792894.37</v>
      </c>
      <c r="AE81" s="86">
        <f>股权价值增加表!AE4</f>
        <v>607588062.33000004</v>
      </c>
      <c r="AF81" s="86">
        <f>股权价值增加表!AF4</f>
        <v>332888930.76999998</v>
      </c>
      <c r="AG81" s="86">
        <f>股权价值增加表!AG4</f>
        <v>1067301429.12</v>
      </c>
      <c r="AH81" s="86">
        <f>股权价值增加表!AH4</f>
        <v>698071299.27999997</v>
      </c>
      <c r="AI81" s="86">
        <f>股权价值增加表!AI4</f>
        <v>453223021.43000001</v>
      </c>
      <c r="AJ81" s="86">
        <f>股权价值增加表!AJ4</f>
        <v>253170727.09</v>
      </c>
      <c r="AK81" s="86">
        <f>股权价值增加表!AK4</f>
        <v>791785397.63</v>
      </c>
      <c r="AL81" s="86">
        <f>股权价值增加表!AL4</f>
        <v>522453685.52999997</v>
      </c>
      <c r="AM81" s="86">
        <f>股权价值增加表!AM4</f>
        <v>323155042.13999999</v>
      </c>
      <c r="AN81" s="86">
        <f>股权价值增加表!AN4</f>
        <v>181748831.08000001</v>
      </c>
      <c r="AO81" s="86">
        <f>股权价值增加表!AO4</f>
        <v>680763750.52999997</v>
      </c>
      <c r="AP81" s="86">
        <f>股权价值增加表!AP4</f>
        <v>468344420.81</v>
      </c>
      <c r="AQ81" s="86">
        <f>股权价值增加表!AQ4</f>
        <v>590236990.59000003</v>
      </c>
      <c r="AR81" s="86">
        <f>股权价值增加表!AR4</f>
        <v>419082605.45999998</v>
      </c>
      <c r="AS81" s="86">
        <f>股权价值增加表!AS4</f>
        <v>0</v>
      </c>
      <c r="AT81" s="86">
        <f>股权价值增加表!AT4</f>
        <v>0</v>
      </c>
      <c r="AU81" s="86">
        <f>股权价值增加表!AU4</f>
        <v>0</v>
      </c>
      <c r="AV81" s="86">
        <f>股权价值增加表!AV4</f>
        <v>0</v>
      </c>
      <c r="AW81" s="86">
        <f>股权价值增加表!AW4</f>
        <v>0</v>
      </c>
      <c r="AX81" s="86">
        <f>股权价值增加表!AX4</f>
        <v>0</v>
      </c>
      <c r="AY81" s="86">
        <f>股权价值增加表!AY4</f>
        <v>0</v>
      </c>
      <c r="AZ81" s="86">
        <f>股权价值增加表!AZ4</f>
        <v>0</v>
      </c>
      <c r="BA81" s="86">
        <f>股权价值增加表!BA4</f>
        <v>0</v>
      </c>
      <c r="BB81" s="86">
        <f>股权价值增加表!BB4</f>
        <v>0</v>
      </c>
      <c r="BC81" s="86">
        <f>股权价值增加表!BC4</f>
        <v>0</v>
      </c>
      <c r="BD81" s="86">
        <f>股权价值增加表!BD4</f>
        <v>0</v>
      </c>
      <c r="BE81" s="86">
        <f>股权价值增加表!BE4</f>
        <v>0</v>
      </c>
      <c r="BF81" s="86">
        <f>股权价值增加表!BF4</f>
        <v>0</v>
      </c>
      <c r="BG81" s="86">
        <f>股权价值增加表!BG4</f>
        <v>0</v>
      </c>
      <c r="BH81" s="86">
        <f>股权价值增加表!BH4</f>
        <v>0</v>
      </c>
      <c r="BI81" s="86">
        <f>股权价值增加表!BI4</f>
        <v>0</v>
      </c>
      <c r="BJ81" s="86">
        <f>股权价值增加表!BJ4</f>
        <v>0</v>
      </c>
      <c r="BK81" s="86">
        <f>股权价值增加表!BK4</f>
        <v>0</v>
      </c>
      <c r="BL81" s="86">
        <f>股权价值增加表!BL4</f>
        <v>0</v>
      </c>
      <c r="BM81" s="86">
        <f>股权价值增加表!BM4</f>
        <v>0</v>
      </c>
      <c r="BN81" s="86">
        <f>股权价值增加表!BN4</f>
        <v>0</v>
      </c>
      <c r="BO81" s="86">
        <f>股权价值增加表!BO4</f>
        <v>0</v>
      </c>
      <c r="BP81" s="86">
        <f>股权价值增加表!BP4</f>
        <v>0</v>
      </c>
      <c r="BQ81" s="86">
        <f>股权价值增加表!BQ4</f>
        <v>0</v>
      </c>
      <c r="BR81" s="86">
        <f>股权价值增加表!BR4</f>
        <v>0</v>
      </c>
      <c r="BS81" s="86">
        <f>股权价值增加表!BS4</f>
        <v>0</v>
      </c>
      <c r="BT81" s="86">
        <f>股权价值增加表!BT4</f>
        <v>0</v>
      </c>
      <c r="BU81" s="86">
        <f>股权价值增加表!BU4</f>
        <v>0</v>
      </c>
      <c r="BV81" s="86">
        <f>股权价值增加表!BV4</f>
        <v>0</v>
      </c>
      <c r="BW81" s="86">
        <f>股权价值增加表!BW4</f>
        <v>0</v>
      </c>
      <c r="BX81" s="86">
        <f>股权价值增加表!BX4</f>
        <v>0</v>
      </c>
      <c r="BY81" s="86">
        <f>股权价值增加表!BY4</f>
        <v>0</v>
      </c>
      <c r="BZ81" s="86">
        <f>股权价值增加表!BZ4</f>
        <v>0</v>
      </c>
      <c r="CA81" s="86">
        <f>股权价值增加表!CA4</f>
        <v>0</v>
      </c>
      <c r="CB81" s="86">
        <f>股权价值增加表!CB4</f>
        <v>0</v>
      </c>
      <c r="CC81" s="86">
        <f>股权价值增加表!CC4</f>
        <v>0</v>
      </c>
      <c r="CD81" s="86">
        <f>股权价值增加表!CD4</f>
        <v>0</v>
      </c>
      <c r="CE81" s="86">
        <f>股权价值增加表!CE4</f>
        <v>0</v>
      </c>
      <c r="CF81" s="86">
        <f>股权价值增加表!CF4</f>
        <v>0</v>
      </c>
      <c r="CG81" s="86">
        <f>股权价值增加表!CG4</f>
        <v>0</v>
      </c>
      <c r="CH81" s="86">
        <f>股权价值增加表!CH4</f>
        <v>0</v>
      </c>
      <c r="CI81" s="86">
        <f>股权价值增加表!CI4</f>
        <v>0</v>
      </c>
      <c r="CJ81" s="86">
        <f>股权价值增加表!CJ4</f>
        <v>0</v>
      </c>
      <c r="CK81" s="86">
        <f>股权价值增加表!CK4</f>
        <v>0</v>
      </c>
    </row>
    <row r="82" spans="1:89" s="86" customFormat="1">
      <c r="A82" s="160" t="s">
        <v>603</v>
      </c>
      <c r="E82" s="86">
        <f>投资和筹资活动现金流表!E34</f>
        <v>1410947802.6400001</v>
      </c>
      <c r="F82" s="86">
        <f>投资和筹资活动现金流表!F34</f>
        <v>1367153245.6700001</v>
      </c>
      <c r="G82" s="86">
        <f>投资和筹资活动现金流表!G34</f>
        <v>1269565992.1900001</v>
      </c>
      <c r="H82" s="86">
        <f>投资和筹资活动现金流表!H34</f>
        <v>1253302547.53</v>
      </c>
      <c r="I82" s="86">
        <f>投资和筹资活动现金流表!I34</f>
        <v>1236999878.1700001</v>
      </c>
      <c r="J82" s="86">
        <f>投资和筹资活动现金流表!J34</f>
        <v>1034620155.3800001</v>
      </c>
      <c r="K82" s="86">
        <f>投资和筹资活动现金流表!K34</f>
        <v>990494038.49000001</v>
      </c>
      <c r="L82" s="86">
        <f>投资和筹资活动现金流表!L34</f>
        <v>960477978.07999992</v>
      </c>
      <c r="M82" s="86">
        <f>投资和筹资活动现金流表!M34</f>
        <v>957925773.75999999</v>
      </c>
      <c r="N82" s="86">
        <f>投资和筹资活动现金流表!N34</f>
        <v>1098495316.04</v>
      </c>
      <c r="O82" s="86">
        <f>投资和筹资活动现金流表!O34</f>
        <v>1077558064.8499999</v>
      </c>
      <c r="P82" s="86">
        <f>投资和筹资活动现金流表!P34</f>
        <v>839094773.11000001</v>
      </c>
      <c r="Q82" s="86">
        <f>投资和筹资活动现金流表!Q34</f>
        <v>807731294.65999997</v>
      </c>
      <c r="R82" s="86">
        <f>投资和筹资活动现金流表!R34</f>
        <v>749263981.16999996</v>
      </c>
      <c r="S82" s="86">
        <f>投资和筹资活动现金流表!S34</f>
        <v>735499582.28999996</v>
      </c>
      <c r="T82" s="86">
        <f>投资和筹资活动现金流表!T34</f>
        <v>710694914.15999997</v>
      </c>
      <c r="U82" s="86">
        <f>投资和筹资活动现金流表!U34</f>
        <v>699262006.82000005</v>
      </c>
      <c r="V82" s="86">
        <f>投资和筹资活动现金流表!V34</f>
        <v>668499983.16999996</v>
      </c>
      <c r="W82" s="86">
        <f>投资和筹资活动现金流表!W34</f>
        <v>646240740.63999999</v>
      </c>
      <c r="X82" s="86">
        <f>投资和筹资活动现金流表!X34</f>
        <v>632344542.03999996</v>
      </c>
      <c r="Y82" s="86">
        <f>投资和筹资活动现金流表!Y34</f>
        <v>619029551.51999998</v>
      </c>
      <c r="Z82" s="86">
        <f>投资和筹资活动现金流表!Z34</f>
        <v>565603737.48000002</v>
      </c>
      <c r="AA82" s="86">
        <f>投资和筹资活动现金流表!AA34</f>
        <v>543671380.01999998</v>
      </c>
      <c r="AB82" s="86">
        <f>投资和筹资活动现金流表!AB34</f>
        <v>509305736.06</v>
      </c>
      <c r="AC82" s="86">
        <f>投资和筹资活动现金流表!AC34</f>
        <v>478274483.81</v>
      </c>
      <c r="AD82" s="86">
        <f>投资和筹资活动现金流表!AD34</f>
        <v>376398258.69</v>
      </c>
      <c r="AE82" s="86">
        <f>投资和筹资活动现金流表!AE34</f>
        <v>309691045.01999998</v>
      </c>
      <c r="AF82" s="86">
        <f>投资和筹资活动现金流表!AF34</f>
        <v>295490502.18000001</v>
      </c>
      <c r="AG82" s="86">
        <f>投资和筹资活动现金流表!AG34</f>
        <v>276281864.79000002</v>
      </c>
      <c r="AH82" s="86">
        <f>投资和筹资活动现金流表!AH34</f>
        <v>232990840.75</v>
      </c>
      <c r="AI82" s="86">
        <f>投资和筹资活动现金流表!AI34</f>
        <v>201806080.77000001</v>
      </c>
      <c r="AJ82" s="86">
        <f>投资和筹资活动现金流表!AJ34</f>
        <v>187685699.58000001</v>
      </c>
      <c r="AK82" s="86">
        <f>投资和筹资活动现金流表!AK34</f>
        <v>173757421.33000001</v>
      </c>
      <c r="AL82" s="86">
        <f>投资和筹资活动现金流表!AL34</f>
        <v>158879455.81</v>
      </c>
      <c r="AM82" s="86">
        <f>投资和筹资活动现金流表!AM34</f>
        <v>153814433.28999999</v>
      </c>
      <c r="AN82" s="86">
        <f>投资和筹资活动现金流表!AN34</f>
        <v>161546347.99000001</v>
      </c>
      <c r="AO82" s="86">
        <f>投资和筹资活动现金流表!AO34</f>
        <v>158715638.03999999</v>
      </c>
      <c r="AP82" s="86">
        <f>投资和筹资活动现金流表!AP34</f>
        <v>108220008.62</v>
      </c>
      <c r="AQ82" s="86">
        <f>投资和筹资活动现金流表!AQ34</f>
        <v>0</v>
      </c>
      <c r="AR82" s="86">
        <f>投资和筹资活动现金流表!AR34</f>
        <v>0</v>
      </c>
      <c r="AS82" s="86">
        <f>投资和筹资活动现金流表!AS34</f>
        <v>0</v>
      </c>
      <c r="AT82" s="86">
        <f>投资和筹资活动现金流表!AT34</f>
        <v>2933770006.6399999</v>
      </c>
      <c r="AU82" s="86">
        <f>投资和筹资活动现金流表!AU34</f>
        <v>2872445122.8000002</v>
      </c>
      <c r="AV82" s="86">
        <f>投资和筹资活动现金流表!AV34</f>
        <v>2575923002.7900004</v>
      </c>
      <c r="AW82" s="86">
        <f>投资和筹资活动现金流表!AW34</f>
        <v>2597468323.4099998</v>
      </c>
      <c r="AX82" s="86">
        <f>投资和筹资活动现金流表!AX34</f>
        <v>2410763534.8400002</v>
      </c>
      <c r="AY82" s="86">
        <f>投资和筹资活动现金流表!AY34</f>
        <v>2483820863.0900002</v>
      </c>
      <c r="AZ82" s="86">
        <f>投资和筹资活动现金流表!AZ34</f>
        <v>2554486005</v>
      </c>
      <c r="BA82" s="86">
        <f>投资和筹资活动现金流表!BA34</f>
        <v>2574247298.3200002</v>
      </c>
      <c r="BB82" s="86">
        <f>投资和筹资活动现金流表!BB34</f>
        <v>2609201305.6399999</v>
      </c>
      <c r="BC82" s="86">
        <f>投资和筹资活动现金流表!BC34</f>
        <v>2683968901.46</v>
      </c>
      <c r="BD82" s="86">
        <f>投资和筹资活动现金流表!BD34</f>
        <v>2689101232.8800001</v>
      </c>
      <c r="BE82" s="86">
        <f>投资和筹资活动现金流表!BE34</f>
        <v>2676403110.5799999</v>
      </c>
      <c r="BF82" s="86">
        <f>投资和筹资活动现金流表!BF34</f>
        <v>2633768248.5900002</v>
      </c>
      <c r="BG82" s="86">
        <f>投资和筹资活动现金流表!BG34</f>
        <v>2540908104.8800001</v>
      </c>
      <c r="BH82" s="86">
        <f>投资和筹资活动现金流表!BH34</f>
        <v>2627501543.46</v>
      </c>
      <c r="BI82" s="86">
        <f>投资和筹资活动现金流表!BI34</f>
        <v>2633995522.4200001</v>
      </c>
      <c r="BJ82" s="86">
        <f>投资和筹资活动现金流表!BJ34</f>
        <v>2697608030.8499999</v>
      </c>
      <c r="BK82" s="86">
        <f>投资和筹资活动现金流表!BK34</f>
        <v>2506061093.3600001</v>
      </c>
      <c r="BL82" s="86">
        <f>投资和筹资活动现金流表!BL34</f>
        <v>2449347773.48</v>
      </c>
      <c r="BM82" s="86">
        <f>投资和筹资活动现金流表!BM34</f>
        <v>2441134555.5</v>
      </c>
      <c r="BN82" s="86">
        <f>投资和筹资活动现金流表!BN34</f>
        <v>2120830735.96</v>
      </c>
      <c r="BO82" s="86">
        <f>投资和筹资活动现金流表!BO34</f>
        <v>2152380109.23</v>
      </c>
      <c r="BP82" s="86">
        <f>投资和筹资活动现金流表!BP34</f>
        <v>2117283926.8199999</v>
      </c>
      <c r="BQ82" s="86">
        <f>投资和筹资活动现金流表!BQ34</f>
        <v>2007899852.48</v>
      </c>
      <c r="BR82" s="86">
        <f>投资和筹资活动现金流表!BR34</f>
        <v>2214134485.5799999</v>
      </c>
      <c r="BS82" s="86">
        <f>投资和筹资活动现金流表!BS34</f>
        <v>1814339827.5999999</v>
      </c>
      <c r="BT82" s="86">
        <f>投资和筹资活动现金流表!BT34</f>
        <v>2086744304.6300001</v>
      </c>
      <c r="BU82" s="86">
        <f>投资和筹资活动现金流表!BU34</f>
        <v>1960182316.27</v>
      </c>
      <c r="BV82" s="86">
        <f>投资和筹资活动现金流表!BV34</f>
        <v>0</v>
      </c>
      <c r="BW82" s="86">
        <f>投资和筹资活动现金流表!BW34</f>
        <v>0</v>
      </c>
      <c r="BX82" s="86">
        <f>投资和筹资活动现金流表!BX34</f>
        <v>0</v>
      </c>
      <c r="BY82" s="86">
        <f>投资和筹资活动现金流表!BY34</f>
        <v>0</v>
      </c>
      <c r="BZ82" s="86">
        <f>投资和筹资活动现金流表!BZ34</f>
        <v>0</v>
      </c>
      <c r="CA82" s="86">
        <f>投资和筹资活动现金流表!CA34</f>
        <v>0</v>
      </c>
      <c r="CB82" s="86">
        <f>投资和筹资活动现金流表!CB34</f>
        <v>0</v>
      </c>
      <c r="CC82" s="86">
        <f>投资和筹资活动现金流表!CC34</f>
        <v>0</v>
      </c>
      <c r="CD82" s="86">
        <f>投资和筹资活动现金流表!CD34</f>
        <v>0</v>
      </c>
      <c r="CE82" s="86">
        <f>投资和筹资活动现金流表!CE34</f>
        <v>0</v>
      </c>
      <c r="CF82" s="86">
        <f>投资和筹资活动现金流表!CF34</f>
        <v>0</v>
      </c>
      <c r="CG82" s="86">
        <f>投资和筹资活动现金流表!CG34</f>
        <v>0</v>
      </c>
      <c r="CH82" s="86">
        <f>投资和筹资活动现金流表!CH34</f>
        <v>0</v>
      </c>
      <c r="CI82" s="86">
        <f>投资和筹资活动现金流表!CI34</f>
        <v>0</v>
      </c>
      <c r="CJ82" s="86">
        <f>投资和筹资活动现金流表!CJ34</f>
        <v>0</v>
      </c>
      <c r="CK82" s="86">
        <f>投资和筹资活动现金流表!CK34</f>
        <v>0</v>
      </c>
    </row>
    <row r="83" spans="1:89" s="52" customFormat="1">
      <c r="A83" s="162" t="s">
        <v>604</v>
      </c>
      <c r="E83" s="52">
        <f>E81/E82</f>
        <v>1.8542205637408113</v>
      </c>
      <c r="F83" s="52">
        <f t="shared" ref="F83:BQ83" si="42">F81/F82</f>
        <v>1.1253594264891711</v>
      </c>
      <c r="G83" s="52">
        <f t="shared" si="42"/>
        <v>0.75718001377130129</v>
      </c>
      <c r="H83" s="52">
        <f t="shared" si="42"/>
        <v>0.34418844492907597</v>
      </c>
      <c r="I83" s="52">
        <f t="shared" si="42"/>
        <v>1.8686949896953198</v>
      </c>
      <c r="J83" s="52">
        <f t="shared" si="42"/>
        <v>1.3026524372173978</v>
      </c>
      <c r="K83" s="52">
        <f t="shared" si="42"/>
        <v>0.88960588650619743</v>
      </c>
      <c r="L83" s="52">
        <f t="shared" si="42"/>
        <v>0.44886969167354551</v>
      </c>
      <c r="M83" s="52">
        <f t="shared" si="42"/>
        <v>2.1845203507534863</v>
      </c>
      <c r="N83" s="52">
        <f t="shared" si="42"/>
        <v>1.1819340848174564</v>
      </c>
      <c r="O83" s="52">
        <f t="shared" si="42"/>
        <v>0.80053216829673113</v>
      </c>
      <c r="P83" s="52">
        <f t="shared" si="42"/>
        <v>0.55115686402848407</v>
      </c>
      <c r="Q83" s="52">
        <f t="shared" si="42"/>
        <v>2.4386413115875842</v>
      </c>
      <c r="R83" s="52">
        <f t="shared" si="42"/>
        <v>1.7342871039134755</v>
      </c>
      <c r="S83" s="52">
        <f t="shared" si="42"/>
        <v>1.1611007364967896</v>
      </c>
      <c r="T83" s="52">
        <f t="shared" si="42"/>
        <v>0.63635242511132373</v>
      </c>
      <c r="U83" s="52">
        <f t="shared" si="42"/>
        <v>2.6655179336660186</v>
      </c>
      <c r="V83" s="52">
        <f t="shared" si="42"/>
        <v>1.8779858435250587</v>
      </c>
      <c r="W83" s="52">
        <f t="shared" si="42"/>
        <v>1.2699339982453632</v>
      </c>
      <c r="X83" s="52">
        <f t="shared" si="42"/>
        <v>0.69444474650375365</v>
      </c>
      <c r="Y83" s="52">
        <f t="shared" si="42"/>
        <v>2.8705743964512309</v>
      </c>
      <c r="Z83" s="52">
        <f t="shared" si="42"/>
        <v>2.1082657944461785</v>
      </c>
      <c r="AA83" s="52">
        <f t="shared" si="42"/>
        <v>1.3951040282865321</v>
      </c>
      <c r="AB83" s="52">
        <f t="shared" si="42"/>
        <v>0.79385010883201401</v>
      </c>
      <c r="AC83" s="52">
        <f t="shared" si="42"/>
        <v>3.0388826179934525</v>
      </c>
      <c r="AD83" s="52">
        <f t="shared" si="42"/>
        <v>2.5100883772900962</v>
      </c>
      <c r="AE83" s="52">
        <f t="shared" si="42"/>
        <v>1.9619167944967919</v>
      </c>
      <c r="AF83" s="52">
        <f t="shared" si="42"/>
        <v>1.126563893979978</v>
      </c>
      <c r="AG83" s="52">
        <f t="shared" si="42"/>
        <v>3.8630889867898084</v>
      </c>
      <c r="AH83" s="52">
        <f t="shared" si="42"/>
        <v>2.9961319382036695</v>
      </c>
      <c r="AI83" s="52">
        <f t="shared" si="42"/>
        <v>2.2458343162936791</v>
      </c>
      <c r="AJ83" s="52">
        <f t="shared" si="42"/>
        <v>1.3489079224285139</v>
      </c>
      <c r="AK83" s="52">
        <f t="shared" si="42"/>
        <v>4.5568436246889368</v>
      </c>
      <c r="AL83" s="52">
        <f t="shared" si="42"/>
        <v>3.2883652758402531</v>
      </c>
      <c r="AM83" s="52">
        <f t="shared" si="42"/>
        <v>2.1009409535106962</v>
      </c>
      <c r="AN83" s="52">
        <f t="shared" si="42"/>
        <v>1.1250568851686487</v>
      </c>
      <c r="AO83" s="52">
        <f t="shared" si="42"/>
        <v>4.2892040062141312</v>
      </c>
      <c r="AP83" s="52">
        <f t="shared" si="42"/>
        <v>4.3277063713285076</v>
      </c>
      <c r="AQ83" s="52" t="e">
        <f t="shared" si="42"/>
        <v>#DIV/0!</v>
      </c>
      <c r="AR83" s="52" t="e">
        <f t="shared" si="42"/>
        <v>#DIV/0!</v>
      </c>
      <c r="AS83" s="52" t="e">
        <f t="shared" si="42"/>
        <v>#DIV/0!</v>
      </c>
      <c r="AT83" s="52">
        <f t="shared" si="42"/>
        <v>0</v>
      </c>
      <c r="AU83" s="52">
        <f t="shared" si="42"/>
        <v>0</v>
      </c>
      <c r="AV83" s="52">
        <f t="shared" si="42"/>
        <v>0</v>
      </c>
      <c r="AW83" s="52">
        <f t="shared" si="42"/>
        <v>0</v>
      </c>
      <c r="AX83" s="52">
        <f t="shared" si="42"/>
        <v>0</v>
      </c>
      <c r="AY83" s="52">
        <f t="shared" si="42"/>
        <v>0</v>
      </c>
      <c r="AZ83" s="52">
        <f t="shared" si="42"/>
        <v>0</v>
      </c>
      <c r="BA83" s="52">
        <f t="shared" si="42"/>
        <v>0</v>
      </c>
      <c r="BB83" s="52">
        <f t="shared" si="42"/>
        <v>0</v>
      </c>
      <c r="BC83" s="52">
        <f t="shared" si="42"/>
        <v>0</v>
      </c>
      <c r="BD83" s="52">
        <f t="shared" si="42"/>
        <v>0</v>
      </c>
      <c r="BE83" s="52">
        <f t="shared" si="42"/>
        <v>0</v>
      </c>
      <c r="BF83" s="52">
        <f t="shared" si="42"/>
        <v>0</v>
      </c>
      <c r="BG83" s="52">
        <f t="shared" si="42"/>
        <v>0</v>
      </c>
      <c r="BH83" s="52">
        <f t="shared" si="42"/>
        <v>0</v>
      </c>
      <c r="BI83" s="52">
        <f t="shared" si="42"/>
        <v>0</v>
      </c>
      <c r="BJ83" s="52">
        <f t="shared" si="42"/>
        <v>0</v>
      </c>
      <c r="BK83" s="52">
        <f t="shared" si="42"/>
        <v>0</v>
      </c>
      <c r="BL83" s="52">
        <f t="shared" si="42"/>
        <v>0</v>
      </c>
      <c r="BM83" s="52">
        <f t="shared" si="42"/>
        <v>0</v>
      </c>
      <c r="BN83" s="52">
        <f t="shared" si="42"/>
        <v>0</v>
      </c>
      <c r="BO83" s="52">
        <f t="shared" si="42"/>
        <v>0</v>
      </c>
      <c r="BP83" s="52">
        <f t="shared" si="42"/>
        <v>0</v>
      </c>
      <c r="BQ83" s="52">
        <f t="shared" si="42"/>
        <v>0</v>
      </c>
      <c r="BR83" s="52">
        <f t="shared" ref="BR83:CK83" si="43">BR81/BR82</f>
        <v>0</v>
      </c>
      <c r="BS83" s="52">
        <f t="shared" si="43"/>
        <v>0</v>
      </c>
      <c r="BT83" s="52">
        <f t="shared" si="43"/>
        <v>0</v>
      </c>
      <c r="BU83" s="52">
        <f t="shared" si="43"/>
        <v>0</v>
      </c>
      <c r="BV83" s="52" t="e">
        <f t="shared" si="43"/>
        <v>#DIV/0!</v>
      </c>
      <c r="BW83" s="52" t="e">
        <f t="shared" si="43"/>
        <v>#DIV/0!</v>
      </c>
      <c r="BX83" s="52" t="e">
        <f t="shared" si="43"/>
        <v>#DIV/0!</v>
      </c>
      <c r="BY83" s="52" t="e">
        <f t="shared" si="43"/>
        <v>#DIV/0!</v>
      </c>
      <c r="BZ83" s="52" t="e">
        <f t="shared" si="43"/>
        <v>#DIV/0!</v>
      </c>
      <c r="CA83" s="52" t="e">
        <f t="shared" si="43"/>
        <v>#DIV/0!</v>
      </c>
      <c r="CB83" s="52" t="e">
        <f t="shared" si="43"/>
        <v>#DIV/0!</v>
      </c>
      <c r="CC83" s="52" t="e">
        <f t="shared" si="43"/>
        <v>#DIV/0!</v>
      </c>
      <c r="CD83" s="52" t="e">
        <f t="shared" si="43"/>
        <v>#DIV/0!</v>
      </c>
      <c r="CE83" s="52" t="e">
        <f t="shared" si="43"/>
        <v>#DIV/0!</v>
      </c>
      <c r="CF83" s="52" t="e">
        <f t="shared" si="43"/>
        <v>#DIV/0!</v>
      </c>
      <c r="CG83" s="52" t="e">
        <f t="shared" si="43"/>
        <v>#DIV/0!</v>
      </c>
      <c r="CH83" s="52" t="e">
        <f t="shared" si="43"/>
        <v>#DIV/0!</v>
      </c>
      <c r="CI83" s="52" t="e">
        <f t="shared" si="43"/>
        <v>#DIV/0!</v>
      </c>
      <c r="CJ83" s="52" t="e">
        <f t="shared" si="43"/>
        <v>#DIV/0!</v>
      </c>
      <c r="CK83" s="52" t="e">
        <f t="shared" si="43"/>
        <v>#DIV/0!</v>
      </c>
    </row>
    <row r="84" spans="1:89" s="86" customFormat="1">
      <c r="A84" s="160" t="s">
        <v>605</v>
      </c>
      <c r="E84" s="86">
        <f>资产资本表!E52</f>
        <v>815342082.17999995</v>
      </c>
      <c r="F84" s="86">
        <f>资产资本表!F52</f>
        <v>752305153.73000002</v>
      </c>
      <c r="G84" s="86">
        <f>资产资本表!G52</f>
        <v>524905043.54000002</v>
      </c>
      <c r="H84" s="86">
        <f>资产资本表!H52</f>
        <v>520223481.81999999</v>
      </c>
      <c r="I84" s="86">
        <f>资产资本表!I52</f>
        <v>530026346.56</v>
      </c>
      <c r="J84" s="86">
        <f>资产资本表!J52</f>
        <v>524914809.54000002</v>
      </c>
      <c r="K84" s="86">
        <f>资产资本表!K52</f>
        <v>530954187.06</v>
      </c>
      <c r="L84" s="86">
        <f>资产资本表!L52</f>
        <v>488197977.81999999</v>
      </c>
      <c r="M84" s="86">
        <f>资产资本表!M52</f>
        <v>495341526.29000002</v>
      </c>
      <c r="N84" s="86">
        <f>资产资本表!N52</f>
        <v>502895584.88999999</v>
      </c>
      <c r="O84" s="86">
        <f>资产资本表!O52</f>
        <v>507014767.98000002</v>
      </c>
      <c r="P84" s="86">
        <f>资产资本表!P52</f>
        <v>429746459.43000001</v>
      </c>
      <c r="Q84" s="86">
        <f>资产资本表!Q52</f>
        <v>432445879.74000001</v>
      </c>
      <c r="R84" s="86">
        <f>资产资本表!R52</f>
        <v>427121260.16000003</v>
      </c>
      <c r="S84" s="86">
        <f>资产资本表!S52</f>
        <v>434578462.27999997</v>
      </c>
      <c r="T84" s="86">
        <f>资产资本表!T52</f>
        <v>439934618.01999998</v>
      </c>
      <c r="U84" s="86">
        <f>资产资本表!U52</f>
        <v>447360604.94999999</v>
      </c>
      <c r="V84" s="86">
        <f>资产资本表!V52</f>
        <v>368987688.86000001</v>
      </c>
      <c r="W84" s="86">
        <f>资产资本表!W52</f>
        <v>373320283.14999998</v>
      </c>
      <c r="X84" s="86">
        <f>资产资本表!X52</f>
        <v>380173787.20999998</v>
      </c>
      <c r="Y84" s="86">
        <f>资产资本表!Y52</f>
        <v>385006852.82999998</v>
      </c>
      <c r="Z84" s="86">
        <f>资产资本表!Z52</f>
        <v>361422262.94999999</v>
      </c>
      <c r="AA84" s="86">
        <f>资产资本表!AA52</f>
        <v>354053486.66000003</v>
      </c>
      <c r="AB84" s="86">
        <f>资产资本表!AB52</f>
        <v>330957271.04000002</v>
      </c>
      <c r="AC84" s="86">
        <f>资产资本表!AC52</f>
        <v>323011952.06</v>
      </c>
      <c r="AD84" s="86">
        <f>资产资本表!AD52</f>
        <v>221264991.80000001</v>
      </c>
      <c r="AE84" s="86">
        <f>资产资本表!AE52</f>
        <v>181481015.44999999</v>
      </c>
      <c r="AF84" s="86">
        <f>资产资本表!AF52</f>
        <v>183714584.72999999</v>
      </c>
      <c r="AG84" s="86">
        <f>资产资本表!AG52</f>
        <v>185109440.22</v>
      </c>
      <c r="AH84" s="86">
        <f>资产资本表!AH52</f>
        <v>145142431.74000001</v>
      </c>
      <c r="AI84" s="86">
        <f>资产资本表!AI52</f>
        <v>123089184.36</v>
      </c>
      <c r="AJ84" s="86">
        <f>资产资本表!AJ52</f>
        <v>97590101.459999993</v>
      </c>
      <c r="AK84" s="86">
        <f>资产资本表!AK52</f>
        <v>94362953.319999993</v>
      </c>
      <c r="AL84" s="86">
        <f>资产资本表!AL52</f>
        <v>88722090.650000006</v>
      </c>
      <c r="AM84" s="86">
        <f>资产资本表!AM52</f>
        <v>89361471.689999998</v>
      </c>
      <c r="AN84" s="86">
        <f>资产资本表!AN52</f>
        <v>93861048.629999995</v>
      </c>
      <c r="AO84" s="86">
        <f>资产资本表!AO52</f>
        <v>92933592.739999995</v>
      </c>
      <c r="AP84" s="86">
        <f>资产资本表!AP52</f>
        <v>38100674.619999997</v>
      </c>
      <c r="AQ84" s="86">
        <f>资产资本表!AQ52</f>
        <v>0</v>
      </c>
      <c r="AR84" s="86">
        <f>资产资本表!AR52</f>
        <v>0</v>
      </c>
      <c r="AS84" s="86">
        <f>资产资本表!AS52</f>
        <v>0</v>
      </c>
      <c r="AT84" s="86">
        <f>资产资本表!AT52</f>
        <v>0</v>
      </c>
      <c r="AU84" s="86">
        <f>资产资本表!AU52</f>
        <v>0</v>
      </c>
      <c r="AV84" s="86">
        <f>资产资本表!AV52</f>
        <v>0</v>
      </c>
      <c r="AW84" s="86">
        <f>资产资本表!AW52</f>
        <v>0</v>
      </c>
      <c r="AX84" s="86">
        <f>资产资本表!AX52</f>
        <v>0</v>
      </c>
      <c r="AY84" s="86">
        <f>资产资本表!AY52</f>
        <v>0</v>
      </c>
      <c r="AZ84" s="86">
        <f>资产资本表!AZ52</f>
        <v>0</v>
      </c>
      <c r="BA84" s="86">
        <f>资产资本表!BA52</f>
        <v>0</v>
      </c>
      <c r="BB84" s="86">
        <f>资产资本表!BB52</f>
        <v>0</v>
      </c>
      <c r="BC84" s="86">
        <f>资产资本表!BC52</f>
        <v>0</v>
      </c>
      <c r="BD84" s="86">
        <f>资产资本表!BD52</f>
        <v>0</v>
      </c>
      <c r="BE84" s="86">
        <f>资产资本表!BE52</f>
        <v>0</v>
      </c>
      <c r="BF84" s="86">
        <f>资产资本表!BF52</f>
        <v>0</v>
      </c>
      <c r="BG84" s="86">
        <f>资产资本表!BG52</f>
        <v>0</v>
      </c>
      <c r="BH84" s="86">
        <f>资产资本表!BH52</f>
        <v>0</v>
      </c>
      <c r="BI84" s="86">
        <f>资产资本表!BI52</f>
        <v>0</v>
      </c>
      <c r="BJ84" s="86">
        <f>资产资本表!BJ52</f>
        <v>0</v>
      </c>
      <c r="BK84" s="86">
        <f>资产资本表!BK52</f>
        <v>0</v>
      </c>
      <c r="BL84" s="86">
        <f>资产资本表!BL52</f>
        <v>0</v>
      </c>
      <c r="BM84" s="86">
        <f>资产资本表!BM52</f>
        <v>0</v>
      </c>
      <c r="BN84" s="86">
        <f>资产资本表!BN52</f>
        <v>0</v>
      </c>
      <c r="BO84" s="86">
        <f>资产资本表!BO52</f>
        <v>0</v>
      </c>
      <c r="BP84" s="86">
        <f>资产资本表!BP52</f>
        <v>0</v>
      </c>
      <c r="BQ84" s="86">
        <f>资产资本表!BQ52</f>
        <v>0</v>
      </c>
      <c r="BR84" s="86">
        <f>资产资本表!BR52</f>
        <v>0</v>
      </c>
      <c r="BS84" s="86">
        <f>资产资本表!BS52</f>
        <v>0</v>
      </c>
      <c r="BT84" s="86">
        <f>资产资本表!BT52</f>
        <v>0</v>
      </c>
      <c r="BU84" s="86">
        <f>资产资本表!BU52</f>
        <v>0</v>
      </c>
      <c r="BV84" s="86">
        <f>资产资本表!BV52</f>
        <v>0</v>
      </c>
      <c r="BW84" s="86">
        <f>资产资本表!BW52</f>
        <v>0</v>
      </c>
      <c r="BX84" s="86">
        <f>资产资本表!BX52</f>
        <v>0</v>
      </c>
      <c r="BY84" s="86">
        <f>资产资本表!BY52</f>
        <v>0</v>
      </c>
      <c r="BZ84" s="86">
        <f>资产资本表!BZ52</f>
        <v>0</v>
      </c>
      <c r="CA84" s="86">
        <f>资产资本表!CA52</f>
        <v>0</v>
      </c>
      <c r="CB84" s="86">
        <f>资产资本表!CB52</f>
        <v>0</v>
      </c>
      <c r="CC84" s="86">
        <f>资产资本表!CC52</f>
        <v>0</v>
      </c>
      <c r="CD84" s="86">
        <f>资产资本表!CD52</f>
        <v>0</v>
      </c>
      <c r="CE84" s="86">
        <f>资产资本表!CE52</f>
        <v>0</v>
      </c>
      <c r="CF84" s="86">
        <f>资产资本表!CF52</f>
        <v>0</v>
      </c>
      <c r="CG84" s="86">
        <f>资产资本表!CG52</f>
        <v>0</v>
      </c>
      <c r="CH84" s="86">
        <f>资产资本表!CH52</f>
        <v>0</v>
      </c>
      <c r="CI84" s="86">
        <f>资产资本表!CI52</f>
        <v>0</v>
      </c>
      <c r="CJ84" s="86">
        <f>资产资本表!CJ52</f>
        <v>0</v>
      </c>
      <c r="CK84" s="86">
        <f>资产资本表!CK52</f>
        <v>0</v>
      </c>
    </row>
    <row r="85" spans="1:89" s="52" customFormat="1">
      <c r="A85" s="162" t="s">
        <v>606</v>
      </c>
      <c r="E85" s="52">
        <f>E81/E84</f>
        <v>3.2087248863998039</v>
      </c>
      <c r="F85" s="52">
        <f t="shared" ref="F85:BQ85" si="44">F81/F84</f>
        <v>2.0450993653862124</v>
      </c>
      <c r="G85" s="52">
        <f t="shared" si="44"/>
        <v>1.8313597997972859</v>
      </c>
      <c r="H85" s="52">
        <f t="shared" si="44"/>
        <v>0.82920565859665873</v>
      </c>
      <c r="I85" s="52">
        <f t="shared" si="44"/>
        <v>4.3612463599077431</v>
      </c>
      <c r="J85" s="52">
        <f t="shared" si="44"/>
        <v>2.5675603783804037</v>
      </c>
      <c r="K85" s="52">
        <f t="shared" si="44"/>
        <v>1.6595581100303605</v>
      </c>
      <c r="L85" s="52">
        <f t="shared" si="44"/>
        <v>0.883103727314001</v>
      </c>
      <c r="M85" s="52">
        <f t="shared" si="44"/>
        <v>4.2245768550098761</v>
      </c>
      <c r="N85" s="52">
        <f t="shared" si="44"/>
        <v>2.5817467781587147</v>
      </c>
      <c r="O85" s="52">
        <f t="shared" si="44"/>
        <v>1.7013703517094148</v>
      </c>
      <c r="P85" s="52">
        <f t="shared" si="44"/>
        <v>1.0761527724589215</v>
      </c>
      <c r="Q85" s="52">
        <f t="shared" si="44"/>
        <v>4.5549443204414048</v>
      </c>
      <c r="R85" s="52">
        <f t="shared" si="44"/>
        <v>3.0423183792893593</v>
      </c>
      <c r="S85" s="52">
        <f t="shared" si="44"/>
        <v>1.9650976309538617</v>
      </c>
      <c r="T85" s="52">
        <f t="shared" si="44"/>
        <v>1.0279991926423939</v>
      </c>
      <c r="U85" s="52">
        <f t="shared" si="44"/>
        <v>4.166427259991571</v>
      </c>
      <c r="V85" s="52">
        <f t="shared" si="44"/>
        <v>3.402372335696902</v>
      </c>
      <c r="W85" s="52">
        <f t="shared" si="44"/>
        <v>2.1983351149989616</v>
      </c>
      <c r="X85" s="52">
        <f t="shared" si="44"/>
        <v>1.1550726535426146</v>
      </c>
      <c r="Y85" s="52">
        <f t="shared" si="44"/>
        <v>4.6154253312073443</v>
      </c>
      <c r="Z85" s="52">
        <f t="shared" si="44"/>
        <v>3.2993070299738716</v>
      </c>
      <c r="AA85" s="52">
        <f t="shared" si="44"/>
        <v>2.1422699137499861</v>
      </c>
      <c r="AB85" s="52">
        <f t="shared" si="44"/>
        <v>1.2216453584158729</v>
      </c>
      <c r="AC85" s="52">
        <f t="shared" si="44"/>
        <v>4.4995858704634708</v>
      </c>
      <c r="AD85" s="52">
        <f t="shared" si="44"/>
        <v>4.2699610394037943</v>
      </c>
      <c r="AE85" s="52">
        <f t="shared" si="44"/>
        <v>3.3479428182800599</v>
      </c>
      <c r="AF85" s="52">
        <f t="shared" si="44"/>
        <v>1.8119896755025586</v>
      </c>
      <c r="AG85" s="52">
        <f t="shared" si="44"/>
        <v>5.7657860552737183</v>
      </c>
      <c r="AH85" s="52">
        <f t="shared" si="44"/>
        <v>4.8095604497689939</v>
      </c>
      <c r="AI85" s="52">
        <f t="shared" si="44"/>
        <v>3.682070230512331</v>
      </c>
      <c r="AJ85" s="52">
        <f t="shared" si="44"/>
        <v>2.594225472690681</v>
      </c>
      <c r="AK85" s="52">
        <f t="shared" si="44"/>
        <v>8.3908501140794947</v>
      </c>
      <c r="AL85" s="52">
        <f t="shared" si="44"/>
        <v>5.8886539045955173</v>
      </c>
      <c r="AM85" s="52">
        <f t="shared" si="44"/>
        <v>3.6162681301964579</v>
      </c>
      <c r="AN85" s="52">
        <f t="shared" si="44"/>
        <v>1.9363605428749622</v>
      </c>
      <c r="AO85" s="52">
        <f t="shared" si="44"/>
        <v>7.3252709860746528</v>
      </c>
      <c r="AP85" s="52">
        <f t="shared" si="44"/>
        <v>12.292286829067177</v>
      </c>
      <c r="AQ85" s="52" t="e">
        <f t="shared" si="44"/>
        <v>#DIV/0!</v>
      </c>
      <c r="AR85" s="52" t="e">
        <f t="shared" si="44"/>
        <v>#DIV/0!</v>
      </c>
      <c r="AS85" s="52" t="e">
        <f t="shared" si="44"/>
        <v>#DIV/0!</v>
      </c>
      <c r="AT85" s="52" t="e">
        <f t="shared" si="44"/>
        <v>#DIV/0!</v>
      </c>
      <c r="AU85" s="52" t="e">
        <f t="shared" si="44"/>
        <v>#DIV/0!</v>
      </c>
      <c r="AV85" s="52" t="e">
        <f t="shared" si="44"/>
        <v>#DIV/0!</v>
      </c>
      <c r="AW85" s="52" t="e">
        <f t="shared" si="44"/>
        <v>#DIV/0!</v>
      </c>
      <c r="AX85" s="52" t="e">
        <f t="shared" si="44"/>
        <v>#DIV/0!</v>
      </c>
      <c r="AY85" s="52" t="e">
        <f t="shared" si="44"/>
        <v>#DIV/0!</v>
      </c>
      <c r="AZ85" s="52" t="e">
        <f t="shared" si="44"/>
        <v>#DIV/0!</v>
      </c>
      <c r="BA85" s="52" t="e">
        <f t="shared" si="44"/>
        <v>#DIV/0!</v>
      </c>
      <c r="BB85" s="52" t="e">
        <f t="shared" si="44"/>
        <v>#DIV/0!</v>
      </c>
      <c r="BC85" s="52" t="e">
        <f t="shared" si="44"/>
        <v>#DIV/0!</v>
      </c>
      <c r="BD85" s="52" t="e">
        <f t="shared" si="44"/>
        <v>#DIV/0!</v>
      </c>
      <c r="BE85" s="52" t="e">
        <f t="shared" si="44"/>
        <v>#DIV/0!</v>
      </c>
      <c r="BF85" s="52" t="e">
        <f t="shared" si="44"/>
        <v>#DIV/0!</v>
      </c>
      <c r="BG85" s="52" t="e">
        <f t="shared" si="44"/>
        <v>#DIV/0!</v>
      </c>
      <c r="BH85" s="52" t="e">
        <f t="shared" si="44"/>
        <v>#DIV/0!</v>
      </c>
      <c r="BI85" s="52" t="e">
        <f t="shared" si="44"/>
        <v>#DIV/0!</v>
      </c>
      <c r="BJ85" s="52" t="e">
        <f t="shared" si="44"/>
        <v>#DIV/0!</v>
      </c>
      <c r="BK85" s="52" t="e">
        <f t="shared" si="44"/>
        <v>#DIV/0!</v>
      </c>
      <c r="BL85" s="52" t="e">
        <f t="shared" si="44"/>
        <v>#DIV/0!</v>
      </c>
      <c r="BM85" s="52" t="e">
        <f t="shared" si="44"/>
        <v>#DIV/0!</v>
      </c>
      <c r="BN85" s="52" t="e">
        <f t="shared" si="44"/>
        <v>#DIV/0!</v>
      </c>
      <c r="BO85" s="52" t="e">
        <f t="shared" si="44"/>
        <v>#DIV/0!</v>
      </c>
      <c r="BP85" s="52" t="e">
        <f t="shared" si="44"/>
        <v>#DIV/0!</v>
      </c>
      <c r="BQ85" s="52" t="e">
        <f t="shared" si="44"/>
        <v>#DIV/0!</v>
      </c>
      <c r="BR85" s="52" t="e">
        <f t="shared" ref="BR85:CK85" si="45">BR81/BR84</f>
        <v>#DIV/0!</v>
      </c>
      <c r="BS85" s="52" t="e">
        <f t="shared" si="45"/>
        <v>#DIV/0!</v>
      </c>
      <c r="BT85" s="52" t="e">
        <f t="shared" si="45"/>
        <v>#DIV/0!</v>
      </c>
      <c r="BU85" s="52" t="e">
        <f t="shared" si="45"/>
        <v>#DIV/0!</v>
      </c>
      <c r="BV85" s="52" t="e">
        <f t="shared" si="45"/>
        <v>#DIV/0!</v>
      </c>
      <c r="BW85" s="52" t="e">
        <f t="shared" si="45"/>
        <v>#DIV/0!</v>
      </c>
      <c r="BX85" s="52" t="e">
        <f t="shared" si="45"/>
        <v>#DIV/0!</v>
      </c>
      <c r="BY85" s="52" t="e">
        <f t="shared" si="45"/>
        <v>#DIV/0!</v>
      </c>
      <c r="BZ85" s="52" t="e">
        <f t="shared" si="45"/>
        <v>#DIV/0!</v>
      </c>
      <c r="CA85" s="52" t="e">
        <f t="shared" si="45"/>
        <v>#DIV/0!</v>
      </c>
      <c r="CB85" s="52" t="e">
        <f t="shared" si="45"/>
        <v>#DIV/0!</v>
      </c>
      <c r="CC85" s="52" t="e">
        <f t="shared" si="45"/>
        <v>#DIV/0!</v>
      </c>
      <c r="CD85" s="52" t="e">
        <f t="shared" si="45"/>
        <v>#DIV/0!</v>
      </c>
      <c r="CE85" s="52" t="e">
        <f t="shared" si="45"/>
        <v>#DIV/0!</v>
      </c>
      <c r="CF85" s="52" t="e">
        <f t="shared" si="45"/>
        <v>#DIV/0!</v>
      </c>
      <c r="CG85" s="52" t="e">
        <f t="shared" si="45"/>
        <v>#DIV/0!</v>
      </c>
      <c r="CH85" s="52" t="e">
        <f t="shared" si="45"/>
        <v>#DIV/0!</v>
      </c>
      <c r="CI85" s="52" t="e">
        <f t="shared" si="45"/>
        <v>#DIV/0!</v>
      </c>
      <c r="CJ85" s="52" t="e">
        <f t="shared" si="45"/>
        <v>#DIV/0!</v>
      </c>
      <c r="CK85" s="52" t="e">
        <f t="shared" si="45"/>
        <v>#DIV/0!</v>
      </c>
    </row>
    <row r="86" spans="1:89" s="86" customFormat="1">
      <c r="A86" s="160" t="s">
        <v>607</v>
      </c>
      <c r="E86" s="86">
        <f>资产资本表!E53</f>
        <v>389201610.39999998</v>
      </c>
      <c r="F86" s="86">
        <f>资产资本表!F53</f>
        <v>405292752.61000001</v>
      </c>
      <c r="G86" s="86">
        <f>资产资本表!G53</f>
        <v>396515296.94</v>
      </c>
      <c r="H86" s="86">
        <f>资产资本表!H53</f>
        <v>388917745.18000001</v>
      </c>
      <c r="I86" s="86">
        <f>资产资本表!I53</f>
        <v>373980658.19999999</v>
      </c>
      <c r="J86" s="86">
        <f>资产资本表!J53</f>
        <v>256395757.41999999</v>
      </c>
      <c r="K86" s="86">
        <f>资产资本表!K53</f>
        <v>247397047.40000001</v>
      </c>
      <c r="L86" s="86">
        <f>资产资本表!L53</f>
        <v>238743564.03999999</v>
      </c>
      <c r="M86" s="86">
        <f>资产资本表!M53</f>
        <v>224244704.59</v>
      </c>
      <c r="N86" s="86">
        <f>资产资本表!N53</f>
        <v>220879459.59</v>
      </c>
      <c r="O86" s="86">
        <f>资产资本表!O53</f>
        <v>218306906.38999999</v>
      </c>
      <c r="P86" s="86">
        <f>资产资本表!P53</f>
        <v>278273642.06</v>
      </c>
      <c r="Q86" s="86">
        <f>资产资本表!Q53</f>
        <v>242053707.75999999</v>
      </c>
      <c r="R86" s="86">
        <f>资产资本表!R53</f>
        <v>207596260.99000001</v>
      </c>
      <c r="S86" s="86">
        <f>资产资本表!S53</f>
        <v>189056196.19</v>
      </c>
      <c r="T86" s="86">
        <f>资产资本表!T53</f>
        <v>156985284.19</v>
      </c>
      <c r="U86" s="86">
        <f>资产资本表!U53</f>
        <v>136921886.69</v>
      </c>
      <c r="V86" s="86">
        <f>资产资本表!V53</f>
        <v>189331616.44999999</v>
      </c>
      <c r="W86" s="86">
        <f>资产资本表!W53</f>
        <v>178064542.44999999</v>
      </c>
      <c r="X86" s="86">
        <f>资产资本表!X53</f>
        <v>159637830.02000001</v>
      </c>
      <c r="Y86" s="86">
        <f>资产资本表!Y53</f>
        <v>141588427.96000001</v>
      </c>
      <c r="Z86" s="86">
        <f>资产资本表!Z53</f>
        <v>112997842.91</v>
      </c>
      <c r="AA86" s="86">
        <f>资产资本表!AA53</f>
        <v>110211473.90000001</v>
      </c>
      <c r="AB86" s="86">
        <f>资产资本表!AB53</f>
        <v>102946258.45</v>
      </c>
      <c r="AC86" s="86">
        <f>资产资本表!AC53</f>
        <v>81276149.810000002</v>
      </c>
      <c r="AD86" s="86">
        <f>资产资本表!AD53</f>
        <v>91787975.109999999</v>
      </c>
      <c r="AE86" s="86">
        <f>资产资本表!AE53</f>
        <v>66537928.200000003</v>
      </c>
      <c r="AF86" s="86">
        <f>资产资本表!AF53</f>
        <v>50158098.979999997</v>
      </c>
      <c r="AG86" s="86">
        <f>资产资本表!AG53</f>
        <v>29529180.379999999</v>
      </c>
      <c r="AH86" s="86">
        <f>资产资本表!AH53</f>
        <v>26168678.559999999</v>
      </c>
      <c r="AI86" s="86">
        <f>资产资本表!AI53</f>
        <v>18554416.75</v>
      </c>
      <c r="AJ86" s="86">
        <f>资产资本表!AJ53</f>
        <v>28497359.23</v>
      </c>
      <c r="AK86" s="86">
        <f>资产资本表!AK53</f>
        <v>16508136.619999999</v>
      </c>
      <c r="AL86" s="86">
        <f>资产资本表!AL53</f>
        <v>6282040.3499999996</v>
      </c>
      <c r="AM86" s="86">
        <f>资产资本表!AM53</f>
        <v>1881891.24</v>
      </c>
      <c r="AN86" s="86">
        <f>资产资本表!AN53</f>
        <v>1739457.9</v>
      </c>
      <c r="AO86" s="86">
        <f>资产资本表!AO53</f>
        <v>5611323.8200000003</v>
      </c>
      <c r="AP86" s="86">
        <f>资产资本表!AP53</f>
        <v>23148816.52</v>
      </c>
      <c r="AQ86" s="86">
        <f>资产资本表!AQ53</f>
        <v>0</v>
      </c>
      <c r="AR86" s="86">
        <f>资产资本表!AR53</f>
        <v>0</v>
      </c>
      <c r="AS86" s="86">
        <f>资产资本表!AS53</f>
        <v>0</v>
      </c>
      <c r="AT86" s="86">
        <f>资产资本表!AT53</f>
        <v>0</v>
      </c>
      <c r="AU86" s="86">
        <f>资产资本表!AU53</f>
        <v>0</v>
      </c>
      <c r="AV86" s="86">
        <f>资产资本表!AV53</f>
        <v>0</v>
      </c>
      <c r="AW86" s="86">
        <f>资产资本表!AW53</f>
        <v>0</v>
      </c>
      <c r="AX86" s="86">
        <f>资产资本表!AX53</f>
        <v>0</v>
      </c>
      <c r="AY86" s="86">
        <f>资产资本表!AY53</f>
        <v>0</v>
      </c>
      <c r="AZ86" s="86">
        <f>资产资本表!AZ53</f>
        <v>0</v>
      </c>
      <c r="BA86" s="86">
        <f>资产资本表!BA53</f>
        <v>0</v>
      </c>
      <c r="BB86" s="86">
        <f>资产资本表!BB53</f>
        <v>0</v>
      </c>
      <c r="BC86" s="86">
        <f>资产资本表!BC53</f>
        <v>0</v>
      </c>
      <c r="BD86" s="86">
        <f>资产资本表!BD53</f>
        <v>0</v>
      </c>
      <c r="BE86" s="86">
        <f>资产资本表!BE53</f>
        <v>0</v>
      </c>
      <c r="BF86" s="86">
        <f>资产资本表!BF53</f>
        <v>0</v>
      </c>
      <c r="BG86" s="86">
        <f>资产资本表!BG53</f>
        <v>0</v>
      </c>
      <c r="BH86" s="86">
        <f>资产资本表!BH53</f>
        <v>0</v>
      </c>
      <c r="BI86" s="86">
        <f>资产资本表!BI53</f>
        <v>0</v>
      </c>
      <c r="BJ86" s="86">
        <f>资产资本表!BJ53</f>
        <v>0</v>
      </c>
      <c r="BK86" s="86">
        <f>资产资本表!BK53</f>
        <v>0</v>
      </c>
      <c r="BL86" s="86">
        <f>资产资本表!BL53</f>
        <v>0</v>
      </c>
      <c r="BM86" s="86">
        <f>资产资本表!BM53</f>
        <v>0</v>
      </c>
      <c r="BN86" s="86">
        <f>资产资本表!BN53</f>
        <v>0</v>
      </c>
      <c r="BO86" s="86">
        <f>资产资本表!BO53</f>
        <v>0</v>
      </c>
      <c r="BP86" s="86">
        <f>资产资本表!BP53</f>
        <v>0</v>
      </c>
      <c r="BQ86" s="86">
        <f>资产资本表!BQ53</f>
        <v>0</v>
      </c>
      <c r="BR86" s="86">
        <f>资产资本表!BR53</f>
        <v>0</v>
      </c>
      <c r="BS86" s="86">
        <f>资产资本表!BS53</f>
        <v>0</v>
      </c>
      <c r="BT86" s="86">
        <f>资产资本表!BT53</f>
        <v>0</v>
      </c>
      <c r="BU86" s="86">
        <f>资产资本表!BU53</f>
        <v>0</v>
      </c>
      <c r="BV86" s="86">
        <f>资产资本表!BV53</f>
        <v>0</v>
      </c>
      <c r="BW86" s="86">
        <f>资产资本表!BW53</f>
        <v>0</v>
      </c>
      <c r="BX86" s="86">
        <f>资产资本表!BX53</f>
        <v>0</v>
      </c>
      <c r="BY86" s="86">
        <f>资产资本表!BY53</f>
        <v>0</v>
      </c>
      <c r="BZ86" s="86">
        <f>资产资本表!BZ53</f>
        <v>0</v>
      </c>
      <c r="CA86" s="86">
        <f>资产资本表!CA53</f>
        <v>0</v>
      </c>
      <c r="CB86" s="86">
        <f>资产资本表!CB53</f>
        <v>0</v>
      </c>
      <c r="CC86" s="86">
        <f>资产资本表!CC53</f>
        <v>0</v>
      </c>
      <c r="CD86" s="86">
        <f>资产资本表!CD53</f>
        <v>0</v>
      </c>
      <c r="CE86" s="86">
        <f>资产资本表!CE53</f>
        <v>0</v>
      </c>
      <c r="CF86" s="86">
        <f>资产资本表!CF53</f>
        <v>0</v>
      </c>
      <c r="CG86" s="86">
        <f>资产资本表!CG53</f>
        <v>0</v>
      </c>
      <c r="CH86" s="86">
        <f>资产资本表!CH53</f>
        <v>0</v>
      </c>
      <c r="CI86" s="86">
        <f>资产资本表!CI53</f>
        <v>0</v>
      </c>
      <c r="CJ86" s="86">
        <f>资产资本表!CJ53</f>
        <v>0</v>
      </c>
      <c r="CK86" s="86">
        <f>资产资本表!CK53</f>
        <v>0</v>
      </c>
    </row>
    <row r="87" spans="1:89" s="52" customFormat="1">
      <c r="A87" s="162" t="s">
        <v>608</v>
      </c>
      <c r="E87" s="52">
        <f>E81/E86</f>
        <v>6.7219876796789331</v>
      </c>
      <c r="F87" s="52">
        <f t="shared" ref="F87:BQ87" si="46">F81/F86</f>
        <v>3.7961172080234205</v>
      </c>
      <c r="G87" s="52">
        <f t="shared" si="46"/>
        <v>2.4243452973151269</v>
      </c>
      <c r="H87" s="52">
        <f t="shared" si="46"/>
        <v>1.109160639251241</v>
      </c>
      <c r="I87" s="52">
        <f t="shared" si="46"/>
        <v>6.1810027441413817</v>
      </c>
      <c r="J87" s="52">
        <f t="shared" si="46"/>
        <v>5.2565240570352341</v>
      </c>
      <c r="K87" s="52">
        <f t="shared" si="46"/>
        <v>3.5616808545225993</v>
      </c>
      <c r="L87" s="52">
        <f t="shared" si="46"/>
        <v>1.8058264967836659</v>
      </c>
      <c r="M87" s="52">
        <f t="shared" si="46"/>
        <v>9.3318071930217528</v>
      </c>
      <c r="N87" s="52">
        <f t="shared" si="46"/>
        <v>5.8780887025439865</v>
      </c>
      <c r="O87" s="52">
        <f t="shared" si="46"/>
        <v>3.9514090890874085</v>
      </c>
      <c r="P87" s="52">
        <f t="shared" si="46"/>
        <v>1.6619354975426808</v>
      </c>
      <c r="Q87" s="52">
        <f t="shared" si="46"/>
        <v>8.1377266312030816</v>
      </c>
      <c r="R87" s="52">
        <f t="shared" si="46"/>
        <v>6.2594521393263172</v>
      </c>
      <c r="S87" s="52">
        <f t="shared" si="46"/>
        <v>4.51711778772777</v>
      </c>
      <c r="T87" s="52">
        <f t="shared" si="46"/>
        <v>2.8808587663072727</v>
      </c>
      <c r="U87" s="52">
        <f t="shared" si="46"/>
        <v>13.612837688469629</v>
      </c>
      <c r="V87" s="52">
        <f t="shared" si="46"/>
        <v>6.6308708937767067</v>
      </c>
      <c r="W87" s="52">
        <f t="shared" si="46"/>
        <v>4.6089079627991936</v>
      </c>
      <c r="X87" s="52">
        <f t="shared" si="46"/>
        <v>2.7507787167050841</v>
      </c>
      <c r="Y87" s="52">
        <f t="shared" si="46"/>
        <v>12.550251506020039</v>
      </c>
      <c r="Z87" s="52">
        <f t="shared" si="46"/>
        <v>10.552794480242881</v>
      </c>
      <c r="AA87" s="52">
        <f t="shared" si="46"/>
        <v>6.8820251239739569</v>
      </c>
      <c r="AB87" s="52">
        <f t="shared" si="46"/>
        <v>3.9274124197177174</v>
      </c>
      <c r="AC87" s="52">
        <f t="shared" si="46"/>
        <v>17.882490975245176</v>
      </c>
      <c r="AD87" s="52">
        <f t="shared" si="46"/>
        <v>10.293209902906638</v>
      </c>
      <c r="AE87" s="52">
        <f t="shared" si="46"/>
        <v>9.1314544766664376</v>
      </c>
      <c r="AF87" s="52">
        <f t="shared" si="46"/>
        <v>6.636793210658479</v>
      </c>
      <c r="AG87" s="52">
        <f t="shared" si="46"/>
        <v>36.143957109045914</v>
      </c>
      <c r="AH87" s="52">
        <f t="shared" si="46"/>
        <v>26.675833006983904</v>
      </c>
      <c r="AI87" s="52">
        <f t="shared" si="46"/>
        <v>24.426691905041963</v>
      </c>
      <c r="AJ87" s="52">
        <f t="shared" si="46"/>
        <v>8.8840065862481676</v>
      </c>
      <c r="AK87" s="52">
        <f t="shared" si="46"/>
        <v>47.96334170573396</v>
      </c>
      <c r="AL87" s="52">
        <f t="shared" si="46"/>
        <v>83.16624160651881</v>
      </c>
      <c r="AM87" s="52">
        <f t="shared" si="46"/>
        <v>171.71823497090085</v>
      </c>
      <c r="AN87" s="52">
        <f t="shared" si="46"/>
        <v>104.48590395892883</v>
      </c>
      <c r="AO87" s="52">
        <f t="shared" si="46"/>
        <v>121.31963372058608</v>
      </c>
      <c r="AP87" s="52">
        <f t="shared" si="46"/>
        <v>20.23189481005917</v>
      </c>
      <c r="AQ87" s="52" t="e">
        <f t="shared" si="46"/>
        <v>#DIV/0!</v>
      </c>
      <c r="AR87" s="52" t="e">
        <f t="shared" si="46"/>
        <v>#DIV/0!</v>
      </c>
      <c r="AS87" s="52" t="e">
        <f t="shared" si="46"/>
        <v>#DIV/0!</v>
      </c>
      <c r="AT87" s="52" t="e">
        <f t="shared" si="46"/>
        <v>#DIV/0!</v>
      </c>
      <c r="AU87" s="52" t="e">
        <f t="shared" si="46"/>
        <v>#DIV/0!</v>
      </c>
      <c r="AV87" s="52" t="e">
        <f t="shared" si="46"/>
        <v>#DIV/0!</v>
      </c>
      <c r="AW87" s="52" t="e">
        <f t="shared" si="46"/>
        <v>#DIV/0!</v>
      </c>
      <c r="AX87" s="52" t="e">
        <f t="shared" si="46"/>
        <v>#DIV/0!</v>
      </c>
      <c r="AY87" s="52" t="e">
        <f t="shared" si="46"/>
        <v>#DIV/0!</v>
      </c>
      <c r="AZ87" s="52" t="e">
        <f t="shared" si="46"/>
        <v>#DIV/0!</v>
      </c>
      <c r="BA87" s="52" t="e">
        <f t="shared" si="46"/>
        <v>#DIV/0!</v>
      </c>
      <c r="BB87" s="52" t="e">
        <f t="shared" si="46"/>
        <v>#DIV/0!</v>
      </c>
      <c r="BC87" s="52" t="e">
        <f t="shared" si="46"/>
        <v>#DIV/0!</v>
      </c>
      <c r="BD87" s="52" t="e">
        <f t="shared" si="46"/>
        <v>#DIV/0!</v>
      </c>
      <c r="BE87" s="52" t="e">
        <f t="shared" si="46"/>
        <v>#DIV/0!</v>
      </c>
      <c r="BF87" s="52" t="e">
        <f t="shared" si="46"/>
        <v>#DIV/0!</v>
      </c>
      <c r="BG87" s="52" t="e">
        <f t="shared" si="46"/>
        <v>#DIV/0!</v>
      </c>
      <c r="BH87" s="52" t="e">
        <f t="shared" si="46"/>
        <v>#DIV/0!</v>
      </c>
      <c r="BI87" s="52" t="e">
        <f t="shared" si="46"/>
        <v>#DIV/0!</v>
      </c>
      <c r="BJ87" s="52" t="e">
        <f t="shared" si="46"/>
        <v>#DIV/0!</v>
      </c>
      <c r="BK87" s="52" t="e">
        <f t="shared" si="46"/>
        <v>#DIV/0!</v>
      </c>
      <c r="BL87" s="52" t="e">
        <f t="shared" si="46"/>
        <v>#DIV/0!</v>
      </c>
      <c r="BM87" s="52" t="e">
        <f t="shared" si="46"/>
        <v>#DIV/0!</v>
      </c>
      <c r="BN87" s="52" t="e">
        <f t="shared" si="46"/>
        <v>#DIV/0!</v>
      </c>
      <c r="BO87" s="52" t="e">
        <f t="shared" si="46"/>
        <v>#DIV/0!</v>
      </c>
      <c r="BP87" s="52" t="e">
        <f t="shared" si="46"/>
        <v>#DIV/0!</v>
      </c>
      <c r="BQ87" s="52" t="e">
        <f t="shared" si="46"/>
        <v>#DIV/0!</v>
      </c>
      <c r="BR87" s="52" t="e">
        <f t="shared" ref="BR87:CK87" si="47">BR81/BR86</f>
        <v>#DIV/0!</v>
      </c>
      <c r="BS87" s="52" t="e">
        <f t="shared" si="47"/>
        <v>#DIV/0!</v>
      </c>
      <c r="BT87" s="52" t="e">
        <f t="shared" si="47"/>
        <v>#DIV/0!</v>
      </c>
      <c r="BU87" s="52" t="e">
        <f t="shared" si="47"/>
        <v>#DIV/0!</v>
      </c>
      <c r="BV87" s="52" t="e">
        <f t="shared" si="47"/>
        <v>#DIV/0!</v>
      </c>
      <c r="BW87" s="52" t="e">
        <f t="shared" si="47"/>
        <v>#DIV/0!</v>
      </c>
      <c r="BX87" s="52" t="e">
        <f t="shared" si="47"/>
        <v>#DIV/0!</v>
      </c>
      <c r="BY87" s="52" t="e">
        <f t="shared" si="47"/>
        <v>#DIV/0!</v>
      </c>
      <c r="BZ87" s="52" t="e">
        <f t="shared" si="47"/>
        <v>#DIV/0!</v>
      </c>
      <c r="CA87" s="52" t="e">
        <f t="shared" si="47"/>
        <v>#DIV/0!</v>
      </c>
      <c r="CB87" s="52" t="e">
        <f t="shared" si="47"/>
        <v>#DIV/0!</v>
      </c>
      <c r="CC87" s="52" t="e">
        <f t="shared" si="47"/>
        <v>#DIV/0!</v>
      </c>
      <c r="CD87" s="52" t="e">
        <f t="shared" si="47"/>
        <v>#DIV/0!</v>
      </c>
      <c r="CE87" s="52" t="e">
        <f t="shared" si="47"/>
        <v>#DIV/0!</v>
      </c>
      <c r="CF87" s="52" t="e">
        <f t="shared" si="47"/>
        <v>#DIV/0!</v>
      </c>
      <c r="CG87" s="52" t="e">
        <f t="shared" si="47"/>
        <v>#DIV/0!</v>
      </c>
      <c r="CH87" s="52" t="e">
        <f t="shared" si="47"/>
        <v>#DIV/0!</v>
      </c>
      <c r="CI87" s="52" t="e">
        <f t="shared" si="47"/>
        <v>#DIV/0!</v>
      </c>
      <c r="CJ87" s="52" t="e">
        <f t="shared" si="47"/>
        <v>#DIV/0!</v>
      </c>
      <c r="CK87" s="52" t="e">
        <f t="shared" si="47"/>
        <v>#DIV/0!</v>
      </c>
    </row>
    <row r="88" spans="1:89" s="86" customFormat="1">
      <c r="A88" s="160" t="s">
        <v>609</v>
      </c>
      <c r="E88" s="86">
        <f>资产资本表!E54</f>
        <v>0</v>
      </c>
      <c r="F88" s="86">
        <f>资产资本表!F54</f>
        <v>0</v>
      </c>
      <c r="G88" s="86">
        <f>资产资本表!G54</f>
        <v>0</v>
      </c>
      <c r="H88" s="86">
        <f>资产资本表!H54</f>
        <v>0</v>
      </c>
      <c r="I88" s="86">
        <f>资产资本表!I54</f>
        <v>0</v>
      </c>
      <c r="J88" s="86">
        <f>资产资本表!J54</f>
        <v>0</v>
      </c>
      <c r="K88" s="86">
        <f>资产资本表!K54</f>
        <v>0</v>
      </c>
      <c r="L88" s="86">
        <f>资产资本表!L54</f>
        <v>0</v>
      </c>
      <c r="M88" s="86">
        <f>资产资本表!M54</f>
        <v>0</v>
      </c>
      <c r="N88" s="86">
        <f>资产资本表!N54</f>
        <v>0</v>
      </c>
      <c r="O88" s="86">
        <f>资产资本表!O54</f>
        <v>0</v>
      </c>
      <c r="P88" s="86">
        <f>资产资本表!P54</f>
        <v>0</v>
      </c>
      <c r="Q88" s="86">
        <f>资产资本表!Q54</f>
        <v>0</v>
      </c>
      <c r="R88" s="86">
        <f>资产资本表!R54</f>
        <v>0</v>
      </c>
      <c r="S88" s="86">
        <f>资产资本表!S54</f>
        <v>0</v>
      </c>
      <c r="T88" s="86">
        <f>资产资本表!T54</f>
        <v>0</v>
      </c>
      <c r="U88" s="86">
        <f>资产资本表!U54</f>
        <v>0</v>
      </c>
      <c r="V88" s="86">
        <f>资产资本表!V54</f>
        <v>0</v>
      </c>
      <c r="W88" s="86">
        <f>资产资本表!W54</f>
        <v>0</v>
      </c>
      <c r="X88" s="86">
        <f>资产资本表!X54</f>
        <v>0</v>
      </c>
      <c r="Y88" s="86">
        <f>资产资本表!Y54</f>
        <v>0</v>
      </c>
      <c r="Z88" s="86">
        <f>资产资本表!Z54</f>
        <v>0</v>
      </c>
      <c r="AA88" s="86">
        <f>资产资本表!AA54</f>
        <v>0</v>
      </c>
      <c r="AB88" s="86">
        <f>资产资本表!AB54</f>
        <v>0</v>
      </c>
      <c r="AC88" s="86">
        <f>资产资本表!AC54</f>
        <v>0</v>
      </c>
      <c r="AD88" s="86">
        <f>资产资本表!AD54</f>
        <v>0</v>
      </c>
      <c r="AE88" s="86">
        <f>资产资本表!AE54</f>
        <v>0</v>
      </c>
      <c r="AF88" s="86">
        <f>资产资本表!AF54</f>
        <v>0</v>
      </c>
      <c r="AG88" s="86">
        <f>资产资本表!AG54</f>
        <v>0</v>
      </c>
      <c r="AH88" s="86">
        <f>资产资本表!AH54</f>
        <v>0</v>
      </c>
      <c r="AI88" s="86">
        <f>资产资本表!AI54</f>
        <v>0</v>
      </c>
      <c r="AJ88" s="86">
        <f>资产资本表!AJ54</f>
        <v>0</v>
      </c>
      <c r="AK88" s="86">
        <f>资产资本表!AK54</f>
        <v>0</v>
      </c>
      <c r="AL88" s="86">
        <f>资产资本表!AL54</f>
        <v>0</v>
      </c>
      <c r="AM88" s="86">
        <f>资产资本表!AM54</f>
        <v>0</v>
      </c>
      <c r="AN88" s="86">
        <f>资产资本表!AN54</f>
        <v>0</v>
      </c>
      <c r="AO88" s="86">
        <f>资产资本表!AO54</f>
        <v>0</v>
      </c>
      <c r="AP88" s="86">
        <f>资产资本表!AP54</f>
        <v>0</v>
      </c>
      <c r="AQ88" s="86">
        <f>资产资本表!AQ54</f>
        <v>0</v>
      </c>
      <c r="AR88" s="86">
        <f>资产资本表!AR54</f>
        <v>0</v>
      </c>
      <c r="AS88" s="86">
        <f>资产资本表!AS54</f>
        <v>0</v>
      </c>
      <c r="AT88" s="86">
        <f>资产资本表!AT54</f>
        <v>0</v>
      </c>
      <c r="AU88" s="86">
        <f>资产资本表!AU54</f>
        <v>0</v>
      </c>
      <c r="AV88" s="86">
        <f>资产资本表!AV54</f>
        <v>0</v>
      </c>
      <c r="AW88" s="86">
        <f>资产资本表!AW54</f>
        <v>0</v>
      </c>
      <c r="AX88" s="86">
        <f>资产资本表!AX54</f>
        <v>0</v>
      </c>
      <c r="AY88" s="86">
        <f>资产资本表!AY54</f>
        <v>0</v>
      </c>
      <c r="AZ88" s="86">
        <f>资产资本表!AZ54</f>
        <v>0</v>
      </c>
      <c r="BA88" s="86">
        <f>资产资本表!BA54</f>
        <v>0</v>
      </c>
      <c r="BB88" s="86">
        <f>资产资本表!BB54</f>
        <v>0</v>
      </c>
      <c r="BC88" s="86">
        <f>资产资本表!BC54</f>
        <v>0</v>
      </c>
      <c r="BD88" s="86">
        <f>资产资本表!BD54</f>
        <v>0</v>
      </c>
      <c r="BE88" s="86">
        <f>资产资本表!BE54</f>
        <v>0</v>
      </c>
      <c r="BF88" s="86">
        <f>资产资本表!BF54</f>
        <v>0</v>
      </c>
      <c r="BG88" s="86">
        <f>资产资本表!BG54</f>
        <v>0</v>
      </c>
      <c r="BH88" s="86">
        <f>资产资本表!BH54</f>
        <v>0</v>
      </c>
      <c r="BI88" s="86">
        <f>资产资本表!BI54</f>
        <v>0</v>
      </c>
      <c r="BJ88" s="86">
        <f>资产资本表!BJ54</f>
        <v>0</v>
      </c>
      <c r="BK88" s="86">
        <f>资产资本表!BK54</f>
        <v>0</v>
      </c>
      <c r="BL88" s="86">
        <f>资产资本表!BL54</f>
        <v>0</v>
      </c>
      <c r="BM88" s="86">
        <f>资产资本表!BM54</f>
        <v>0</v>
      </c>
      <c r="BN88" s="86">
        <f>资产资本表!BN54</f>
        <v>0</v>
      </c>
      <c r="BO88" s="86">
        <f>资产资本表!BO54</f>
        <v>0</v>
      </c>
      <c r="BP88" s="86">
        <f>资产资本表!BP54</f>
        <v>0</v>
      </c>
      <c r="BQ88" s="86">
        <f>资产资本表!BQ54</f>
        <v>0</v>
      </c>
      <c r="BR88" s="86">
        <f>资产资本表!BR54</f>
        <v>0</v>
      </c>
      <c r="BS88" s="86">
        <f>资产资本表!BS54</f>
        <v>0</v>
      </c>
      <c r="BT88" s="86">
        <f>资产资本表!BT54</f>
        <v>0</v>
      </c>
      <c r="BU88" s="86">
        <f>资产资本表!BU54</f>
        <v>0</v>
      </c>
      <c r="BV88" s="86">
        <f>资产资本表!BV54</f>
        <v>0</v>
      </c>
      <c r="BW88" s="86">
        <f>资产资本表!BW54</f>
        <v>0</v>
      </c>
      <c r="BX88" s="86">
        <f>资产资本表!BX54</f>
        <v>0</v>
      </c>
      <c r="BY88" s="86">
        <f>资产资本表!BY54</f>
        <v>0</v>
      </c>
      <c r="BZ88" s="86">
        <f>资产资本表!BZ54</f>
        <v>0</v>
      </c>
      <c r="CA88" s="86">
        <f>资产资本表!CA54</f>
        <v>0</v>
      </c>
      <c r="CB88" s="86">
        <f>资产资本表!CB54</f>
        <v>0</v>
      </c>
      <c r="CC88" s="86">
        <f>资产资本表!CC54</f>
        <v>0</v>
      </c>
      <c r="CD88" s="86">
        <f>资产资本表!CD54</f>
        <v>0</v>
      </c>
      <c r="CE88" s="86">
        <f>资产资本表!CE54</f>
        <v>0</v>
      </c>
      <c r="CF88" s="86">
        <f>资产资本表!CF54</f>
        <v>0</v>
      </c>
      <c r="CG88" s="86">
        <f>资产资本表!CG54</f>
        <v>0</v>
      </c>
      <c r="CH88" s="86">
        <f>资产资本表!CH54</f>
        <v>0</v>
      </c>
      <c r="CI88" s="86">
        <f>资产资本表!CI54</f>
        <v>0</v>
      </c>
      <c r="CJ88" s="86">
        <f>资产资本表!CJ54</f>
        <v>0</v>
      </c>
      <c r="CK88" s="86">
        <f>资产资本表!CK54</f>
        <v>0</v>
      </c>
    </row>
    <row r="89" spans="1:89" s="86" customFormat="1">
      <c r="A89" s="160" t="s">
        <v>610</v>
      </c>
      <c r="E89" s="86">
        <f>资产资本表!E55</f>
        <v>0</v>
      </c>
      <c r="F89" s="86">
        <f>资产资本表!F55</f>
        <v>0</v>
      </c>
      <c r="G89" s="86">
        <f>资产资本表!G55</f>
        <v>0</v>
      </c>
      <c r="H89" s="86">
        <f>资产资本表!H55</f>
        <v>0</v>
      </c>
      <c r="I89" s="86">
        <f>资产资本表!I55</f>
        <v>0</v>
      </c>
      <c r="J89" s="86">
        <f>资产资本表!J55</f>
        <v>0</v>
      </c>
      <c r="K89" s="86">
        <f>资产资本表!K55</f>
        <v>0</v>
      </c>
      <c r="L89" s="86">
        <f>资产资本表!L55</f>
        <v>0</v>
      </c>
      <c r="M89" s="86">
        <f>资产资本表!M55</f>
        <v>0</v>
      </c>
      <c r="N89" s="86">
        <f>资产资本表!N55</f>
        <v>0</v>
      </c>
      <c r="O89" s="86">
        <f>资产资本表!O55</f>
        <v>0</v>
      </c>
      <c r="P89" s="86">
        <f>资产资本表!P55</f>
        <v>0</v>
      </c>
      <c r="Q89" s="86">
        <f>资产资本表!Q55</f>
        <v>0</v>
      </c>
      <c r="R89" s="86">
        <f>资产资本表!R55</f>
        <v>0</v>
      </c>
      <c r="S89" s="86">
        <f>资产资本表!S55</f>
        <v>0</v>
      </c>
      <c r="T89" s="86">
        <f>资产资本表!T55</f>
        <v>0</v>
      </c>
      <c r="U89" s="86">
        <f>资产资本表!U55</f>
        <v>0</v>
      </c>
      <c r="V89" s="86">
        <f>资产资本表!V55</f>
        <v>0</v>
      </c>
      <c r="W89" s="86">
        <f>资产资本表!W55</f>
        <v>0</v>
      </c>
      <c r="X89" s="86">
        <f>资产资本表!X55</f>
        <v>0</v>
      </c>
      <c r="Y89" s="86">
        <f>资产资本表!Y55</f>
        <v>0</v>
      </c>
      <c r="Z89" s="86">
        <f>资产资本表!Z55</f>
        <v>0</v>
      </c>
      <c r="AA89" s="86">
        <f>资产资本表!AA55</f>
        <v>0</v>
      </c>
      <c r="AB89" s="86">
        <f>资产资本表!AB55</f>
        <v>0</v>
      </c>
      <c r="AC89" s="86">
        <f>资产资本表!AC55</f>
        <v>0</v>
      </c>
      <c r="AD89" s="86">
        <f>资产资本表!AD55</f>
        <v>0</v>
      </c>
      <c r="AE89" s="86">
        <f>资产资本表!AE55</f>
        <v>0</v>
      </c>
      <c r="AF89" s="86">
        <f>资产资本表!AF55</f>
        <v>0</v>
      </c>
      <c r="AG89" s="86">
        <f>资产资本表!AG55</f>
        <v>0</v>
      </c>
      <c r="AH89" s="86">
        <f>资产资本表!AH55</f>
        <v>0</v>
      </c>
      <c r="AI89" s="86">
        <f>资产资本表!AI55</f>
        <v>0</v>
      </c>
      <c r="AJ89" s="86">
        <f>资产资本表!AJ55</f>
        <v>0</v>
      </c>
      <c r="AK89" s="86">
        <f>资产资本表!AK55</f>
        <v>0</v>
      </c>
      <c r="AL89" s="86">
        <f>资产资本表!AL55</f>
        <v>0</v>
      </c>
      <c r="AM89" s="86">
        <f>资产资本表!AM55</f>
        <v>0</v>
      </c>
      <c r="AN89" s="86">
        <f>资产资本表!AN55</f>
        <v>0</v>
      </c>
      <c r="AO89" s="86">
        <f>资产资本表!AO55</f>
        <v>0</v>
      </c>
      <c r="AP89" s="86">
        <f>资产资本表!AP55</f>
        <v>0</v>
      </c>
      <c r="AQ89" s="86">
        <f>资产资本表!AQ55</f>
        <v>0</v>
      </c>
      <c r="AR89" s="86">
        <f>资产资本表!AR55</f>
        <v>0</v>
      </c>
      <c r="AS89" s="86">
        <f>资产资本表!AS55</f>
        <v>0</v>
      </c>
      <c r="AT89" s="86">
        <f>资产资本表!AT55</f>
        <v>0</v>
      </c>
      <c r="AU89" s="86">
        <f>资产资本表!AU55</f>
        <v>0</v>
      </c>
      <c r="AV89" s="86">
        <f>资产资本表!AV55</f>
        <v>0</v>
      </c>
      <c r="AW89" s="86">
        <f>资产资本表!AW55</f>
        <v>0</v>
      </c>
      <c r="AX89" s="86">
        <f>资产资本表!AX55</f>
        <v>0</v>
      </c>
      <c r="AY89" s="86">
        <f>资产资本表!AY55</f>
        <v>0</v>
      </c>
      <c r="AZ89" s="86">
        <f>资产资本表!AZ55</f>
        <v>0</v>
      </c>
      <c r="BA89" s="86">
        <f>资产资本表!BA55</f>
        <v>0</v>
      </c>
      <c r="BB89" s="86">
        <f>资产资本表!BB55</f>
        <v>0</v>
      </c>
      <c r="BC89" s="86">
        <f>资产资本表!BC55</f>
        <v>0</v>
      </c>
      <c r="BD89" s="86">
        <f>资产资本表!BD55</f>
        <v>0</v>
      </c>
      <c r="BE89" s="86">
        <f>资产资本表!BE55</f>
        <v>0</v>
      </c>
      <c r="BF89" s="86">
        <f>资产资本表!BF55</f>
        <v>0</v>
      </c>
      <c r="BG89" s="86">
        <f>资产资本表!BG55</f>
        <v>0</v>
      </c>
      <c r="BH89" s="86">
        <f>资产资本表!BH55</f>
        <v>0</v>
      </c>
      <c r="BI89" s="86">
        <f>资产资本表!BI55</f>
        <v>0</v>
      </c>
      <c r="BJ89" s="86">
        <f>资产资本表!BJ55</f>
        <v>0</v>
      </c>
      <c r="BK89" s="86">
        <f>资产资本表!BK55</f>
        <v>0</v>
      </c>
      <c r="BL89" s="86">
        <f>资产资本表!BL55</f>
        <v>0</v>
      </c>
      <c r="BM89" s="86">
        <f>资产资本表!BM55</f>
        <v>0</v>
      </c>
      <c r="BN89" s="86">
        <f>资产资本表!BN55</f>
        <v>0</v>
      </c>
      <c r="BO89" s="86">
        <f>资产资本表!BO55</f>
        <v>0</v>
      </c>
      <c r="BP89" s="86">
        <f>资产资本表!BP55</f>
        <v>0</v>
      </c>
      <c r="BQ89" s="86">
        <f>资产资本表!BQ55</f>
        <v>0</v>
      </c>
      <c r="BR89" s="86">
        <f>资产资本表!BR55</f>
        <v>0</v>
      </c>
      <c r="BS89" s="86">
        <f>资产资本表!BS55</f>
        <v>0</v>
      </c>
      <c r="BT89" s="86">
        <f>资产资本表!BT55</f>
        <v>0</v>
      </c>
      <c r="BU89" s="86">
        <f>资产资本表!BU55</f>
        <v>0</v>
      </c>
      <c r="BV89" s="86">
        <f>资产资本表!BV55</f>
        <v>0</v>
      </c>
      <c r="BW89" s="86">
        <f>资产资本表!BW55</f>
        <v>0</v>
      </c>
      <c r="BX89" s="86">
        <f>资产资本表!BX55</f>
        <v>0</v>
      </c>
      <c r="BY89" s="86">
        <f>资产资本表!BY55</f>
        <v>0</v>
      </c>
      <c r="BZ89" s="86">
        <f>资产资本表!BZ55</f>
        <v>0</v>
      </c>
      <c r="CA89" s="86">
        <f>资产资本表!CA55</f>
        <v>0</v>
      </c>
      <c r="CB89" s="86">
        <f>资产资本表!CB55</f>
        <v>0</v>
      </c>
      <c r="CC89" s="86">
        <f>资产资本表!CC55</f>
        <v>0</v>
      </c>
      <c r="CD89" s="86">
        <f>资产资本表!CD55</f>
        <v>0</v>
      </c>
      <c r="CE89" s="86">
        <f>资产资本表!CE55</f>
        <v>0</v>
      </c>
      <c r="CF89" s="86">
        <f>资产资本表!CF55</f>
        <v>0</v>
      </c>
      <c r="CG89" s="86">
        <f>资产资本表!CG55</f>
        <v>0</v>
      </c>
      <c r="CH89" s="86">
        <f>资产资本表!CH55</f>
        <v>0</v>
      </c>
      <c r="CI89" s="86">
        <f>资产资本表!CI55</f>
        <v>0</v>
      </c>
      <c r="CJ89" s="86">
        <f>资产资本表!CJ55</f>
        <v>0</v>
      </c>
      <c r="CK89" s="86">
        <f>资产资本表!CK55</f>
        <v>0</v>
      </c>
    </row>
    <row r="90" spans="1:89" s="86" customFormat="1">
      <c r="A90" s="160" t="s">
        <v>611</v>
      </c>
      <c r="E90" s="86">
        <f>资产资本表!E56</f>
        <v>0</v>
      </c>
      <c r="F90" s="86">
        <f>资产资本表!F56</f>
        <v>0</v>
      </c>
      <c r="G90" s="86">
        <f>资产资本表!G56</f>
        <v>0</v>
      </c>
      <c r="H90" s="86">
        <f>资产资本表!H56</f>
        <v>0</v>
      </c>
      <c r="I90" s="86">
        <f>资产资本表!I56</f>
        <v>0</v>
      </c>
      <c r="J90" s="86">
        <f>资产资本表!J56</f>
        <v>0</v>
      </c>
      <c r="K90" s="86">
        <f>资产资本表!K56</f>
        <v>0</v>
      </c>
      <c r="L90" s="86">
        <f>资产资本表!L56</f>
        <v>0</v>
      </c>
      <c r="M90" s="86">
        <f>资产资本表!M56</f>
        <v>0</v>
      </c>
      <c r="N90" s="86">
        <f>资产资本表!N56</f>
        <v>0</v>
      </c>
      <c r="O90" s="86">
        <f>资产资本表!O56</f>
        <v>0</v>
      </c>
      <c r="P90" s="86">
        <f>资产资本表!P56</f>
        <v>0</v>
      </c>
      <c r="Q90" s="86">
        <f>资产资本表!Q56</f>
        <v>0</v>
      </c>
      <c r="R90" s="86">
        <f>资产资本表!R56</f>
        <v>0</v>
      </c>
      <c r="S90" s="86">
        <f>资产资本表!S56</f>
        <v>0</v>
      </c>
      <c r="T90" s="86">
        <f>资产资本表!T56</f>
        <v>0</v>
      </c>
      <c r="U90" s="86">
        <f>资产资本表!U56</f>
        <v>0</v>
      </c>
      <c r="V90" s="86">
        <f>资产资本表!V56</f>
        <v>0</v>
      </c>
      <c r="W90" s="86">
        <f>资产资本表!W56</f>
        <v>0</v>
      </c>
      <c r="X90" s="86">
        <f>资产资本表!X56</f>
        <v>0</v>
      </c>
      <c r="Y90" s="86">
        <f>资产资本表!Y56</f>
        <v>0</v>
      </c>
      <c r="Z90" s="86">
        <f>资产资本表!Z56</f>
        <v>0</v>
      </c>
      <c r="AA90" s="86">
        <f>资产资本表!AA56</f>
        <v>0</v>
      </c>
      <c r="AB90" s="86">
        <f>资产资本表!AB56</f>
        <v>0</v>
      </c>
      <c r="AC90" s="86">
        <f>资产资本表!AC56</f>
        <v>0</v>
      </c>
      <c r="AD90" s="86">
        <f>资产资本表!AD56</f>
        <v>0</v>
      </c>
      <c r="AE90" s="86">
        <f>资产资本表!AE56</f>
        <v>0</v>
      </c>
      <c r="AF90" s="86">
        <f>资产资本表!AF56</f>
        <v>0</v>
      </c>
      <c r="AG90" s="86">
        <f>资产资本表!AG56</f>
        <v>0</v>
      </c>
      <c r="AH90" s="86">
        <f>资产资本表!AH56</f>
        <v>0</v>
      </c>
      <c r="AI90" s="86">
        <f>资产资本表!AI56</f>
        <v>0</v>
      </c>
      <c r="AJ90" s="86">
        <f>资产资本表!AJ56</f>
        <v>0</v>
      </c>
      <c r="AK90" s="86">
        <f>资产资本表!AK56</f>
        <v>0</v>
      </c>
      <c r="AL90" s="86">
        <f>资产资本表!AL56</f>
        <v>0</v>
      </c>
      <c r="AM90" s="86">
        <f>资产资本表!AM56</f>
        <v>0</v>
      </c>
      <c r="AN90" s="86">
        <f>资产资本表!AN56</f>
        <v>0</v>
      </c>
      <c r="AO90" s="86">
        <f>资产资本表!AO56</f>
        <v>0</v>
      </c>
      <c r="AP90" s="86">
        <f>资产资本表!AP56</f>
        <v>0</v>
      </c>
      <c r="AQ90" s="86">
        <f>资产资本表!AQ56</f>
        <v>0</v>
      </c>
      <c r="AR90" s="86">
        <f>资产资本表!AR56</f>
        <v>0</v>
      </c>
      <c r="AS90" s="86">
        <f>资产资本表!AS56</f>
        <v>0</v>
      </c>
      <c r="AT90" s="86">
        <f>资产资本表!AT56</f>
        <v>0</v>
      </c>
      <c r="AU90" s="86">
        <f>资产资本表!AU56</f>
        <v>0</v>
      </c>
      <c r="AV90" s="86">
        <f>资产资本表!AV56</f>
        <v>0</v>
      </c>
      <c r="AW90" s="86">
        <f>资产资本表!AW56</f>
        <v>0</v>
      </c>
      <c r="AX90" s="86">
        <f>资产资本表!AX56</f>
        <v>0</v>
      </c>
      <c r="AY90" s="86">
        <f>资产资本表!AY56</f>
        <v>0</v>
      </c>
      <c r="AZ90" s="86">
        <f>资产资本表!AZ56</f>
        <v>0</v>
      </c>
      <c r="BA90" s="86">
        <f>资产资本表!BA56</f>
        <v>0</v>
      </c>
      <c r="BB90" s="86">
        <f>资产资本表!BB56</f>
        <v>0</v>
      </c>
      <c r="BC90" s="86">
        <f>资产资本表!BC56</f>
        <v>0</v>
      </c>
      <c r="BD90" s="86">
        <f>资产资本表!BD56</f>
        <v>0</v>
      </c>
      <c r="BE90" s="86">
        <f>资产资本表!BE56</f>
        <v>0</v>
      </c>
      <c r="BF90" s="86">
        <f>资产资本表!BF56</f>
        <v>0</v>
      </c>
      <c r="BG90" s="86">
        <f>资产资本表!BG56</f>
        <v>0</v>
      </c>
      <c r="BH90" s="86">
        <f>资产资本表!BH56</f>
        <v>0</v>
      </c>
      <c r="BI90" s="86">
        <f>资产资本表!BI56</f>
        <v>0</v>
      </c>
      <c r="BJ90" s="86">
        <f>资产资本表!BJ56</f>
        <v>0</v>
      </c>
      <c r="BK90" s="86">
        <f>资产资本表!BK56</f>
        <v>0</v>
      </c>
      <c r="BL90" s="86">
        <f>资产资本表!BL56</f>
        <v>0</v>
      </c>
      <c r="BM90" s="86">
        <f>资产资本表!BM56</f>
        <v>0</v>
      </c>
      <c r="BN90" s="86">
        <f>资产资本表!BN56</f>
        <v>0</v>
      </c>
      <c r="BO90" s="86">
        <f>资产资本表!BO56</f>
        <v>0</v>
      </c>
      <c r="BP90" s="86">
        <f>资产资本表!BP56</f>
        <v>0</v>
      </c>
      <c r="BQ90" s="86">
        <f>资产资本表!BQ56</f>
        <v>0</v>
      </c>
      <c r="BR90" s="86">
        <f>资产资本表!BR56</f>
        <v>0</v>
      </c>
      <c r="BS90" s="86">
        <f>资产资本表!BS56</f>
        <v>0</v>
      </c>
      <c r="BT90" s="86">
        <f>资产资本表!BT56</f>
        <v>0</v>
      </c>
      <c r="BU90" s="86">
        <f>资产资本表!BU56</f>
        <v>0</v>
      </c>
      <c r="BV90" s="86">
        <f>资产资本表!BV56</f>
        <v>0</v>
      </c>
      <c r="BW90" s="86">
        <f>资产资本表!BW56</f>
        <v>0</v>
      </c>
      <c r="BX90" s="86">
        <f>资产资本表!BX56</f>
        <v>0</v>
      </c>
      <c r="BY90" s="86">
        <f>资产资本表!BY56</f>
        <v>0</v>
      </c>
      <c r="BZ90" s="86">
        <f>资产资本表!BZ56</f>
        <v>0</v>
      </c>
      <c r="CA90" s="86">
        <f>资产资本表!CA56</f>
        <v>0</v>
      </c>
      <c r="CB90" s="86">
        <f>资产资本表!CB56</f>
        <v>0</v>
      </c>
      <c r="CC90" s="86">
        <f>资产资本表!CC56</f>
        <v>0</v>
      </c>
      <c r="CD90" s="86">
        <f>资产资本表!CD56</f>
        <v>0</v>
      </c>
      <c r="CE90" s="86">
        <f>资产资本表!CE56</f>
        <v>0</v>
      </c>
      <c r="CF90" s="86">
        <f>资产资本表!CF56</f>
        <v>0</v>
      </c>
      <c r="CG90" s="86">
        <f>资产资本表!CG56</f>
        <v>0</v>
      </c>
      <c r="CH90" s="86">
        <f>资产资本表!CH56</f>
        <v>0</v>
      </c>
      <c r="CI90" s="86">
        <f>资产资本表!CI56</f>
        <v>0</v>
      </c>
      <c r="CJ90" s="86">
        <f>资产资本表!CJ56</f>
        <v>0</v>
      </c>
      <c r="CK90" s="86">
        <f>资产资本表!CK56</f>
        <v>0</v>
      </c>
    </row>
    <row r="91" spans="1:89" s="86" customFormat="1">
      <c r="A91" s="160" t="s">
        <v>612</v>
      </c>
      <c r="E91" s="86">
        <f>资产资本表!E57</f>
        <v>0</v>
      </c>
      <c r="F91" s="86">
        <f>资产资本表!F57</f>
        <v>0</v>
      </c>
      <c r="G91" s="86">
        <f>资产资本表!G57</f>
        <v>0</v>
      </c>
      <c r="H91" s="86">
        <f>资产资本表!H57</f>
        <v>0</v>
      </c>
      <c r="I91" s="86">
        <f>资产资本表!I57</f>
        <v>0</v>
      </c>
      <c r="J91" s="86">
        <f>资产资本表!J57</f>
        <v>0</v>
      </c>
      <c r="K91" s="86">
        <f>资产资本表!K57</f>
        <v>0</v>
      </c>
      <c r="L91" s="86">
        <f>资产资本表!L57</f>
        <v>0</v>
      </c>
      <c r="M91" s="86">
        <f>资产资本表!M57</f>
        <v>0</v>
      </c>
      <c r="N91" s="86">
        <f>资产资本表!N57</f>
        <v>0</v>
      </c>
      <c r="O91" s="86">
        <f>资产资本表!O57</f>
        <v>0</v>
      </c>
      <c r="P91" s="86">
        <f>资产资本表!P57</f>
        <v>0</v>
      </c>
      <c r="Q91" s="86">
        <f>资产资本表!Q57</f>
        <v>0</v>
      </c>
      <c r="R91" s="86">
        <f>资产资本表!R57</f>
        <v>0</v>
      </c>
      <c r="S91" s="86">
        <f>资产资本表!S57</f>
        <v>0</v>
      </c>
      <c r="T91" s="86">
        <f>资产资本表!T57</f>
        <v>0</v>
      </c>
      <c r="U91" s="86">
        <f>资产资本表!U57</f>
        <v>0</v>
      </c>
      <c r="V91" s="86">
        <f>资产资本表!V57</f>
        <v>0</v>
      </c>
      <c r="W91" s="86">
        <f>资产资本表!W57</f>
        <v>0</v>
      </c>
      <c r="X91" s="86">
        <f>资产资本表!X57</f>
        <v>0</v>
      </c>
      <c r="Y91" s="86">
        <f>资产资本表!Y57</f>
        <v>0</v>
      </c>
      <c r="Z91" s="86">
        <f>资产资本表!Z57</f>
        <v>0</v>
      </c>
      <c r="AA91" s="86">
        <f>资产资本表!AA57</f>
        <v>0</v>
      </c>
      <c r="AB91" s="86">
        <f>资产资本表!AB57</f>
        <v>0</v>
      </c>
      <c r="AC91" s="86">
        <f>资产资本表!AC57</f>
        <v>0</v>
      </c>
      <c r="AD91" s="86">
        <f>资产资本表!AD57</f>
        <v>0</v>
      </c>
      <c r="AE91" s="86">
        <f>资产资本表!AE57</f>
        <v>0</v>
      </c>
      <c r="AF91" s="86">
        <f>资产资本表!AF57</f>
        <v>0</v>
      </c>
      <c r="AG91" s="86">
        <f>资产资本表!AG57</f>
        <v>0</v>
      </c>
      <c r="AH91" s="86">
        <f>资产资本表!AH57</f>
        <v>0</v>
      </c>
      <c r="AI91" s="86">
        <f>资产资本表!AI57</f>
        <v>0</v>
      </c>
      <c r="AJ91" s="86">
        <f>资产资本表!AJ57</f>
        <v>0</v>
      </c>
      <c r="AK91" s="86">
        <f>资产资本表!AK57</f>
        <v>0</v>
      </c>
      <c r="AL91" s="86">
        <f>资产资本表!AL57</f>
        <v>0</v>
      </c>
      <c r="AM91" s="86">
        <f>资产资本表!AM57</f>
        <v>0</v>
      </c>
      <c r="AN91" s="86">
        <f>资产资本表!AN57</f>
        <v>0</v>
      </c>
      <c r="AO91" s="86">
        <f>资产资本表!AO57</f>
        <v>0</v>
      </c>
      <c r="AP91" s="86">
        <f>资产资本表!AP57</f>
        <v>0</v>
      </c>
      <c r="AQ91" s="86">
        <f>资产资本表!AQ57</f>
        <v>0</v>
      </c>
      <c r="AR91" s="86">
        <f>资产资本表!AR57</f>
        <v>0</v>
      </c>
      <c r="AS91" s="86">
        <f>资产资本表!AS57</f>
        <v>0</v>
      </c>
      <c r="AT91" s="86">
        <f>资产资本表!AT57</f>
        <v>0</v>
      </c>
      <c r="AU91" s="86">
        <f>资产资本表!AU57</f>
        <v>0</v>
      </c>
      <c r="AV91" s="86">
        <f>资产资本表!AV57</f>
        <v>0</v>
      </c>
      <c r="AW91" s="86">
        <f>资产资本表!AW57</f>
        <v>0</v>
      </c>
      <c r="AX91" s="86">
        <f>资产资本表!AX57</f>
        <v>0</v>
      </c>
      <c r="AY91" s="86">
        <f>资产资本表!AY57</f>
        <v>0</v>
      </c>
      <c r="AZ91" s="86">
        <f>资产资本表!AZ57</f>
        <v>0</v>
      </c>
      <c r="BA91" s="86">
        <f>资产资本表!BA57</f>
        <v>0</v>
      </c>
      <c r="BB91" s="86">
        <f>资产资本表!BB57</f>
        <v>0</v>
      </c>
      <c r="BC91" s="86">
        <f>资产资本表!BC57</f>
        <v>0</v>
      </c>
      <c r="BD91" s="86">
        <f>资产资本表!BD57</f>
        <v>0</v>
      </c>
      <c r="BE91" s="86">
        <f>资产资本表!BE57</f>
        <v>0</v>
      </c>
      <c r="BF91" s="86">
        <f>资产资本表!BF57</f>
        <v>0</v>
      </c>
      <c r="BG91" s="86">
        <f>资产资本表!BG57</f>
        <v>0</v>
      </c>
      <c r="BH91" s="86">
        <f>资产资本表!BH57</f>
        <v>0</v>
      </c>
      <c r="BI91" s="86">
        <f>资产资本表!BI57</f>
        <v>0</v>
      </c>
      <c r="BJ91" s="86">
        <f>资产资本表!BJ57</f>
        <v>0</v>
      </c>
      <c r="BK91" s="86">
        <f>资产资本表!BK57</f>
        <v>0</v>
      </c>
      <c r="BL91" s="86">
        <f>资产资本表!BL57</f>
        <v>0</v>
      </c>
      <c r="BM91" s="86">
        <f>资产资本表!BM57</f>
        <v>0</v>
      </c>
      <c r="BN91" s="86">
        <f>资产资本表!BN57</f>
        <v>0</v>
      </c>
      <c r="BO91" s="86">
        <f>资产资本表!BO57</f>
        <v>0</v>
      </c>
      <c r="BP91" s="86">
        <f>资产资本表!BP57</f>
        <v>0</v>
      </c>
      <c r="BQ91" s="86">
        <f>资产资本表!BQ57</f>
        <v>0</v>
      </c>
      <c r="BR91" s="86">
        <f>资产资本表!BR57</f>
        <v>0</v>
      </c>
      <c r="BS91" s="86">
        <f>资产资本表!BS57</f>
        <v>0</v>
      </c>
      <c r="BT91" s="86">
        <f>资产资本表!BT57</f>
        <v>0</v>
      </c>
      <c r="BU91" s="86">
        <f>资产资本表!BU57</f>
        <v>0</v>
      </c>
      <c r="BV91" s="86">
        <f>资产资本表!BV57</f>
        <v>0</v>
      </c>
      <c r="BW91" s="86">
        <f>资产资本表!BW57</f>
        <v>0</v>
      </c>
      <c r="BX91" s="86">
        <f>资产资本表!BX57</f>
        <v>0</v>
      </c>
      <c r="BY91" s="86">
        <f>资产资本表!BY57</f>
        <v>0</v>
      </c>
      <c r="BZ91" s="86">
        <f>资产资本表!BZ57</f>
        <v>0</v>
      </c>
      <c r="CA91" s="86">
        <f>资产资本表!CA57</f>
        <v>0</v>
      </c>
      <c r="CB91" s="86">
        <f>资产资本表!CB57</f>
        <v>0</v>
      </c>
      <c r="CC91" s="86">
        <f>资产资本表!CC57</f>
        <v>0</v>
      </c>
      <c r="CD91" s="86">
        <f>资产资本表!CD57</f>
        <v>0</v>
      </c>
      <c r="CE91" s="86">
        <f>资产资本表!CE57</f>
        <v>0</v>
      </c>
      <c r="CF91" s="86">
        <f>资产资本表!CF57</f>
        <v>0</v>
      </c>
      <c r="CG91" s="86">
        <f>资产资本表!CG57</f>
        <v>0</v>
      </c>
      <c r="CH91" s="86">
        <f>资产资本表!CH57</f>
        <v>0</v>
      </c>
      <c r="CI91" s="86">
        <f>资产资本表!CI57</f>
        <v>0</v>
      </c>
      <c r="CJ91" s="86">
        <f>资产资本表!CJ57</f>
        <v>0</v>
      </c>
      <c r="CK91" s="86">
        <f>资产资本表!CK57</f>
        <v>0</v>
      </c>
    </row>
    <row r="92" spans="1:89" s="86" customFormat="1">
      <c r="A92" s="160" t="s">
        <v>613</v>
      </c>
      <c r="E92" s="86">
        <f>资产资本表!E58</f>
        <v>103596982.42</v>
      </c>
      <c r="F92" s="86">
        <f>资产资本表!F58</f>
        <v>104264691.48999999</v>
      </c>
      <c r="G92" s="86">
        <f>资产资本表!G58</f>
        <v>69420406.549999997</v>
      </c>
      <c r="H92" s="86">
        <f>资产资本表!H58</f>
        <v>71094904.989999995</v>
      </c>
      <c r="I92" s="86">
        <f>资产资本表!I58</f>
        <v>70346217.299999997</v>
      </c>
      <c r="J92" s="86">
        <f>资产资本表!J58</f>
        <v>68471038.280000001</v>
      </c>
      <c r="K92" s="86">
        <f>资产资本表!K58</f>
        <v>68894593.049999997</v>
      </c>
      <c r="L92" s="86">
        <f>资产资本表!L58</f>
        <v>69318116.480000004</v>
      </c>
      <c r="M92" s="86">
        <f>资产资本表!M58</f>
        <v>69741702.560000002</v>
      </c>
      <c r="N92" s="86">
        <f>资产资本表!N58</f>
        <v>70170694.620000005</v>
      </c>
      <c r="O92" s="86">
        <f>资产资本表!O58</f>
        <v>70594280.700000003</v>
      </c>
      <c r="P92" s="86">
        <f>资产资本表!P58</f>
        <v>71487143.75</v>
      </c>
      <c r="Q92" s="86">
        <f>资产资本表!Q58</f>
        <v>72385391.950000003</v>
      </c>
      <c r="R92" s="86">
        <f>资产资本表!R58</f>
        <v>73283640.120000005</v>
      </c>
      <c r="S92" s="86">
        <f>资产资本表!S58</f>
        <v>74181888.319999993</v>
      </c>
      <c r="T92" s="86">
        <f>资产资本表!T58</f>
        <v>75080136.489999995</v>
      </c>
      <c r="U92" s="86">
        <f>资产资本表!U58</f>
        <v>75978384.689999998</v>
      </c>
      <c r="V92" s="86">
        <f>资产资本表!V58</f>
        <v>76669662.090000004</v>
      </c>
      <c r="W92" s="86">
        <f>资产资本表!W58</f>
        <v>65863574.020000003</v>
      </c>
      <c r="X92" s="86">
        <f>资产资本表!X58</f>
        <v>62430396.539999999</v>
      </c>
      <c r="Y92" s="86">
        <f>资产资本表!Y58</f>
        <v>63029162.780000001</v>
      </c>
      <c r="Z92" s="86">
        <f>资产资本表!Z58</f>
        <v>63224387.859999999</v>
      </c>
      <c r="AA92" s="86">
        <f>资产资本表!AA58</f>
        <v>54996608.920000002</v>
      </c>
      <c r="AB92" s="86">
        <f>资产资本表!AB58</f>
        <v>53347688.490000002</v>
      </c>
      <c r="AC92" s="86">
        <f>资产资本表!AC58</f>
        <v>53657849.079999998</v>
      </c>
      <c r="AD92" s="86">
        <f>资产资本表!AD58</f>
        <v>47807376.609999999</v>
      </c>
      <c r="AE92" s="86">
        <f>资产资本表!AE58</f>
        <v>48081850.600000001</v>
      </c>
      <c r="AF92" s="86">
        <f>资产资本表!AF58</f>
        <v>48356324.579999998</v>
      </c>
      <c r="AG92" s="86">
        <f>资产资本表!AG58</f>
        <v>48630798.57</v>
      </c>
      <c r="AH92" s="86">
        <f>资产资本表!AH58</f>
        <v>48905272.549999997</v>
      </c>
      <c r="AI92" s="86">
        <f>资产资本表!AI58</f>
        <v>49179746.539999999</v>
      </c>
      <c r="AJ92" s="86">
        <f>资产资本表!AJ58</f>
        <v>49454220.520000003</v>
      </c>
      <c r="AK92" s="86">
        <f>资产资本表!AK58</f>
        <v>49728694.509999998</v>
      </c>
      <c r="AL92" s="86">
        <f>资产资本表!AL58</f>
        <v>50049472.159999996</v>
      </c>
      <c r="AM92" s="86">
        <f>资产资本表!AM58</f>
        <v>50462857.149999999</v>
      </c>
      <c r="AN92" s="86">
        <f>资产资本表!AN58</f>
        <v>51289627.119999997</v>
      </c>
      <c r="AO92" s="86">
        <f>资产资本表!AO58</f>
        <v>53215241.009999998</v>
      </c>
      <c r="AP92" s="86">
        <f>资产资本表!AP58</f>
        <v>45987784.289999999</v>
      </c>
      <c r="AQ92" s="86">
        <f>资产资本表!AQ58</f>
        <v>0</v>
      </c>
      <c r="AR92" s="86">
        <f>资产资本表!AR58</f>
        <v>0</v>
      </c>
      <c r="AS92" s="86">
        <f>资产资本表!AS58</f>
        <v>0</v>
      </c>
      <c r="AT92" s="86">
        <f>资产资本表!AT58</f>
        <v>0</v>
      </c>
      <c r="AU92" s="86">
        <f>资产资本表!AU58</f>
        <v>0</v>
      </c>
      <c r="AV92" s="86">
        <f>资产资本表!AV58</f>
        <v>0</v>
      </c>
      <c r="AW92" s="86">
        <f>资产资本表!AW58</f>
        <v>0</v>
      </c>
      <c r="AX92" s="86">
        <f>资产资本表!AX58</f>
        <v>0</v>
      </c>
      <c r="AY92" s="86">
        <f>资产资本表!AY58</f>
        <v>0</v>
      </c>
      <c r="AZ92" s="86">
        <f>资产资本表!AZ58</f>
        <v>0</v>
      </c>
      <c r="BA92" s="86">
        <f>资产资本表!BA58</f>
        <v>0</v>
      </c>
      <c r="BB92" s="86">
        <f>资产资本表!BB58</f>
        <v>0</v>
      </c>
      <c r="BC92" s="86">
        <f>资产资本表!BC58</f>
        <v>0</v>
      </c>
      <c r="BD92" s="86">
        <f>资产资本表!BD58</f>
        <v>0</v>
      </c>
      <c r="BE92" s="86">
        <f>资产资本表!BE58</f>
        <v>0</v>
      </c>
      <c r="BF92" s="86">
        <f>资产资本表!BF58</f>
        <v>0</v>
      </c>
      <c r="BG92" s="86">
        <f>资产资本表!BG58</f>
        <v>0</v>
      </c>
      <c r="BH92" s="86">
        <f>资产资本表!BH58</f>
        <v>0</v>
      </c>
      <c r="BI92" s="86">
        <f>资产资本表!BI58</f>
        <v>0</v>
      </c>
      <c r="BJ92" s="86">
        <f>资产资本表!BJ58</f>
        <v>0</v>
      </c>
      <c r="BK92" s="86">
        <f>资产资本表!BK58</f>
        <v>0</v>
      </c>
      <c r="BL92" s="86">
        <f>资产资本表!BL58</f>
        <v>0</v>
      </c>
      <c r="BM92" s="86">
        <f>资产资本表!BM58</f>
        <v>0</v>
      </c>
      <c r="BN92" s="86">
        <f>资产资本表!BN58</f>
        <v>0</v>
      </c>
      <c r="BO92" s="86">
        <f>资产资本表!BO58</f>
        <v>0</v>
      </c>
      <c r="BP92" s="86">
        <f>资产资本表!BP58</f>
        <v>0</v>
      </c>
      <c r="BQ92" s="86">
        <f>资产资本表!BQ58</f>
        <v>0</v>
      </c>
      <c r="BR92" s="86">
        <f>资产资本表!BR58</f>
        <v>0</v>
      </c>
      <c r="BS92" s="86">
        <f>资产资本表!BS58</f>
        <v>0</v>
      </c>
      <c r="BT92" s="86">
        <f>资产资本表!BT58</f>
        <v>0</v>
      </c>
      <c r="BU92" s="86">
        <f>资产资本表!BU58</f>
        <v>0</v>
      </c>
      <c r="BV92" s="86">
        <f>资产资本表!BV58</f>
        <v>0</v>
      </c>
      <c r="BW92" s="86">
        <f>资产资本表!BW58</f>
        <v>0</v>
      </c>
      <c r="BX92" s="86">
        <f>资产资本表!BX58</f>
        <v>0</v>
      </c>
      <c r="BY92" s="86">
        <f>资产资本表!BY58</f>
        <v>0</v>
      </c>
      <c r="BZ92" s="86">
        <f>资产资本表!BZ58</f>
        <v>0</v>
      </c>
      <c r="CA92" s="86">
        <f>资产资本表!CA58</f>
        <v>0</v>
      </c>
      <c r="CB92" s="86">
        <f>资产资本表!CB58</f>
        <v>0</v>
      </c>
      <c r="CC92" s="86">
        <f>资产资本表!CC58</f>
        <v>0</v>
      </c>
      <c r="CD92" s="86">
        <f>资产资本表!CD58</f>
        <v>0</v>
      </c>
      <c r="CE92" s="86">
        <f>资产资本表!CE58</f>
        <v>0</v>
      </c>
      <c r="CF92" s="86">
        <f>资产资本表!CF58</f>
        <v>0</v>
      </c>
      <c r="CG92" s="86">
        <f>资产资本表!CG58</f>
        <v>0</v>
      </c>
      <c r="CH92" s="86">
        <f>资产资本表!CH58</f>
        <v>0</v>
      </c>
      <c r="CI92" s="86">
        <f>资产资本表!CI58</f>
        <v>0</v>
      </c>
      <c r="CJ92" s="86">
        <f>资产资本表!CJ58</f>
        <v>0</v>
      </c>
      <c r="CK92" s="86">
        <f>资产资本表!CK58</f>
        <v>0</v>
      </c>
    </row>
    <row r="93" spans="1:89" s="52" customFormat="1">
      <c r="A93" s="162" t="s">
        <v>614</v>
      </c>
      <c r="E93" s="52">
        <f>E81/E92</f>
        <v>25.253712694192583</v>
      </c>
      <c r="F93" s="52">
        <f t="shared" ref="F93:BQ93" si="48">F81/F92</f>
        <v>14.756086365225192</v>
      </c>
      <c r="G93" s="52">
        <f t="shared" si="48"/>
        <v>13.847369141487693</v>
      </c>
      <c r="H93" s="52">
        <f t="shared" si="48"/>
        <v>6.067555121153557</v>
      </c>
      <c r="I93" s="52">
        <f t="shared" si="48"/>
        <v>32.859982573505064</v>
      </c>
      <c r="J93" s="52">
        <f t="shared" si="48"/>
        <v>19.683511464929403</v>
      </c>
      <c r="K93" s="52">
        <f t="shared" si="48"/>
        <v>12.789818303310234</v>
      </c>
      <c r="L93" s="52">
        <f t="shared" si="48"/>
        <v>6.2195783118889496</v>
      </c>
      <c r="M93" s="52">
        <f t="shared" si="48"/>
        <v>30.005122766965613</v>
      </c>
      <c r="N93" s="52">
        <f t="shared" si="48"/>
        <v>18.502724863577814</v>
      </c>
      <c r="O93" s="52">
        <f t="shared" si="48"/>
        <v>12.21940199073379</v>
      </c>
      <c r="P93" s="52">
        <f t="shared" si="48"/>
        <v>6.4693148937007292</v>
      </c>
      <c r="Q93" s="52">
        <f t="shared" si="48"/>
        <v>27.212215762824226</v>
      </c>
      <c r="R93" s="52">
        <f t="shared" si="48"/>
        <v>17.731636390362208</v>
      </c>
      <c r="S93" s="52">
        <f t="shared" si="48"/>
        <v>11.512097171295089</v>
      </c>
      <c r="T93" s="52">
        <f t="shared" si="48"/>
        <v>6.0235962970077441</v>
      </c>
      <c r="U93" s="52">
        <f t="shared" si="48"/>
        <v>24.531916901298892</v>
      </c>
      <c r="V93" s="52">
        <f t="shared" si="48"/>
        <v>16.374579860757542</v>
      </c>
      <c r="W93" s="52">
        <f t="shared" si="48"/>
        <v>12.460348528016306</v>
      </c>
      <c r="X93" s="52">
        <f t="shared" si="48"/>
        <v>7.0338868489910125</v>
      </c>
      <c r="Y93" s="52">
        <f t="shared" si="48"/>
        <v>28.19282857115558</v>
      </c>
      <c r="Z93" s="52">
        <f t="shared" si="48"/>
        <v>18.86049123291583</v>
      </c>
      <c r="AA93" s="52">
        <f t="shared" si="48"/>
        <v>13.791361817113287</v>
      </c>
      <c r="AB93" s="52">
        <f t="shared" si="48"/>
        <v>7.5788178540441944</v>
      </c>
      <c r="AC93" s="52">
        <f t="shared" si="48"/>
        <v>27.086810977328874</v>
      </c>
      <c r="AD93" s="52">
        <f t="shared" si="48"/>
        <v>19.762491928335074</v>
      </c>
      <c r="AE93" s="52">
        <f t="shared" si="48"/>
        <v>12.636536546494739</v>
      </c>
      <c r="AF93" s="52">
        <f t="shared" si="48"/>
        <v>6.8840825613053651</v>
      </c>
      <c r="AG93" s="52">
        <f t="shared" si="48"/>
        <v>21.94702658611925</v>
      </c>
      <c r="AH93" s="52">
        <f t="shared" si="48"/>
        <v>14.273947631439997</v>
      </c>
      <c r="AI93" s="52">
        <f t="shared" si="48"/>
        <v>9.2156437012414099</v>
      </c>
      <c r="AJ93" s="52">
        <f t="shared" si="48"/>
        <v>5.1192946613649299</v>
      </c>
      <c r="AK93" s="52">
        <f t="shared" si="48"/>
        <v>15.922103031897992</v>
      </c>
      <c r="AL93" s="52">
        <f t="shared" si="48"/>
        <v>10.43874516517978</v>
      </c>
      <c r="AM93" s="52">
        <f t="shared" si="48"/>
        <v>6.4038197674663371</v>
      </c>
      <c r="AN93" s="52">
        <f t="shared" si="48"/>
        <v>3.5435787172866471</v>
      </c>
      <c r="AO93" s="52">
        <f t="shared" si="48"/>
        <v>12.792646197018511</v>
      </c>
      <c r="AP93" s="52">
        <f t="shared" si="48"/>
        <v>10.184104932227427</v>
      </c>
      <c r="AQ93" s="52" t="e">
        <f t="shared" si="48"/>
        <v>#DIV/0!</v>
      </c>
      <c r="AR93" s="52" t="e">
        <f t="shared" si="48"/>
        <v>#DIV/0!</v>
      </c>
      <c r="AS93" s="52" t="e">
        <f t="shared" si="48"/>
        <v>#DIV/0!</v>
      </c>
      <c r="AT93" s="52" t="e">
        <f t="shared" si="48"/>
        <v>#DIV/0!</v>
      </c>
      <c r="AU93" s="52" t="e">
        <f t="shared" si="48"/>
        <v>#DIV/0!</v>
      </c>
      <c r="AV93" s="52" t="e">
        <f t="shared" si="48"/>
        <v>#DIV/0!</v>
      </c>
      <c r="AW93" s="52" t="e">
        <f t="shared" si="48"/>
        <v>#DIV/0!</v>
      </c>
      <c r="AX93" s="52" t="e">
        <f t="shared" si="48"/>
        <v>#DIV/0!</v>
      </c>
      <c r="AY93" s="52" t="e">
        <f t="shared" si="48"/>
        <v>#DIV/0!</v>
      </c>
      <c r="AZ93" s="52" t="e">
        <f t="shared" si="48"/>
        <v>#DIV/0!</v>
      </c>
      <c r="BA93" s="52" t="e">
        <f t="shared" si="48"/>
        <v>#DIV/0!</v>
      </c>
      <c r="BB93" s="52" t="e">
        <f t="shared" si="48"/>
        <v>#DIV/0!</v>
      </c>
      <c r="BC93" s="52" t="e">
        <f t="shared" si="48"/>
        <v>#DIV/0!</v>
      </c>
      <c r="BD93" s="52" t="e">
        <f t="shared" si="48"/>
        <v>#DIV/0!</v>
      </c>
      <c r="BE93" s="52" t="e">
        <f t="shared" si="48"/>
        <v>#DIV/0!</v>
      </c>
      <c r="BF93" s="52" t="e">
        <f t="shared" si="48"/>
        <v>#DIV/0!</v>
      </c>
      <c r="BG93" s="52" t="e">
        <f t="shared" si="48"/>
        <v>#DIV/0!</v>
      </c>
      <c r="BH93" s="52" t="e">
        <f t="shared" si="48"/>
        <v>#DIV/0!</v>
      </c>
      <c r="BI93" s="52" t="e">
        <f t="shared" si="48"/>
        <v>#DIV/0!</v>
      </c>
      <c r="BJ93" s="52" t="e">
        <f t="shared" si="48"/>
        <v>#DIV/0!</v>
      </c>
      <c r="BK93" s="52" t="e">
        <f t="shared" si="48"/>
        <v>#DIV/0!</v>
      </c>
      <c r="BL93" s="52" t="e">
        <f t="shared" si="48"/>
        <v>#DIV/0!</v>
      </c>
      <c r="BM93" s="52" t="e">
        <f t="shared" si="48"/>
        <v>#DIV/0!</v>
      </c>
      <c r="BN93" s="52" t="e">
        <f t="shared" si="48"/>
        <v>#DIV/0!</v>
      </c>
      <c r="BO93" s="52" t="e">
        <f t="shared" si="48"/>
        <v>#DIV/0!</v>
      </c>
      <c r="BP93" s="52" t="e">
        <f t="shared" si="48"/>
        <v>#DIV/0!</v>
      </c>
      <c r="BQ93" s="52" t="e">
        <f t="shared" si="48"/>
        <v>#DIV/0!</v>
      </c>
      <c r="BR93" s="52" t="e">
        <f t="shared" ref="BR93:CK93" si="49">BR81/BR92</f>
        <v>#DIV/0!</v>
      </c>
      <c r="BS93" s="52" t="e">
        <f t="shared" si="49"/>
        <v>#DIV/0!</v>
      </c>
      <c r="BT93" s="52" t="e">
        <f t="shared" si="49"/>
        <v>#DIV/0!</v>
      </c>
      <c r="BU93" s="52" t="e">
        <f t="shared" si="49"/>
        <v>#DIV/0!</v>
      </c>
      <c r="BV93" s="52" t="e">
        <f t="shared" si="49"/>
        <v>#DIV/0!</v>
      </c>
      <c r="BW93" s="52" t="e">
        <f t="shared" si="49"/>
        <v>#DIV/0!</v>
      </c>
      <c r="BX93" s="52" t="e">
        <f t="shared" si="49"/>
        <v>#DIV/0!</v>
      </c>
      <c r="BY93" s="52" t="e">
        <f t="shared" si="49"/>
        <v>#DIV/0!</v>
      </c>
      <c r="BZ93" s="52" t="e">
        <f t="shared" si="49"/>
        <v>#DIV/0!</v>
      </c>
      <c r="CA93" s="52" t="e">
        <f t="shared" si="49"/>
        <v>#DIV/0!</v>
      </c>
      <c r="CB93" s="52" t="e">
        <f t="shared" si="49"/>
        <v>#DIV/0!</v>
      </c>
      <c r="CC93" s="52" t="e">
        <f t="shared" si="49"/>
        <v>#DIV/0!</v>
      </c>
      <c r="CD93" s="52" t="e">
        <f t="shared" si="49"/>
        <v>#DIV/0!</v>
      </c>
      <c r="CE93" s="52" t="e">
        <f t="shared" si="49"/>
        <v>#DIV/0!</v>
      </c>
      <c r="CF93" s="52" t="e">
        <f t="shared" si="49"/>
        <v>#DIV/0!</v>
      </c>
      <c r="CG93" s="52" t="e">
        <f t="shared" si="49"/>
        <v>#DIV/0!</v>
      </c>
      <c r="CH93" s="52" t="e">
        <f t="shared" si="49"/>
        <v>#DIV/0!</v>
      </c>
      <c r="CI93" s="52" t="e">
        <f t="shared" si="49"/>
        <v>#DIV/0!</v>
      </c>
      <c r="CJ93" s="52" t="e">
        <f t="shared" si="49"/>
        <v>#DIV/0!</v>
      </c>
      <c r="CK93" s="52" t="e">
        <f t="shared" si="49"/>
        <v>#DIV/0!</v>
      </c>
    </row>
    <row r="94" spans="1:89" s="86" customFormat="1">
      <c r="A94" s="160" t="s">
        <v>615</v>
      </c>
      <c r="E94" s="86">
        <f>资产资本表!E59</f>
        <v>0</v>
      </c>
      <c r="F94" s="86">
        <f>资产资本表!F59</f>
        <v>0</v>
      </c>
      <c r="G94" s="86">
        <f>资产资本表!G59</f>
        <v>0</v>
      </c>
      <c r="H94" s="86">
        <f>资产资本表!H59</f>
        <v>0</v>
      </c>
      <c r="I94" s="86">
        <f>资产资本表!I59</f>
        <v>0</v>
      </c>
      <c r="J94" s="86">
        <f>资产资本表!J59</f>
        <v>0</v>
      </c>
      <c r="K94" s="86">
        <f>资产资本表!K59</f>
        <v>0</v>
      </c>
      <c r="L94" s="86">
        <f>资产资本表!L59</f>
        <v>0</v>
      </c>
      <c r="M94" s="86">
        <f>资产资本表!M59</f>
        <v>0</v>
      </c>
      <c r="N94" s="86">
        <f>资产资本表!N59</f>
        <v>0</v>
      </c>
      <c r="O94" s="86">
        <f>资产资本表!O59</f>
        <v>0</v>
      </c>
      <c r="P94" s="86">
        <f>资产资本表!P59</f>
        <v>0</v>
      </c>
      <c r="Q94" s="86">
        <f>资产资本表!Q59</f>
        <v>0</v>
      </c>
      <c r="R94" s="86">
        <f>资产资本表!R59</f>
        <v>0</v>
      </c>
      <c r="S94" s="86">
        <f>资产资本表!S59</f>
        <v>0</v>
      </c>
      <c r="T94" s="86">
        <f>资产资本表!T59</f>
        <v>0</v>
      </c>
      <c r="U94" s="86">
        <f>资产资本表!U59</f>
        <v>0</v>
      </c>
      <c r="V94" s="86">
        <f>资产资本表!V59</f>
        <v>0</v>
      </c>
      <c r="W94" s="86">
        <f>资产资本表!W59</f>
        <v>0</v>
      </c>
      <c r="X94" s="86">
        <f>资产资本表!X59</f>
        <v>0</v>
      </c>
      <c r="Y94" s="86">
        <f>资产资本表!Y59</f>
        <v>0</v>
      </c>
      <c r="Z94" s="86">
        <f>资产资本表!Z59</f>
        <v>0</v>
      </c>
      <c r="AA94" s="86">
        <f>资产资本表!AA59</f>
        <v>0</v>
      </c>
      <c r="AB94" s="86">
        <f>资产资本表!AB59</f>
        <v>0</v>
      </c>
      <c r="AC94" s="86">
        <f>资产资本表!AC59</f>
        <v>0</v>
      </c>
      <c r="AD94" s="86">
        <f>资产资本表!AD59</f>
        <v>0</v>
      </c>
      <c r="AE94" s="86">
        <f>资产资本表!AE59</f>
        <v>0</v>
      </c>
      <c r="AF94" s="86">
        <f>资产资本表!AF59</f>
        <v>0</v>
      </c>
      <c r="AG94" s="86">
        <f>资产资本表!AG59</f>
        <v>0</v>
      </c>
      <c r="AH94" s="86">
        <f>资产资本表!AH59</f>
        <v>0</v>
      </c>
      <c r="AI94" s="86">
        <f>资产资本表!AI59</f>
        <v>0</v>
      </c>
      <c r="AJ94" s="86">
        <f>资产资本表!AJ59</f>
        <v>0</v>
      </c>
      <c r="AK94" s="86">
        <f>资产资本表!AK59</f>
        <v>0</v>
      </c>
      <c r="AL94" s="86">
        <f>资产资本表!AL59</f>
        <v>0</v>
      </c>
      <c r="AM94" s="86">
        <f>资产资本表!AM59</f>
        <v>0</v>
      </c>
      <c r="AN94" s="86">
        <f>资产资本表!AN59</f>
        <v>0</v>
      </c>
      <c r="AO94" s="86">
        <f>资产资本表!AO59</f>
        <v>0</v>
      </c>
      <c r="AP94" s="86">
        <f>资产资本表!AP59</f>
        <v>0</v>
      </c>
      <c r="AQ94" s="86">
        <f>资产资本表!AQ59</f>
        <v>0</v>
      </c>
      <c r="AR94" s="86">
        <f>资产资本表!AR59</f>
        <v>0</v>
      </c>
      <c r="AS94" s="86">
        <f>资产资本表!AS59</f>
        <v>0</v>
      </c>
      <c r="AT94" s="86">
        <f>资产资本表!AT59</f>
        <v>0</v>
      </c>
      <c r="AU94" s="86">
        <f>资产资本表!AU59</f>
        <v>0</v>
      </c>
      <c r="AV94" s="86">
        <f>资产资本表!AV59</f>
        <v>0</v>
      </c>
      <c r="AW94" s="86">
        <f>资产资本表!AW59</f>
        <v>0</v>
      </c>
      <c r="AX94" s="86">
        <f>资产资本表!AX59</f>
        <v>0</v>
      </c>
      <c r="AY94" s="86">
        <f>资产资本表!AY59</f>
        <v>0</v>
      </c>
      <c r="AZ94" s="86">
        <f>资产资本表!AZ59</f>
        <v>0</v>
      </c>
      <c r="BA94" s="86">
        <f>资产资本表!BA59</f>
        <v>0</v>
      </c>
      <c r="BB94" s="86">
        <f>资产资本表!BB59</f>
        <v>0</v>
      </c>
      <c r="BC94" s="86">
        <f>资产资本表!BC59</f>
        <v>0</v>
      </c>
      <c r="BD94" s="86">
        <f>资产资本表!BD59</f>
        <v>0</v>
      </c>
      <c r="BE94" s="86">
        <f>资产资本表!BE59</f>
        <v>0</v>
      </c>
      <c r="BF94" s="86">
        <f>资产资本表!BF59</f>
        <v>0</v>
      </c>
      <c r="BG94" s="86">
        <f>资产资本表!BG59</f>
        <v>0</v>
      </c>
      <c r="BH94" s="86">
        <f>资产资本表!BH59</f>
        <v>0</v>
      </c>
      <c r="BI94" s="86">
        <f>资产资本表!BI59</f>
        <v>0</v>
      </c>
      <c r="BJ94" s="86">
        <f>资产资本表!BJ59</f>
        <v>0</v>
      </c>
      <c r="BK94" s="86">
        <f>资产资本表!BK59</f>
        <v>0</v>
      </c>
      <c r="BL94" s="86">
        <f>资产资本表!BL59</f>
        <v>0</v>
      </c>
      <c r="BM94" s="86">
        <f>资产资本表!BM59</f>
        <v>0</v>
      </c>
      <c r="BN94" s="86">
        <f>资产资本表!BN59</f>
        <v>0</v>
      </c>
      <c r="BO94" s="86">
        <f>资产资本表!BO59</f>
        <v>0</v>
      </c>
      <c r="BP94" s="86">
        <f>资产资本表!BP59</f>
        <v>0</v>
      </c>
      <c r="BQ94" s="86">
        <f>资产资本表!BQ59</f>
        <v>0</v>
      </c>
      <c r="BR94" s="86">
        <f>资产资本表!BR59</f>
        <v>0</v>
      </c>
      <c r="BS94" s="86">
        <f>资产资本表!BS59</f>
        <v>0</v>
      </c>
      <c r="BT94" s="86">
        <f>资产资本表!BT59</f>
        <v>0</v>
      </c>
      <c r="BU94" s="86">
        <f>资产资本表!BU59</f>
        <v>0</v>
      </c>
      <c r="BV94" s="86">
        <f>资产资本表!BV59</f>
        <v>0</v>
      </c>
      <c r="BW94" s="86">
        <f>资产资本表!BW59</f>
        <v>0</v>
      </c>
      <c r="BX94" s="86">
        <f>资产资本表!BX59</f>
        <v>0</v>
      </c>
      <c r="BY94" s="86">
        <f>资产资本表!BY59</f>
        <v>0</v>
      </c>
      <c r="BZ94" s="86">
        <f>资产资本表!BZ59</f>
        <v>0</v>
      </c>
      <c r="CA94" s="86">
        <f>资产资本表!CA59</f>
        <v>0</v>
      </c>
      <c r="CB94" s="86">
        <f>资产资本表!CB59</f>
        <v>0</v>
      </c>
      <c r="CC94" s="86">
        <f>资产资本表!CC59</f>
        <v>0</v>
      </c>
      <c r="CD94" s="86">
        <f>资产资本表!CD59</f>
        <v>0</v>
      </c>
      <c r="CE94" s="86">
        <f>资产资本表!CE59</f>
        <v>0</v>
      </c>
      <c r="CF94" s="86">
        <f>资产资本表!CF59</f>
        <v>0</v>
      </c>
      <c r="CG94" s="86">
        <f>资产资本表!CG59</f>
        <v>0</v>
      </c>
      <c r="CH94" s="86">
        <f>资产资本表!CH59</f>
        <v>0</v>
      </c>
      <c r="CI94" s="86">
        <f>资产资本表!CI59</f>
        <v>0</v>
      </c>
      <c r="CJ94" s="86">
        <f>资产资本表!CJ59</f>
        <v>0</v>
      </c>
      <c r="CK94" s="86">
        <f>资产资本表!CK59</f>
        <v>0</v>
      </c>
    </row>
    <row r="95" spans="1:89" s="86" customFormat="1">
      <c r="A95" s="160" t="s">
        <v>616</v>
      </c>
      <c r="E95" s="86">
        <f>资产资本表!E60</f>
        <v>0</v>
      </c>
      <c r="F95" s="86">
        <f>资产资本表!F60</f>
        <v>0</v>
      </c>
      <c r="G95" s="86">
        <f>资产资本表!G60</f>
        <v>0</v>
      </c>
      <c r="H95" s="86">
        <f>资产资本表!H60</f>
        <v>0</v>
      </c>
      <c r="I95" s="86">
        <f>资产资本表!I60</f>
        <v>0</v>
      </c>
      <c r="J95" s="86">
        <f>资产资本表!J60</f>
        <v>0</v>
      </c>
      <c r="K95" s="86">
        <f>资产资本表!K60</f>
        <v>0</v>
      </c>
      <c r="L95" s="86">
        <f>资产资本表!L60</f>
        <v>0</v>
      </c>
      <c r="M95" s="86">
        <f>资产资本表!M60</f>
        <v>0</v>
      </c>
      <c r="N95" s="86">
        <f>资产资本表!N60</f>
        <v>0</v>
      </c>
      <c r="O95" s="86">
        <f>资产资本表!O60</f>
        <v>0</v>
      </c>
      <c r="P95" s="86">
        <f>资产资本表!P60</f>
        <v>0</v>
      </c>
      <c r="Q95" s="86">
        <f>资产资本表!Q60</f>
        <v>0</v>
      </c>
      <c r="R95" s="86">
        <f>资产资本表!R60</f>
        <v>0</v>
      </c>
      <c r="S95" s="86">
        <f>资产资本表!S60</f>
        <v>0</v>
      </c>
      <c r="T95" s="86">
        <f>资产资本表!T60</f>
        <v>0</v>
      </c>
      <c r="U95" s="86">
        <f>资产资本表!U60</f>
        <v>0</v>
      </c>
      <c r="V95" s="86">
        <f>资产资本表!V60</f>
        <v>0</v>
      </c>
      <c r="W95" s="86">
        <f>资产资本表!W60</f>
        <v>0</v>
      </c>
      <c r="X95" s="86">
        <f>资产资本表!X60</f>
        <v>0</v>
      </c>
      <c r="Y95" s="86">
        <f>资产资本表!Y60</f>
        <v>0</v>
      </c>
      <c r="Z95" s="86">
        <f>资产资本表!Z60</f>
        <v>0</v>
      </c>
      <c r="AA95" s="86">
        <f>资产资本表!AA60</f>
        <v>0</v>
      </c>
      <c r="AB95" s="86">
        <f>资产资本表!AB60</f>
        <v>0</v>
      </c>
      <c r="AC95" s="86">
        <f>资产资本表!AC60</f>
        <v>0</v>
      </c>
      <c r="AD95" s="86">
        <f>资产资本表!AD60</f>
        <v>0</v>
      </c>
      <c r="AE95" s="86">
        <f>资产资本表!AE60</f>
        <v>0</v>
      </c>
      <c r="AF95" s="86">
        <f>资产资本表!AF60</f>
        <v>0</v>
      </c>
      <c r="AG95" s="86">
        <f>资产资本表!AG60</f>
        <v>0</v>
      </c>
      <c r="AH95" s="86">
        <f>资产资本表!AH60</f>
        <v>0</v>
      </c>
      <c r="AI95" s="86">
        <f>资产资本表!AI60</f>
        <v>0</v>
      </c>
      <c r="AJ95" s="86">
        <f>资产资本表!AJ60</f>
        <v>0</v>
      </c>
      <c r="AK95" s="86">
        <f>资产资本表!AK60</f>
        <v>0</v>
      </c>
      <c r="AL95" s="86">
        <f>资产资本表!AL60</f>
        <v>0</v>
      </c>
      <c r="AM95" s="86">
        <f>资产资本表!AM60</f>
        <v>0</v>
      </c>
      <c r="AN95" s="86">
        <f>资产资本表!AN60</f>
        <v>0</v>
      </c>
      <c r="AO95" s="86">
        <f>资产资本表!AO60</f>
        <v>0</v>
      </c>
      <c r="AP95" s="86">
        <f>资产资本表!AP60</f>
        <v>0</v>
      </c>
      <c r="AQ95" s="86">
        <f>资产资本表!AQ60</f>
        <v>0</v>
      </c>
      <c r="AR95" s="86">
        <f>资产资本表!AR60</f>
        <v>0</v>
      </c>
      <c r="AS95" s="86">
        <f>资产资本表!AS60</f>
        <v>0</v>
      </c>
      <c r="AT95" s="86">
        <f>资产资本表!AT60</f>
        <v>0</v>
      </c>
      <c r="AU95" s="86">
        <f>资产资本表!AU60</f>
        <v>0</v>
      </c>
      <c r="AV95" s="86">
        <f>资产资本表!AV60</f>
        <v>0</v>
      </c>
      <c r="AW95" s="86">
        <f>资产资本表!AW60</f>
        <v>0</v>
      </c>
      <c r="AX95" s="86">
        <f>资产资本表!AX60</f>
        <v>0</v>
      </c>
      <c r="AY95" s="86">
        <f>资产资本表!AY60</f>
        <v>0</v>
      </c>
      <c r="AZ95" s="86">
        <f>资产资本表!AZ60</f>
        <v>0</v>
      </c>
      <c r="BA95" s="86">
        <f>资产资本表!BA60</f>
        <v>0</v>
      </c>
      <c r="BB95" s="86">
        <f>资产资本表!BB60</f>
        <v>0</v>
      </c>
      <c r="BC95" s="86">
        <f>资产资本表!BC60</f>
        <v>0</v>
      </c>
      <c r="BD95" s="86">
        <f>资产资本表!BD60</f>
        <v>0</v>
      </c>
      <c r="BE95" s="86">
        <f>资产资本表!BE60</f>
        <v>0</v>
      </c>
      <c r="BF95" s="86">
        <f>资产资本表!BF60</f>
        <v>0</v>
      </c>
      <c r="BG95" s="86">
        <f>资产资本表!BG60</f>
        <v>0</v>
      </c>
      <c r="BH95" s="86">
        <f>资产资本表!BH60</f>
        <v>0</v>
      </c>
      <c r="BI95" s="86">
        <f>资产资本表!BI60</f>
        <v>0</v>
      </c>
      <c r="BJ95" s="86">
        <f>资产资本表!BJ60</f>
        <v>0</v>
      </c>
      <c r="BK95" s="86">
        <f>资产资本表!BK60</f>
        <v>0</v>
      </c>
      <c r="BL95" s="86">
        <f>资产资本表!BL60</f>
        <v>0</v>
      </c>
      <c r="BM95" s="86">
        <f>资产资本表!BM60</f>
        <v>0</v>
      </c>
      <c r="BN95" s="86">
        <f>资产资本表!BN60</f>
        <v>0</v>
      </c>
      <c r="BO95" s="86">
        <f>资产资本表!BO60</f>
        <v>0</v>
      </c>
      <c r="BP95" s="86">
        <f>资产资本表!BP60</f>
        <v>0</v>
      </c>
      <c r="BQ95" s="86">
        <f>资产资本表!BQ60</f>
        <v>0</v>
      </c>
      <c r="BR95" s="86">
        <f>资产资本表!BR60</f>
        <v>0</v>
      </c>
      <c r="BS95" s="86">
        <f>资产资本表!BS60</f>
        <v>0</v>
      </c>
      <c r="BT95" s="86">
        <f>资产资本表!BT60</f>
        <v>0</v>
      </c>
      <c r="BU95" s="86">
        <f>资产资本表!BU60</f>
        <v>0</v>
      </c>
      <c r="BV95" s="86">
        <f>资产资本表!BV60</f>
        <v>0</v>
      </c>
      <c r="BW95" s="86">
        <f>资产资本表!BW60</f>
        <v>0</v>
      </c>
      <c r="BX95" s="86">
        <f>资产资本表!BX60</f>
        <v>0</v>
      </c>
      <c r="BY95" s="86">
        <f>资产资本表!BY60</f>
        <v>0</v>
      </c>
      <c r="BZ95" s="86">
        <f>资产资本表!BZ60</f>
        <v>0</v>
      </c>
      <c r="CA95" s="86">
        <f>资产资本表!CA60</f>
        <v>0</v>
      </c>
      <c r="CB95" s="86">
        <f>资产资本表!CB60</f>
        <v>0</v>
      </c>
      <c r="CC95" s="86">
        <f>资产资本表!CC60</f>
        <v>0</v>
      </c>
      <c r="CD95" s="86">
        <f>资产资本表!CD60</f>
        <v>0</v>
      </c>
      <c r="CE95" s="86">
        <f>资产资本表!CE60</f>
        <v>0</v>
      </c>
      <c r="CF95" s="86">
        <f>资产资本表!CF60</f>
        <v>0</v>
      </c>
      <c r="CG95" s="86">
        <f>资产资本表!CG60</f>
        <v>0</v>
      </c>
      <c r="CH95" s="86">
        <f>资产资本表!CH60</f>
        <v>0</v>
      </c>
      <c r="CI95" s="86">
        <f>资产资本表!CI60</f>
        <v>0</v>
      </c>
      <c r="CJ95" s="86">
        <f>资产资本表!CJ60</f>
        <v>0</v>
      </c>
      <c r="CK95" s="86">
        <f>资产资本表!CK60</f>
        <v>0</v>
      </c>
    </row>
    <row r="96" spans="1:89" s="86" customFormat="1">
      <c r="A96" s="160" t="s">
        <v>617</v>
      </c>
      <c r="E96" s="86">
        <f>资产资本表!E61</f>
        <v>21377520.760000002</v>
      </c>
      <c r="F96" s="86">
        <f>资产资本表!F61</f>
        <v>14713395.25</v>
      </c>
      <c r="G96" s="86">
        <f>资产资本表!G61</f>
        <v>15443378.59</v>
      </c>
      <c r="H96" s="86">
        <f>资产资本表!H61</f>
        <v>13778737.1</v>
      </c>
      <c r="I96" s="86">
        <f>资产资本表!I61</f>
        <v>9965520.4700000007</v>
      </c>
      <c r="J96" s="86">
        <f>资产资本表!J61</f>
        <v>10722683.26</v>
      </c>
      <c r="K96" s="86">
        <f>资产资本表!K61</f>
        <v>10850558.91</v>
      </c>
      <c r="L96" s="86">
        <f>资产资本表!L61</f>
        <v>11738291.16</v>
      </c>
      <c r="M96" s="86">
        <f>资产资本表!M61</f>
        <v>12627069.359999999</v>
      </c>
      <c r="N96" s="86">
        <f>资产资本表!N61</f>
        <v>9689460.1999999993</v>
      </c>
      <c r="O96" s="86">
        <f>资产资本表!O61</f>
        <v>10470201.289999999</v>
      </c>
      <c r="P96" s="86">
        <f>资产资本表!P61</f>
        <v>11250942.380000001</v>
      </c>
      <c r="Q96" s="86">
        <f>资产资本表!Q61</f>
        <v>12104426.630000001</v>
      </c>
      <c r="R96" s="86">
        <f>资产资本表!R61</f>
        <v>1653244.19</v>
      </c>
      <c r="S96" s="86">
        <f>资产资本表!S61</f>
        <v>1959728.42</v>
      </c>
      <c r="T96" s="86">
        <f>资产资本表!T61</f>
        <v>2266212.65</v>
      </c>
      <c r="U96" s="86">
        <f>资产资本表!U61</f>
        <v>2515231.2000000002</v>
      </c>
      <c r="V96" s="86">
        <f>资产资本表!V61</f>
        <v>0</v>
      </c>
      <c r="W96" s="86">
        <f>资产资本表!W61</f>
        <v>0</v>
      </c>
      <c r="X96" s="86">
        <f>资产资本表!X61</f>
        <v>0</v>
      </c>
      <c r="Y96" s="86">
        <f>资产资本表!Y61</f>
        <v>0</v>
      </c>
      <c r="Z96" s="86">
        <f>资产资本表!Z61</f>
        <v>0</v>
      </c>
      <c r="AA96" s="86">
        <f>资产资本表!AA61</f>
        <v>181400</v>
      </c>
      <c r="AB96" s="86">
        <f>资产资本表!AB61</f>
        <v>181400</v>
      </c>
      <c r="AC96" s="86">
        <f>资产资本表!AC61</f>
        <v>0</v>
      </c>
      <c r="AD96" s="86">
        <f>资产资本表!AD61</f>
        <v>0</v>
      </c>
      <c r="AE96" s="86">
        <f>资产资本表!AE61</f>
        <v>366196.22</v>
      </c>
      <c r="AF96" s="86">
        <f>资产资本表!AF61</f>
        <v>695710.67</v>
      </c>
      <c r="AG96" s="86">
        <f>资产资本表!AG61</f>
        <v>1022345.12</v>
      </c>
      <c r="AH96" s="86">
        <f>资产资本表!AH61</f>
        <v>1348979.57</v>
      </c>
      <c r="AI96" s="86">
        <f>资产资本表!AI61</f>
        <v>1675614.02</v>
      </c>
      <c r="AJ96" s="86">
        <f>资产资本表!AJ61</f>
        <v>2003328.47</v>
      </c>
      <c r="AK96" s="86">
        <f>资产资本表!AK61</f>
        <v>2279042.92</v>
      </c>
      <c r="AL96" s="86">
        <f>资产资本表!AL61</f>
        <v>2599974.7599999998</v>
      </c>
      <c r="AM96" s="86">
        <f>资产资本表!AM61</f>
        <v>2808564.49</v>
      </c>
      <c r="AN96" s="86">
        <f>资产资本表!AN61</f>
        <v>3534397.72</v>
      </c>
      <c r="AO96" s="86">
        <f>资产资本表!AO61</f>
        <v>65099.14</v>
      </c>
      <c r="AP96" s="86">
        <f>资产资本表!AP61</f>
        <v>130198.06</v>
      </c>
      <c r="AQ96" s="86">
        <f>资产资本表!AQ61</f>
        <v>0</v>
      </c>
      <c r="AR96" s="86">
        <f>资产资本表!AR61</f>
        <v>0</v>
      </c>
      <c r="AS96" s="86">
        <f>资产资本表!AS61</f>
        <v>0</v>
      </c>
      <c r="AT96" s="86">
        <f>资产资本表!AT61</f>
        <v>0</v>
      </c>
      <c r="AU96" s="86">
        <f>资产资本表!AU61</f>
        <v>0</v>
      </c>
      <c r="AV96" s="86">
        <f>资产资本表!AV61</f>
        <v>0</v>
      </c>
      <c r="AW96" s="86">
        <f>资产资本表!AW61</f>
        <v>0</v>
      </c>
      <c r="AX96" s="86">
        <f>资产资本表!AX61</f>
        <v>0</v>
      </c>
      <c r="AY96" s="86">
        <f>资产资本表!AY61</f>
        <v>0</v>
      </c>
      <c r="AZ96" s="86">
        <f>资产资本表!AZ61</f>
        <v>0</v>
      </c>
      <c r="BA96" s="86">
        <f>资产资本表!BA61</f>
        <v>0</v>
      </c>
      <c r="BB96" s="86">
        <f>资产资本表!BB61</f>
        <v>0</v>
      </c>
      <c r="BC96" s="86">
        <f>资产资本表!BC61</f>
        <v>0</v>
      </c>
      <c r="BD96" s="86">
        <f>资产资本表!BD61</f>
        <v>0</v>
      </c>
      <c r="BE96" s="86">
        <f>资产资本表!BE61</f>
        <v>0</v>
      </c>
      <c r="BF96" s="86">
        <f>资产资本表!BF61</f>
        <v>0</v>
      </c>
      <c r="BG96" s="86">
        <f>资产资本表!BG61</f>
        <v>0</v>
      </c>
      <c r="BH96" s="86">
        <f>资产资本表!BH61</f>
        <v>0</v>
      </c>
      <c r="BI96" s="86">
        <f>资产资本表!BI61</f>
        <v>0</v>
      </c>
      <c r="BJ96" s="86">
        <f>资产资本表!BJ61</f>
        <v>0</v>
      </c>
      <c r="BK96" s="86">
        <f>资产资本表!BK61</f>
        <v>0</v>
      </c>
      <c r="BL96" s="86">
        <f>资产资本表!BL61</f>
        <v>0</v>
      </c>
      <c r="BM96" s="86">
        <f>资产资本表!BM61</f>
        <v>0</v>
      </c>
      <c r="BN96" s="86">
        <f>资产资本表!BN61</f>
        <v>0</v>
      </c>
      <c r="BO96" s="86">
        <f>资产资本表!BO61</f>
        <v>0</v>
      </c>
      <c r="BP96" s="86">
        <f>资产资本表!BP61</f>
        <v>0</v>
      </c>
      <c r="BQ96" s="86">
        <f>资产资本表!BQ61</f>
        <v>0</v>
      </c>
      <c r="BR96" s="86">
        <f>资产资本表!BR61</f>
        <v>0</v>
      </c>
      <c r="BS96" s="86">
        <f>资产资本表!BS61</f>
        <v>0</v>
      </c>
      <c r="BT96" s="86">
        <f>资产资本表!BT61</f>
        <v>0</v>
      </c>
      <c r="BU96" s="86">
        <f>资产资本表!BU61</f>
        <v>0</v>
      </c>
      <c r="BV96" s="86">
        <f>资产资本表!BV61</f>
        <v>0</v>
      </c>
      <c r="BW96" s="86">
        <f>资产资本表!BW61</f>
        <v>0</v>
      </c>
      <c r="BX96" s="86">
        <f>资产资本表!BX61</f>
        <v>0</v>
      </c>
      <c r="BY96" s="86">
        <f>资产资本表!BY61</f>
        <v>0</v>
      </c>
      <c r="BZ96" s="86">
        <f>资产资本表!BZ61</f>
        <v>0</v>
      </c>
      <c r="CA96" s="86">
        <f>资产资本表!CA61</f>
        <v>0</v>
      </c>
      <c r="CB96" s="86">
        <f>资产资本表!CB61</f>
        <v>0</v>
      </c>
      <c r="CC96" s="86">
        <f>资产资本表!CC61</f>
        <v>0</v>
      </c>
      <c r="CD96" s="86">
        <f>资产资本表!CD61</f>
        <v>0</v>
      </c>
      <c r="CE96" s="86">
        <f>资产资本表!CE61</f>
        <v>0</v>
      </c>
      <c r="CF96" s="86">
        <f>资产资本表!CF61</f>
        <v>0</v>
      </c>
      <c r="CG96" s="86">
        <f>资产资本表!CG61</f>
        <v>0</v>
      </c>
      <c r="CH96" s="86">
        <f>资产资本表!CH61</f>
        <v>0</v>
      </c>
      <c r="CI96" s="86">
        <f>资产资本表!CI61</f>
        <v>0</v>
      </c>
      <c r="CJ96" s="86">
        <f>资产资本表!CJ61</f>
        <v>0</v>
      </c>
      <c r="CK96" s="86">
        <f>资产资本表!CK61</f>
        <v>0</v>
      </c>
    </row>
    <row r="97" spans="1:89" s="86" customFormat="1">
      <c r="A97" s="160" t="s">
        <v>618</v>
      </c>
      <c r="E97" s="86">
        <f>资产资本表!E62</f>
        <v>60929956.850000001</v>
      </c>
      <c r="F97" s="86">
        <f>资产资本表!F62</f>
        <v>79791594.640000001</v>
      </c>
      <c r="G97" s="86">
        <f>资产资本表!G62</f>
        <v>74926297.939999998</v>
      </c>
      <c r="H97" s="86">
        <f>资产资本表!H62</f>
        <v>72069932.819999993</v>
      </c>
      <c r="I97" s="86">
        <f>资产资本表!I62</f>
        <v>65008725.140000001</v>
      </c>
      <c r="J97" s="86">
        <f>资产资本表!J62</f>
        <v>63173604.369999997</v>
      </c>
      <c r="K97" s="86">
        <f>资产资本表!K62</f>
        <v>54333750.590000004</v>
      </c>
      <c r="L97" s="86">
        <f>资产资本表!L62</f>
        <v>56443614.509999998</v>
      </c>
      <c r="M97" s="86">
        <f>资产资本表!M62</f>
        <v>55171490.509999998</v>
      </c>
      <c r="N97" s="86">
        <f>资产资本表!N62</f>
        <v>47435807.119999997</v>
      </c>
      <c r="O97" s="86">
        <f>资产资本表!O62</f>
        <v>44258408.490000002</v>
      </c>
      <c r="P97" s="86">
        <f>资产资本表!P62</f>
        <v>42529761.68</v>
      </c>
      <c r="Q97" s="86">
        <f>资产资本表!Q62</f>
        <v>41491222.090000004</v>
      </c>
      <c r="R97" s="86">
        <f>资产资本表!R62</f>
        <v>39609575.710000001</v>
      </c>
      <c r="S97" s="86">
        <f>资产资本表!S62</f>
        <v>35723307.079999998</v>
      </c>
      <c r="T97" s="86">
        <f>资产资本表!T62</f>
        <v>36428662.810000002</v>
      </c>
      <c r="U97" s="86">
        <f>资产资本表!U62</f>
        <v>36485899.289999999</v>
      </c>
      <c r="V97" s="86">
        <f>资产资本表!V62</f>
        <v>33511015.77</v>
      </c>
      <c r="W97" s="86">
        <f>资产资本表!W62</f>
        <v>28992341.02</v>
      </c>
      <c r="X97" s="86">
        <f>资产资本表!X62</f>
        <v>30102528.27</v>
      </c>
      <c r="Y97" s="86">
        <f>资产资本表!Y62</f>
        <v>29405107.949999999</v>
      </c>
      <c r="Z97" s="86">
        <f>资产资本表!Z62</f>
        <v>27959243.760000002</v>
      </c>
      <c r="AA97" s="86">
        <f>资产资本表!AA62</f>
        <v>24228410.539999999</v>
      </c>
      <c r="AB97" s="86">
        <f>资产资本表!AB62</f>
        <v>21873118.079999998</v>
      </c>
      <c r="AC97" s="86">
        <f>资产资本表!AC62</f>
        <v>20328532.859999999</v>
      </c>
      <c r="AD97" s="86">
        <f>资产资本表!AD62</f>
        <v>15537915.17</v>
      </c>
      <c r="AE97" s="86">
        <f>资产资本表!AE62</f>
        <v>13224054.550000001</v>
      </c>
      <c r="AF97" s="86">
        <f>资产资本表!AF62</f>
        <v>12565783.220000001</v>
      </c>
      <c r="AG97" s="86">
        <f>资产资本表!AG62</f>
        <v>11990100.5</v>
      </c>
      <c r="AH97" s="86">
        <f>资产资本表!AH62</f>
        <v>11425478.33</v>
      </c>
      <c r="AI97" s="86">
        <f>资产资本表!AI62</f>
        <v>9307119.0999999996</v>
      </c>
      <c r="AJ97" s="86">
        <f>资产资本表!AJ62</f>
        <v>10140689.9</v>
      </c>
      <c r="AK97" s="86">
        <f>资产资本表!AK62</f>
        <v>10878593.960000001</v>
      </c>
      <c r="AL97" s="86">
        <f>资产资本表!AL62</f>
        <v>11225877.890000001</v>
      </c>
      <c r="AM97" s="86">
        <f>资产资本表!AM62</f>
        <v>9299648.7200000007</v>
      </c>
      <c r="AN97" s="86">
        <f>资产资本表!AN62</f>
        <v>11121816.619999999</v>
      </c>
      <c r="AO97" s="86">
        <f>资产资本表!AO62</f>
        <v>6890381.3300000001</v>
      </c>
      <c r="AP97" s="86">
        <f>资产资本表!AP62</f>
        <v>852535.13</v>
      </c>
      <c r="AQ97" s="86">
        <f>资产资本表!AQ62</f>
        <v>0</v>
      </c>
      <c r="AR97" s="86">
        <f>资产资本表!AR62</f>
        <v>0</v>
      </c>
      <c r="AS97" s="86">
        <f>资产资本表!AS62</f>
        <v>0</v>
      </c>
      <c r="AT97" s="86">
        <f>资产资本表!AT62</f>
        <v>0</v>
      </c>
      <c r="AU97" s="86">
        <f>资产资本表!AU62</f>
        <v>0</v>
      </c>
      <c r="AV97" s="86">
        <f>资产资本表!AV62</f>
        <v>0</v>
      </c>
      <c r="AW97" s="86">
        <f>资产资本表!AW62</f>
        <v>0</v>
      </c>
      <c r="AX97" s="86">
        <f>资产资本表!AX62</f>
        <v>0</v>
      </c>
      <c r="AY97" s="86">
        <f>资产资本表!AY62</f>
        <v>0</v>
      </c>
      <c r="AZ97" s="86">
        <f>资产资本表!AZ62</f>
        <v>0</v>
      </c>
      <c r="BA97" s="86">
        <f>资产资本表!BA62</f>
        <v>0</v>
      </c>
      <c r="BB97" s="86">
        <f>资产资本表!BB62</f>
        <v>0</v>
      </c>
      <c r="BC97" s="86">
        <f>资产资本表!BC62</f>
        <v>0</v>
      </c>
      <c r="BD97" s="86">
        <f>资产资本表!BD62</f>
        <v>0</v>
      </c>
      <c r="BE97" s="86">
        <f>资产资本表!BE62</f>
        <v>0</v>
      </c>
      <c r="BF97" s="86">
        <f>资产资本表!BF62</f>
        <v>0</v>
      </c>
      <c r="BG97" s="86">
        <f>资产资本表!BG62</f>
        <v>0</v>
      </c>
      <c r="BH97" s="86">
        <f>资产资本表!BH62</f>
        <v>0</v>
      </c>
      <c r="BI97" s="86">
        <f>资产资本表!BI62</f>
        <v>0</v>
      </c>
      <c r="BJ97" s="86">
        <f>资产资本表!BJ62</f>
        <v>0</v>
      </c>
      <c r="BK97" s="86">
        <f>资产资本表!BK62</f>
        <v>0</v>
      </c>
      <c r="BL97" s="86">
        <f>资产资本表!BL62</f>
        <v>0</v>
      </c>
      <c r="BM97" s="86">
        <f>资产资本表!BM62</f>
        <v>0</v>
      </c>
      <c r="BN97" s="86">
        <f>资产资本表!BN62</f>
        <v>0</v>
      </c>
      <c r="BO97" s="86">
        <f>资产资本表!BO62</f>
        <v>0</v>
      </c>
      <c r="BP97" s="86">
        <f>资产资本表!BP62</f>
        <v>0</v>
      </c>
      <c r="BQ97" s="86">
        <f>资产资本表!BQ62</f>
        <v>0</v>
      </c>
      <c r="BR97" s="86">
        <f>资产资本表!BR62</f>
        <v>0</v>
      </c>
      <c r="BS97" s="86">
        <f>资产资本表!BS62</f>
        <v>0</v>
      </c>
      <c r="BT97" s="86">
        <f>资产资本表!BT62</f>
        <v>0</v>
      </c>
      <c r="BU97" s="86">
        <f>资产资本表!BU62</f>
        <v>0</v>
      </c>
      <c r="BV97" s="86">
        <f>资产资本表!BV62</f>
        <v>0</v>
      </c>
      <c r="BW97" s="86">
        <f>资产资本表!BW62</f>
        <v>0</v>
      </c>
      <c r="BX97" s="86">
        <f>资产资本表!BX62</f>
        <v>0</v>
      </c>
      <c r="BY97" s="86">
        <f>资产资本表!BY62</f>
        <v>0</v>
      </c>
      <c r="BZ97" s="86">
        <f>资产资本表!BZ62</f>
        <v>0</v>
      </c>
      <c r="CA97" s="86">
        <f>资产资本表!CA62</f>
        <v>0</v>
      </c>
      <c r="CB97" s="86">
        <f>资产资本表!CB62</f>
        <v>0</v>
      </c>
      <c r="CC97" s="86">
        <f>资产资本表!CC62</f>
        <v>0</v>
      </c>
      <c r="CD97" s="86">
        <f>资产资本表!CD62</f>
        <v>0</v>
      </c>
      <c r="CE97" s="86">
        <f>资产资本表!CE62</f>
        <v>0</v>
      </c>
      <c r="CF97" s="86">
        <f>资产资本表!CF62</f>
        <v>0</v>
      </c>
      <c r="CG97" s="86">
        <f>资产资本表!CG62</f>
        <v>0</v>
      </c>
      <c r="CH97" s="86">
        <f>资产资本表!CH62</f>
        <v>0</v>
      </c>
      <c r="CI97" s="86">
        <f>资产资本表!CI62</f>
        <v>0</v>
      </c>
      <c r="CJ97" s="86">
        <f>资产资本表!CJ62</f>
        <v>0</v>
      </c>
      <c r="CK97" s="86">
        <f>资产资本表!CK62</f>
        <v>0</v>
      </c>
    </row>
    <row r="98" spans="1:89" s="86" customFormat="1">
      <c r="A98" s="160" t="s">
        <v>619</v>
      </c>
      <c r="E98" s="86">
        <f>资产资本表!E63</f>
        <v>0</v>
      </c>
      <c r="F98" s="86">
        <f>资产资本表!F63</f>
        <v>0</v>
      </c>
      <c r="G98" s="86">
        <f>资产资本表!G63</f>
        <v>0</v>
      </c>
      <c r="H98" s="86">
        <f>资产资本表!H63</f>
        <v>0</v>
      </c>
      <c r="I98" s="86">
        <f>资产资本表!I63</f>
        <v>0</v>
      </c>
      <c r="J98" s="86">
        <f>资产资本表!J63</f>
        <v>0</v>
      </c>
      <c r="K98" s="86">
        <f>资产资本表!K63</f>
        <v>0</v>
      </c>
      <c r="L98" s="86">
        <f>资产资本表!L63</f>
        <v>0</v>
      </c>
      <c r="M98" s="86">
        <f>资产资本表!M63</f>
        <v>0</v>
      </c>
      <c r="N98" s="86">
        <f>资产资本表!N63</f>
        <v>0</v>
      </c>
      <c r="O98" s="86">
        <f>资产资本表!O63</f>
        <v>0</v>
      </c>
      <c r="P98" s="86">
        <f>资产资本表!P63</f>
        <v>0</v>
      </c>
      <c r="Q98" s="86">
        <f>资产资本表!Q63</f>
        <v>0</v>
      </c>
      <c r="R98" s="86">
        <f>资产资本表!R63</f>
        <v>0</v>
      </c>
      <c r="S98" s="86">
        <f>资产资本表!S63</f>
        <v>0</v>
      </c>
      <c r="T98" s="86">
        <f>资产资本表!T63</f>
        <v>0</v>
      </c>
      <c r="U98" s="86">
        <f>资产资本表!U63</f>
        <v>0</v>
      </c>
      <c r="V98" s="86">
        <f>资产资本表!V63</f>
        <v>0</v>
      </c>
      <c r="W98" s="86">
        <f>资产资本表!W63</f>
        <v>0</v>
      </c>
      <c r="X98" s="86">
        <f>资产资本表!X63</f>
        <v>0</v>
      </c>
      <c r="Y98" s="86">
        <f>资产资本表!Y63</f>
        <v>0</v>
      </c>
      <c r="Z98" s="86">
        <f>资产资本表!Z63</f>
        <v>0</v>
      </c>
      <c r="AA98" s="86">
        <f>资产资本表!AA63</f>
        <v>0</v>
      </c>
      <c r="AB98" s="86">
        <f>资产资本表!AB63</f>
        <v>0</v>
      </c>
      <c r="AC98" s="86">
        <f>资产资本表!AC63</f>
        <v>0</v>
      </c>
      <c r="AD98" s="86">
        <f>资产资本表!AD63</f>
        <v>0</v>
      </c>
      <c r="AE98" s="86">
        <f>资产资本表!AE63</f>
        <v>0</v>
      </c>
      <c r="AF98" s="86">
        <f>资产资本表!AF63</f>
        <v>0</v>
      </c>
      <c r="AG98" s="86">
        <f>资产资本表!AG63</f>
        <v>0</v>
      </c>
      <c r="AH98" s="86">
        <f>资产资本表!AH63</f>
        <v>0</v>
      </c>
      <c r="AI98" s="86">
        <f>资产资本表!AI63</f>
        <v>0</v>
      </c>
      <c r="AJ98" s="86">
        <f>资产资本表!AJ63</f>
        <v>0</v>
      </c>
      <c r="AK98" s="86">
        <f>资产资本表!AK63</f>
        <v>0</v>
      </c>
      <c r="AL98" s="86">
        <f>资产资本表!AL63</f>
        <v>49105.59</v>
      </c>
      <c r="AM98" s="86">
        <f>资产资本表!AM63</f>
        <v>49105.59</v>
      </c>
      <c r="AN98" s="86">
        <f>资产资本表!AN63</f>
        <v>49105.59</v>
      </c>
      <c r="AO98" s="86">
        <f>资产资本表!AO63</f>
        <v>49105.59</v>
      </c>
      <c r="AP98" s="86">
        <f>资产资本表!AP63</f>
        <v>49105.59</v>
      </c>
      <c r="AQ98" s="86">
        <f>资产资本表!AQ63</f>
        <v>0</v>
      </c>
      <c r="AR98" s="86">
        <f>资产资本表!AR63</f>
        <v>0</v>
      </c>
      <c r="AS98" s="86">
        <f>资产资本表!AS63</f>
        <v>0</v>
      </c>
      <c r="AT98" s="86">
        <f>资产资本表!AT63</f>
        <v>0</v>
      </c>
      <c r="AU98" s="86">
        <f>资产资本表!AU63</f>
        <v>0</v>
      </c>
      <c r="AV98" s="86">
        <f>资产资本表!AV63</f>
        <v>0</v>
      </c>
      <c r="AW98" s="86">
        <f>资产资本表!AW63</f>
        <v>0</v>
      </c>
      <c r="AX98" s="86">
        <f>资产资本表!AX63</f>
        <v>0</v>
      </c>
      <c r="AY98" s="86">
        <f>资产资本表!AY63</f>
        <v>0</v>
      </c>
      <c r="AZ98" s="86">
        <f>资产资本表!AZ63</f>
        <v>0</v>
      </c>
      <c r="BA98" s="86">
        <f>资产资本表!BA63</f>
        <v>0</v>
      </c>
      <c r="BB98" s="86">
        <f>资产资本表!BB63</f>
        <v>0</v>
      </c>
      <c r="BC98" s="86">
        <f>资产资本表!BC63</f>
        <v>0</v>
      </c>
      <c r="BD98" s="86">
        <f>资产资本表!BD63</f>
        <v>0</v>
      </c>
      <c r="BE98" s="86">
        <f>资产资本表!BE63</f>
        <v>0</v>
      </c>
      <c r="BF98" s="86">
        <f>资产资本表!BF63</f>
        <v>0</v>
      </c>
      <c r="BG98" s="86">
        <f>资产资本表!BG63</f>
        <v>0</v>
      </c>
      <c r="BH98" s="86">
        <f>资产资本表!BH63</f>
        <v>0</v>
      </c>
      <c r="BI98" s="86">
        <f>资产资本表!BI63</f>
        <v>0</v>
      </c>
      <c r="BJ98" s="86">
        <f>资产资本表!BJ63</f>
        <v>0</v>
      </c>
      <c r="BK98" s="86">
        <f>资产资本表!BK63</f>
        <v>0</v>
      </c>
      <c r="BL98" s="86">
        <f>资产资本表!BL63</f>
        <v>0</v>
      </c>
      <c r="BM98" s="86">
        <f>资产资本表!BM63</f>
        <v>0</v>
      </c>
      <c r="BN98" s="86">
        <f>资产资本表!BN63</f>
        <v>0</v>
      </c>
      <c r="BO98" s="86">
        <f>资产资本表!BO63</f>
        <v>0</v>
      </c>
      <c r="BP98" s="86">
        <f>资产资本表!BP63</f>
        <v>0</v>
      </c>
      <c r="BQ98" s="86">
        <f>资产资本表!BQ63</f>
        <v>0</v>
      </c>
      <c r="BR98" s="86">
        <f>资产资本表!BR63</f>
        <v>0</v>
      </c>
      <c r="BS98" s="86">
        <f>资产资本表!BS63</f>
        <v>0</v>
      </c>
      <c r="BT98" s="86">
        <f>资产资本表!BT63</f>
        <v>0</v>
      </c>
      <c r="BU98" s="86">
        <f>资产资本表!BU63</f>
        <v>0</v>
      </c>
      <c r="BV98" s="86">
        <f>资产资本表!BV63</f>
        <v>0</v>
      </c>
      <c r="BW98" s="86">
        <f>资产资本表!BW63</f>
        <v>0</v>
      </c>
      <c r="BX98" s="86">
        <f>资产资本表!BX63</f>
        <v>0</v>
      </c>
      <c r="BY98" s="86">
        <f>资产资本表!BY63</f>
        <v>0</v>
      </c>
      <c r="BZ98" s="86">
        <f>资产资本表!BZ63</f>
        <v>0</v>
      </c>
      <c r="CA98" s="86">
        <f>资产资本表!CA63</f>
        <v>0</v>
      </c>
      <c r="CB98" s="86">
        <f>资产资本表!CB63</f>
        <v>0</v>
      </c>
      <c r="CC98" s="86">
        <f>资产资本表!CC63</f>
        <v>0</v>
      </c>
      <c r="CD98" s="86">
        <f>资产资本表!CD63</f>
        <v>0</v>
      </c>
      <c r="CE98" s="86">
        <f>资产资本表!CE63</f>
        <v>0</v>
      </c>
      <c r="CF98" s="86">
        <f>资产资本表!CF63</f>
        <v>0</v>
      </c>
      <c r="CG98" s="86">
        <f>资产资本表!CG63</f>
        <v>0</v>
      </c>
      <c r="CH98" s="86">
        <f>资产资本表!CH63</f>
        <v>0</v>
      </c>
      <c r="CI98" s="86">
        <f>资产资本表!CI63</f>
        <v>0</v>
      </c>
      <c r="CJ98" s="86">
        <f>资产资本表!CJ63</f>
        <v>0</v>
      </c>
      <c r="CK98" s="86">
        <f>资产资本表!CK63</f>
        <v>0</v>
      </c>
    </row>
    <row r="99" spans="1:89" s="104" customFormat="1" ht="14.25" thickBot="1">
      <c r="A99" s="161" t="s">
        <v>620</v>
      </c>
      <c r="E99" s="104">
        <f>资产资本表!E64</f>
        <v>20499650.030000001</v>
      </c>
      <c r="F99" s="104">
        <f>资产资本表!F64</f>
        <v>10785657.949999999</v>
      </c>
      <c r="G99" s="104">
        <f>资产资本表!G64</f>
        <v>188355568.63</v>
      </c>
      <c r="H99" s="104">
        <f>资产资本表!H64</f>
        <v>187217745.62</v>
      </c>
      <c r="I99" s="104">
        <f>资产资本表!I64</f>
        <v>187672410.5</v>
      </c>
      <c r="J99" s="104">
        <f>资产资本表!J64</f>
        <v>110942262.51000001</v>
      </c>
      <c r="K99" s="104">
        <f>资产资本表!K64</f>
        <v>78063901.480000004</v>
      </c>
      <c r="L99" s="104">
        <f>资产资本表!L64</f>
        <v>96036414.069999993</v>
      </c>
      <c r="M99" s="104">
        <f>资产资本表!M64</f>
        <v>100799280.45</v>
      </c>
      <c r="N99" s="104">
        <f>资产资本表!N64</f>
        <v>22924309.620000001</v>
      </c>
      <c r="O99" s="104">
        <f>资产资本表!O64</f>
        <v>2413500</v>
      </c>
      <c r="P99" s="104">
        <f>资产资本表!P64</f>
        <v>5806823.8099999996</v>
      </c>
      <c r="Q99" s="104">
        <f>资产资本表!Q64</f>
        <v>7250666.4900000002</v>
      </c>
      <c r="R99" s="104">
        <f>资产资本表!R64</f>
        <v>0</v>
      </c>
      <c r="S99" s="104">
        <f>资产资本表!S64</f>
        <v>0</v>
      </c>
      <c r="T99" s="104">
        <f>资产资本表!T64</f>
        <v>0</v>
      </c>
      <c r="U99" s="104">
        <f>资产资本表!U64</f>
        <v>0</v>
      </c>
      <c r="V99" s="104">
        <f>资产资本表!V64</f>
        <v>0</v>
      </c>
      <c r="W99" s="104">
        <f>资产资本表!W64</f>
        <v>0</v>
      </c>
      <c r="X99" s="104">
        <f>资产资本表!X64</f>
        <v>0</v>
      </c>
      <c r="Y99" s="104">
        <f>资产资本表!Y64</f>
        <v>0</v>
      </c>
      <c r="Z99" s="104">
        <f>资产资本表!Z64</f>
        <v>0</v>
      </c>
      <c r="AA99" s="104">
        <f>资产资本表!AA64</f>
        <v>0</v>
      </c>
      <c r="AB99" s="104">
        <f>资产资本表!AB64</f>
        <v>0</v>
      </c>
      <c r="AC99" s="104">
        <f>资产资本表!AC64</f>
        <v>0</v>
      </c>
      <c r="AD99" s="104">
        <f>资产资本表!AD64</f>
        <v>0</v>
      </c>
      <c r="AE99" s="104">
        <f>资产资本表!AE64</f>
        <v>0</v>
      </c>
      <c r="AF99" s="104">
        <f>资产资本表!AF64</f>
        <v>0</v>
      </c>
      <c r="AG99" s="104">
        <f>资产资本表!AG64</f>
        <v>0</v>
      </c>
      <c r="AH99" s="104">
        <f>资产资本表!AH64</f>
        <v>0</v>
      </c>
      <c r="AI99" s="104">
        <f>资产资本表!AI64</f>
        <v>0</v>
      </c>
      <c r="AJ99" s="104">
        <f>资产资本表!AJ64</f>
        <v>0</v>
      </c>
      <c r="AK99" s="104">
        <f>资产资本表!AK64</f>
        <v>0</v>
      </c>
      <c r="AL99" s="104">
        <f>资产资本表!AL64</f>
        <v>0</v>
      </c>
      <c r="AM99" s="104">
        <f>资产资本表!AM64</f>
        <v>0</v>
      </c>
      <c r="AN99" s="104">
        <f>资产资本表!AN64</f>
        <v>0</v>
      </c>
      <c r="AO99" s="104">
        <f>资产资本表!AO64</f>
        <v>0</v>
      </c>
      <c r="AP99" s="104">
        <f>资产资本表!AP64</f>
        <v>0</v>
      </c>
      <c r="AQ99" s="104">
        <f>资产资本表!AQ64</f>
        <v>0</v>
      </c>
      <c r="AR99" s="104">
        <f>资产资本表!AR64</f>
        <v>0</v>
      </c>
      <c r="AS99" s="104">
        <f>资产资本表!AS64</f>
        <v>0</v>
      </c>
      <c r="AT99" s="104">
        <f>资产资本表!AT64</f>
        <v>0</v>
      </c>
      <c r="AU99" s="104">
        <f>资产资本表!AU64</f>
        <v>0</v>
      </c>
      <c r="AV99" s="104">
        <f>资产资本表!AV64</f>
        <v>0</v>
      </c>
      <c r="AW99" s="104">
        <f>资产资本表!AW64</f>
        <v>0</v>
      </c>
      <c r="AX99" s="104">
        <f>资产资本表!AX64</f>
        <v>0</v>
      </c>
      <c r="AY99" s="104">
        <f>资产资本表!AY64</f>
        <v>0</v>
      </c>
      <c r="AZ99" s="104">
        <f>资产资本表!AZ64</f>
        <v>0</v>
      </c>
      <c r="BA99" s="104">
        <f>资产资本表!BA64</f>
        <v>0</v>
      </c>
      <c r="BB99" s="104">
        <f>资产资本表!BB64</f>
        <v>0</v>
      </c>
      <c r="BC99" s="104">
        <f>资产资本表!BC64</f>
        <v>0</v>
      </c>
      <c r="BD99" s="104">
        <f>资产资本表!BD64</f>
        <v>0</v>
      </c>
      <c r="BE99" s="104">
        <f>资产资本表!BE64</f>
        <v>0</v>
      </c>
      <c r="BF99" s="104">
        <f>资产资本表!BF64</f>
        <v>0</v>
      </c>
      <c r="BG99" s="104">
        <f>资产资本表!BG64</f>
        <v>0</v>
      </c>
      <c r="BH99" s="104">
        <f>资产资本表!BH64</f>
        <v>0</v>
      </c>
      <c r="BI99" s="104">
        <f>资产资本表!BI64</f>
        <v>0</v>
      </c>
      <c r="BJ99" s="104">
        <f>资产资本表!BJ64</f>
        <v>0</v>
      </c>
      <c r="BK99" s="104">
        <f>资产资本表!BK64</f>
        <v>0</v>
      </c>
      <c r="BL99" s="104">
        <f>资产资本表!BL64</f>
        <v>0</v>
      </c>
      <c r="BM99" s="104">
        <f>资产资本表!BM64</f>
        <v>0</v>
      </c>
      <c r="BN99" s="104">
        <f>资产资本表!BN64</f>
        <v>0</v>
      </c>
      <c r="BO99" s="104">
        <f>资产资本表!BO64</f>
        <v>0</v>
      </c>
      <c r="BP99" s="104">
        <f>资产资本表!BP64</f>
        <v>0</v>
      </c>
      <c r="BQ99" s="104">
        <f>资产资本表!BQ64</f>
        <v>0</v>
      </c>
      <c r="BR99" s="104">
        <f>资产资本表!BR64</f>
        <v>0</v>
      </c>
      <c r="BS99" s="104">
        <f>资产资本表!BS64</f>
        <v>0</v>
      </c>
      <c r="BT99" s="104">
        <f>资产资本表!BT64</f>
        <v>0</v>
      </c>
      <c r="BU99" s="104">
        <f>资产资本表!BU64</f>
        <v>0</v>
      </c>
      <c r="BV99" s="104">
        <f>资产资本表!BV64</f>
        <v>0</v>
      </c>
      <c r="BW99" s="104">
        <f>资产资本表!BW64</f>
        <v>0</v>
      </c>
      <c r="BX99" s="104">
        <f>资产资本表!BX64</f>
        <v>0</v>
      </c>
      <c r="BY99" s="104">
        <f>资产资本表!BY64</f>
        <v>0</v>
      </c>
      <c r="BZ99" s="104">
        <f>资产资本表!BZ64</f>
        <v>0</v>
      </c>
      <c r="CA99" s="104">
        <f>资产资本表!CA64</f>
        <v>0</v>
      </c>
      <c r="CB99" s="104">
        <f>资产资本表!CB64</f>
        <v>0</v>
      </c>
      <c r="CC99" s="104">
        <f>资产资本表!CC64</f>
        <v>0</v>
      </c>
      <c r="CD99" s="104">
        <f>资产资本表!CD64</f>
        <v>0</v>
      </c>
      <c r="CE99" s="104">
        <f>资产资本表!CE64</f>
        <v>0</v>
      </c>
      <c r="CF99" s="104">
        <f>资产资本表!CF64</f>
        <v>0</v>
      </c>
      <c r="CG99" s="104">
        <f>资产资本表!CG64</f>
        <v>0</v>
      </c>
      <c r="CH99" s="104">
        <f>资产资本表!CH64</f>
        <v>0</v>
      </c>
      <c r="CI99" s="104">
        <f>资产资本表!CI64</f>
        <v>0</v>
      </c>
      <c r="CJ99" s="104">
        <f>资产资本表!CJ64</f>
        <v>0</v>
      </c>
      <c r="CK99" s="104">
        <f>资产资本表!CK64</f>
        <v>0</v>
      </c>
    </row>
    <row r="100" spans="1:89" ht="71.25" customHeight="1">
      <c r="A100" s="169" t="s">
        <v>621</v>
      </c>
      <c r="B100" s="170"/>
      <c r="C100" s="170"/>
      <c r="D100" s="170"/>
      <c r="E100" s="170"/>
      <c r="F100" s="170"/>
      <c r="G100" s="170"/>
      <c r="H100" s="170"/>
      <c r="I100" s="170"/>
      <c r="J100" s="170"/>
      <c r="K100" s="170"/>
      <c r="L100" s="170"/>
      <c r="M100" s="170"/>
      <c r="N100" s="170"/>
      <c r="O100" s="170"/>
      <c r="P100" s="170"/>
      <c r="Q100" s="170"/>
      <c r="R100" s="170"/>
      <c r="S100" s="170"/>
      <c r="T100" s="170"/>
      <c r="U100" s="170"/>
      <c r="V100" s="170"/>
      <c r="W100" s="170"/>
      <c r="X100" s="170"/>
      <c r="Y100" s="170"/>
      <c r="Z100" s="170"/>
      <c r="AA100" s="170"/>
      <c r="AB100" s="170"/>
      <c r="AC100" s="170"/>
      <c r="AD100" s="170"/>
      <c r="AE100" s="170"/>
      <c r="AF100" s="170"/>
      <c r="AG100" s="170"/>
      <c r="AH100" s="170"/>
      <c r="AI100" s="170"/>
      <c r="AJ100" s="170"/>
      <c r="AK100" s="170"/>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16" workbookViewId="0">
      <selection activeCell="AC20" sqref="AC20"/>
    </sheetView>
  </sheetViews>
  <sheetFormatPr defaultRowHeight="13.5"/>
  <cols>
    <col min="1" max="1" width="60.75" style="23" bestFit="1" customWidth="1"/>
    <col min="2" max="4" width="9.5" hidden="1" customWidth="1"/>
    <col min="5" max="5" width="19.5" bestFit="1" customWidth="1"/>
    <col min="6" max="7" width="20.75" hidden="1" customWidth="1"/>
    <col min="8" max="8" width="19.5" hidden="1" customWidth="1"/>
    <col min="9" max="9" width="19.5" bestFit="1" customWidth="1"/>
    <col min="10" max="11" width="19.375" hidden="1" customWidth="1"/>
    <col min="12" max="12" width="18.25" hidden="1" customWidth="1"/>
    <col min="13" max="13" width="19.5" bestFit="1" customWidth="1"/>
    <col min="14" max="15" width="19.5" hidden="1" customWidth="1"/>
    <col min="16" max="16" width="18.25" hidden="1" customWidth="1"/>
    <col min="17" max="17" width="19.5" bestFit="1" customWidth="1"/>
    <col min="18" max="18" width="19.5" hidden="1" customWidth="1"/>
    <col min="19" max="20" width="18.25" hidden="1" customWidth="1"/>
    <col min="21" max="21" width="19.5" bestFit="1" customWidth="1"/>
    <col min="22" max="23" width="19.5" hidden="1" customWidth="1"/>
    <col min="24" max="24" width="17.25" hidden="1" customWidth="1"/>
    <col min="25" max="25" width="19.5" bestFit="1" customWidth="1"/>
    <col min="26" max="26" width="19.5" hidden="1" customWidth="1"/>
    <col min="27" max="28" width="18.25" hidden="1" customWidth="1"/>
    <col min="29" max="29" width="19.5" bestFit="1" customWidth="1"/>
    <col min="30" max="30" width="19.5" hidden="1" customWidth="1"/>
    <col min="31" max="32" width="18.25" hidden="1" customWidth="1"/>
    <col min="33" max="33" width="19.5" bestFit="1" customWidth="1"/>
    <col min="34" max="34" width="20.75" hidden="1" customWidth="1"/>
    <col min="35" max="35" width="19.5" hidden="1" customWidth="1"/>
    <col min="36" max="36" width="17.25" hidden="1" customWidth="1"/>
    <col min="37" max="37" width="19.5" bestFit="1" customWidth="1"/>
    <col min="38" max="39" width="18.25" hidden="1" customWidth="1"/>
    <col min="40" max="40" width="17.25" hidden="1" customWidth="1"/>
    <col min="41" max="41" width="18.25" bestFit="1" customWidth="1"/>
    <col min="42" max="42" width="17.25" hidden="1" customWidth="1"/>
    <col min="43" max="44" width="18.25" bestFit="1" customWidth="1"/>
    <col min="45" max="45" width="9.625" hidden="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2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8"/>
      <c r="BX1" s="48"/>
      <c r="BY1" s="48"/>
      <c r="BZ1" s="48"/>
      <c r="CA1" s="48"/>
      <c r="CB1" s="48"/>
      <c r="CC1" s="48"/>
      <c r="CD1" s="48"/>
      <c r="CE1" s="48"/>
      <c r="CF1" s="48"/>
      <c r="CG1" s="48"/>
      <c r="CH1" s="48"/>
      <c r="CI1" s="48"/>
      <c r="CJ1" s="48"/>
      <c r="CK1" s="48"/>
      <c r="CL1" s="48"/>
    </row>
    <row r="2" spans="1:90" s="33" customFormat="1">
      <c r="A2" s="33" t="s">
        <v>493</v>
      </c>
      <c r="E2" s="33">
        <f>现金流量表!E4</f>
        <v>3418357779.1199999</v>
      </c>
      <c r="F2" s="33">
        <f>现金流量表!F4</f>
        <v>1897387188.6700001</v>
      </c>
      <c r="G2" s="33">
        <f>现金流量表!G4</f>
        <v>1278291270.8499999</v>
      </c>
      <c r="H2" s="33">
        <f>现金流量表!H4</f>
        <v>647788754.39999998</v>
      </c>
      <c r="I2" s="33">
        <f>现金流量表!I4</f>
        <v>3011633782.3099999</v>
      </c>
      <c r="J2" s="33">
        <f>现金流量表!J4</f>
        <v>1650213898.3900001</v>
      </c>
      <c r="K2" s="33">
        <f>现金流量表!K4</f>
        <v>1125864101.52</v>
      </c>
      <c r="L2" s="33">
        <f>现金流量表!L4</f>
        <v>588396375.11000001</v>
      </c>
      <c r="M2" s="33">
        <f>现金流量表!M4</f>
        <v>2763998224.9699998</v>
      </c>
      <c r="N2" s="33">
        <f>现金流量表!N4</f>
        <v>1484807558.6800001</v>
      </c>
      <c r="O2" s="33">
        <f>现金流量表!O4</f>
        <v>973937859.46000004</v>
      </c>
      <c r="P2" s="33">
        <f>现金流量表!P4</f>
        <v>526205237.23000002</v>
      </c>
      <c r="Q2" s="33">
        <f>现金流量表!Q4</f>
        <v>2643125121.5999999</v>
      </c>
      <c r="R2" s="33">
        <f>现金流量表!R4</f>
        <v>1533874257.04</v>
      </c>
      <c r="S2" s="33">
        <f>现金流量表!S4</f>
        <v>999976976.79999995</v>
      </c>
      <c r="T2" s="33">
        <f>现金流量表!T4</f>
        <v>527583229.41000003</v>
      </c>
      <c r="U2" s="33">
        <f>现金流量表!U4</f>
        <v>2166869154.3400002</v>
      </c>
      <c r="V2" s="33">
        <f>现金流量表!V4</f>
        <v>1438846329.28</v>
      </c>
      <c r="W2" s="33">
        <f>现金流量表!W4</f>
        <v>962637882.34000003</v>
      </c>
      <c r="X2" s="33">
        <f>现金流量表!X4</f>
        <v>502162838.74000001</v>
      </c>
      <c r="Y2" s="33">
        <f>现金流量表!Y4</f>
        <v>1981355528.6900001</v>
      </c>
      <c r="Z2" s="33">
        <f>现金流量表!Z4</f>
        <v>1394364884.02</v>
      </c>
      <c r="AA2" s="33">
        <f>现金流量表!AA4</f>
        <v>890657035.03999996</v>
      </c>
      <c r="AB2" s="33">
        <f>现金流量表!AB4</f>
        <v>482198928.61000001</v>
      </c>
      <c r="AC2" s="33">
        <f>现金流量表!AC4</f>
        <v>1555776389.79</v>
      </c>
      <c r="AD2" s="33">
        <f>现金流量表!AD4</f>
        <v>1073156712.58</v>
      </c>
      <c r="AE2" s="33">
        <f>现金流量表!AE4</f>
        <v>690933705.63999999</v>
      </c>
      <c r="AF2" s="33">
        <f>现金流量表!AF4</f>
        <v>367693082.56</v>
      </c>
      <c r="AG2" s="33">
        <f>现金流量表!AG4</f>
        <v>1231605769.4000001</v>
      </c>
      <c r="AH2" s="33">
        <f>现金流量表!AH4</f>
        <v>816590336.07000005</v>
      </c>
      <c r="AI2" s="33">
        <f>现金流量表!AI4</f>
        <v>512502160.69</v>
      </c>
      <c r="AJ2" s="33">
        <f>现金流量表!AJ4</f>
        <v>286967808.22000003</v>
      </c>
      <c r="AK2" s="33">
        <f>现金流量表!AK4</f>
        <v>926182505.46000004</v>
      </c>
      <c r="AL2" s="33">
        <f>现金流量表!AL4</f>
        <v>603337706.61000001</v>
      </c>
      <c r="AM2" s="33">
        <f>现金流量表!AM4</f>
        <v>401010695.13</v>
      </c>
      <c r="AN2" s="33">
        <f>现金流量表!AN4</f>
        <v>208046366.21000001</v>
      </c>
      <c r="AO2" s="33">
        <f>现金流量表!AO4</f>
        <v>801407370.79999995</v>
      </c>
      <c r="AP2" s="33">
        <f>现金流量表!AP4</f>
        <v>545673848.24000001</v>
      </c>
      <c r="AQ2" s="33">
        <f>现金流量表!AQ4</f>
        <v>579333924.02999997</v>
      </c>
      <c r="AR2" s="33">
        <f>现金流量表!AR4</f>
        <v>481559953.31999999</v>
      </c>
      <c r="AS2" s="33">
        <f>现金流量表!AS4</f>
        <v>0</v>
      </c>
      <c r="AT2" s="33">
        <f>现金流量表!AT4</f>
        <v>0</v>
      </c>
      <c r="AU2" s="33">
        <f>现金流量表!AU4</f>
        <v>0</v>
      </c>
      <c r="AV2" s="33">
        <f>现金流量表!AV4</f>
        <v>0</v>
      </c>
      <c r="AW2" s="33">
        <f>现金流量表!AW4</f>
        <v>0</v>
      </c>
      <c r="AX2" s="33">
        <f>现金流量表!AX4</f>
        <v>0</v>
      </c>
      <c r="AY2" s="33">
        <f>现金流量表!AY4</f>
        <v>0</v>
      </c>
      <c r="AZ2" s="33">
        <f>现金流量表!AZ4</f>
        <v>0</v>
      </c>
      <c r="BA2" s="33">
        <f>现金流量表!BA4</f>
        <v>0</v>
      </c>
      <c r="BB2" s="33">
        <f>现金流量表!BB4</f>
        <v>0</v>
      </c>
      <c r="BC2" s="33">
        <f>现金流量表!BC4</f>
        <v>0</v>
      </c>
      <c r="BD2" s="33">
        <f>现金流量表!BD4</f>
        <v>0</v>
      </c>
      <c r="BE2" s="33">
        <f>现金流量表!BE4</f>
        <v>0</v>
      </c>
      <c r="BF2" s="33">
        <f>现金流量表!BF4</f>
        <v>0</v>
      </c>
      <c r="BG2" s="33">
        <f>现金流量表!BG4</f>
        <v>0</v>
      </c>
      <c r="BH2" s="33">
        <f>现金流量表!BH4</f>
        <v>0</v>
      </c>
      <c r="BI2" s="33">
        <f>现金流量表!BI4</f>
        <v>0</v>
      </c>
      <c r="BJ2" s="33">
        <f>现金流量表!BJ4</f>
        <v>0</v>
      </c>
      <c r="BK2" s="33">
        <f>现金流量表!BK4</f>
        <v>0</v>
      </c>
      <c r="BL2" s="33">
        <f>现金流量表!BL4</f>
        <v>0</v>
      </c>
      <c r="BM2" s="33">
        <f>现金流量表!BM4</f>
        <v>0</v>
      </c>
      <c r="BN2" s="33">
        <f>现金流量表!BN4</f>
        <v>0</v>
      </c>
      <c r="BO2" s="33">
        <f>现金流量表!BO4</f>
        <v>0</v>
      </c>
      <c r="BP2" s="33">
        <f>现金流量表!BP4</f>
        <v>0</v>
      </c>
      <c r="BQ2" s="33">
        <f>现金流量表!BQ4</f>
        <v>0</v>
      </c>
      <c r="BR2" s="33">
        <f>现金流量表!BR4</f>
        <v>0</v>
      </c>
      <c r="BS2" s="33">
        <f>现金流量表!BS4</f>
        <v>0</v>
      </c>
      <c r="BT2" s="33">
        <f>现金流量表!BT4</f>
        <v>0</v>
      </c>
      <c r="BU2" s="33">
        <f>现金流量表!BU4</f>
        <v>0</v>
      </c>
      <c r="BV2" s="33">
        <f>现金流量表!BV4</f>
        <v>0</v>
      </c>
      <c r="BW2" s="33">
        <f>现金流量表!BW4</f>
        <v>0</v>
      </c>
      <c r="BX2" s="33">
        <f>现金流量表!BX4</f>
        <v>0</v>
      </c>
      <c r="BY2" s="33">
        <f>现金流量表!BY4</f>
        <v>0</v>
      </c>
      <c r="BZ2" s="33">
        <f>现金流量表!BZ4</f>
        <v>0</v>
      </c>
      <c r="CA2" s="33">
        <f>现金流量表!CA4</f>
        <v>0</v>
      </c>
      <c r="CB2" s="33">
        <f>现金流量表!CB4</f>
        <v>0</v>
      </c>
      <c r="CC2" s="33">
        <f>现金流量表!CC4</f>
        <v>0</v>
      </c>
      <c r="CD2" s="33">
        <f>现金流量表!CD4</f>
        <v>0</v>
      </c>
      <c r="CE2" s="33">
        <f>现金流量表!CE4</f>
        <v>0</v>
      </c>
      <c r="CF2" s="33">
        <f>现金流量表!CF4</f>
        <v>0</v>
      </c>
      <c r="CG2" s="33">
        <f>现金流量表!CG4</f>
        <v>0</v>
      </c>
      <c r="CH2" s="33">
        <f>现金流量表!CH4</f>
        <v>0</v>
      </c>
      <c r="CI2" s="33">
        <f>现金流量表!CI4</f>
        <v>0</v>
      </c>
      <c r="CJ2" s="33">
        <f>现金流量表!CJ4</f>
        <v>0</v>
      </c>
      <c r="CK2" s="33">
        <f>现金流量表!CK4</f>
        <v>0</v>
      </c>
      <c r="CL2" s="33">
        <f>现金流量表!CL4</f>
        <v>0</v>
      </c>
    </row>
    <row r="3" spans="1:90" s="33" customFormat="1">
      <c r="A3" s="33" t="s">
        <v>494</v>
      </c>
      <c r="E3" s="33">
        <f>利润表!E3</f>
        <v>2616208430.02</v>
      </c>
      <c r="F3" s="33">
        <f>利润表!F3</f>
        <v>1538538792.47</v>
      </c>
      <c r="G3" s="33">
        <f>利润表!G3</f>
        <v>961289995.45000005</v>
      </c>
      <c r="H3" s="33">
        <f>利润表!H3</f>
        <v>431372254.86000001</v>
      </c>
      <c r="I3" s="33">
        <f>利润表!I3</f>
        <v>2311575474.5900002</v>
      </c>
      <c r="J3" s="33">
        <f>利润表!J3</f>
        <v>1347750467</v>
      </c>
      <c r="K3" s="33">
        <f>利润表!K3</f>
        <v>881149327.19000006</v>
      </c>
      <c r="L3" s="33">
        <f>利润表!L3</f>
        <v>431129453.88</v>
      </c>
      <c r="M3" s="33">
        <f>利润表!M3</f>
        <v>2092608347.29</v>
      </c>
      <c r="N3" s="33">
        <f>利润表!N3</f>
        <v>1298349056.04</v>
      </c>
      <c r="O3" s="33">
        <f>利润表!O3</f>
        <v>862619894.12</v>
      </c>
      <c r="P3" s="33">
        <f>利润表!P3</f>
        <v>462472843.76999998</v>
      </c>
      <c r="Q3" s="33">
        <f>利润表!Q3</f>
        <v>1969766903.8199999</v>
      </c>
      <c r="R3" s="33">
        <f>利润表!R3</f>
        <v>1299438859.97</v>
      </c>
      <c r="S3" s="33">
        <f>利润表!S3</f>
        <v>853989106.69000006</v>
      </c>
      <c r="T3" s="33">
        <f>利润表!T3</f>
        <v>452252432.13999999</v>
      </c>
      <c r="U3" s="33">
        <f>利润表!U3</f>
        <v>1863895419.51</v>
      </c>
      <c r="V3" s="33">
        <f>利润表!V3</f>
        <v>1255433504.79</v>
      </c>
      <c r="W3" s="33">
        <f>利润表!W3</f>
        <v>820683087.59000003</v>
      </c>
      <c r="X3" s="33">
        <f>利润表!X3</f>
        <v>439128345.19999999</v>
      </c>
      <c r="Y3" s="33">
        <f>利润表!Y3</f>
        <v>1776970381.24</v>
      </c>
      <c r="Z3" s="33">
        <f>利润表!Z3</f>
        <v>1192443012.9400001</v>
      </c>
      <c r="AA3" s="33">
        <f>利润表!AA3</f>
        <v>758478132.33000004</v>
      </c>
      <c r="AB3" s="33">
        <f>利润表!AB3</f>
        <v>404312414</v>
      </c>
      <c r="AC3" s="33">
        <f>利润表!AC3</f>
        <v>1453420015.48</v>
      </c>
      <c r="AD3" s="33">
        <f>利润表!AD3</f>
        <v>944792894.37</v>
      </c>
      <c r="AE3" s="33">
        <f>利润表!AE3</f>
        <v>607588062.33000004</v>
      </c>
      <c r="AF3" s="33">
        <f>利润表!AF3</f>
        <v>332888930.76999998</v>
      </c>
      <c r="AG3" s="33">
        <f>利润表!AG3</f>
        <v>1067301429.12</v>
      </c>
      <c r="AH3" s="33">
        <f>利润表!AH3</f>
        <v>698071299.27999997</v>
      </c>
      <c r="AI3" s="33">
        <f>利润表!AI3</f>
        <v>453223021.43000001</v>
      </c>
      <c r="AJ3" s="33">
        <f>利润表!AJ3</f>
        <v>253170727.09</v>
      </c>
      <c r="AK3" s="33">
        <f>利润表!AK3</f>
        <v>791785397.63</v>
      </c>
      <c r="AL3" s="33">
        <f>利润表!AL3</f>
        <v>522453685.52999997</v>
      </c>
      <c r="AM3" s="33">
        <f>利润表!AM3</f>
        <v>323155042.13999999</v>
      </c>
      <c r="AN3" s="33">
        <f>利润表!AN3</f>
        <v>181748831.08000001</v>
      </c>
      <c r="AO3" s="33">
        <f>利润表!AO3</f>
        <v>680763750.52999997</v>
      </c>
      <c r="AP3" s="33">
        <f>利润表!AP3</f>
        <v>468344420.81</v>
      </c>
      <c r="AQ3" s="33">
        <f>利润表!AQ3</f>
        <v>590236990.59000003</v>
      </c>
      <c r="AR3" s="33">
        <f>利润表!AR3</f>
        <v>419082605.45999998</v>
      </c>
      <c r="AS3" s="33">
        <f>利润表!AS3</f>
        <v>0</v>
      </c>
      <c r="AT3" s="33">
        <f>利润表!AT3</f>
        <v>0</v>
      </c>
      <c r="AU3" s="33">
        <f>利润表!AU3</f>
        <v>0</v>
      </c>
      <c r="AV3" s="33">
        <f>利润表!AV3</f>
        <v>0</v>
      </c>
      <c r="AW3" s="33">
        <f>利润表!AW3</f>
        <v>0</v>
      </c>
      <c r="AX3" s="33">
        <f>利润表!AX3</f>
        <v>0</v>
      </c>
      <c r="AY3" s="33">
        <f>利润表!AY3</f>
        <v>0</v>
      </c>
      <c r="AZ3" s="33">
        <f>利润表!AZ3</f>
        <v>0</v>
      </c>
      <c r="BA3" s="33">
        <f>利润表!BA3</f>
        <v>0</v>
      </c>
      <c r="BB3" s="33">
        <f>利润表!BB3</f>
        <v>0</v>
      </c>
      <c r="BC3" s="33">
        <f>利润表!BC3</f>
        <v>0</v>
      </c>
      <c r="BD3" s="33">
        <f>利润表!BD3</f>
        <v>0</v>
      </c>
      <c r="BE3" s="33">
        <f>利润表!BE3</f>
        <v>0</v>
      </c>
      <c r="BF3" s="33">
        <f>利润表!BF3</f>
        <v>0</v>
      </c>
      <c r="BG3" s="33">
        <f>利润表!BG3</f>
        <v>0</v>
      </c>
      <c r="BH3" s="33">
        <f>利润表!BH3</f>
        <v>0</v>
      </c>
      <c r="BI3" s="33">
        <f>利润表!BI3</f>
        <v>0</v>
      </c>
      <c r="BJ3" s="33">
        <f>利润表!BJ3</f>
        <v>0</v>
      </c>
      <c r="BK3" s="33">
        <f>利润表!BK3</f>
        <v>0</v>
      </c>
      <c r="BL3" s="33">
        <f>利润表!BL3</f>
        <v>0</v>
      </c>
      <c r="BM3" s="33">
        <f>利润表!BM3</f>
        <v>0</v>
      </c>
      <c r="BN3" s="33">
        <f>利润表!BN3</f>
        <v>0</v>
      </c>
      <c r="BO3" s="33">
        <f>利润表!BO3</f>
        <v>0</v>
      </c>
      <c r="BP3" s="33">
        <f>利润表!BP3</f>
        <v>0</v>
      </c>
      <c r="BQ3" s="33">
        <f>利润表!BQ3</f>
        <v>0</v>
      </c>
      <c r="BR3" s="33">
        <f>利润表!BR3</f>
        <v>0</v>
      </c>
      <c r="BS3" s="33">
        <f>利润表!BS3</f>
        <v>0</v>
      </c>
      <c r="BT3" s="33">
        <f>利润表!BT3</f>
        <v>0</v>
      </c>
      <c r="BU3" s="33">
        <f>利润表!BU3</f>
        <v>0</v>
      </c>
      <c r="BV3" s="33">
        <f>利润表!BV3</f>
        <v>0</v>
      </c>
      <c r="BW3" s="33">
        <f>利润表!BW3</f>
        <v>0</v>
      </c>
      <c r="BX3" s="33">
        <f>利润表!BX3</f>
        <v>0</v>
      </c>
      <c r="BY3" s="33">
        <f>利润表!BY3</f>
        <v>0</v>
      </c>
      <c r="BZ3" s="33">
        <f>利润表!BZ3</f>
        <v>0</v>
      </c>
      <c r="CA3" s="33">
        <f>利润表!CA3</f>
        <v>0</v>
      </c>
      <c r="CB3" s="33">
        <f>利润表!CB3</f>
        <v>0</v>
      </c>
      <c r="CC3" s="33">
        <f>利润表!CC3</f>
        <v>0</v>
      </c>
      <c r="CD3" s="33">
        <f>利润表!CD3</f>
        <v>0</v>
      </c>
      <c r="CE3" s="33">
        <f>利润表!CE3</f>
        <v>0</v>
      </c>
      <c r="CF3" s="33">
        <f>利润表!CF3</f>
        <v>0</v>
      </c>
      <c r="CG3" s="33">
        <f>利润表!CG3</f>
        <v>0</v>
      </c>
      <c r="CH3" s="33">
        <f>利润表!CH3</f>
        <v>0</v>
      </c>
      <c r="CI3" s="33">
        <f>利润表!CI3</f>
        <v>0</v>
      </c>
      <c r="CJ3" s="33">
        <f>利润表!CJ3</f>
        <v>0</v>
      </c>
      <c r="CK3" s="33">
        <f>利润表!CK3</f>
        <v>0</v>
      </c>
    </row>
    <row r="4" spans="1:90" s="73" customFormat="1">
      <c r="A4" s="73" t="s">
        <v>519</v>
      </c>
      <c r="E4" s="73">
        <f>$E$32</f>
        <v>0.17</v>
      </c>
      <c r="F4" s="73">
        <f t="shared" ref="F4:BQ4" si="0">$E$32</f>
        <v>0.17</v>
      </c>
      <c r="G4" s="73">
        <f t="shared" si="0"/>
        <v>0.17</v>
      </c>
      <c r="H4" s="73">
        <f t="shared" si="0"/>
        <v>0.17</v>
      </c>
      <c r="I4" s="73">
        <f t="shared" si="0"/>
        <v>0.17</v>
      </c>
      <c r="J4" s="73">
        <f t="shared" si="0"/>
        <v>0.17</v>
      </c>
      <c r="K4" s="73">
        <f t="shared" si="0"/>
        <v>0.17</v>
      </c>
      <c r="L4" s="73">
        <f t="shared" si="0"/>
        <v>0.17</v>
      </c>
      <c r="M4" s="73">
        <f t="shared" si="0"/>
        <v>0.17</v>
      </c>
      <c r="N4" s="73">
        <f t="shared" si="0"/>
        <v>0.17</v>
      </c>
      <c r="O4" s="73">
        <f t="shared" si="0"/>
        <v>0.17</v>
      </c>
      <c r="P4" s="73">
        <f t="shared" si="0"/>
        <v>0.17</v>
      </c>
      <c r="Q4" s="73">
        <f t="shared" si="0"/>
        <v>0.17</v>
      </c>
      <c r="R4" s="73">
        <f t="shared" si="0"/>
        <v>0.17</v>
      </c>
      <c r="S4" s="73">
        <f t="shared" si="0"/>
        <v>0.17</v>
      </c>
      <c r="T4" s="73">
        <f t="shared" si="0"/>
        <v>0.17</v>
      </c>
      <c r="U4" s="73">
        <f t="shared" si="0"/>
        <v>0.17</v>
      </c>
      <c r="V4" s="73">
        <f t="shared" si="0"/>
        <v>0.17</v>
      </c>
      <c r="W4" s="73">
        <f t="shared" si="0"/>
        <v>0.17</v>
      </c>
      <c r="X4" s="73">
        <f t="shared" si="0"/>
        <v>0.17</v>
      </c>
      <c r="Y4" s="73">
        <f t="shared" si="0"/>
        <v>0.17</v>
      </c>
      <c r="Z4" s="73">
        <f t="shared" si="0"/>
        <v>0.17</v>
      </c>
      <c r="AA4" s="73">
        <f t="shared" si="0"/>
        <v>0.17</v>
      </c>
      <c r="AB4" s="73">
        <f t="shared" si="0"/>
        <v>0.17</v>
      </c>
      <c r="AC4" s="73">
        <f t="shared" si="0"/>
        <v>0.17</v>
      </c>
      <c r="AD4" s="73">
        <f t="shared" si="0"/>
        <v>0.17</v>
      </c>
      <c r="AE4" s="73">
        <f t="shared" si="0"/>
        <v>0.17</v>
      </c>
      <c r="AF4" s="73">
        <f t="shared" si="0"/>
        <v>0.17</v>
      </c>
      <c r="AG4" s="73">
        <f t="shared" si="0"/>
        <v>0.17</v>
      </c>
      <c r="AH4" s="73">
        <f t="shared" si="0"/>
        <v>0.17</v>
      </c>
      <c r="AI4" s="73">
        <f t="shared" si="0"/>
        <v>0.17</v>
      </c>
      <c r="AJ4" s="73">
        <f t="shared" si="0"/>
        <v>0.17</v>
      </c>
      <c r="AK4" s="73">
        <f t="shared" si="0"/>
        <v>0.17</v>
      </c>
      <c r="AL4" s="73">
        <f t="shared" si="0"/>
        <v>0.17</v>
      </c>
      <c r="AM4" s="73">
        <f t="shared" si="0"/>
        <v>0.17</v>
      </c>
      <c r="AN4" s="73">
        <f t="shared" si="0"/>
        <v>0.17</v>
      </c>
      <c r="AO4" s="73">
        <f t="shared" si="0"/>
        <v>0.17</v>
      </c>
      <c r="AP4" s="73">
        <f t="shared" si="0"/>
        <v>0.17</v>
      </c>
      <c r="AQ4" s="73">
        <f t="shared" si="0"/>
        <v>0.17</v>
      </c>
      <c r="AR4" s="73">
        <f t="shared" si="0"/>
        <v>0.17</v>
      </c>
      <c r="AS4" s="73">
        <f t="shared" si="0"/>
        <v>0.17</v>
      </c>
      <c r="AT4" s="73">
        <f t="shared" si="0"/>
        <v>0.17</v>
      </c>
      <c r="AU4" s="73">
        <f t="shared" si="0"/>
        <v>0.17</v>
      </c>
      <c r="AV4" s="73">
        <f t="shared" si="0"/>
        <v>0.17</v>
      </c>
      <c r="AW4" s="73">
        <f t="shared" si="0"/>
        <v>0.17</v>
      </c>
      <c r="AX4" s="73">
        <f t="shared" si="0"/>
        <v>0.17</v>
      </c>
      <c r="AY4" s="73">
        <f t="shared" si="0"/>
        <v>0.17</v>
      </c>
      <c r="AZ4" s="73">
        <f t="shared" si="0"/>
        <v>0.17</v>
      </c>
      <c r="BA4" s="73">
        <f t="shared" si="0"/>
        <v>0.17</v>
      </c>
      <c r="BB4" s="73">
        <f t="shared" si="0"/>
        <v>0.17</v>
      </c>
      <c r="BC4" s="73">
        <f t="shared" si="0"/>
        <v>0.17</v>
      </c>
      <c r="BD4" s="73">
        <f t="shared" si="0"/>
        <v>0.17</v>
      </c>
      <c r="BE4" s="73">
        <f t="shared" si="0"/>
        <v>0.17</v>
      </c>
      <c r="BF4" s="73">
        <f t="shared" si="0"/>
        <v>0.17</v>
      </c>
      <c r="BG4" s="73">
        <f t="shared" si="0"/>
        <v>0.17</v>
      </c>
      <c r="BH4" s="73">
        <f t="shared" si="0"/>
        <v>0.17</v>
      </c>
      <c r="BI4" s="73">
        <f t="shared" si="0"/>
        <v>0.17</v>
      </c>
      <c r="BJ4" s="73">
        <f t="shared" si="0"/>
        <v>0.17</v>
      </c>
      <c r="BK4" s="73">
        <f t="shared" si="0"/>
        <v>0.17</v>
      </c>
      <c r="BL4" s="73">
        <f t="shared" si="0"/>
        <v>0.17</v>
      </c>
      <c r="BM4" s="73">
        <f t="shared" si="0"/>
        <v>0.17</v>
      </c>
      <c r="BN4" s="73">
        <f t="shared" si="0"/>
        <v>0.17</v>
      </c>
      <c r="BO4" s="73">
        <f t="shared" si="0"/>
        <v>0.17</v>
      </c>
      <c r="BP4" s="73">
        <f t="shared" si="0"/>
        <v>0.17</v>
      </c>
      <c r="BQ4" s="73">
        <f t="shared" si="0"/>
        <v>0.17</v>
      </c>
      <c r="BR4" s="73">
        <f t="shared" ref="BR4:CK4" si="1">$E$32</f>
        <v>0.17</v>
      </c>
      <c r="BS4" s="73">
        <f t="shared" si="1"/>
        <v>0.17</v>
      </c>
      <c r="BT4" s="73">
        <f t="shared" si="1"/>
        <v>0.17</v>
      </c>
      <c r="BU4" s="73">
        <f t="shared" si="1"/>
        <v>0.17</v>
      </c>
      <c r="BV4" s="73">
        <f t="shared" si="1"/>
        <v>0.17</v>
      </c>
      <c r="BW4" s="73">
        <f t="shared" si="1"/>
        <v>0.17</v>
      </c>
      <c r="BX4" s="73">
        <f t="shared" si="1"/>
        <v>0.17</v>
      </c>
      <c r="BY4" s="73">
        <f t="shared" si="1"/>
        <v>0.17</v>
      </c>
      <c r="BZ4" s="73">
        <f t="shared" si="1"/>
        <v>0.17</v>
      </c>
      <c r="CA4" s="73">
        <f t="shared" si="1"/>
        <v>0.17</v>
      </c>
      <c r="CB4" s="73">
        <f t="shared" si="1"/>
        <v>0.17</v>
      </c>
      <c r="CC4" s="73">
        <f t="shared" si="1"/>
        <v>0.17</v>
      </c>
      <c r="CD4" s="73">
        <f t="shared" si="1"/>
        <v>0.17</v>
      </c>
      <c r="CE4" s="73">
        <f t="shared" si="1"/>
        <v>0.17</v>
      </c>
      <c r="CF4" s="73">
        <f t="shared" si="1"/>
        <v>0.17</v>
      </c>
      <c r="CG4" s="73">
        <f t="shared" si="1"/>
        <v>0.17</v>
      </c>
      <c r="CH4" s="73">
        <f t="shared" si="1"/>
        <v>0.17</v>
      </c>
      <c r="CI4" s="73">
        <f t="shared" si="1"/>
        <v>0.17</v>
      </c>
      <c r="CJ4" s="73">
        <f t="shared" si="1"/>
        <v>0.17</v>
      </c>
      <c r="CK4" s="73">
        <f t="shared" si="1"/>
        <v>0.17</v>
      </c>
    </row>
    <row r="5" spans="1:90" s="35" customFormat="1">
      <c r="A5" s="35" t="s">
        <v>495</v>
      </c>
      <c r="E5" s="35">
        <f>(E2/(1+E4))/E3</f>
        <v>1.1167586198263433</v>
      </c>
      <c r="F5" s="35">
        <f t="shared" ref="F5:BQ5" si="2">(F2/(1+F4))/F3</f>
        <v>1.0540510644201535</v>
      </c>
      <c r="G5" s="35">
        <f t="shared" si="2"/>
        <v>1.1365525979917102</v>
      </c>
      <c r="H5" s="35">
        <f t="shared" si="2"/>
        <v>1.2834984072653717</v>
      </c>
      <c r="I5" s="35">
        <f t="shared" si="2"/>
        <v>1.1135461489713541</v>
      </c>
      <c r="J5" s="35">
        <f t="shared" si="2"/>
        <v>1.0465136269124828</v>
      </c>
      <c r="K5" s="35">
        <f t="shared" si="2"/>
        <v>1.0920702997241925</v>
      </c>
      <c r="L5" s="35">
        <f t="shared" si="2"/>
        <v>1.1664776789974991</v>
      </c>
      <c r="M5" s="35">
        <f t="shared" si="2"/>
        <v>1.1289220213294489</v>
      </c>
      <c r="N5" s="35">
        <f t="shared" si="2"/>
        <v>0.97744615253217992</v>
      </c>
      <c r="O5" s="35">
        <f t="shared" si="2"/>
        <v>0.96499689675622446</v>
      </c>
      <c r="P5" s="35">
        <f t="shared" si="2"/>
        <v>0.97248535144740023</v>
      </c>
      <c r="Q5" s="35">
        <f t="shared" si="2"/>
        <v>1.1468774788183054</v>
      </c>
      <c r="R5" s="35">
        <f t="shared" si="2"/>
        <v>1.0088998250567891</v>
      </c>
      <c r="S5" s="35">
        <f t="shared" si="2"/>
        <v>1.0008103968267452</v>
      </c>
      <c r="T5" s="35">
        <f t="shared" si="2"/>
        <v>0.99706669341465215</v>
      </c>
      <c r="U5" s="35">
        <f t="shared" si="2"/>
        <v>0.99363134801103581</v>
      </c>
      <c r="V5" s="35">
        <f t="shared" si="2"/>
        <v>0.97956855757526795</v>
      </c>
      <c r="W5" s="35">
        <f t="shared" si="2"/>
        <v>1.0025397540718668</v>
      </c>
      <c r="X5" s="35">
        <f t="shared" si="2"/>
        <v>0.97738852925699393</v>
      </c>
      <c r="Y5" s="35">
        <f t="shared" si="2"/>
        <v>0.95300759186311113</v>
      </c>
      <c r="Z5" s="35">
        <f t="shared" si="2"/>
        <v>0.99943128954936311</v>
      </c>
      <c r="AA5" s="35">
        <f t="shared" si="2"/>
        <v>1.0036483540474876</v>
      </c>
      <c r="AB5" s="35">
        <f t="shared" si="2"/>
        <v>1.0193499436275124</v>
      </c>
      <c r="AC5" s="35">
        <f t="shared" si="2"/>
        <v>0.91489273294325357</v>
      </c>
      <c r="AD5" s="35">
        <f t="shared" si="2"/>
        <v>0.97082436260457372</v>
      </c>
      <c r="AE5" s="35">
        <f t="shared" si="2"/>
        <v>0.97194409397628234</v>
      </c>
      <c r="AF5" s="35">
        <f t="shared" si="2"/>
        <v>0.9440614057208111</v>
      </c>
      <c r="AG5" s="35">
        <f t="shared" si="2"/>
        <v>0.98627667408691411</v>
      </c>
      <c r="AH5" s="35">
        <f t="shared" si="2"/>
        <v>0.99981256771242755</v>
      </c>
      <c r="AI5" s="35">
        <f t="shared" si="2"/>
        <v>0.96649114026841676</v>
      </c>
      <c r="AJ5" s="35">
        <f t="shared" si="2"/>
        <v>0.96879933069858049</v>
      </c>
      <c r="AK5" s="35">
        <f t="shared" si="2"/>
        <v>0.99977718886343825</v>
      </c>
      <c r="AL5" s="35">
        <f t="shared" si="2"/>
        <v>0.98702194624141459</v>
      </c>
      <c r="AM5" s="35">
        <f t="shared" si="2"/>
        <v>1.0606184003878494</v>
      </c>
      <c r="AN5" s="35">
        <f t="shared" si="2"/>
        <v>0.97836891693033512</v>
      </c>
      <c r="AO5" s="35">
        <f t="shared" si="2"/>
        <v>1.0061692683446424</v>
      </c>
      <c r="AP5" s="35">
        <f t="shared" si="2"/>
        <v>0.99582248395746087</v>
      </c>
      <c r="AQ5" s="35">
        <f t="shared" si="2"/>
        <v>0.83891251805598055</v>
      </c>
      <c r="AR5" s="35">
        <f t="shared" si="2"/>
        <v>0.98212070443852517</v>
      </c>
      <c r="AS5" s="35" t="e">
        <f t="shared" si="2"/>
        <v>#DIV/0!</v>
      </c>
      <c r="AT5" s="35" t="e">
        <f t="shared" si="2"/>
        <v>#DIV/0!</v>
      </c>
      <c r="AU5" s="35" t="e">
        <f t="shared" si="2"/>
        <v>#DIV/0!</v>
      </c>
      <c r="AV5" s="35" t="e">
        <f t="shared" si="2"/>
        <v>#DIV/0!</v>
      </c>
      <c r="AW5" s="35" t="e">
        <f t="shared" si="2"/>
        <v>#DIV/0!</v>
      </c>
      <c r="AX5" s="35" t="e">
        <f t="shared" si="2"/>
        <v>#DIV/0!</v>
      </c>
      <c r="AY5" s="35" t="e">
        <f t="shared" si="2"/>
        <v>#DIV/0!</v>
      </c>
      <c r="AZ5" s="35" t="e">
        <f t="shared" si="2"/>
        <v>#DIV/0!</v>
      </c>
      <c r="BA5" s="35" t="e">
        <f t="shared" si="2"/>
        <v>#DIV/0!</v>
      </c>
      <c r="BB5" s="35" t="e">
        <f t="shared" si="2"/>
        <v>#DIV/0!</v>
      </c>
      <c r="BC5" s="35" t="e">
        <f t="shared" si="2"/>
        <v>#DIV/0!</v>
      </c>
      <c r="BD5" s="35" t="e">
        <f t="shared" si="2"/>
        <v>#DIV/0!</v>
      </c>
      <c r="BE5" s="35" t="e">
        <f t="shared" si="2"/>
        <v>#DIV/0!</v>
      </c>
      <c r="BF5" s="35" t="e">
        <f t="shared" si="2"/>
        <v>#DIV/0!</v>
      </c>
      <c r="BG5" s="35" t="e">
        <f t="shared" si="2"/>
        <v>#DIV/0!</v>
      </c>
      <c r="BH5" s="35" t="e">
        <f t="shared" si="2"/>
        <v>#DIV/0!</v>
      </c>
      <c r="BI5" s="35" t="e">
        <f t="shared" si="2"/>
        <v>#DIV/0!</v>
      </c>
      <c r="BJ5" s="35" t="e">
        <f t="shared" si="2"/>
        <v>#DIV/0!</v>
      </c>
      <c r="BK5" s="35" t="e">
        <f t="shared" si="2"/>
        <v>#DIV/0!</v>
      </c>
      <c r="BL5" s="35" t="e">
        <f t="shared" si="2"/>
        <v>#DIV/0!</v>
      </c>
      <c r="BM5" s="35" t="e">
        <f t="shared" si="2"/>
        <v>#DIV/0!</v>
      </c>
      <c r="BN5" s="35" t="e">
        <f t="shared" si="2"/>
        <v>#DIV/0!</v>
      </c>
      <c r="BO5" s="35" t="e">
        <f t="shared" si="2"/>
        <v>#DIV/0!</v>
      </c>
      <c r="BP5" s="35" t="e">
        <f t="shared" si="2"/>
        <v>#DIV/0!</v>
      </c>
      <c r="BQ5" s="35" t="e">
        <f t="shared" si="2"/>
        <v>#DIV/0!</v>
      </c>
      <c r="BR5" s="35" t="e">
        <f t="shared" ref="BR5:CL5" si="3">(BR2/(1+BR4))/BR3</f>
        <v>#DIV/0!</v>
      </c>
      <c r="BS5" s="35" t="e">
        <f t="shared" si="3"/>
        <v>#DIV/0!</v>
      </c>
      <c r="BT5" s="35" t="e">
        <f t="shared" si="3"/>
        <v>#DIV/0!</v>
      </c>
      <c r="BU5" s="35" t="e">
        <f t="shared" si="3"/>
        <v>#DIV/0!</v>
      </c>
      <c r="BV5" s="35" t="e">
        <f t="shared" si="3"/>
        <v>#DIV/0!</v>
      </c>
      <c r="BW5" s="35" t="e">
        <f t="shared" si="3"/>
        <v>#DIV/0!</v>
      </c>
      <c r="BX5" s="35" t="e">
        <f t="shared" si="3"/>
        <v>#DIV/0!</v>
      </c>
      <c r="BY5" s="35" t="e">
        <f t="shared" si="3"/>
        <v>#DIV/0!</v>
      </c>
      <c r="BZ5" s="35" t="e">
        <f t="shared" si="3"/>
        <v>#DIV/0!</v>
      </c>
      <c r="CA5" s="35" t="e">
        <f t="shared" si="3"/>
        <v>#DIV/0!</v>
      </c>
      <c r="CB5" s="35" t="e">
        <f t="shared" si="3"/>
        <v>#DIV/0!</v>
      </c>
      <c r="CC5" s="35" t="e">
        <f t="shared" si="3"/>
        <v>#DIV/0!</v>
      </c>
      <c r="CD5" s="35" t="e">
        <f t="shared" si="3"/>
        <v>#DIV/0!</v>
      </c>
      <c r="CE5" s="35" t="e">
        <f t="shared" si="3"/>
        <v>#DIV/0!</v>
      </c>
      <c r="CF5" s="35" t="e">
        <f t="shared" si="3"/>
        <v>#DIV/0!</v>
      </c>
      <c r="CG5" s="35" t="e">
        <f t="shared" si="3"/>
        <v>#DIV/0!</v>
      </c>
      <c r="CH5" s="35" t="e">
        <f t="shared" si="3"/>
        <v>#DIV/0!</v>
      </c>
      <c r="CI5" s="35" t="e">
        <f t="shared" si="3"/>
        <v>#DIV/0!</v>
      </c>
      <c r="CJ5" s="35" t="e">
        <f t="shared" si="3"/>
        <v>#DIV/0!</v>
      </c>
      <c r="CK5" s="35" t="e">
        <f t="shared" si="3"/>
        <v>#DIV/0!</v>
      </c>
      <c r="CL5" s="35" t="e">
        <f t="shared" si="3"/>
        <v>#DIV/0!</v>
      </c>
    </row>
    <row r="6" spans="1:90" s="33" customFormat="1">
      <c r="A6" s="33" t="s">
        <v>496</v>
      </c>
      <c r="E6" s="33">
        <f>现金流量表!E8</f>
        <v>1835912765.29</v>
      </c>
      <c r="F6" s="33">
        <f>现金流量表!F8</f>
        <v>1095533069.49</v>
      </c>
      <c r="G6" s="33">
        <f>现金流量表!G8</f>
        <v>783769204.33000004</v>
      </c>
      <c r="H6" s="33">
        <f>现金流量表!H8</f>
        <v>402859027.94</v>
      </c>
      <c r="I6" s="33">
        <f>现金流量表!I8</f>
        <v>1595103085.8299999</v>
      </c>
      <c r="J6" s="33">
        <f>现金流量表!J8</f>
        <v>802030508.12</v>
      </c>
      <c r="K6" s="33">
        <f>现金流量表!K8</f>
        <v>494071668.22000003</v>
      </c>
      <c r="L6" s="33">
        <f>现金流量表!L8</f>
        <v>291294649.19999999</v>
      </c>
      <c r="M6" s="33">
        <f>现金流量表!M8</f>
        <v>1509818757.3499999</v>
      </c>
      <c r="N6" s="33">
        <f>现金流量表!N8</f>
        <v>786136899.99000001</v>
      </c>
      <c r="O6" s="33">
        <f>现金流量表!O8</f>
        <v>559991911.80999994</v>
      </c>
      <c r="P6" s="33">
        <f>现金流量表!P8</f>
        <v>317178073.32999998</v>
      </c>
      <c r="Q6" s="33">
        <f>现金流量表!Q8</f>
        <v>1298903202.6300001</v>
      </c>
      <c r="R6" s="33">
        <f>现金流量表!R8</f>
        <v>803743311.58000004</v>
      </c>
      <c r="S6" s="33">
        <f>现金流量表!S8</f>
        <v>543631294.95000005</v>
      </c>
      <c r="T6" s="33">
        <f>现金流量表!T8</f>
        <v>269362962.29000002</v>
      </c>
      <c r="U6" s="33">
        <f>现金流量表!U8</f>
        <v>1126030656.1600001</v>
      </c>
      <c r="V6" s="33">
        <f>现金流量表!V8</f>
        <v>892196851.23000002</v>
      </c>
      <c r="W6" s="33">
        <f>现金流量表!W8</f>
        <v>577774050.88999999</v>
      </c>
      <c r="X6" s="33">
        <f>现金流量表!X8</f>
        <v>275066738.35000002</v>
      </c>
      <c r="Y6" s="33">
        <f>现金流量表!Y8</f>
        <v>716858301.76999998</v>
      </c>
      <c r="Z6" s="33">
        <f>现金流量表!Z8</f>
        <v>628793584.21000004</v>
      </c>
      <c r="AA6" s="33">
        <f>现金流量表!AA8</f>
        <v>471582019.57999998</v>
      </c>
      <c r="AB6" s="33">
        <f>现金流量表!AB8</f>
        <v>271056078.17000002</v>
      </c>
      <c r="AC6" s="33">
        <f>现金流量表!AC8</f>
        <v>749968582.15999997</v>
      </c>
      <c r="AD6" s="33">
        <f>现金流量表!AD8</f>
        <v>512634437.06999999</v>
      </c>
      <c r="AE6" s="33">
        <f>现金流量表!AE8</f>
        <v>287575333.56</v>
      </c>
      <c r="AF6" s="33">
        <f>现金流量表!AF8</f>
        <v>164541856.28</v>
      </c>
      <c r="AG6" s="33">
        <f>现金流量表!AG8</f>
        <v>845266367.59000003</v>
      </c>
      <c r="AH6" s="33">
        <f>现金流量表!AH8</f>
        <v>629267399.57000005</v>
      </c>
      <c r="AI6" s="33">
        <f>现金流量表!AI8</f>
        <v>397859413.17000002</v>
      </c>
      <c r="AJ6" s="33">
        <f>现金流量表!AJ8</f>
        <v>186354497.96000001</v>
      </c>
      <c r="AK6" s="33">
        <f>现金流量表!AK8</f>
        <v>466185129.32999998</v>
      </c>
      <c r="AL6" s="33">
        <f>现金流量表!AL8</f>
        <v>316366121.66000003</v>
      </c>
      <c r="AM6" s="33">
        <f>现金流量表!AM8</f>
        <v>221096375.78</v>
      </c>
      <c r="AN6" s="33">
        <f>现金流量表!AN8</f>
        <v>130872930.18000001</v>
      </c>
      <c r="AO6" s="33">
        <f>现金流量表!AO8</f>
        <v>433590063.63</v>
      </c>
      <c r="AP6" s="33">
        <f>现金流量表!AP8</f>
        <v>338898426.41000003</v>
      </c>
      <c r="AQ6" s="33">
        <f>现金流量表!AQ8</f>
        <v>304406458.88</v>
      </c>
      <c r="AR6" s="33">
        <f>现金流量表!AR8</f>
        <v>315922412.38</v>
      </c>
      <c r="AS6" s="33">
        <f>现金流量表!AS8</f>
        <v>0</v>
      </c>
      <c r="AT6" s="33">
        <f>现金流量表!AT8</f>
        <v>0</v>
      </c>
      <c r="AU6" s="33">
        <f>现金流量表!AU8</f>
        <v>0</v>
      </c>
      <c r="AV6" s="33">
        <f>现金流量表!AV8</f>
        <v>0</v>
      </c>
      <c r="AW6" s="33">
        <f>现金流量表!AW8</f>
        <v>0</v>
      </c>
      <c r="AX6" s="33">
        <f>现金流量表!AX8</f>
        <v>0</v>
      </c>
      <c r="AY6" s="33">
        <f>现金流量表!AY8</f>
        <v>0</v>
      </c>
      <c r="AZ6" s="33">
        <f>现金流量表!AZ8</f>
        <v>0</v>
      </c>
      <c r="BA6" s="33">
        <f>现金流量表!BA8</f>
        <v>0</v>
      </c>
      <c r="BB6" s="33">
        <f>现金流量表!BB8</f>
        <v>0</v>
      </c>
      <c r="BC6" s="33">
        <f>现金流量表!BC8</f>
        <v>0</v>
      </c>
      <c r="BD6" s="33">
        <f>现金流量表!BD8</f>
        <v>0</v>
      </c>
      <c r="BE6" s="33">
        <f>现金流量表!BE8</f>
        <v>0</v>
      </c>
      <c r="BF6" s="33">
        <f>现金流量表!BF8</f>
        <v>0</v>
      </c>
      <c r="BG6" s="33">
        <f>现金流量表!BG8</f>
        <v>0</v>
      </c>
      <c r="BH6" s="33">
        <f>现金流量表!BH8</f>
        <v>0</v>
      </c>
      <c r="BI6" s="33">
        <f>现金流量表!BI8</f>
        <v>0</v>
      </c>
      <c r="BJ6" s="33">
        <f>现金流量表!BJ8</f>
        <v>0</v>
      </c>
      <c r="BK6" s="33">
        <f>现金流量表!BK8</f>
        <v>0</v>
      </c>
      <c r="BL6" s="33">
        <f>现金流量表!BL8</f>
        <v>0</v>
      </c>
      <c r="BM6" s="33">
        <f>现金流量表!BM8</f>
        <v>0</v>
      </c>
      <c r="BN6" s="33">
        <f>现金流量表!BN8</f>
        <v>0</v>
      </c>
      <c r="BO6" s="33">
        <f>现金流量表!BO8</f>
        <v>0</v>
      </c>
      <c r="BP6" s="33">
        <f>现金流量表!BP8</f>
        <v>0</v>
      </c>
      <c r="BQ6" s="33">
        <f>现金流量表!BQ8</f>
        <v>0</v>
      </c>
      <c r="BR6" s="33">
        <f>现金流量表!BR8</f>
        <v>0</v>
      </c>
      <c r="BS6" s="33">
        <f>现金流量表!BS8</f>
        <v>0</v>
      </c>
      <c r="BT6" s="33">
        <f>现金流量表!BT8</f>
        <v>0</v>
      </c>
      <c r="BU6" s="33">
        <f>现金流量表!BU8</f>
        <v>0</v>
      </c>
      <c r="BV6" s="33">
        <f>现金流量表!BV8</f>
        <v>0</v>
      </c>
      <c r="BW6" s="33">
        <f>现金流量表!BW8</f>
        <v>0</v>
      </c>
      <c r="BX6" s="33">
        <f>现金流量表!BX8</f>
        <v>0</v>
      </c>
      <c r="BY6" s="33">
        <f>现金流量表!BY8</f>
        <v>0</v>
      </c>
      <c r="BZ6" s="33">
        <f>现金流量表!BZ8</f>
        <v>0</v>
      </c>
      <c r="CA6" s="33">
        <f>现金流量表!CA8</f>
        <v>0</v>
      </c>
      <c r="CB6" s="33">
        <f>现金流量表!CB8</f>
        <v>0</v>
      </c>
      <c r="CC6" s="33">
        <f>现金流量表!CC8</f>
        <v>0</v>
      </c>
      <c r="CD6" s="33">
        <f>现金流量表!CD8</f>
        <v>0</v>
      </c>
      <c r="CE6" s="33">
        <f>现金流量表!CE8</f>
        <v>0</v>
      </c>
      <c r="CF6" s="33">
        <f>现金流量表!CF8</f>
        <v>0</v>
      </c>
      <c r="CG6" s="33">
        <f>现金流量表!CG8</f>
        <v>0</v>
      </c>
      <c r="CH6" s="33">
        <f>现金流量表!CH8</f>
        <v>0</v>
      </c>
      <c r="CI6" s="33">
        <f>现金流量表!CI8</f>
        <v>0</v>
      </c>
      <c r="CJ6" s="33">
        <f>现金流量表!CJ8</f>
        <v>0</v>
      </c>
      <c r="CK6" s="33">
        <f>现金流量表!CK8</f>
        <v>0</v>
      </c>
    </row>
    <row r="7" spans="1:90" s="33" customFormat="1">
      <c r="A7" s="33" t="s">
        <v>497</v>
      </c>
      <c r="E7" s="33">
        <f>现金流量表!E9</f>
        <v>438080967.44</v>
      </c>
      <c r="F7" s="33">
        <f>现金流量表!F9</f>
        <v>282024158.10000002</v>
      </c>
      <c r="G7" s="33">
        <f>现金流量表!G9</f>
        <v>185183311.08000001</v>
      </c>
      <c r="H7" s="33">
        <f>现金流量表!H9</f>
        <v>94382931.549999997</v>
      </c>
      <c r="I7" s="33">
        <f>现金流量表!I9</f>
        <v>367274934.23000002</v>
      </c>
      <c r="J7" s="33">
        <f>现金流量表!J9</f>
        <v>239856018.65000001</v>
      </c>
      <c r="K7" s="33">
        <f>现金流量表!K9</f>
        <v>161668078.71000001</v>
      </c>
      <c r="L7" s="33">
        <f>现金流量表!L9</f>
        <v>81808748.25</v>
      </c>
      <c r="M7" s="33">
        <f>现金流量表!M9</f>
        <v>323461651.97000003</v>
      </c>
      <c r="N7" s="33">
        <f>现金流量表!N9</f>
        <v>230394655.06</v>
      </c>
      <c r="O7" s="33">
        <f>现金流量表!O9</f>
        <v>145235903.05000001</v>
      </c>
      <c r="P7" s="33">
        <f>现金流量表!P9</f>
        <v>73029563.420000002</v>
      </c>
      <c r="Q7" s="33">
        <f>现金流量表!Q9</f>
        <v>282684674.31999999</v>
      </c>
      <c r="R7" s="33">
        <f>现金流量表!R9</f>
        <v>189518715.75</v>
      </c>
      <c r="S7" s="33">
        <f>现金流量表!S9</f>
        <v>126475913.23</v>
      </c>
      <c r="T7" s="33">
        <f>现金流量表!T9</f>
        <v>64030334.619999997</v>
      </c>
      <c r="U7" s="33">
        <f>现金流量表!U9</f>
        <v>281468573.60000002</v>
      </c>
      <c r="V7" s="33">
        <f>现金流量表!V9</f>
        <v>181592888.62</v>
      </c>
      <c r="W7" s="33">
        <f>现金流量表!W9</f>
        <v>118957736.47</v>
      </c>
      <c r="X7" s="33">
        <f>现金流量表!X9</f>
        <v>59646558.359999999</v>
      </c>
      <c r="Y7" s="33">
        <f>现金流量表!Y9</f>
        <v>262020027.56</v>
      </c>
      <c r="Z7" s="33">
        <f>现金流量表!Z9</f>
        <v>162934369.31</v>
      </c>
      <c r="AA7" s="33">
        <f>现金流量表!AA9</f>
        <v>110890135.09999999</v>
      </c>
      <c r="AB7" s="33">
        <f>现金流量表!AB9</f>
        <v>57029024.840000004</v>
      </c>
      <c r="AC7" s="33">
        <f>现金流量表!AC9</f>
        <v>205662220.55000001</v>
      </c>
      <c r="AD7" s="33">
        <f>现金流量表!AD9</f>
        <v>144486694.44999999</v>
      </c>
      <c r="AE7" s="33">
        <f>现金流量表!AE9</f>
        <v>90830239.049999997</v>
      </c>
      <c r="AF7" s="33">
        <f>现金流量表!AF9</f>
        <v>45935995.649999999</v>
      </c>
      <c r="AG7" s="33">
        <f>现金流量表!AG9</f>
        <v>156520800.12</v>
      </c>
      <c r="AH7" s="33">
        <f>现金流量表!AH9</f>
        <v>109369846.47</v>
      </c>
      <c r="AI7" s="33">
        <f>现金流量表!AI9</f>
        <v>71639222.670000002</v>
      </c>
      <c r="AJ7" s="33">
        <f>现金流量表!AJ9</f>
        <v>33193346.039999999</v>
      </c>
      <c r="AK7" s="33">
        <f>现金流量表!AK9</f>
        <v>109167028.43000001</v>
      </c>
      <c r="AL7" s="33">
        <f>现金流量表!AL9</f>
        <v>75975871.870000005</v>
      </c>
      <c r="AM7" s="33">
        <f>现金流量表!AM9</f>
        <v>52634968.030000001</v>
      </c>
      <c r="AN7" s="33">
        <f>现金流量表!AN9</f>
        <v>27411414.789999999</v>
      </c>
      <c r="AO7" s="33">
        <f>现金流量表!AO9</f>
        <v>102962877.51000001</v>
      </c>
      <c r="AP7" s="33">
        <f>现金流量表!AP9</f>
        <v>68193080.450000003</v>
      </c>
      <c r="AQ7" s="33">
        <f>现金流量表!AQ9</f>
        <v>69650063.120000005</v>
      </c>
      <c r="AR7" s="33">
        <f>现金流量表!AR9</f>
        <v>43684134.390000001</v>
      </c>
      <c r="AS7" s="33">
        <f>现金流量表!AS9</f>
        <v>0</v>
      </c>
      <c r="AT7" s="33">
        <f>现金流量表!AT9</f>
        <v>0</v>
      </c>
      <c r="AU7" s="33">
        <f>现金流量表!AU9</f>
        <v>0</v>
      </c>
      <c r="AV7" s="33">
        <f>现金流量表!AV9</f>
        <v>0</v>
      </c>
      <c r="AW7" s="33">
        <f>现金流量表!AW9</f>
        <v>0</v>
      </c>
      <c r="AX7" s="33">
        <f>现金流量表!AX9</f>
        <v>0</v>
      </c>
      <c r="AY7" s="33">
        <f>现金流量表!AY9</f>
        <v>0</v>
      </c>
      <c r="AZ7" s="33">
        <f>现金流量表!AZ9</f>
        <v>0</v>
      </c>
      <c r="BA7" s="33">
        <f>现金流量表!BA9</f>
        <v>0</v>
      </c>
      <c r="BB7" s="33">
        <f>现金流量表!BB9</f>
        <v>0</v>
      </c>
      <c r="BC7" s="33">
        <f>现金流量表!BC9</f>
        <v>0</v>
      </c>
      <c r="BD7" s="33">
        <f>现金流量表!BD9</f>
        <v>0</v>
      </c>
      <c r="BE7" s="33">
        <f>现金流量表!BE9</f>
        <v>0</v>
      </c>
      <c r="BF7" s="33">
        <f>现金流量表!BF9</f>
        <v>0</v>
      </c>
      <c r="BG7" s="33">
        <f>现金流量表!BG9</f>
        <v>0</v>
      </c>
      <c r="BH7" s="33">
        <f>现金流量表!BH9</f>
        <v>0</v>
      </c>
      <c r="BI7" s="33">
        <f>现金流量表!BI9</f>
        <v>0</v>
      </c>
      <c r="BJ7" s="33">
        <f>现金流量表!BJ9</f>
        <v>0</v>
      </c>
      <c r="BK7" s="33">
        <f>现金流量表!BK9</f>
        <v>0</v>
      </c>
      <c r="BL7" s="33">
        <f>现金流量表!BL9</f>
        <v>0</v>
      </c>
      <c r="BM7" s="33">
        <f>现金流量表!BM9</f>
        <v>0</v>
      </c>
      <c r="BN7" s="33">
        <f>现金流量表!BN9</f>
        <v>0</v>
      </c>
      <c r="BO7" s="33">
        <f>现金流量表!BO9</f>
        <v>0</v>
      </c>
      <c r="BP7" s="33">
        <f>现金流量表!BP9</f>
        <v>0</v>
      </c>
      <c r="BQ7" s="33">
        <f>现金流量表!BQ9</f>
        <v>0</v>
      </c>
      <c r="BR7" s="33">
        <f>现金流量表!BR9</f>
        <v>0</v>
      </c>
      <c r="BS7" s="33">
        <f>现金流量表!BS9</f>
        <v>0</v>
      </c>
      <c r="BT7" s="33">
        <f>现金流量表!BT9</f>
        <v>0</v>
      </c>
      <c r="BU7" s="33">
        <f>现金流量表!BU9</f>
        <v>0</v>
      </c>
      <c r="BV7" s="33">
        <f>现金流量表!BV9</f>
        <v>0</v>
      </c>
      <c r="BW7" s="33">
        <f>现金流量表!BW9</f>
        <v>0</v>
      </c>
      <c r="BX7" s="33">
        <f>现金流量表!BX9</f>
        <v>0</v>
      </c>
      <c r="BY7" s="33">
        <f>现金流量表!BY9</f>
        <v>0</v>
      </c>
      <c r="BZ7" s="33">
        <f>现金流量表!BZ9</f>
        <v>0</v>
      </c>
      <c r="CA7" s="33">
        <f>现金流量表!CA9</f>
        <v>0</v>
      </c>
      <c r="CB7" s="33">
        <f>现金流量表!CB9</f>
        <v>0</v>
      </c>
      <c r="CC7" s="33">
        <f>现金流量表!CC9</f>
        <v>0</v>
      </c>
      <c r="CD7" s="33">
        <f>现金流量表!CD9</f>
        <v>0</v>
      </c>
      <c r="CE7" s="33">
        <f>现金流量表!CE9</f>
        <v>0</v>
      </c>
      <c r="CF7" s="33">
        <f>现金流量表!CF9</f>
        <v>0</v>
      </c>
      <c r="CG7" s="33">
        <f>现金流量表!CG9</f>
        <v>0</v>
      </c>
      <c r="CH7" s="33">
        <f>现金流量表!CH9</f>
        <v>0</v>
      </c>
      <c r="CI7" s="33">
        <f>现金流量表!CI9</f>
        <v>0</v>
      </c>
      <c r="CJ7" s="33">
        <f>现金流量表!CJ9</f>
        <v>0</v>
      </c>
      <c r="CK7" s="33">
        <f>现金流量表!CK9</f>
        <v>0</v>
      </c>
      <c r="CL7" s="33">
        <f>现金流量表!CL9</f>
        <v>0</v>
      </c>
    </row>
    <row r="8" spans="1:90" s="67" customFormat="1">
      <c r="A8" s="67" t="s">
        <v>498</v>
      </c>
      <c r="E8" s="67">
        <f>利润表!E6</f>
        <v>1319117997.23</v>
      </c>
      <c r="F8" s="67">
        <f>利润表!F6</f>
        <v>776346533.23000002</v>
      </c>
      <c r="G8" s="67">
        <f>利润表!G6</f>
        <v>478577159.86000001</v>
      </c>
      <c r="H8" s="67">
        <f>利润表!H6</f>
        <v>214613391.94</v>
      </c>
      <c r="I8" s="67">
        <f>利润表!I6</f>
        <v>1150345166.79</v>
      </c>
      <c r="J8" s="67">
        <f>利润表!J6</f>
        <v>663671186.95000005</v>
      </c>
      <c r="K8" s="67">
        <f>利润表!K6</f>
        <v>429896966.41000003</v>
      </c>
      <c r="L8" s="67">
        <f>利润表!L6</f>
        <v>211828510.16999999</v>
      </c>
      <c r="M8" s="67">
        <f>利润表!M6</f>
        <v>1024309455.52</v>
      </c>
      <c r="N8" s="67">
        <f>利润表!N6</f>
        <v>632417690.95000005</v>
      </c>
      <c r="O8" s="67">
        <f>利润表!O6</f>
        <v>413716380.67000002</v>
      </c>
      <c r="P8" s="67">
        <f>利润表!P6</f>
        <v>225173357.06</v>
      </c>
      <c r="Q8" s="67">
        <f>利润表!Q6</f>
        <v>958861199.09000003</v>
      </c>
      <c r="R8" s="67">
        <f>利润表!R6</f>
        <v>630604450.87</v>
      </c>
      <c r="S8" s="67">
        <f>利润表!S6</f>
        <v>409625571.42000002</v>
      </c>
      <c r="T8" s="67">
        <f>利润表!T6</f>
        <v>213115587.27000001</v>
      </c>
      <c r="U8" s="67">
        <f>利润表!U6</f>
        <v>906310286.90999997</v>
      </c>
      <c r="V8" s="67">
        <f>利润表!V6</f>
        <v>615070206.82000005</v>
      </c>
      <c r="W8" s="67">
        <f>利润表!W6</f>
        <v>394895420.13999999</v>
      </c>
      <c r="X8" s="67">
        <f>利润表!X6</f>
        <v>210348888.36000001</v>
      </c>
      <c r="Y8" s="67">
        <f>利润表!Y6</f>
        <v>916028982.89999998</v>
      </c>
      <c r="Z8" s="67">
        <f>利润表!Z6</f>
        <v>628905491.99000001</v>
      </c>
      <c r="AA8" s="67">
        <f>利润表!AA6</f>
        <v>404692572.98000002</v>
      </c>
      <c r="AB8" s="67">
        <f>利润表!AB6</f>
        <v>203424582.31</v>
      </c>
      <c r="AC8" s="67">
        <f>利润表!AC6</f>
        <v>769766859.11000001</v>
      </c>
      <c r="AD8" s="67">
        <f>利润表!AD6</f>
        <v>493964080.81999999</v>
      </c>
      <c r="AE8" s="67">
        <f>利润表!AE6</f>
        <v>313039939.76999998</v>
      </c>
      <c r="AF8" s="67">
        <f>利润表!AF6</f>
        <v>167922259.99000001</v>
      </c>
      <c r="AG8" s="67">
        <f>利润表!AG6</f>
        <v>575141161.89999998</v>
      </c>
      <c r="AH8" s="67">
        <f>利润表!AH6</f>
        <v>378433980.73000002</v>
      </c>
      <c r="AI8" s="67">
        <f>利润表!AI6</f>
        <v>242880521.09999999</v>
      </c>
      <c r="AJ8" s="67">
        <f>利润表!AJ6</f>
        <v>135032498.55000001</v>
      </c>
      <c r="AK8" s="67">
        <f>利润表!AK6</f>
        <v>451407014.26999998</v>
      </c>
      <c r="AL8" s="67">
        <f>利润表!AL6</f>
        <v>299938501.99000001</v>
      </c>
      <c r="AM8" s="67">
        <f>利润表!AM6</f>
        <v>184462048.91999999</v>
      </c>
      <c r="AN8" s="67">
        <f>利润表!AN6</f>
        <v>103831102.13</v>
      </c>
      <c r="AO8" s="67">
        <f>利润表!AO6</f>
        <v>374453565.63999999</v>
      </c>
      <c r="AP8" s="67">
        <f>利润表!AP6</f>
        <v>257326813.56</v>
      </c>
      <c r="AQ8" s="67">
        <f>利润表!AQ6</f>
        <v>369113439.10000002</v>
      </c>
      <c r="AR8" s="67">
        <f>利润表!AR6</f>
        <v>292783827.00999999</v>
      </c>
      <c r="AS8" s="67">
        <f>利润表!AS6</f>
        <v>0</v>
      </c>
      <c r="AT8" s="67">
        <f>利润表!AT6</f>
        <v>0</v>
      </c>
      <c r="AU8" s="67">
        <f>利润表!AU6</f>
        <v>0</v>
      </c>
      <c r="AV8" s="67">
        <f>利润表!AV6</f>
        <v>0</v>
      </c>
      <c r="AW8" s="67">
        <f>利润表!AW6</f>
        <v>0</v>
      </c>
      <c r="AX8" s="67">
        <f>利润表!AX6</f>
        <v>0</v>
      </c>
      <c r="AY8" s="67">
        <f>利润表!AY6</f>
        <v>0</v>
      </c>
      <c r="AZ8" s="67">
        <f>利润表!AZ6</f>
        <v>0</v>
      </c>
      <c r="BA8" s="67">
        <f>利润表!BA6</f>
        <v>0</v>
      </c>
      <c r="BB8" s="67">
        <f>利润表!BB6</f>
        <v>0</v>
      </c>
      <c r="BC8" s="67">
        <f>利润表!BC6</f>
        <v>0</v>
      </c>
      <c r="BD8" s="67">
        <f>利润表!BD6</f>
        <v>0</v>
      </c>
      <c r="BE8" s="67">
        <f>利润表!BE6</f>
        <v>0</v>
      </c>
      <c r="BF8" s="67">
        <f>利润表!BF6</f>
        <v>0</v>
      </c>
      <c r="BG8" s="67">
        <f>利润表!BG6</f>
        <v>0</v>
      </c>
      <c r="BH8" s="67">
        <f>利润表!BH6</f>
        <v>0</v>
      </c>
      <c r="BI8" s="67">
        <f>利润表!BI6</f>
        <v>0</v>
      </c>
      <c r="BJ8" s="67">
        <f>利润表!BJ6</f>
        <v>0</v>
      </c>
      <c r="BK8" s="67">
        <f>利润表!BK6</f>
        <v>0</v>
      </c>
      <c r="BL8" s="67">
        <f>利润表!BL6</f>
        <v>0</v>
      </c>
      <c r="BM8" s="67">
        <f>利润表!BM6</f>
        <v>0</v>
      </c>
      <c r="BN8" s="67">
        <f>利润表!BN6</f>
        <v>0</v>
      </c>
      <c r="BO8" s="67">
        <f>利润表!BO6</f>
        <v>0</v>
      </c>
      <c r="BP8" s="67">
        <f>利润表!BP6</f>
        <v>0</v>
      </c>
      <c r="BQ8" s="67">
        <f>利润表!BQ6</f>
        <v>0</v>
      </c>
      <c r="BR8" s="67">
        <f>利润表!BR6</f>
        <v>0</v>
      </c>
      <c r="BS8" s="67">
        <f>利润表!BS6</f>
        <v>0</v>
      </c>
      <c r="BT8" s="67">
        <f>利润表!BT6</f>
        <v>0</v>
      </c>
      <c r="BU8" s="67">
        <f>利润表!BU6</f>
        <v>0</v>
      </c>
      <c r="BV8" s="67">
        <f>利润表!BV6</f>
        <v>0</v>
      </c>
      <c r="BW8" s="67">
        <f>利润表!BW6</f>
        <v>0</v>
      </c>
      <c r="BX8" s="67">
        <f>利润表!BX6</f>
        <v>0</v>
      </c>
      <c r="BY8" s="67">
        <f>利润表!BY6</f>
        <v>0</v>
      </c>
      <c r="BZ8" s="67">
        <f>利润表!BZ6</f>
        <v>0</v>
      </c>
      <c r="CA8" s="67">
        <f>利润表!CA6</f>
        <v>0</v>
      </c>
      <c r="CB8" s="67">
        <f>利润表!CB6</f>
        <v>0</v>
      </c>
      <c r="CC8" s="67">
        <f>利润表!CC6</f>
        <v>0</v>
      </c>
      <c r="CD8" s="67">
        <f>利润表!CD6</f>
        <v>0</v>
      </c>
      <c r="CE8" s="67">
        <f>利润表!CE6</f>
        <v>0</v>
      </c>
      <c r="CF8" s="67">
        <f>利润表!CF6</f>
        <v>0</v>
      </c>
      <c r="CG8" s="67">
        <f>利润表!CG6</f>
        <v>0</v>
      </c>
      <c r="CH8" s="67">
        <f>利润表!CH6</f>
        <v>0</v>
      </c>
      <c r="CI8" s="67">
        <f>利润表!CI6</f>
        <v>0</v>
      </c>
      <c r="CJ8" s="67">
        <f>利润表!CJ6</f>
        <v>0</v>
      </c>
      <c r="CK8" s="67">
        <f>利润表!CK6</f>
        <v>0</v>
      </c>
      <c r="CL8" s="67">
        <f>利润表!CL6</f>
        <v>0</v>
      </c>
    </row>
    <row r="9" spans="1:90" s="67" customFormat="1">
      <c r="A9" s="67" t="s">
        <v>499</v>
      </c>
      <c r="E9" s="67">
        <f>利润表!E7</f>
        <v>33667441.369999997</v>
      </c>
      <c r="F9" s="67">
        <f>利润表!F7</f>
        <v>19050964.629999999</v>
      </c>
      <c r="G9" s="67">
        <f>利润表!G7</f>
        <v>11347896.02</v>
      </c>
      <c r="H9" s="67">
        <f>利润表!H7</f>
        <v>4513846.1900000004</v>
      </c>
      <c r="I9" s="67">
        <f>利润表!I7</f>
        <v>20735441.370000001</v>
      </c>
      <c r="J9" s="67">
        <f>利润表!J7</f>
        <v>12050446.67</v>
      </c>
      <c r="K9" s="67">
        <f>利润表!K7</f>
        <v>9016859.1500000004</v>
      </c>
      <c r="L9" s="67">
        <f>利润表!L7</f>
        <v>4118994.37</v>
      </c>
      <c r="M9" s="67">
        <f>利润表!M7</f>
        <v>23120160.399999999</v>
      </c>
      <c r="N9" s="67">
        <f>利润表!N7</f>
        <v>12180329.449999999</v>
      </c>
      <c r="O9" s="67">
        <f>利润表!O7</f>
        <v>7217936.29</v>
      </c>
      <c r="P9" s="67">
        <f>利润表!P7</f>
        <v>4155859.83</v>
      </c>
      <c r="Q9" s="67">
        <f>利润表!Q7</f>
        <v>22426295.600000001</v>
      </c>
      <c r="R9" s="67">
        <f>利润表!R7</f>
        <v>14699028.92</v>
      </c>
      <c r="S9" s="67">
        <f>利润表!S7</f>
        <v>9938723.7699999996</v>
      </c>
      <c r="T9" s="67">
        <f>利润表!T7</f>
        <v>5423434.3300000001</v>
      </c>
      <c r="U9" s="67">
        <f>利润表!U7</f>
        <v>18195491.25</v>
      </c>
      <c r="V9" s="67">
        <f>利润表!V7</f>
        <v>11744559.66</v>
      </c>
      <c r="W9" s="67">
        <f>利润表!W7</f>
        <v>6679147.6600000001</v>
      </c>
      <c r="X9" s="67">
        <f>利润表!X7</f>
        <v>3729155.7</v>
      </c>
      <c r="Y9" s="67">
        <f>利润表!Y7</f>
        <v>19667899.760000002</v>
      </c>
      <c r="Z9" s="67">
        <f>利润表!Z7</f>
        <v>12722992.02</v>
      </c>
      <c r="AA9" s="67">
        <f>利润表!AA7</f>
        <v>7466106.8700000001</v>
      </c>
      <c r="AB9" s="67">
        <f>利润表!AB7</f>
        <v>4382780.8499999996</v>
      </c>
      <c r="AC9" s="67">
        <f>利润表!AC7</f>
        <v>12991253.609999999</v>
      </c>
      <c r="AD9" s="67">
        <f>利润表!AD7</f>
        <v>9153135.7899999991</v>
      </c>
      <c r="AE9" s="67">
        <f>利润表!AE7</f>
        <v>6294704.7300000004</v>
      </c>
      <c r="AF9" s="67">
        <f>利润表!AF7</f>
        <v>3615504.33</v>
      </c>
      <c r="AG9" s="67">
        <f>利润表!AG7</f>
        <v>3688998.49</v>
      </c>
      <c r="AH9" s="67">
        <f>利润表!AH7</f>
        <v>2322781.2799999998</v>
      </c>
      <c r="AI9" s="67">
        <f>利润表!AI7</f>
        <v>1605209.89</v>
      </c>
      <c r="AJ9" s="67">
        <f>利润表!AJ7</f>
        <v>1056150.07</v>
      </c>
      <c r="AK9" s="67">
        <f>利润表!AK7</f>
        <v>3304954.88</v>
      </c>
      <c r="AL9" s="67">
        <f>利润表!AL7</f>
        <v>2289413.9500000002</v>
      </c>
      <c r="AM9" s="67">
        <f>利润表!AM7</f>
        <v>1466128.77</v>
      </c>
      <c r="AN9" s="67">
        <f>利润表!AN7</f>
        <v>922576.46</v>
      </c>
      <c r="AO9" s="67">
        <f>利润表!AO7</f>
        <v>1719118.97</v>
      </c>
      <c r="AP9" s="67">
        <f>利润表!AP7</f>
        <v>1195729.94</v>
      </c>
      <c r="AQ9" s="67">
        <f>利润表!AQ7</f>
        <v>2084069.41</v>
      </c>
      <c r="AR9" s="67">
        <f>利润表!AR7</f>
        <v>1204449.57</v>
      </c>
      <c r="AS9" s="67">
        <f>利润表!AS7</f>
        <v>0</v>
      </c>
      <c r="AT9" s="67">
        <f>利润表!AT7</f>
        <v>0</v>
      </c>
      <c r="AU9" s="67">
        <f>利润表!AU7</f>
        <v>0</v>
      </c>
      <c r="AV9" s="67">
        <f>利润表!AV7</f>
        <v>0</v>
      </c>
      <c r="AW9" s="67">
        <f>利润表!AW7</f>
        <v>0</v>
      </c>
      <c r="AX9" s="67">
        <f>利润表!AX7</f>
        <v>0</v>
      </c>
      <c r="AY9" s="67">
        <f>利润表!AY7</f>
        <v>0</v>
      </c>
      <c r="AZ9" s="67">
        <f>利润表!AZ7</f>
        <v>0</v>
      </c>
      <c r="BA9" s="67">
        <f>利润表!BA7</f>
        <v>0</v>
      </c>
      <c r="BB9" s="67">
        <f>利润表!BB7</f>
        <v>0</v>
      </c>
      <c r="BC9" s="67">
        <f>利润表!BC7</f>
        <v>0</v>
      </c>
      <c r="BD9" s="67">
        <f>利润表!BD7</f>
        <v>0</v>
      </c>
      <c r="BE9" s="67">
        <f>利润表!BE7</f>
        <v>0</v>
      </c>
      <c r="BF9" s="67">
        <f>利润表!BF7</f>
        <v>0</v>
      </c>
      <c r="BG9" s="67">
        <f>利润表!BG7</f>
        <v>0</v>
      </c>
      <c r="BH9" s="67">
        <f>利润表!BH7</f>
        <v>0</v>
      </c>
      <c r="BI9" s="67">
        <f>利润表!BI7</f>
        <v>0</v>
      </c>
      <c r="BJ9" s="67">
        <f>利润表!BJ7</f>
        <v>0</v>
      </c>
      <c r="BK9" s="67">
        <f>利润表!BK7</f>
        <v>0</v>
      </c>
      <c r="BL9" s="67">
        <f>利润表!BL7</f>
        <v>0</v>
      </c>
      <c r="BM9" s="67">
        <f>利润表!BM7</f>
        <v>0</v>
      </c>
      <c r="BN9" s="67">
        <f>利润表!BN7</f>
        <v>0</v>
      </c>
      <c r="BO9" s="67">
        <f>利润表!BO7</f>
        <v>0</v>
      </c>
      <c r="BP9" s="67">
        <f>利润表!BP7</f>
        <v>0</v>
      </c>
      <c r="BQ9" s="67">
        <f>利润表!BQ7</f>
        <v>0</v>
      </c>
      <c r="BR9" s="67">
        <f>利润表!BR7</f>
        <v>0</v>
      </c>
      <c r="BS9" s="67">
        <f>利润表!BS7</f>
        <v>0</v>
      </c>
      <c r="BT9" s="67">
        <f>利润表!BT7</f>
        <v>0</v>
      </c>
      <c r="BU9" s="67">
        <f>利润表!BU7</f>
        <v>0</v>
      </c>
      <c r="BV9" s="67">
        <f>利润表!BV7</f>
        <v>0</v>
      </c>
      <c r="BW9" s="67">
        <f>利润表!BW7</f>
        <v>0</v>
      </c>
      <c r="BX9" s="67">
        <f>利润表!BX7</f>
        <v>0</v>
      </c>
      <c r="BY9" s="67">
        <f>利润表!BY7</f>
        <v>0</v>
      </c>
      <c r="BZ9" s="67">
        <f>利润表!BZ7</f>
        <v>0</v>
      </c>
      <c r="CA9" s="67">
        <f>利润表!CA7</f>
        <v>0</v>
      </c>
      <c r="CB9" s="67">
        <f>利润表!CB7</f>
        <v>0</v>
      </c>
      <c r="CC9" s="67">
        <f>利润表!CC7</f>
        <v>0</v>
      </c>
      <c r="CD9" s="67">
        <f>利润表!CD7</f>
        <v>0</v>
      </c>
      <c r="CE9" s="67">
        <f>利润表!CE7</f>
        <v>0</v>
      </c>
      <c r="CF9" s="67">
        <f>利润表!CF7</f>
        <v>0</v>
      </c>
      <c r="CG9" s="67">
        <f>利润表!CG7</f>
        <v>0</v>
      </c>
      <c r="CH9" s="67">
        <f>利润表!CH7</f>
        <v>0</v>
      </c>
      <c r="CI9" s="67">
        <f>利润表!CI7</f>
        <v>0</v>
      </c>
      <c r="CJ9" s="67">
        <f>利润表!CJ7</f>
        <v>0</v>
      </c>
      <c r="CK9" s="67">
        <f>利润表!CK7</f>
        <v>0</v>
      </c>
    </row>
    <row r="10" spans="1:90" s="67" customFormat="1">
      <c r="A10" s="67" t="s">
        <v>500</v>
      </c>
      <c r="E10" s="67">
        <f>利润表!E8</f>
        <v>581949650.57000005</v>
      </c>
      <c r="F10" s="67">
        <f>利润表!F8</f>
        <v>393266623.56</v>
      </c>
      <c r="G10" s="67">
        <f>利润表!G8</f>
        <v>255118134.43000001</v>
      </c>
      <c r="H10" s="67">
        <f>利润表!H8</f>
        <v>112944965.20999999</v>
      </c>
      <c r="I10" s="67">
        <f>利润表!I8</f>
        <v>536781289.69999999</v>
      </c>
      <c r="J10" s="67">
        <f>利润表!J8</f>
        <v>335317136.74000001</v>
      </c>
      <c r="K10" s="67">
        <f>利润表!K8</f>
        <v>213710690.19999999</v>
      </c>
      <c r="L10" s="67">
        <f>利润表!L8</f>
        <v>97758947.700000003</v>
      </c>
      <c r="M10" s="67">
        <f>利润表!M8</f>
        <v>491041931.38</v>
      </c>
      <c r="N10" s="67">
        <f>利润表!N8</f>
        <v>312344719.72000003</v>
      </c>
      <c r="O10" s="67">
        <f>利润表!O8</f>
        <v>194756674.34999999</v>
      </c>
      <c r="P10" s="67">
        <f>利润表!P8</f>
        <v>96178218.680000007</v>
      </c>
      <c r="Q10" s="67">
        <f>利润表!Q8</f>
        <v>442693447.52999997</v>
      </c>
      <c r="R10" s="67">
        <f>利润表!R8</f>
        <v>284599632.86000001</v>
      </c>
      <c r="S10" s="67">
        <f>利润表!S8</f>
        <v>195834542.71000001</v>
      </c>
      <c r="T10" s="67">
        <f>利润表!T8</f>
        <v>88016176.329999998</v>
      </c>
      <c r="U10" s="67">
        <f>利润表!U8</f>
        <v>439227146.56</v>
      </c>
      <c r="V10" s="67">
        <f>利润表!V8</f>
        <v>301442808.35000002</v>
      </c>
      <c r="W10" s="67">
        <f>利润表!W8</f>
        <v>195111798.63999999</v>
      </c>
      <c r="X10" s="67">
        <f>利润表!X8</f>
        <v>85078338.650000006</v>
      </c>
      <c r="Y10" s="67">
        <f>利润表!Y8</f>
        <v>413803577.66000003</v>
      </c>
      <c r="Z10" s="67">
        <f>利润表!Z8</f>
        <v>283123524.36000001</v>
      </c>
      <c r="AA10" s="67">
        <f>利润表!AA8</f>
        <v>170618393.31</v>
      </c>
      <c r="AB10" s="67">
        <f>利润表!AB8</f>
        <v>78539793.730000004</v>
      </c>
      <c r="AC10" s="67">
        <f>利润表!AC8</f>
        <v>340169012.06</v>
      </c>
      <c r="AD10" s="67">
        <f>利润表!AD8</f>
        <v>233425011.93000001</v>
      </c>
      <c r="AE10" s="67">
        <f>利润表!AE8</f>
        <v>150712282.5</v>
      </c>
      <c r="AF10" s="67">
        <f>利润表!AF8</f>
        <v>74504371.730000004</v>
      </c>
      <c r="AG10" s="67">
        <f>利润表!AG8</f>
        <v>268082494.09999999</v>
      </c>
      <c r="AH10" s="67">
        <f>利润表!AH8</f>
        <v>181510605.61000001</v>
      </c>
      <c r="AI10" s="67">
        <f>利润表!AI8</f>
        <v>117079673.52</v>
      </c>
      <c r="AJ10" s="67">
        <f>利润表!AJ8</f>
        <v>57242289.609999999</v>
      </c>
      <c r="AK10" s="67">
        <f>利润表!AK8</f>
        <v>188788629.53999999</v>
      </c>
      <c r="AL10" s="67">
        <f>利润表!AL8</f>
        <v>132282338.7</v>
      </c>
      <c r="AM10" s="67">
        <f>利润表!AM8</f>
        <v>79110212.659999996</v>
      </c>
      <c r="AN10" s="67">
        <f>利润表!AN8</f>
        <v>39204501.539999999</v>
      </c>
      <c r="AO10" s="67">
        <f>利润表!AO8</f>
        <v>171925727.18000001</v>
      </c>
      <c r="AP10" s="67">
        <f>利润表!AP8</f>
        <v>116247201.54000001</v>
      </c>
      <c r="AQ10" s="67">
        <f>利润表!AQ8</f>
        <v>120843376.58</v>
      </c>
      <c r="AR10" s="67">
        <f>利润表!AR8</f>
        <v>62971907.409999996</v>
      </c>
      <c r="AS10" s="67">
        <f>利润表!AS8</f>
        <v>0</v>
      </c>
      <c r="AT10" s="67">
        <f>利润表!AT8</f>
        <v>0</v>
      </c>
      <c r="AU10" s="67">
        <f>利润表!AU8</f>
        <v>0</v>
      </c>
      <c r="AV10" s="67">
        <f>利润表!AV8</f>
        <v>0</v>
      </c>
      <c r="AW10" s="67">
        <f>利润表!AW8</f>
        <v>0</v>
      </c>
      <c r="AX10" s="67">
        <f>利润表!AX8</f>
        <v>0</v>
      </c>
      <c r="AY10" s="67">
        <f>利润表!AY8</f>
        <v>0</v>
      </c>
      <c r="AZ10" s="67">
        <f>利润表!AZ8</f>
        <v>0</v>
      </c>
      <c r="BA10" s="67">
        <f>利润表!BA8</f>
        <v>0</v>
      </c>
      <c r="BB10" s="67">
        <f>利润表!BB8</f>
        <v>0</v>
      </c>
      <c r="BC10" s="67">
        <f>利润表!BC8</f>
        <v>0</v>
      </c>
      <c r="BD10" s="67">
        <f>利润表!BD8</f>
        <v>0</v>
      </c>
      <c r="BE10" s="67">
        <f>利润表!BE8</f>
        <v>0</v>
      </c>
      <c r="BF10" s="67">
        <f>利润表!BF8</f>
        <v>0</v>
      </c>
      <c r="BG10" s="67">
        <f>利润表!BG8</f>
        <v>0</v>
      </c>
      <c r="BH10" s="67">
        <f>利润表!BH8</f>
        <v>0</v>
      </c>
      <c r="BI10" s="67">
        <f>利润表!BI8</f>
        <v>0</v>
      </c>
      <c r="BJ10" s="67">
        <f>利润表!BJ8</f>
        <v>0</v>
      </c>
      <c r="BK10" s="67">
        <f>利润表!BK8</f>
        <v>0</v>
      </c>
      <c r="BL10" s="67">
        <f>利润表!BL8</f>
        <v>0</v>
      </c>
      <c r="BM10" s="67">
        <f>利润表!BM8</f>
        <v>0</v>
      </c>
      <c r="BN10" s="67">
        <f>利润表!BN8</f>
        <v>0</v>
      </c>
      <c r="BO10" s="67">
        <f>利润表!BO8</f>
        <v>0</v>
      </c>
      <c r="BP10" s="67">
        <f>利润表!BP8</f>
        <v>0</v>
      </c>
      <c r="BQ10" s="67">
        <f>利润表!BQ8</f>
        <v>0</v>
      </c>
      <c r="BR10" s="67">
        <f>利润表!BR8</f>
        <v>0</v>
      </c>
      <c r="BS10" s="67">
        <f>利润表!BS8</f>
        <v>0</v>
      </c>
      <c r="BT10" s="67">
        <f>利润表!BT8</f>
        <v>0</v>
      </c>
      <c r="BU10" s="67">
        <f>利润表!BU8</f>
        <v>0</v>
      </c>
      <c r="BV10" s="67">
        <f>利润表!BV8</f>
        <v>0</v>
      </c>
      <c r="BW10" s="67">
        <f>利润表!BW8</f>
        <v>0</v>
      </c>
      <c r="BX10" s="67">
        <f>利润表!BX8</f>
        <v>0</v>
      </c>
      <c r="BY10" s="67">
        <f>利润表!BY8</f>
        <v>0</v>
      </c>
      <c r="BZ10" s="67">
        <f>利润表!BZ8</f>
        <v>0</v>
      </c>
      <c r="CA10" s="67">
        <f>利润表!CA8</f>
        <v>0</v>
      </c>
      <c r="CB10" s="67">
        <f>利润表!CB8</f>
        <v>0</v>
      </c>
      <c r="CC10" s="67">
        <f>利润表!CC8</f>
        <v>0</v>
      </c>
      <c r="CD10" s="67">
        <f>利润表!CD8</f>
        <v>0</v>
      </c>
      <c r="CE10" s="67">
        <f>利润表!CE8</f>
        <v>0</v>
      </c>
      <c r="CF10" s="67">
        <f>利润表!CF8</f>
        <v>0</v>
      </c>
      <c r="CG10" s="67">
        <f>利润表!CG8</f>
        <v>0</v>
      </c>
      <c r="CH10" s="67">
        <f>利润表!CH8</f>
        <v>0</v>
      </c>
      <c r="CI10" s="67">
        <f>利润表!CI8</f>
        <v>0</v>
      </c>
      <c r="CJ10" s="67">
        <f>利润表!CJ8</f>
        <v>0</v>
      </c>
      <c r="CK10" s="67">
        <f>利润表!CK8</f>
        <v>0</v>
      </c>
    </row>
    <row r="11" spans="1:90" s="67" customFormat="1">
      <c r="A11" s="67" t="s">
        <v>501</v>
      </c>
      <c r="E11" s="67">
        <f>利润表!E9</f>
        <v>126559110.14</v>
      </c>
      <c r="F11" s="67">
        <f>利润表!F9</f>
        <v>82016754.299999997</v>
      </c>
      <c r="G11" s="67">
        <f>利润表!G9</f>
        <v>43270541.899999999</v>
      </c>
      <c r="H11" s="67">
        <f>利润表!H9</f>
        <v>19947799.870000001</v>
      </c>
      <c r="I11" s="67">
        <f>利润表!I9</f>
        <v>80658096.329999998</v>
      </c>
      <c r="J11" s="67">
        <f>利润表!J9</f>
        <v>59431122.409999996</v>
      </c>
      <c r="K11" s="67">
        <f>利润表!K9</f>
        <v>37061621.439999998</v>
      </c>
      <c r="L11" s="67">
        <f>利润表!L9</f>
        <v>17943622.510000002</v>
      </c>
      <c r="M11" s="67">
        <f>利润表!M9</f>
        <v>94899743.439999998</v>
      </c>
      <c r="N11" s="67">
        <f>利润表!N9</f>
        <v>63348789.399999999</v>
      </c>
      <c r="O11" s="67">
        <f>利润表!O9</f>
        <v>39330804.799999997</v>
      </c>
      <c r="P11" s="67">
        <f>利润表!P9</f>
        <v>16334024.810000001</v>
      </c>
      <c r="Q11" s="67">
        <f>利润表!Q9</f>
        <v>79730769.569999993</v>
      </c>
      <c r="R11" s="67">
        <f>利润表!R9</f>
        <v>65338429.770000003</v>
      </c>
      <c r="S11" s="67">
        <f>利润表!S9</f>
        <v>41594882.100000001</v>
      </c>
      <c r="T11" s="67">
        <f>利润表!T9</f>
        <v>15198942.51</v>
      </c>
      <c r="U11" s="67">
        <f>利润表!U9</f>
        <v>102620474.59</v>
      </c>
      <c r="V11" s="67">
        <f>利润表!V9</f>
        <v>73499285.280000001</v>
      </c>
      <c r="W11" s="67">
        <f>利润表!W9</f>
        <v>49133728.539999999</v>
      </c>
      <c r="X11" s="67">
        <f>利润表!X9</f>
        <v>23641232.190000001</v>
      </c>
      <c r="Y11" s="67">
        <f>利润表!Y9</f>
        <v>82408828.530000001</v>
      </c>
      <c r="Z11" s="67">
        <f>利润表!Z9</f>
        <v>55783278.270000003</v>
      </c>
      <c r="AA11" s="67">
        <f>利润表!AA9</f>
        <v>34971674.07</v>
      </c>
      <c r="AB11" s="67">
        <f>利润表!AB9</f>
        <v>15883026.970000001</v>
      </c>
      <c r="AC11" s="67">
        <f>利润表!AC9</f>
        <v>67153285.5</v>
      </c>
      <c r="AD11" s="67">
        <f>利润表!AD9</f>
        <v>47665010.130000003</v>
      </c>
      <c r="AE11" s="67">
        <f>利润表!AE9</f>
        <v>28603162.870000001</v>
      </c>
      <c r="AF11" s="67">
        <f>利润表!AF9</f>
        <v>10264823.18</v>
      </c>
      <c r="AG11" s="67">
        <f>利润表!AG9</f>
        <v>66102719.810000002</v>
      </c>
      <c r="AH11" s="67">
        <f>利润表!AH9</f>
        <v>46381059.090000004</v>
      </c>
      <c r="AI11" s="67">
        <f>利润表!AI9</f>
        <v>30587505.18</v>
      </c>
      <c r="AJ11" s="67">
        <f>利润表!AJ9</f>
        <v>13448068.67</v>
      </c>
      <c r="AK11" s="67">
        <f>利润表!AK9</f>
        <v>44445569.060000002</v>
      </c>
      <c r="AL11" s="67">
        <f>利润表!AL9</f>
        <v>25751927.52</v>
      </c>
      <c r="AM11" s="67">
        <f>利润表!AM9</f>
        <v>14667022.720000001</v>
      </c>
      <c r="AN11" s="67">
        <f>利润表!AN9</f>
        <v>7138177.9000000004</v>
      </c>
      <c r="AO11" s="67">
        <f>利润表!AO9</f>
        <v>44352647.75</v>
      </c>
      <c r="AP11" s="67">
        <f>利润表!AP9</f>
        <v>32243544.09</v>
      </c>
      <c r="AQ11" s="67">
        <f>利润表!AQ9</f>
        <v>28827438.100000001</v>
      </c>
      <c r="AR11" s="67">
        <f>利润表!AR9</f>
        <v>20909040.25</v>
      </c>
      <c r="AS11" s="67">
        <f>利润表!AS9</f>
        <v>0</v>
      </c>
      <c r="AT11" s="67">
        <f>利润表!AT9</f>
        <v>0</v>
      </c>
      <c r="AU11" s="67">
        <f>利润表!AU9</f>
        <v>0</v>
      </c>
      <c r="AV11" s="67">
        <f>利润表!AV9</f>
        <v>0</v>
      </c>
      <c r="AW11" s="67">
        <f>利润表!AW9</f>
        <v>0</v>
      </c>
      <c r="AX11" s="67">
        <f>利润表!AX9</f>
        <v>0</v>
      </c>
      <c r="AY11" s="67">
        <f>利润表!AY9</f>
        <v>0</v>
      </c>
      <c r="AZ11" s="67">
        <f>利润表!AZ9</f>
        <v>0</v>
      </c>
      <c r="BA11" s="67">
        <f>利润表!BA9</f>
        <v>0</v>
      </c>
      <c r="BB11" s="67">
        <f>利润表!BB9</f>
        <v>0</v>
      </c>
      <c r="BC11" s="67">
        <f>利润表!BC9</f>
        <v>0</v>
      </c>
      <c r="BD11" s="67">
        <f>利润表!BD9</f>
        <v>0</v>
      </c>
      <c r="BE11" s="67">
        <f>利润表!BE9</f>
        <v>0</v>
      </c>
      <c r="BF11" s="67">
        <f>利润表!BF9</f>
        <v>0</v>
      </c>
      <c r="BG11" s="67">
        <f>利润表!BG9</f>
        <v>0</v>
      </c>
      <c r="BH11" s="67">
        <f>利润表!BH9</f>
        <v>0</v>
      </c>
      <c r="BI11" s="67">
        <f>利润表!BI9</f>
        <v>0</v>
      </c>
      <c r="BJ11" s="67">
        <f>利润表!BJ9</f>
        <v>0</v>
      </c>
      <c r="BK11" s="67">
        <f>利润表!BK9</f>
        <v>0</v>
      </c>
      <c r="BL11" s="67">
        <f>利润表!BL9</f>
        <v>0</v>
      </c>
      <c r="BM11" s="67">
        <f>利润表!BM9</f>
        <v>0</v>
      </c>
      <c r="BN11" s="67">
        <f>利润表!BN9</f>
        <v>0</v>
      </c>
      <c r="BO11" s="67">
        <f>利润表!BO9</f>
        <v>0</v>
      </c>
      <c r="BP11" s="67">
        <f>利润表!BP9</f>
        <v>0</v>
      </c>
      <c r="BQ11" s="67">
        <f>利润表!BQ9</f>
        <v>0</v>
      </c>
      <c r="BR11" s="67">
        <f>利润表!BR9</f>
        <v>0</v>
      </c>
      <c r="BS11" s="67">
        <f>利润表!BS9</f>
        <v>0</v>
      </c>
      <c r="BT11" s="67">
        <f>利润表!BT9</f>
        <v>0</v>
      </c>
      <c r="BU11" s="67">
        <f>利润表!BU9</f>
        <v>0</v>
      </c>
      <c r="BV11" s="67">
        <f>利润表!BV9</f>
        <v>0</v>
      </c>
      <c r="BW11" s="67">
        <f>利润表!BW9</f>
        <v>0</v>
      </c>
      <c r="BX11" s="67">
        <f>利润表!BX9</f>
        <v>0</v>
      </c>
      <c r="BY11" s="67">
        <f>利润表!BY9</f>
        <v>0</v>
      </c>
      <c r="BZ11" s="67">
        <f>利润表!BZ9</f>
        <v>0</v>
      </c>
      <c r="CA11" s="67">
        <f>利润表!CA9</f>
        <v>0</v>
      </c>
      <c r="CB11" s="67">
        <f>利润表!CB9</f>
        <v>0</v>
      </c>
      <c r="CC11" s="67">
        <f>利润表!CC9</f>
        <v>0</v>
      </c>
      <c r="CD11" s="67">
        <f>利润表!CD9</f>
        <v>0</v>
      </c>
      <c r="CE11" s="67">
        <f>利润表!CE9</f>
        <v>0</v>
      </c>
      <c r="CF11" s="67">
        <f>利润表!CF9</f>
        <v>0</v>
      </c>
      <c r="CG11" s="67">
        <f>利润表!CG9</f>
        <v>0</v>
      </c>
      <c r="CH11" s="67">
        <f>利润表!CH9</f>
        <v>0</v>
      </c>
      <c r="CI11" s="67">
        <f>利润表!CI9</f>
        <v>0</v>
      </c>
      <c r="CJ11" s="67">
        <f>利润表!CJ9</f>
        <v>0</v>
      </c>
      <c r="CK11" s="67">
        <f>利润表!CK9</f>
        <v>0</v>
      </c>
    </row>
    <row r="12" spans="1:90" s="67" customFormat="1">
      <c r="A12" s="67" t="s">
        <v>502</v>
      </c>
      <c r="E12" s="67">
        <f>SUM(E8:E11)</f>
        <v>2061294199.3100002</v>
      </c>
      <c r="F12" s="67">
        <f t="shared" ref="F12:BQ12" si="4">SUM(F8:F11)</f>
        <v>1270680875.72</v>
      </c>
      <c r="G12" s="67">
        <f t="shared" si="4"/>
        <v>788313732.20999992</v>
      </c>
      <c r="H12" s="67">
        <f t="shared" si="4"/>
        <v>352020003.20999998</v>
      </c>
      <c r="I12" s="67">
        <f t="shared" si="4"/>
        <v>1788519994.1899998</v>
      </c>
      <c r="J12" s="67">
        <f t="shared" si="4"/>
        <v>1070469892.77</v>
      </c>
      <c r="K12" s="67">
        <f t="shared" si="4"/>
        <v>689686137.20000005</v>
      </c>
      <c r="L12" s="67">
        <f t="shared" si="4"/>
        <v>331650074.75</v>
      </c>
      <c r="M12" s="67">
        <f t="shared" si="4"/>
        <v>1633371290.74</v>
      </c>
      <c r="N12" s="67">
        <f t="shared" si="4"/>
        <v>1020291529.5200001</v>
      </c>
      <c r="O12" s="67">
        <f t="shared" si="4"/>
        <v>655021796.11000001</v>
      </c>
      <c r="P12" s="67">
        <f t="shared" si="4"/>
        <v>341841460.38000005</v>
      </c>
      <c r="Q12" s="67">
        <f t="shared" si="4"/>
        <v>1503711711.79</v>
      </c>
      <c r="R12" s="67">
        <f t="shared" si="4"/>
        <v>995241542.41999996</v>
      </c>
      <c r="S12" s="67">
        <f t="shared" si="4"/>
        <v>656993720</v>
      </c>
      <c r="T12" s="67">
        <f t="shared" si="4"/>
        <v>321754140.44</v>
      </c>
      <c r="U12" s="67">
        <f t="shared" si="4"/>
        <v>1466353399.3099999</v>
      </c>
      <c r="V12" s="67">
        <f t="shared" si="4"/>
        <v>1001756860.11</v>
      </c>
      <c r="W12" s="67">
        <f t="shared" si="4"/>
        <v>645820094.98000002</v>
      </c>
      <c r="X12" s="67">
        <f t="shared" si="4"/>
        <v>322797614.90000004</v>
      </c>
      <c r="Y12" s="67">
        <f t="shared" si="4"/>
        <v>1431909288.8499999</v>
      </c>
      <c r="Z12" s="67">
        <f t="shared" si="4"/>
        <v>980535286.63999999</v>
      </c>
      <c r="AA12" s="67">
        <f t="shared" si="4"/>
        <v>617748747.23000014</v>
      </c>
      <c r="AB12" s="67">
        <f t="shared" si="4"/>
        <v>302230183.86000001</v>
      </c>
      <c r="AC12" s="67">
        <f t="shared" si="4"/>
        <v>1190080410.28</v>
      </c>
      <c r="AD12" s="67">
        <f t="shared" si="4"/>
        <v>784207238.66999996</v>
      </c>
      <c r="AE12" s="67">
        <f t="shared" si="4"/>
        <v>498650089.87</v>
      </c>
      <c r="AF12" s="67">
        <f t="shared" si="4"/>
        <v>256306959.23000002</v>
      </c>
      <c r="AG12" s="67">
        <f t="shared" si="4"/>
        <v>913015374.29999995</v>
      </c>
      <c r="AH12" s="67">
        <f t="shared" si="4"/>
        <v>608648426.71000004</v>
      </c>
      <c r="AI12" s="67">
        <f t="shared" si="4"/>
        <v>392152909.69</v>
      </c>
      <c r="AJ12" s="67">
        <f t="shared" si="4"/>
        <v>206779006.90000001</v>
      </c>
      <c r="AK12" s="67">
        <f t="shared" si="4"/>
        <v>687946167.75</v>
      </c>
      <c r="AL12" s="67">
        <f t="shared" si="4"/>
        <v>460262182.15999997</v>
      </c>
      <c r="AM12" s="67">
        <f t="shared" si="4"/>
        <v>279705413.06999999</v>
      </c>
      <c r="AN12" s="67">
        <f t="shared" si="4"/>
        <v>151096358.03</v>
      </c>
      <c r="AO12" s="67">
        <f t="shared" si="4"/>
        <v>592451059.53999996</v>
      </c>
      <c r="AP12" s="67">
        <f t="shared" si="4"/>
        <v>407013289.13</v>
      </c>
      <c r="AQ12" s="67">
        <f t="shared" si="4"/>
        <v>520868323.19000006</v>
      </c>
      <c r="AR12" s="67">
        <f t="shared" si="4"/>
        <v>377869224.24000001</v>
      </c>
      <c r="AS12" s="67">
        <f t="shared" si="4"/>
        <v>0</v>
      </c>
      <c r="AT12" s="67">
        <f t="shared" si="4"/>
        <v>0</v>
      </c>
      <c r="AU12" s="67">
        <f t="shared" si="4"/>
        <v>0</v>
      </c>
      <c r="AV12" s="67">
        <f t="shared" si="4"/>
        <v>0</v>
      </c>
      <c r="AW12" s="67">
        <f t="shared" si="4"/>
        <v>0</v>
      </c>
      <c r="AX12" s="67">
        <f t="shared" si="4"/>
        <v>0</v>
      </c>
      <c r="AY12" s="67">
        <f t="shared" si="4"/>
        <v>0</v>
      </c>
      <c r="AZ12" s="67">
        <f t="shared" si="4"/>
        <v>0</v>
      </c>
      <c r="BA12" s="67">
        <f t="shared" si="4"/>
        <v>0</v>
      </c>
      <c r="BB12" s="67">
        <f t="shared" si="4"/>
        <v>0</v>
      </c>
      <c r="BC12" s="67">
        <f t="shared" si="4"/>
        <v>0</v>
      </c>
      <c r="BD12" s="67">
        <f t="shared" si="4"/>
        <v>0</v>
      </c>
      <c r="BE12" s="67">
        <f t="shared" si="4"/>
        <v>0</v>
      </c>
      <c r="BF12" s="67">
        <f t="shared" si="4"/>
        <v>0</v>
      </c>
      <c r="BG12" s="67">
        <f t="shared" si="4"/>
        <v>0</v>
      </c>
      <c r="BH12" s="67">
        <f t="shared" si="4"/>
        <v>0</v>
      </c>
      <c r="BI12" s="67">
        <f t="shared" si="4"/>
        <v>0</v>
      </c>
      <c r="BJ12" s="67">
        <f t="shared" si="4"/>
        <v>0</v>
      </c>
      <c r="BK12" s="67">
        <f t="shared" si="4"/>
        <v>0</v>
      </c>
      <c r="BL12" s="67">
        <f t="shared" si="4"/>
        <v>0</v>
      </c>
      <c r="BM12" s="67">
        <f t="shared" si="4"/>
        <v>0</v>
      </c>
      <c r="BN12" s="67">
        <f t="shared" si="4"/>
        <v>0</v>
      </c>
      <c r="BO12" s="67">
        <f t="shared" si="4"/>
        <v>0</v>
      </c>
      <c r="BP12" s="67">
        <f t="shared" si="4"/>
        <v>0</v>
      </c>
      <c r="BQ12" s="67">
        <f t="shared" si="4"/>
        <v>0</v>
      </c>
      <c r="BR12" s="67">
        <f t="shared" ref="BR12:CL12" si="5">SUM(BR8:BR11)</f>
        <v>0</v>
      </c>
      <c r="BS12" s="67">
        <f t="shared" si="5"/>
        <v>0</v>
      </c>
      <c r="BT12" s="67">
        <f t="shared" si="5"/>
        <v>0</v>
      </c>
      <c r="BU12" s="67">
        <f t="shared" si="5"/>
        <v>0</v>
      </c>
      <c r="BV12" s="67">
        <f t="shared" si="5"/>
        <v>0</v>
      </c>
      <c r="BW12" s="67">
        <f t="shared" si="5"/>
        <v>0</v>
      </c>
      <c r="BX12" s="67">
        <f t="shared" si="5"/>
        <v>0</v>
      </c>
      <c r="BY12" s="67">
        <f t="shared" si="5"/>
        <v>0</v>
      </c>
      <c r="BZ12" s="67">
        <f t="shared" si="5"/>
        <v>0</v>
      </c>
      <c r="CA12" s="67">
        <f t="shared" si="5"/>
        <v>0</v>
      </c>
      <c r="CB12" s="67">
        <f t="shared" si="5"/>
        <v>0</v>
      </c>
      <c r="CC12" s="67">
        <f t="shared" si="5"/>
        <v>0</v>
      </c>
      <c r="CD12" s="67">
        <f t="shared" si="5"/>
        <v>0</v>
      </c>
      <c r="CE12" s="67">
        <f t="shared" si="5"/>
        <v>0</v>
      </c>
      <c r="CF12" s="67">
        <f t="shared" si="5"/>
        <v>0</v>
      </c>
      <c r="CG12" s="67">
        <f t="shared" si="5"/>
        <v>0</v>
      </c>
      <c r="CH12" s="67">
        <f t="shared" si="5"/>
        <v>0</v>
      </c>
      <c r="CI12" s="67">
        <f t="shared" si="5"/>
        <v>0</v>
      </c>
      <c r="CJ12" s="67">
        <f t="shared" si="5"/>
        <v>0</v>
      </c>
      <c r="CK12" s="67">
        <f t="shared" si="5"/>
        <v>0</v>
      </c>
      <c r="CL12" s="67">
        <f t="shared" si="5"/>
        <v>0</v>
      </c>
    </row>
    <row r="13" spans="1:90" s="35" customFormat="1">
      <c r="A13" s="35" t="s">
        <v>503</v>
      </c>
      <c r="E13" s="35">
        <f>(E6/(1+E4)+E7)/E12</f>
        <v>0.97377520286113328</v>
      </c>
      <c r="F13" s="35">
        <f t="shared" ref="F13:BQ13" si="6">(F6/(1+F4)+F7)/F12</f>
        <v>0.95883807825138667</v>
      </c>
      <c r="G13" s="35">
        <f t="shared" si="6"/>
        <v>1.0846842887182846</v>
      </c>
      <c r="H13" s="35">
        <f t="shared" si="6"/>
        <v>1.2462555623367797</v>
      </c>
      <c r="I13" s="35">
        <f t="shared" si="6"/>
        <v>0.96762178261733423</v>
      </c>
      <c r="J13" s="35">
        <f t="shared" si="6"/>
        <v>0.86443550228380406</v>
      </c>
      <c r="K13" s="35">
        <f t="shared" si="6"/>
        <v>0.84669174037896144</v>
      </c>
      <c r="L13" s="35">
        <f t="shared" si="6"/>
        <v>0.99737210715350721</v>
      </c>
      <c r="M13" s="35">
        <f t="shared" si="6"/>
        <v>0.98808216078614108</v>
      </c>
      <c r="N13" s="35">
        <f t="shared" si="6"/>
        <v>0.88436148815018278</v>
      </c>
      <c r="O13" s="35">
        <f t="shared" si="6"/>
        <v>0.95242856406385201</v>
      </c>
      <c r="P13" s="35">
        <f t="shared" si="6"/>
        <v>1.0066711434153899</v>
      </c>
      <c r="Q13" s="35">
        <f t="shared" si="6"/>
        <v>0.92628017781646255</v>
      </c>
      <c r="R13" s="35">
        <f t="shared" si="6"/>
        <v>0.88066943928636798</v>
      </c>
      <c r="S13" s="35">
        <f t="shared" si="6"/>
        <v>0.899731652938627</v>
      </c>
      <c r="T13" s="35">
        <f t="shared" si="6"/>
        <v>0.9145339615882554</v>
      </c>
      <c r="U13" s="35">
        <f t="shared" si="6"/>
        <v>0.84828659886807245</v>
      </c>
      <c r="V13" s="35">
        <f t="shared" si="6"/>
        <v>0.9424984619761102</v>
      </c>
      <c r="W13" s="35">
        <f t="shared" si="6"/>
        <v>0.9488427448338147</v>
      </c>
      <c r="X13" s="35">
        <f t="shared" si="6"/>
        <v>0.91309948129211338</v>
      </c>
      <c r="Y13" s="35">
        <f t="shared" si="6"/>
        <v>0.61087628776033021</v>
      </c>
      <c r="Z13" s="35">
        <f t="shared" si="6"/>
        <v>0.7142678011768866</v>
      </c>
      <c r="AA13" s="35">
        <f t="shared" si="6"/>
        <v>0.83197528542332555</v>
      </c>
      <c r="AB13" s="35">
        <f t="shared" si="6"/>
        <v>0.95523512190792159</v>
      </c>
      <c r="AC13" s="35">
        <f t="shared" si="6"/>
        <v>0.71143176663309604</v>
      </c>
      <c r="AD13" s="35">
        <f t="shared" si="6"/>
        <v>0.74296149950229906</v>
      </c>
      <c r="AE13" s="35">
        <f t="shared" si="6"/>
        <v>0.67506479848900414</v>
      </c>
      <c r="AF13" s="35">
        <f t="shared" si="6"/>
        <v>0.72791648501108552</v>
      </c>
      <c r="AG13" s="35">
        <f t="shared" si="6"/>
        <v>0.96271181372269687</v>
      </c>
      <c r="AH13" s="35">
        <f t="shared" si="6"/>
        <v>1.063348235723337</v>
      </c>
      <c r="AI13" s="35">
        <f t="shared" si="6"/>
        <v>1.0498200905422932</v>
      </c>
      <c r="AJ13" s="35">
        <f t="shared" si="6"/>
        <v>0.93080384517390136</v>
      </c>
      <c r="AK13" s="35">
        <f t="shared" si="6"/>
        <v>0.73787147994063307</v>
      </c>
      <c r="AL13" s="35">
        <f t="shared" si="6"/>
        <v>0.75255860654392692</v>
      </c>
      <c r="AM13" s="35">
        <f t="shared" si="6"/>
        <v>0.86378817888648507</v>
      </c>
      <c r="AN13" s="35">
        <f t="shared" si="6"/>
        <v>0.92172056221500498</v>
      </c>
      <c r="AO13" s="35">
        <f t="shared" si="6"/>
        <v>0.79931104495288108</v>
      </c>
      <c r="AP13" s="35">
        <f t="shared" si="6"/>
        <v>0.8792092659291636</v>
      </c>
      <c r="AQ13" s="35">
        <f t="shared" si="6"/>
        <v>0.63322438515978619</v>
      </c>
      <c r="AR13" s="35">
        <f t="shared" si="6"/>
        <v>0.83019010320643694</v>
      </c>
      <c r="AS13" s="35" t="e">
        <f t="shared" si="6"/>
        <v>#DIV/0!</v>
      </c>
      <c r="AT13" s="35" t="e">
        <f t="shared" si="6"/>
        <v>#DIV/0!</v>
      </c>
      <c r="AU13" s="35" t="e">
        <f t="shared" si="6"/>
        <v>#DIV/0!</v>
      </c>
      <c r="AV13" s="35" t="e">
        <f t="shared" si="6"/>
        <v>#DIV/0!</v>
      </c>
      <c r="AW13" s="35" t="e">
        <f t="shared" si="6"/>
        <v>#DIV/0!</v>
      </c>
      <c r="AX13" s="35" t="e">
        <f t="shared" si="6"/>
        <v>#DIV/0!</v>
      </c>
      <c r="AY13" s="35" t="e">
        <f t="shared" si="6"/>
        <v>#DIV/0!</v>
      </c>
      <c r="AZ13" s="35" t="e">
        <f t="shared" si="6"/>
        <v>#DIV/0!</v>
      </c>
      <c r="BA13" s="35" t="e">
        <f t="shared" si="6"/>
        <v>#DIV/0!</v>
      </c>
      <c r="BB13" s="35" t="e">
        <f t="shared" si="6"/>
        <v>#DIV/0!</v>
      </c>
      <c r="BC13" s="35" t="e">
        <f t="shared" si="6"/>
        <v>#DIV/0!</v>
      </c>
      <c r="BD13" s="35" t="e">
        <f t="shared" si="6"/>
        <v>#DIV/0!</v>
      </c>
      <c r="BE13" s="35" t="e">
        <f t="shared" si="6"/>
        <v>#DIV/0!</v>
      </c>
      <c r="BF13" s="35" t="e">
        <f t="shared" si="6"/>
        <v>#DIV/0!</v>
      </c>
      <c r="BG13" s="35" t="e">
        <f t="shared" si="6"/>
        <v>#DIV/0!</v>
      </c>
      <c r="BH13" s="35" t="e">
        <f t="shared" si="6"/>
        <v>#DIV/0!</v>
      </c>
      <c r="BI13" s="35" t="e">
        <f t="shared" si="6"/>
        <v>#DIV/0!</v>
      </c>
      <c r="BJ13" s="35" t="e">
        <f t="shared" si="6"/>
        <v>#DIV/0!</v>
      </c>
      <c r="BK13" s="35" t="e">
        <f t="shared" si="6"/>
        <v>#DIV/0!</v>
      </c>
      <c r="BL13" s="35" t="e">
        <f t="shared" si="6"/>
        <v>#DIV/0!</v>
      </c>
      <c r="BM13" s="35" t="e">
        <f t="shared" si="6"/>
        <v>#DIV/0!</v>
      </c>
      <c r="BN13" s="35" t="e">
        <f t="shared" si="6"/>
        <v>#DIV/0!</v>
      </c>
      <c r="BO13" s="35" t="e">
        <f t="shared" si="6"/>
        <v>#DIV/0!</v>
      </c>
      <c r="BP13" s="35" t="e">
        <f t="shared" si="6"/>
        <v>#DIV/0!</v>
      </c>
      <c r="BQ13" s="35" t="e">
        <f t="shared" si="6"/>
        <v>#DIV/0!</v>
      </c>
      <c r="BR13" s="35" t="e">
        <f t="shared" ref="BR13:CK13" si="7">(BR6/(1+BR4)+BR7)/BR12</f>
        <v>#DIV/0!</v>
      </c>
      <c r="BS13" s="35" t="e">
        <f t="shared" si="7"/>
        <v>#DIV/0!</v>
      </c>
      <c r="BT13" s="35" t="e">
        <f t="shared" si="7"/>
        <v>#DIV/0!</v>
      </c>
      <c r="BU13" s="35" t="e">
        <f t="shared" si="7"/>
        <v>#DIV/0!</v>
      </c>
      <c r="BV13" s="35" t="e">
        <f t="shared" si="7"/>
        <v>#DIV/0!</v>
      </c>
      <c r="BW13" s="35" t="e">
        <f t="shared" si="7"/>
        <v>#DIV/0!</v>
      </c>
      <c r="BX13" s="35" t="e">
        <f t="shared" si="7"/>
        <v>#DIV/0!</v>
      </c>
      <c r="BY13" s="35" t="e">
        <f t="shared" si="7"/>
        <v>#DIV/0!</v>
      </c>
      <c r="BZ13" s="35" t="e">
        <f t="shared" si="7"/>
        <v>#DIV/0!</v>
      </c>
      <c r="CA13" s="35" t="e">
        <f t="shared" si="7"/>
        <v>#DIV/0!</v>
      </c>
      <c r="CB13" s="35" t="e">
        <f t="shared" si="7"/>
        <v>#DIV/0!</v>
      </c>
      <c r="CC13" s="35" t="e">
        <f t="shared" si="7"/>
        <v>#DIV/0!</v>
      </c>
      <c r="CD13" s="35" t="e">
        <f t="shared" si="7"/>
        <v>#DIV/0!</v>
      </c>
      <c r="CE13" s="35" t="e">
        <f t="shared" si="7"/>
        <v>#DIV/0!</v>
      </c>
      <c r="CF13" s="35" t="e">
        <f t="shared" si="7"/>
        <v>#DIV/0!</v>
      </c>
      <c r="CG13" s="35" t="e">
        <f t="shared" si="7"/>
        <v>#DIV/0!</v>
      </c>
      <c r="CH13" s="35" t="e">
        <f t="shared" si="7"/>
        <v>#DIV/0!</v>
      </c>
      <c r="CI13" s="35" t="e">
        <f t="shared" si="7"/>
        <v>#DIV/0!</v>
      </c>
      <c r="CJ13" s="35" t="e">
        <f t="shared" si="7"/>
        <v>#DIV/0!</v>
      </c>
      <c r="CK13" s="35" t="e">
        <f t="shared" si="7"/>
        <v>#DIV/0!</v>
      </c>
    </row>
    <row r="14" spans="1:90" s="33" customFormat="1">
      <c r="A14" s="33" t="s">
        <v>504</v>
      </c>
      <c r="E14" s="33">
        <f>现金流量表!E13</f>
        <v>365753190.24000001</v>
      </c>
      <c r="F14" s="33">
        <f>现金流量表!F13</f>
        <v>-156217887.16999999</v>
      </c>
      <c r="G14" s="33">
        <f>现金流量表!G13</f>
        <v>-170964279.38</v>
      </c>
      <c r="H14" s="33">
        <f>现金流量表!H13</f>
        <v>-47008163.07</v>
      </c>
      <c r="I14" s="33">
        <f>现金流量表!I13</f>
        <v>419806129.66000003</v>
      </c>
      <c r="J14" s="33">
        <f>现金流量表!J13</f>
        <v>38458581.640000001</v>
      </c>
      <c r="K14" s="33">
        <f>现金流量表!K13</f>
        <v>77722048.629999995</v>
      </c>
      <c r="L14" s="33">
        <f>现金流量表!L13</f>
        <v>42734952.859999999</v>
      </c>
      <c r="M14" s="33">
        <f>现金流量表!M13</f>
        <v>290951554.69999999</v>
      </c>
      <c r="N14" s="33">
        <f>现金流量表!N13</f>
        <v>-10436604.26</v>
      </c>
      <c r="O14" s="33">
        <f>现金流量表!O13</f>
        <v>-46057469.100000001</v>
      </c>
      <c r="P14" s="33">
        <f>现金流量表!P13</f>
        <v>-8499977.6899999995</v>
      </c>
      <c r="Q14" s="33">
        <f>现金流量表!Q13</f>
        <v>435767496.19</v>
      </c>
      <c r="R14" s="33">
        <f>现金流量表!R13</f>
        <v>169747549.08000001</v>
      </c>
      <c r="S14" s="33">
        <f>现金流量表!S13</f>
        <v>68292200.230000004</v>
      </c>
      <c r="T14" s="33">
        <f>现金流量表!T13</f>
        <v>82976613.319999993</v>
      </c>
      <c r="U14" s="33">
        <f>现金流量表!U13</f>
        <v>217813465.68000001</v>
      </c>
      <c r="V14" s="33">
        <f>现金流量表!V13</f>
        <v>-34473593.109999999</v>
      </c>
      <c r="W14" s="33">
        <f>现金流量表!W13</f>
        <v>-28741700.43</v>
      </c>
      <c r="X14" s="33">
        <f>现金流量表!X13</f>
        <v>1166724.8</v>
      </c>
      <c r="Y14" s="33">
        <f>现金流量表!Y13</f>
        <v>450064115.00999999</v>
      </c>
      <c r="Z14" s="33">
        <f>现金流量表!Z13</f>
        <v>201993886.41999999</v>
      </c>
      <c r="AA14" s="33">
        <f>现金流量表!AA13</f>
        <v>19555694</v>
      </c>
      <c r="AB14" s="33">
        <f>现金流量表!AB13</f>
        <v>17890091.710000001</v>
      </c>
      <c r="AC14" s="33">
        <f>现金流量表!AC13</f>
        <v>211728037.77000001</v>
      </c>
      <c r="AD14" s="33">
        <f>现金流量表!AD13</f>
        <v>118929974.05</v>
      </c>
      <c r="AE14" s="33">
        <f>现金流量表!AE13</f>
        <v>107214877.97</v>
      </c>
      <c r="AF14" s="33">
        <f>现金流量表!AF13</f>
        <v>61700397.140000001</v>
      </c>
      <c r="AG14" s="33">
        <f>现金流量表!AG13</f>
        <v>-62782604.369999997</v>
      </c>
      <c r="AH14" s="33">
        <f>现金流量表!AH13</f>
        <v>-153018539.22999999</v>
      </c>
      <c r="AI14" s="33">
        <f>现金流量表!AI13</f>
        <v>-90324023.590000004</v>
      </c>
      <c r="AJ14" s="33">
        <f>现金流量表!AJ13</f>
        <v>7892284.5199999996</v>
      </c>
      <c r="AK14" s="33">
        <f>现金流量表!AK13</f>
        <v>129223126.90000001</v>
      </c>
      <c r="AL14" s="33">
        <f>现金流量表!AL13</f>
        <v>67541082.170000002</v>
      </c>
      <c r="AM14" s="33">
        <f>现金流量表!AM13</f>
        <v>32600062.800000001</v>
      </c>
      <c r="AN14" s="33">
        <f>现金流量表!AN13</f>
        <v>8494115.5700000003</v>
      </c>
      <c r="AO14" s="33">
        <f>现金流量表!AO13</f>
        <v>67072056.210000001</v>
      </c>
      <c r="AP14" s="33">
        <f>现金流量表!AP13</f>
        <v>8862501.5299999993</v>
      </c>
      <c r="AQ14" s="33">
        <f>现金流量表!AQ13</f>
        <v>50597222.119999997</v>
      </c>
      <c r="AR14" s="33">
        <f>现金流量表!AR13</f>
        <v>41802969.229999997</v>
      </c>
      <c r="AS14" s="33">
        <f>现金流量表!AS13</f>
        <v>0</v>
      </c>
      <c r="AT14" s="33">
        <f>现金流量表!AT13</f>
        <v>0</v>
      </c>
      <c r="AU14" s="33">
        <f>现金流量表!AU13</f>
        <v>0</v>
      </c>
      <c r="AV14" s="33">
        <f>现金流量表!AV13</f>
        <v>0</v>
      </c>
      <c r="AW14" s="33">
        <f>现金流量表!AW13</f>
        <v>0</v>
      </c>
      <c r="AX14" s="33">
        <f>现金流量表!AX13</f>
        <v>0</v>
      </c>
      <c r="AY14" s="33">
        <f>现金流量表!AY13</f>
        <v>0</v>
      </c>
      <c r="AZ14" s="33">
        <f>现金流量表!AZ13</f>
        <v>0</v>
      </c>
      <c r="BA14" s="33">
        <f>现金流量表!BA13</f>
        <v>0</v>
      </c>
      <c r="BB14" s="33">
        <f>现金流量表!BB13</f>
        <v>0</v>
      </c>
      <c r="BC14" s="33">
        <f>现金流量表!BC13</f>
        <v>0</v>
      </c>
      <c r="BD14" s="33">
        <f>现金流量表!BD13</f>
        <v>0</v>
      </c>
      <c r="BE14" s="33">
        <f>现金流量表!BE13</f>
        <v>0</v>
      </c>
      <c r="BF14" s="33">
        <f>现金流量表!BF13</f>
        <v>0</v>
      </c>
      <c r="BG14" s="33">
        <f>现金流量表!BG13</f>
        <v>0</v>
      </c>
      <c r="BH14" s="33">
        <f>现金流量表!BH13</f>
        <v>0</v>
      </c>
      <c r="BI14" s="33">
        <f>现金流量表!BI13</f>
        <v>0</v>
      </c>
      <c r="BJ14" s="33">
        <f>现金流量表!BJ13</f>
        <v>0</v>
      </c>
      <c r="BK14" s="33">
        <f>现金流量表!BK13</f>
        <v>0</v>
      </c>
      <c r="BL14" s="33">
        <f>现金流量表!BL13</f>
        <v>0</v>
      </c>
      <c r="BM14" s="33">
        <f>现金流量表!BM13</f>
        <v>0</v>
      </c>
      <c r="BN14" s="33">
        <f>现金流量表!BN13</f>
        <v>0</v>
      </c>
      <c r="BO14" s="33">
        <f>现金流量表!BO13</f>
        <v>0</v>
      </c>
      <c r="BP14" s="33">
        <f>现金流量表!BP13</f>
        <v>0</v>
      </c>
      <c r="BQ14" s="33">
        <f>现金流量表!BQ13</f>
        <v>0</v>
      </c>
      <c r="BR14" s="33">
        <f>现金流量表!BR13</f>
        <v>0</v>
      </c>
      <c r="BS14" s="33">
        <f>现金流量表!BS13</f>
        <v>0</v>
      </c>
      <c r="BT14" s="33">
        <f>现金流量表!BT13</f>
        <v>0</v>
      </c>
      <c r="BU14" s="33">
        <f>现金流量表!BU13</f>
        <v>0</v>
      </c>
      <c r="BV14" s="33">
        <f>现金流量表!BV13</f>
        <v>0</v>
      </c>
      <c r="BW14" s="33">
        <f>现金流量表!BW13</f>
        <v>0</v>
      </c>
      <c r="BX14" s="33">
        <f>现金流量表!BX13</f>
        <v>0</v>
      </c>
      <c r="BY14" s="33">
        <f>现金流量表!BY13</f>
        <v>0</v>
      </c>
      <c r="BZ14" s="33">
        <f>现金流量表!BZ13</f>
        <v>0</v>
      </c>
      <c r="CA14" s="33">
        <f>现金流量表!CA13</f>
        <v>0</v>
      </c>
      <c r="CB14" s="33">
        <f>现金流量表!CB13</f>
        <v>0</v>
      </c>
      <c r="CC14" s="33">
        <f>现金流量表!CC13</f>
        <v>0</v>
      </c>
      <c r="CD14" s="33">
        <f>现金流量表!CD13</f>
        <v>0</v>
      </c>
      <c r="CE14" s="33">
        <f>现金流量表!CE13</f>
        <v>0</v>
      </c>
      <c r="CF14" s="33">
        <f>现金流量表!CF13</f>
        <v>0</v>
      </c>
      <c r="CG14" s="33">
        <f>现金流量表!CG13</f>
        <v>0</v>
      </c>
      <c r="CH14" s="33">
        <f>现金流量表!CH13</f>
        <v>0</v>
      </c>
      <c r="CI14" s="33">
        <f>现金流量表!CI13</f>
        <v>0</v>
      </c>
      <c r="CJ14" s="33">
        <f>现金流量表!CJ13</f>
        <v>0</v>
      </c>
      <c r="CK14" s="33">
        <f>现金流量表!CK13</f>
        <v>0</v>
      </c>
    </row>
    <row r="15" spans="1:90" s="33" customFormat="1">
      <c r="A15" s="33" t="s">
        <v>505</v>
      </c>
      <c r="E15" s="33">
        <f>股权价值增加表!E17</f>
        <v>460342407.97175407</v>
      </c>
      <c r="F15" s="33">
        <f>股权价值增加表!F17</f>
        <v>222310938.69006878</v>
      </c>
      <c r="G15" s="33">
        <f>股权价值增加表!G17</f>
        <v>147632554.00707045</v>
      </c>
      <c r="H15" s="33">
        <f>股权价值增加表!H17</f>
        <v>68595442.571527973</v>
      </c>
      <c r="I15" s="33">
        <f>股权价值增加表!I17</f>
        <v>416785713.12285483</v>
      </c>
      <c r="J15" s="33">
        <f>股权价值增加表!J17</f>
        <v>222840519.6904735</v>
      </c>
      <c r="K15" s="33">
        <f>股权价值增加表!K17</f>
        <v>156751861.65526953</v>
      </c>
      <c r="L15" s="33">
        <f>股权价值增加表!L17</f>
        <v>80410468.181160063</v>
      </c>
      <c r="M15" s="33">
        <f>股权价值增加表!M17</f>
        <v>370340003.07109141</v>
      </c>
      <c r="N15" s="33">
        <f>股权价值增加表!N17</f>
        <v>223197437.85039365</v>
      </c>
      <c r="O15" s="33">
        <f>股权价值增加表!O17</f>
        <v>163736898.33238417</v>
      </c>
      <c r="P15" s="33">
        <f>股权价值增加表!P17</f>
        <v>92935422.523568526</v>
      </c>
      <c r="Q15" s="33">
        <f>股权价值增加表!Q17</f>
        <v>355639161.32765001</v>
      </c>
      <c r="R15" s="33">
        <f>股权价值增加表!R17</f>
        <v>235496268.29230952</v>
      </c>
      <c r="S15" s="33">
        <f>股权价值增加表!S17</f>
        <v>153027016.4847745</v>
      </c>
      <c r="T15" s="33">
        <f>股权价值增加表!T17</f>
        <v>99721319.959109187</v>
      </c>
      <c r="U15" s="33">
        <f>股权价值增加表!U17</f>
        <v>298431325.56034911</v>
      </c>
      <c r="V15" s="33">
        <f>股权价值增加表!V17</f>
        <v>202569406.21976304</v>
      </c>
      <c r="W15" s="33">
        <f>股权价值增加表!W17</f>
        <v>132844218.49301153</v>
      </c>
      <c r="X15" s="33">
        <f>股权价值增加表!X17</f>
        <v>87162305.530891135</v>
      </c>
      <c r="Y15" s="33">
        <f>股权价值增加表!Y17</f>
        <v>251599662.55032301</v>
      </c>
      <c r="Z15" s="33">
        <f>股权价值增加表!Z17</f>
        <v>160292604.73476851</v>
      </c>
      <c r="AA15" s="33">
        <f>股权价值增加表!AA17</f>
        <v>107242257.94598928</v>
      </c>
      <c r="AB15" s="33">
        <f>股权价值增加表!AB17</f>
        <v>76842569.178709894</v>
      </c>
      <c r="AC15" s="33">
        <f>股权价值增加表!AC17</f>
        <v>197978854.9647738</v>
      </c>
      <c r="AD15" s="33">
        <f>股权价值增加表!AD17</f>
        <v>123135676.7084475</v>
      </c>
      <c r="AE15" s="33">
        <f>股权价值增加表!AE17</f>
        <v>82869587.939695537</v>
      </c>
      <c r="AF15" s="33">
        <f>股权价值增加表!AF17</f>
        <v>58235493.357691705</v>
      </c>
      <c r="AG15" s="33">
        <f>股权价值增加表!AG17</f>
        <v>119010513.76442324</v>
      </c>
      <c r="AH15" s="33">
        <f>股权价值增加表!AH17</f>
        <v>67930623.105684325</v>
      </c>
      <c r="AI15" s="33">
        <f>股权价值增加表!AI17</f>
        <v>47196067.050980181</v>
      </c>
      <c r="AJ15" s="33">
        <f>股权价值增加表!AJ17</f>
        <v>36170142.041440062</v>
      </c>
      <c r="AK15" s="33">
        <f>股权价值增加表!AK17</f>
        <v>87668362.559835687</v>
      </c>
      <c r="AL15" s="33">
        <f>股权价值增加表!AL17</f>
        <v>53762745.916569911</v>
      </c>
      <c r="AM15" s="33">
        <f>股权价值增加表!AM17</f>
        <v>36137395.917931661</v>
      </c>
      <c r="AN15" s="33">
        <f>股权价值增加表!AN17</f>
        <v>25469935.446959831</v>
      </c>
      <c r="AO15" s="33">
        <f>股权价值增加表!AO17</f>
        <v>69815679.642379463</v>
      </c>
      <c r="AP15" s="33">
        <f>股权价值增加表!AP17</f>
        <v>49594110.670709372</v>
      </c>
      <c r="AQ15" s="33">
        <f>股权价值增加表!AQ17</f>
        <v>63981639.734579101</v>
      </c>
      <c r="AR15" s="33">
        <f>股权价值增加表!AR17</f>
        <v>35883815.488721333</v>
      </c>
      <c r="AS15" s="33" t="e">
        <f>股权价值增加表!AS17</f>
        <v>#DIV/0!</v>
      </c>
      <c r="AT15" s="33">
        <f>股权价值增加表!AT17</f>
        <v>0</v>
      </c>
      <c r="AU15" s="33">
        <f>股权价值增加表!AU17</f>
        <v>0</v>
      </c>
      <c r="AV15" s="33">
        <f>股权价值增加表!AV17</f>
        <v>0</v>
      </c>
      <c r="AW15" s="33">
        <f>股权价值增加表!AW17</f>
        <v>0</v>
      </c>
      <c r="AX15" s="33">
        <f>股权价值增加表!AX17</f>
        <v>0</v>
      </c>
      <c r="AY15" s="33">
        <f>股权价值增加表!AY17</f>
        <v>0</v>
      </c>
      <c r="AZ15" s="33">
        <f>股权价值增加表!AZ17</f>
        <v>0</v>
      </c>
      <c r="BA15" s="33">
        <f>股权价值增加表!BA17</f>
        <v>0</v>
      </c>
      <c r="BB15" s="33">
        <f>股权价值增加表!BB17</f>
        <v>0</v>
      </c>
      <c r="BC15" s="33">
        <f>股权价值增加表!BC17</f>
        <v>0</v>
      </c>
      <c r="BD15" s="33">
        <f>股权价值增加表!BD17</f>
        <v>0</v>
      </c>
      <c r="BE15" s="33">
        <f>股权价值增加表!BE17</f>
        <v>0</v>
      </c>
      <c r="BF15" s="33">
        <f>股权价值增加表!BF17</f>
        <v>0</v>
      </c>
      <c r="BG15" s="33">
        <f>股权价值增加表!BG17</f>
        <v>0</v>
      </c>
      <c r="BH15" s="33">
        <f>股权价值增加表!BH17</f>
        <v>0</v>
      </c>
      <c r="BI15" s="33">
        <f>股权价值增加表!BI17</f>
        <v>0</v>
      </c>
      <c r="BJ15" s="33">
        <f>股权价值增加表!BJ17</f>
        <v>0</v>
      </c>
      <c r="BK15" s="33">
        <f>股权价值增加表!BK17</f>
        <v>0</v>
      </c>
      <c r="BL15" s="33">
        <f>股权价值增加表!BL17</f>
        <v>0</v>
      </c>
      <c r="BM15" s="33">
        <f>股权价值增加表!BM17</f>
        <v>0</v>
      </c>
      <c r="BN15" s="33">
        <f>股权价值增加表!BN17</f>
        <v>0</v>
      </c>
      <c r="BO15" s="33">
        <f>股权价值增加表!BO17</f>
        <v>0</v>
      </c>
      <c r="BP15" s="33">
        <f>股权价值增加表!BP17</f>
        <v>0</v>
      </c>
      <c r="BQ15" s="33">
        <f>股权价值增加表!BQ17</f>
        <v>0</v>
      </c>
      <c r="BR15" s="33">
        <f>股权价值增加表!BR17</f>
        <v>0</v>
      </c>
      <c r="BS15" s="33">
        <f>股权价值增加表!BS17</f>
        <v>0</v>
      </c>
      <c r="BT15" s="33">
        <f>股权价值增加表!BT17</f>
        <v>0</v>
      </c>
      <c r="BU15" s="33">
        <f>股权价值增加表!BU17</f>
        <v>0</v>
      </c>
      <c r="BV15" s="33">
        <f>股权价值增加表!BV17</f>
        <v>0</v>
      </c>
      <c r="BW15" s="33">
        <f>股权价值增加表!BW17</f>
        <v>0</v>
      </c>
      <c r="BX15" s="33">
        <f>股权价值增加表!BX17</f>
        <v>0</v>
      </c>
      <c r="BY15" s="33">
        <f>股权价值增加表!BY17</f>
        <v>0</v>
      </c>
      <c r="BZ15" s="33">
        <f>股权价值增加表!BZ17</f>
        <v>0</v>
      </c>
      <c r="CA15" s="33">
        <f>股权价值增加表!CA17</f>
        <v>0</v>
      </c>
      <c r="CB15" s="33">
        <f>股权价值增加表!CB17</f>
        <v>0</v>
      </c>
      <c r="CC15" s="33">
        <f>股权价值增加表!CC17</f>
        <v>0</v>
      </c>
      <c r="CD15" s="33">
        <f>股权价值增加表!CD17</f>
        <v>0</v>
      </c>
      <c r="CE15" s="33">
        <f>股权价值增加表!CE17</f>
        <v>0</v>
      </c>
      <c r="CF15" s="33">
        <f>股权价值增加表!CF17</f>
        <v>0</v>
      </c>
      <c r="CG15" s="33" t="e">
        <f>股权价值增加表!CG17</f>
        <v>#DIV/0!</v>
      </c>
      <c r="CH15" s="33" t="e">
        <f>股权价值增加表!CH17</f>
        <v>#DIV/0!</v>
      </c>
      <c r="CI15" s="33" t="e">
        <f>股权价值增加表!CI17</f>
        <v>#DIV/0!</v>
      </c>
      <c r="CJ15" s="33" t="e">
        <f>股权价值增加表!CJ17</f>
        <v>#DIV/0!</v>
      </c>
      <c r="CK15" s="33">
        <f>股权价值增加表!CK17</f>
        <v>0</v>
      </c>
    </row>
    <row r="16" spans="1:90" s="35" customFormat="1">
      <c r="A16" s="35" t="s">
        <v>506</v>
      </c>
      <c r="E16" s="35">
        <f>E14/E15</f>
        <v>0.79452421481542512</v>
      </c>
      <c r="F16" s="35">
        <f t="shared" ref="F16:BQ16" si="8">F14/F15</f>
        <v>-0.70269995750316472</v>
      </c>
      <c r="G16" s="35">
        <f t="shared" si="8"/>
        <v>-1.1580391637186751</v>
      </c>
      <c r="H16" s="35">
        <f t="shared" si="8"/>
        <v>-0.68529571802065692</v>
      </c>
      <c r="I16" s="35">
        <f t="shared" si="8"/>
        <v>1.0072469291581856</v>
      </c>
      <c r="J16" s="35">
        <f t="shared" si="8"/>
        <v>0.17258343183465533</v>
      </c>
      <c r="K16" s="35">
        <f t="shared" si="8"/>
        <v>0.4958285522689817</v>
      </c>
      <c r="L16" s="35">
        <f t="shared" si="8"/>
        <v>0.53146006765836329</v>
      </c>
      <c r="M16" s="35">
        <f t="shared" si="8"/>
        <v>0.78563361313184465</v>
      </c>
      <c r="N16" s="35">
        <f t="shared" si="8"/>
        <v>-4.6759516419697972E-2</v>
      </c>
      <c r="O16" s="35">
        <f t="shared" si="8"/>
        <v>-0.2812894928942884</v>
      </c>
      <c r="P16" s="35">
        <f t="shared" si="8"/>
        <v>-9.1461118475513428E-2</v>
      </c>
      <c r="Q16" s="35">
        <f t="shared" si="8"/>
        <v>1.2253079626079981</v>
      </c>
      <c r="R16" s="35">
        <f t="shared" si="8"/>
        <v>0.7208078085946612</v>
      </c>
      <c r="S16" s="35">
        <f t="shared" si="8"/>
        <v>0.44627544729524782</v>
      </c>
      <c r="T16" s="35">
        <f t="shared" si="8"/>
        <v>0.83208498798476216</v>
      </c>
      <c r="U16" s="35">
        <f t="shared" si="8"/>
        <v>0.72986126798526563</v>
      </c>
      <c r="V16" s="35">
        <f t="shared" si="8"/>
        <v>-0.17018163676996895</v>
      </c>
      <c r="W16" s="35">
        <f t="shared" si="8"/>
        <v>-0.21635642676848596</v>
      </c>
      <c r="X16" s="35">
        <f t="shared" si="8"/>
        <v>1.3385657858562517E-2</v>
      </c>
      <c r="Y16" s="35">
        <f t="shared" si="8"/>
        <v>1.7888104874543767</v>
      </c>
      <c r="Z16" s="35">
        <f t="shared" si="8"/>
        <v>1.2601572402808812</v>
      </c>
      <c r="AA16" s="35">
        <f t="shared" si="8"/>
        <v>0.18235063653591563</v>
      </c>
      <c r="AB16" s="35">
        <f t="shared" si="8"/>
        <v>0.23281485641628774</v>
      </c>
      <c r="AC16" s="35">
        <f t="shared" si="8"/>
        <v>1.0694477337373862</v>
      </c>
      <c r="AD16" s="35">
        <f t="shared" si="8"/>
        <v>0.96584497059771324</v>
      </c>
      <c r="AE16" s="35">
        <f t="shared" si="8"/>
        <v>1.2937783405900438</v>
      </c>
      <c r="AF16" s="35">
        <f t="shared" si="8"/>
        <v>1.0594981442163853</v>
      </c>
      <c r="AG16" s="35">
        <f t="shared" si="8"/>
        <v>-0.52753830215602437</v>
      </c>
      <c r="AH16" s="35">
        <f t="shared" si="8"/>
        <v>-2.2525708176110584</v>
      </c>
      <c r="AI16" s="35">
        <f t="shared" si="8"/>
        <v>-1.9138040356717421</v>
      </c>
      <c r="AJ16" s="35">
        <f t="shared" si="8"/>
        <v>0.21819888102617413</v>
      </c>
      <c r="AK16" s="35">
        <f t="shared" si="8"/>
        <v>1.4739995492878315</v>
      </c>
      <c r="AL16" s="35">
        <f t="shared" si="8"/>
        <v>1.2562803669814704</v>
      </c>
      <c r="AM16" s="35">
        <f t="shared" si="8"/>
        <v>0.90211433258874063</v>
      </c>
      <c r="AN16" s="35">
        <f t="shared" si="8"/>
        <v>0.3334957635714732</v>
      </c>
      <c r="AO16" s="35">
        <f t="shared" si="8"/>
        <v>0.96070190183017246</v>
      </c>
      <c r="AP16" s="35">
        <f t="shared" si="8"/>
        <v>0.17870068462048772</v>
      </c>
      <c r="AQ16" s="35">
        <f t="shared" si="8"/>
        <v>0.7908084620822019</v>
      </c>
      <c r="AR16" s="35">
        <f t="shared" si="8"/>
        <v>1.1649532988803579</v>
      </c>
      <c r="AS16" s="35" t="e">
        <f t="shared" si="8"/>
        <v>#DIV/0!</v>
      </c>
      <c r="AT16" s="35" t="e">
        <f t="shared" si="8"/>
        <v>#DIV/0!</v>
      </c>
      <c r="AU16" s="35" t="e">
        <f t="shared" si="8"/>
        <v>#DIV/0!</v>
      </c>
      <c r="AV16" s="35" t="e">
        <f t="shared" si="8"/>
        <v>#DIV/0!</v>
      </c>
      <c r="AW16" s="35" t="e">
        <f t="shared" si="8"/>
        <v>#DIV/0!</v>
      </c>
      <c r="AX16" s="35" t="e">
        <f t="shared" si="8"/>
        <v>#DIV/0!</v>
      </c>
      <c r="AY16" s="35" t="e">
        <f t="shared" si="8"/>
        <v>#DIV/0!</v>
      </c>
      <c r="AZ16" s="35" t="e">
        <f t="shared" si="8"/>
        <v>#DIV/0!</v>
      </c>
      <c r="BA16" s="35" t="e">
        <f t="shared" si="8"/>
        <v>#DIV/0!</v>
      </c>
      <c r="BB16" s="35" t="e">
        <f t="shared" si="8"/>
        <v>#DIV/0!</v>
      </c>
      <c r="BC16" s="35" t="e">
        <f t="shared" si="8"/>
        <v>#DIV/0!</v>
      </c>
      <c r="BD16" s="35" t="e">
        <f t="shared" si="8"/>
        <v>#DIV/0!</v>
      </c>
      <c r="BE16" s="35" t="e">
        <f t="shared" si="8"/>
        <v>#DIV/0!</v>
      </c>
      <c r="BF16" s="35" t="e">
        <f t="shared" si="8"/>
        <v>#DIV/0!</v>
      </c>
      <c r="BG16" s="35" t="e">
        <f t="shared" si="8"/>
        <v>#DIV/0!</v>
      </c>
      <c r="BH16" s="35" t="e">
        <f t="shared" si="8"/>
        <v>#DIV/0!</v>
      </c>
      <c r="BI16" s="35" t="e">
        <f t="shared" si="8"/>
        <v>#DIV/0!</v>
      </c>
      <c r="BJ16" s="35" t="e">
        <f t="shared" si="8"/>
        <v>#DIV/0!</v>
      </c>
      <c r="BK16" s="35" t="e">
        <f t="shared" si="8"/>
        <v>#DIV/0!</v>
      </c>
      <c r="BL16" s="35" t="e">
        <f t="shared" si="8"/>
        <v>#DIV/0!</v>
      </c>
      <c r="BM16" s="35" t="e">
        <f t="shared" si="8"/>
        <v>#DIV/0!</v>
      </c>
      <c r="BN16" s="35" t="e">
        <f t="shared" si="8"/>
        <v>#DIV/0!</v>
      </c>
      <c r="BO16" s="35" t="e">
        <f t="shared" si="8"/>
        <v>#DIV/0!</v>
      </c>
      <c r="BP16" s="35" t="e">
        <f t="shared" si="8"/>
        <v>#DIV/0!</v>
      </c>
      <c r="BQ16" s="35" t="e">
        <f t="shared" si="8"/>
        <v>#DIV/0!</v>
      </c>
      <c r="BR16" s="35" t="e">
        <f t="shared" ref="BR16:CL16" si="9">BR14/BR15</f>
        <v>#DIV/0!</v>
      </c>
      <c r="BS16" s="35" t="e">
        <f t="shared" si="9"/>
        <v>#DIV/0!</v>
      </c>
      <c r="BT16" s="35" t="e">
        <f t="shared" si="9"/>
        <v>#DIV/0!</v>
      </c>
      <c r="BU16" s="35" t="e">
        <f t="shared" si="9"/>
        <v>#DIV/0!</v>
      </c>
      <c r="BV16" s="35" t="e">
        <f t="shared" si="9"/>
        <v>#DIV/0!</v>
      </c>
      <c r="BW16" s="35" t="e">
        <f t="shared" si="9"/>
        <v>#DIV/0!</v>
      </c>
      <c r="BX16" s="35" t="e">
        <f t="shared" si="9"/>
        <v>#DIV/0!</v>
      </c>
      <c r="BY16" s="35" t="e">
        <f t="shared" si="9"/>
        <v>#DIV/0!</v>
      </c>
      <c r="BZ16" s="35" t="e">
        <f t="shared" si="9"/>
        <v>#DIV/0!</v>
      </c>
      <c r="CA16" s="35" t="e">
        <f t="shared" si="9"/>
        <v>#DIV/0!</v>
      </c>
      <c r="CB16" s="35" t="e">
        <f t="shared" si="9"/>
        <v>#DIV/0!</v>
      </c>
      <c r="CC16" s="35" t="e">
        <f t="shared" si="9"/>
        <v>#DIV/0!</v>
      </c>
      <c r="CD16" s="35" t="e">
        <f t="shared" si="9"/>
        <v>#DIV/0!</v>
      </c>
      <c r="CE16" s="35" t="e">
        <f t="shared" si="9"/>
        <v>#DIV/0!</v>
      </c>
      <c r="CF16" s="35" t="e">
        <f t="shared" si="9"/>
        <v>#DIV/0!</v>
      </c>
      <c r="CG16" s="35" t="e">
        <f t="shared" si="9"/>
        <v>#DIV/0!</v>
      </c>
      <c r="CH16" s="35" t="e">
        <f t="shared" si="9"/>
        <v>#DIV/0!</v>
      </c>
      <c r="CI16" s="35" t="e">
        <f t="shared" si="9"/>
        <v>#DIV/0!</v>
      </c>
      <c r="CJ16" s="35" t="e">
        <f t="shared" si="9"/>
        <v>#DIV/0!</v>
      </c>
      <c r="CK16" s="35" t="e">
        <f t="shared" si="9"/>
        <v>#DIV/0!</v>
      </c>
      <c r="CL16" s="35" t="e">
        <f t="shared" si="9"/>
        <v>#DIV/0!</v>
      </c>
    </row>
    <row r="17" spans="1:90" s="33" customFormat="1">
      <c r="A17" s="33" t="s">
        <v>507</v>
      </c>
      <c r="E17" s="33">
        <f>股权价值增加表!E42</f>
        <v>486007241.61999995</v>
      </c>
      <c r="F17" s="33">
        <f>股权价值增加表!F42</f>
        <v>240556300.98000002</v>
      </c>
      <c r="G17" s="33">
        <f>股权价值增加表!G42</f>
        <v>158585926.79999998</v>
      </c>
      <c r="H17" s="33">
        <f>股权价值增加表!H42</f>
        <v>79306727.720000058</v>
      </c>
      <c r="I17" s="33">
        <f>股权价值增加表!I42</f>
        <v>437183756.36000013</v>
      </c>
      <c r="J17" s="33">
        <f>股权价值增加表!J42</f>
        <v>243503753.4499999</v>
      </c>
      <c r="K17" s="33">
        <f>股权价值增加表!K42</f>
        <v>169361059.09000006</v>
      </c>
      <c r="L17" s="33">
        <f>股权价值增加表!L42</f>
        <v>88508820.559999973</v>
      </c>
      <c r="M17" s="33">
        <f>股权价值增加表!M42</f>
        <v>399247699.2899999</v>
      </c>
      <c r="N17" s="33">
        <f>股权价值增加表!N42</f>
        <v>250440838.01999992</v>
      </c>
      <c r="O17" s="33">
        <f>股权价值增加表!O42</f>
        <v>182913802.06999996</v>
      </c>
      <c r="P17" s="33">
        <f>股权价值增加表!P42</f>
        <v>101014737.15999997</v>
      </c>
      <c r="Q17" s="33">
        <f>股权价值增加表!Q42</f>
        <v>374828678.69999981</v>
      </c>
      <c r="R17" s="33">
        <f>股权价值增加表!R42</f>
        <v>243924695.57000011</v>
      </c>
      <c r="S17" s="33">
        <f>股权价值增加表!S42</f>
        <v>157562666.66000003</v>
      </c>
      <c r="T17" s="33">
        <f>股权价值增加表!T42</f>
        <v>100571114.57999995</v>
      </c>
      <c r="U17" s="33">
        <f>股权价值增加表!U42</f>
        <v>313234296.05000001</v>
      </c>
      <c r="V17" s="33">
        <f>股权价值增加表!V42</f>
        <v>210663058.92999983</v>
      </c>
      <c r="W17" s="33">
        <f>股权价值增加表!W42</f>
        <v>136062295.96000007</v>
      </c>
      <c r="X17" s="33">
        <f>股权价值增加表!X42</f>
        <v>87860270.809999973</v>
      </c>
      <c r="Y17" s="33">
        <f>股权价值增加表!Y42</f>
        <v>257108560.80000001</v>
      </c>
      <c r="Z17" s="33">
        <f>股权价值增加表!Z42</f>
        <v>162899565.89000005</v>
      </c>
      <c r="AA17" s="33">
        <f>股权价值增加表!AA42</f>
        <v>109324501.57000002</v>
      </c>
      <c r="AB17" s="33">
        <f>股权价值增加表!AB42</f>
        <v>76919130.329999983</v>
      </c>
      <c r="AC17" s="33">
        <f>股权价值增加表!AC42</f>
        <v>204114744.60999998</v>
      </c>
      <c r="AD17" s="33">
        <f>股权价值增加表!AD42</f>
        <v>128888742.72</v>
      </c>
      <c r="AE17" s="33">
        <f>股权价值增加表!AE42</f>
        <v>85669468.800000072</v>
      </c>
      <c r="AF17" s="33">
        <f>股权价值增加表!AF42</f>
        <v>59270075.529999956</v>
      </c>
      <c r="AG17" s="33">
        <f>股权价值增加表!AG42</f>
        <v>125255486.23000002</v>
      </c>
      <c r="AH17" s="33">
        <f>股权价值增加表!AH42</f>
        <v>69008292.089999944</v>
      </c>
      <c r="AI17" s="33">
        <f>股权价值增加表!AI42</f>
        <v>47786010.380000003</v>
      </c>
      <c r="AJ17" s="33">
        <f>股权价值增加表!AJ42</f>
        <v>36305280.160000004</v>
      </c>
      <c r="AK17" s="33">
        <f>股权价值增加表!AK42</f>
        <v>84299330.660000011</v>
      </c>
      <c r="AL17" s="33">
        <f>股权价值增加表!AL42</f>
        <v>50753833.289999947</v>
      </c>
      <c r="AM17" s="33">
        <f>股权价值增加表!AM42</f>
        <v>33707170.620000005</v>
      </c>
      <c r="AN17" s="33">
        <f>股权价值增加表!AN42</f>
        <v>24753475.580000021</v>
      </c>
      <c r="AO17" s="33">
        <f>股权价值增加表!AO42</f>
        <v>63785259.109999985</v>
      </c>
      <c r="AP17" s="33">
        <f>股权价值增加表!AP42</f>
        <v>45174294.520000026</v>
      </c>
      <c r="AQ17" s="33">
        <f>股权价值增加表!AQ42</f>
        <v>58354125.520000018</v>
      </c>
      <c r="AR17" s="33">
        <f>股权价值增加表!AR42</f>
        <v>33780411.490000002</v>
      </c>
      <c r="AS17" s="33">
        <f>股权价值增加表!AS42</f>
        <v>0</v>
      </c>
      <c r="AT17" s="33">
        <f>股权价值增加表!AT42</f>
        <v>-106619839.65999997</v>
      </c>
      <c r="AU17" s="33">
        <f>股权价值增加表!AU42</f>
        <v>-72785587.700000018</v>
      </c>
      <c r="AV17" s="33">
        <f>股权价值增加表!AV42</f>
        <v>-23361350.959999997</v>
      </c>
      <c r="AW17" s="33">
        <f>股权价值增加表!AW42</f>
        <v>16493193.060000002</v>
      </c>
      <c r="AX17" s="33">
        <f>股权价值增加表!AX42</f>
        <v>23385217.719999984</v>
      </c>
      <c r="AY17" s="33">
        <f>股权价值增加表!AY42</f>
        <v>-1787194.7899999991</v>
      </c>
      <c r="AZ17" s="33">
        <f>股权价值增加表!AZ42</f>
        <v>-10916220.51</v>
      </c>
      <c r="BA17" s="33">
        <f>股权价值增加表!BA42</f>
        <v>-152691416.41</v>
      </c>
      <c r="BB17" s="33">
        <f>股权价值增加表!BB42</f>
        <v>-140598232.16999999</v>
      </c>
      <c r="BC17" s="33">
        <f>股权价值增加表!BC42</f>
        <v>-70267390.840000004</v>
      </c>
      <c r="BD17" s="33">
        <f>股权价值增加表!BD42</f>
        <v>-11610048.350000001</v>
      </c>
      <c r="BE17" s="33">
        <f>股权价值增加表!BE42</f>
        <v>-45811920.870000005</v>
      </c>
      <c r="BF17" s="33">
        <f>股权价值增加表!BF42</f>
        <v>-32869288.240000002</v>
      </c>
      <c r="BG17" s="33">
        <f>股权价值增加表!BG42</f>
        <v>-18208413.089999996</v>
      </c>
      <c r="BH17" s="33">
        <f>股权价值增加表!BH42</f>
        <v>-17425628.109999999</v>
      </c>
      <c r="BI17" s="33">
        <f>股权价值增加表!BI42</f>
        <v>-35340046.76000002</v>
      </c>
      <c r="BJ17" s="33">
        <f>股权价值增加表!BJ42</f>
        <v>3215018.0400000066</v>
      </c>
      <c r="BK17" s="33">
        <f>股权价值增加表!BK42</f>
        <v>14343451.069999993</v>
      </c>
      <c r="BL17" s="33">
        <f>股权价值增加表!BL42</f>
        <v>-13341328.849999998</v>
      </c>
      <c r="BM17" s="33">
        <f>股权价值增加表!BM42</f>
        <v>-70449845.280000001</v>
      </c>
      <c r="BN17" s="33">
        <f>股权价值增加表!BN42</f>
        <v>-39043200.889999986</v>
      </c>
      <c r="BO17" s="33">
        <f>股权价值增加表!BO42</f>
        <v>-21483611.610000007</v>
      </c>
      <c r="BP17" s="33">
        <f>股权价值增加表!BP42</f>
        <v>-10123473.469999999</v>
      </c>
      <c r="BQ17" s="33">
        <f>股权价值增加表!BQ42</f>
        <v>-71856244.340000004</v>
      </c>
      <c r="BR17" s="33">
        <f>股权价值增加表!BR42</f>
        <v>-13069490.830000006</v>
      </c>
      <c r="BS17" s="33">
        <f>股权价值增加表!BS42</f>
        <v>6434359.1299999952</v>
      </c>
      <c r="BT17" s="33">
        <f>股权价值增加表!BT42</f>
        <v>8349549.6600000039</v>
      </c>
      <c r="BU17" s="33">
        <f>股权价值增加表!BU42</f>
        <v>-48634244.549999997</v>
      </c>
      <c r="BV17" s="33">
        <f>股权价值增加表!BV42</f>
        <v>-53633082.609999999</v>
      </c>
      <c r="BW17" s="33">
        <f>股权价值增加表!BW42</f>
        <v>40758225.219999999</v>
      </c>
      <c r="BX17" s="33">
        <f>股权价值增加表!BX42</f>
        <v>-19842125.949999999</v>
      </c>
      <c r="BY17" s="33">
        <f>股权价值增加表!BY42</f>
        <v>12527909.500000004</v>
      </c>
      <c r="BZ17" s="33">
        <f>股权价值增加表!BZ42</f>
        <v>475384.5</v>
      </c>
      <c r="CA17" s="33">
        <f>股权价值增加表!CA42</f>
        <v>-46431299.080000006</v>
      </c>
      <c r="CB17" s="33">
        <f>股权价值增加表!CB42</f>
        <v>-6664176.4400000013</v>
      </c>
      <c r="CC17" s="33">
        <f>股权价值增加表!CC42</f>
        <v>-41772410.030000001</v>
      </c>
      <c r="CD17" s="33">
        <f>股权价值增加表!CD42</f>
        <v>-13940000</v>
      </c>
      <c r="CE17" s="33">
        <f>股权价值增加表!CE42</f>
        <v>-20081000</v>
      </c>
      <c r="CF17" s="33">
        <f>股权价值增加表!CF42</f>
        <v>-14354563.84</v>
      </c>
      <c r="CG17" s="33">
        <f>股权价值增加表!CG42</f>
        <v>-4330000</v>
      </c>
      <c r="CH17" s="33">
        <f>股权价值增加表!CH42</f>
        <v>-4220000</v>
      </c>
      <c r="CI17" s="33">
        <f>股权价值增加表!CI42</f>
        <v>-12510000</v>
      </c>
      <c r="CJ17" s="33">
        <f>股权价值增加表!CJ42</f>
        <v>-3630000</v>
      </c>
      <c r="CK17" s="33">
        <f>股权价值增加表!CK42</f>
        <v>0</v>
      </c>
      <c r="CL17" s="33">
        <f>股权价值增加表!CL42</f>
        <v>0</v>
      </c>
    </row>
    <row r="18" spans="1:90" s="35" customFormat="1">
      <c r="A18" s="35" t="s">
        <v>508</v>
      </c>
      <c r="E18" s="35">
        <f>E14/E17</f>
        <v>0.75256736714630201</v>
      </c>
      <c r="F18" s="35">
        <f t="shared" ref="F18:BQ18" si="10">F14/F17</f>
        <v>-0.64940259944796885</v>
      </c>
      <c r="G18" s="35">
        <f t="shared" si="10"/>
        <v>-1.0780545463886648</v>
      </c>
      <c r="H18" s="35">
        <f t="shared" si="10"/>
        <v>-0.59273865435435424</v>
      </c>
      <c r="I18" s="35">
        <f t="shared" si="10"/>
        <v>0.96025097811344473</v>
      </c>
      <c r="J18" s="35">
        <f t="shared" si="10"/>
        <v>0.1579383524693673</v>
      </c>
      <c r="K18" s="35">
        <f t="shared" si="10"/>
        <v>0.45891333608570412</v>
      </c>
      <c r="L18" s="35">
        <f t="shared" si="10"/>
        <v>0.48283270062366329</v>
      </c>
      <c r="M18" s="35">
        <f t="shared" si="10"/>
        <v>0.72874948363487679</v>
      </c>
      <c r="N18" s="35">
        <f t="shared" si="10"/>
        <v>-4.1672932986937798E-2</v>
      </c>
      <c r="O18" s="35">
        <f t="shared" si="10"/>
        <v>-0.25179876301720577</v>
      </c>
      <c r="P18" s="35">
        <f t="shared" si="10"/>
        <v>-8.4145917011461957E-2</v>
      </c>
      <c r="Q18" s="35">
        <f t="shared" si="10"/>
        <v>1.1625777880746782</v>
      </c>
      <c r="R18" s="35">
        <f t="shared" si="10"/>
        <v>0.69590144894241279</v>
      </c>
      <c r="S18" s="35">
        <f t="shared" si="10"/>
        <v>0.43342881710275816</v>
      </c>
      <c r="T18" s="35">
        <f t="shared" si="10"/>
        <v>0.82505412877765916</v>
      </c>
      <c r="U18" s="35">
        <f t="shared" si="10"/>
        <v>0.6953691483554264</v>
      </c>
      <c r="V18" s="35">
        <f t="shared" si="10"/>
        <v>-0.16364327606889567</v>
      </c>
      <c r="W18" s="35">
        <f t="shared" si="10"/>
        <v>-0.21123927262295761</v>
      </c>
      <c r="X18" s="35">
        <f t="shared" si="10"/>
        <v>1.3279321691633202E-2</v>
      </c>
      <c r="Y18" s="35">
        <f t="shared" si="10"/>
        <v>1.750482806210784</v>
      </c>
      <c r="Z18" s="35">
        <f t="shared" si="10"/>
        <v>1.2399903297249968</v>
      </c>
      <c r="AA18" s="35">
        <f t="shared" si="10"/>
        <v>0.17887750430289931</v>
      </c>
      <c r="AB18" s="35">
        <f t="shared" si="10"/>
        <v>0.23258312507236592</v>
      </c>
      <c r="AC18" s="35">
        <f t="shared" si="10"/>
        <v>1.0372990847601269</v>
      </c>
      <c r="AD18" s="35">
        <f t="shared" si="10"/>
        <v>0.92273360372802615</v>
      </c>
      <c r="AE18" s="35">
        <f t="shared" si="10"/>
        <v>1.2514946044581976</v>
      </c>
      <c r="AF18" s="35">
        <f t="shared" si="10"/>
        <v>1.0410041928961256</v>
      </c>
      <c r="AG18" s="35">
        <f t="shared" si="10"/>
        <v>-0.5012363630501232</v>
      </c>
      <c r="AH18" s="35">
        <f t="shared" si="10"/>
        <v>-2.2173935130931035</v>
      </c>
      <c r="AI18" s="35">
        <f t="shared" si="10"/>
        <v>-1.8901771223781332</v>
      </c>
      <c r="AJ18" s="35">
        <f t="shared" si="10"/>
        <v>0.21738668549638315</v>
      </c>
      <c r="AK18" s="35">
        <f t="shared" si="10"/>
        <v>1.5329081012658183</v>
      </c>
      <c r="AL18" s="35">
        <f t="shared" si="10"/>
        <v>1.3307582460635077</v>
      </c>
      <c r="AM18" s="35">
        <f t="shared" si="10"/>
        <v>0.96715512457331243</v>
      </c>
      <c r="AN18" s="35">
        <f t="shared" si="10"/>
        <v>0.343148401223421</v>
      </c>
      <c r="AO18" s="35">
        <f t="shared" si="10"/>
        <v>1.0515291016429331</v>
      </c>
      <c r="AP18" s="35">
        <f t="shared" si="10"/>
        <v>0.19618461393074554</v>
      </c>
      <c r="AQ18" s="35">
        <f t="shared" si="10"/>
        <v>0.8670718937028461</v>
      </c>
      <c r="AR18" s="35">
        <f t="shared" si="10"/>
        <v>1.2374914154723933</v>
      </c>
      <c r="AS18" s="35" t="e">
        <f t="shared" si="10"/>
        <v>#DIV/0!</v>
      </c>
      <c r="AT18" s="35">
        <f t="shared" si="10"/>
        <v>0</v>
      </c>
      <c r="AU18" s="35">
        <f t="shared" si="10"/>
        <v>0</v>
      </c>
      <c r="AV18" s="35">
        <f t="shared" si="10"/>
        <v>0</v>
      </c>
      <c r="AW18" s="35">
        <f t="shared" si="10"/>
        <v>0</v>
      </c>
      <c r="AX18" s="35">
        <f t="shared" si="10"/>
        <v>0</v>
      </c>
      <c r="AY18" s="35">
        <f t="shared" si="10"/>
        <v>0</v>
      </c>
      <c r="AZ18" s="35">
        <f t="shared" si="10"/>
        <v>0</v>
      </c>
      <c r="BA18" s="35">
        <f t="shared" si="10"/>
        <v>0</v>
      </c>
      <c r="BB18" s="35">
        <f t="shared" si="10"/>
        <v>0</v>
      </c>
      <c r="BC18" s="35">
        <f t="shared" si="10"/>
        <v>0</v>
      </c>
      <c r="BD18" s="35">
        <f t="shared" si="10"/>
        <v>0</v>
      </c>
      <c r="BE18" s="35">
        <f t="shared" si="10"/>
        <v>0</v>
      </c>
      <c r="BF18" s="35">
        <f t="shared" si="10"/>
        <v>0</v>
      </c>
      <c r="BG18" s="35">
        <f t="shared" si="10"/>
        <v>0</v>
      </c>
      <c r="BH18" s="35">
        <f t="shared" si="10"/>
        <v>0</v>
      </c>
      <c r="BI18" s="35">
        <f t="shared" si="10"/>
        <v>0</v>
      </c>
      <c r="BJ18" s="35">
        <f t="shared" si="10"/>
        <v>0</v>
      </c>
      <c r="BK18" s="35">
        <f t="shared" si="10"/>
        <v>0</v>
      </c>
      <c r="BL18" s="35">
        <f t="shared" si="10"/>
        <v>0</v>
      </c>
      <c r="BM18" s="35">
        <f t="shared" si="10"/>
        <v>0</v>
      </c>
      <c r="BN18" s="35">
        <f t="shared" si="10"/>
        <v>0</v>
      </c>
      <c r="BO18" s="35">
        <f t="shared" si="10"/>
        <v>0</v>
      </c>
      <c r="BP18" s="35">
        <f t="shared" si="10"/>
        <v>0</v>
      </c>
      <c r="BQ18" s="35">
        <f t="shared" si="10"/>
        <v>0</v>
      </c>
      <c r="BR18" s="35">
        <f t="shared" ref="BR18:CK18" si="11">BR14/BR17</f>
        <v>0</v>
      </c>
      <c r="BS18" s="35">
        <f t="shared" si="11"/>
        <v>0</v>
      </c>
      <c r="BT18" s="35">
        <f t="shared" si="11"/>
        <v>0</v>
      </c>
      <c r="BU18" s="35">
        <f t="shared" si="11"/>
        <v>0</v>
      </c>
      <c r="BV18" s="35">
        <f t="shared" si="11"/>
        <v>0</v>
      </c>
      <c r="BW18" s="35">
        <f t="shared" si="11"/>
        <v>0</v>
      </c>
      <c r="BX18" s="35">
        <f t="shared" si="11"/>
        <v>0</v>
      </c>
      <c r="BY18" s="35">
        <f t="shared" si="11"/>
        <v>0</v>
      </c>
      <c r="BZ18" s="35">
        <f t="shared" si="11"/>
        <v>0</v>
      </c>
      <c r="CA18" s="35">
        <f t="shared" si="11"/>
        <v>0</v>
      </c>
      <c r="CB18" s="35">
        <f t="shared" si="11"/>
        <v>0</v>
      </c>
      <c r="CC18" s="35">
        <f t="shared" si="11"/>
        <v>0</v>
      </c>
      <c r="CD18" s="35">
        <f t="shared" si="11"/>
        <v>0</v>
      </c>
      <c r="CE18" s="35">
        <f t="shared" si="11"/>
        <v>0</v>
      </c>
      <c r="CF18" s="35">
        <f t="shared" si="11"/>
        <v>0</v>
      </c>
      <c r="CG18" s="35">
        <f t="shared" si="11"/>
        <v>0</v>
      </c>
      <c r="CH18" s="35">
        <f t="shared" si="11"/>
        <v>0</v>
      </c>
      <c r="CI18" s="35">
        <f t="shared" si="11"/>
        <v>0</v>
      </c>
      <c r="CJ18" s="35">
        <f t="shared" si="11"/>
        <v>0</v>
      </c>
      <c r="CK18" s="35" t="e">
        <f t="shared" si="11"/>
        <v>#DIV/0!</v>
      </c>
    </row>
    <row r="19" spans="1:90" s="33" customFormat="1">
      <c r="A19" s="33" t="s">
        <v>509</v>
      </c>
      <c r="E19" s="33">
        <f>现金流量表!E48</f>
        <v>5835714.0899999999</v>
      </c>
      <c r="F19" s="33">
        <f>现金流量表!F48</f>
        <v>0</v>
      </c>
      <c r="G19" s="33">
        <f>现金流量表!G48</f>
        <v>-5529056.1399999997</v>
      </c>
      <c r="H19" s="33">
        <f>现金流量表!H48</f>
        <v>0</v>
      </c>
      <c r="I19" s="33">
        <f>现金流量表!I48</f>
        <v>11932355.890000001</v>
      </c>
      <c r="J19" s="33">
        <f>现金流量表!J48</f>
        <v>0</v>
      </c>
      <c r="K19" s="33">
        <f>现金流量表!K48</f>
        <v>-2437111.77</v>
      </c>
      <c r="L19" s="33">
        <f>现金流量表!L48</f>
        <v>0</v>
      </c>
      <c r="M19" s="33">
        <f>现金流量表!M48</f>
        <v>13811275.76</v>
      </c>
      <c r="N19" s="33">
        <f>现金流量表!N48</f>
        <v>0</v>
      </c>
      <c r="O19" s="33">
        <f>现金流量表!O48</f>
        <v>1404650.24</v>
      </c>
      <c r="P19" s="33">
        <f>现金流量表!P48</f>
        <v>0</v>
      </c>
      <c r="Q19" s="33">
        <f>现金流量表!Q48</f>
        <v>5887024.29</v>
      </c>
      <c r="R19" s="33">
        <f>现金流量表!R48</f>
        <v>0</v>
      </c>
      <c r="S19" s="33">
        <f>现金流量表!S48</f>
        <v>-251729.76</v>
      </c>
      <c r="T19" s="33">
        <f>现金流量表!T48</f>
        <v>0</v>
      </c>
      <c r="U19" s="33">
        <f>现金流量表!U48</f>
        <v>6237787.0700000003</v>
      </c>
      <c r="V19" s="33">
        <f>现金流量表!V48</f>
        <v>0</v>
      </c>
      <c r="W19" s="33">
        <f>现金流量表!W48</f>
        <v>-388306.36</v>
      </c>
      <c r="X19" s="33">
        <f>现金流量表!X48</f>
        <v>0</v>
      </c>
      <c r="Y19" s="33">
        <f>现金流量表!Y48</f>
        <v>2800129.39</v>
      </c>
      <c r="Z19" s="33">
        <f>现金流量表!Z48</f>
        <v>0</v>
      </c>
      <c r="AA19" s="33">
        <f>现金流量表!AA48</f>
        <v>375030.61</v>
      </c>
      <c r="AB19" s="33">
        <f>现金流量表!AB48</f>
        <v>0</v>
      </c>
      <c r="AC19" s="33">
        <f>现金流量表!AC48</f>
        <v>4115869.72</v>
      </c>
      <c r="AD19" s="33">
        <f>现金流量表!AD48</f>
        <v>0</v>
      </c>
      <c r="AE19" s="33">
        <f>现金流量表!AE48</f>
        <v>984570.84</v>
      </c>
      <c r="AF19" s="33">
        <f>现金流量表!AF48</f>
        <v>0</v>
      </c>
      <c r="AG19" s="33">
        <f>现金流量表!AG48</f>
        <v>812983.95</v>
      </c>
      <c r="AH19" s="33">
        <f>现金流量表!AH48</f>
        <v>0</v>
      </c>
      <c r="AI19" s="33">
        <f>现金流量表!AI48</f>
        <v>362927.71</v>
      </c>
      <c r="AJ19" s="33">
        <f>现金流量表!AJ48</f>
        <v>0</v>
      </c>
      <c r="AK19" s="33">
        <f>现金流量表!AK48</f>
        <v>-1478219.91</v>
      </c>
      <c r="AL19" s="33">
        <f>现金流量表!AL48</f>
        <v>0</v>
      </c>
      <c r="AM19" s="33">
        <f>现金流量表!AM48</f>
        <v>-1082319.9099999999</v>
      </c>
      <c r="AN19" s="33">
        <f>现金流量表!AN48</f>
        <v>0</v>
      </c>
      <c r="AO19" s="33">
        <f>现金流量表!AO48</f>
        <v>845517.75</v>
      </c>
      <c r="AP19" s="33">
        <f>现金流量表!AP48</f>
        <v>0</v>
      </c>
      <c r="AQ19" s="33">
        <f>现金流量表!AQ48</f>
        <v>263948.44</v>
      </c>
      <c r="AR19" s="33">
        <f>现金流量表!AR48</f>
        <v>1266584.27</v>
      </c>
      <c r="AS19" s="33">
        <f>现金流量表!AS48</f>
        <v>0</v>
      </c>
      <c r="AT19" s="33">
        <f>现金流量表!AT48</f>
        <v>0</v>
      </c>
      <c r="AU19" s="33">
        <f>现金流量表!AU48</f>
        <v>0</v>
      </c>
      <c r="AV19" s="33">
        <f>现金流量表!AV48</f>
        <v>0</v>
      </c>
      <c r="AW19" s="33">
        <f>现金流量表!AW48</f>
        <v>0</v>
      </c>
      <c r="AX19" s="33">
        <f>现金流量表!AX48</f>
        <v>0</v>
      </c>
      <c r="AY19" s="33">
        <f>现金流量表!AY48</f>
        <v>0</v>
      </c>
      <c r="AZ19" s="33">
        <f>现金流量表!AZ48</f>
        <v>0</v>
      </c>
      <c r="BA19" s="33">
        <f>现金流量表!BA48</f>
        <v>0</v>
      </c>
      <c r="BB19" s="33">
        <f>现金流量表!BB48</f>
        <v>0</v>
      </c>
      <c r="BC19" s="33">
        <f>现金流量表!BC48</f>
        <v>0</v>
      </c>
      <c r="BD19" s="33">
        <f>现金流量表!BD48</f>
        <v>0</v>
      </c>
      <c r="BE19" s="33">
        <f>现金流量表!BE48</f>
        <v>0</v>
      </c>
      <c r="BF19" s="33">
        <f>现金流量表!BF48</f>
        <v>0</v>
      </c>
      <c r="BG19" s="33">
        <f>现金流量表!BG48</f>
        <v>0</v>
      </c>
      <c r="BH19" s="33">
        <f>现金流量表!BH48</f>
        <v>0</v>
      </c>
      <c r="BI19" s="33">
        <f>现金流量表!BI48</f>
        <v>0</v>
      </c>
      <c r="BJ19" s="33">
        <f>现金流量表!BJ48</f>
        <v>0</v>
      </c>
      <c r="BK19" s="33">
        <f>现金流量表!BK48</f>
        <v>0</v>
      </c>
      <c r="BL19" s="33">
        <f>现金流量表!BL48</f>
        <v>0</v>
      </c>
      <c r="BM19" s="33">
        <f>现金流量表!BM48</f>
        <v>0</v>
      </c>
      <c r="BN19" s="33">
        <f>现金流量表!BN48</f>
        <v>0</v>
      </c>
      <c r="BO19" s="33">
        <f>现金流量表!BO48</f>
        <v>0</v>
      </c>
      <c r="BP19" s="33">
        <f>现金流量表!BP48</f>
        <v>0</v>
      </c>
      <c r="BQ19" s="33">
        <f>现金流量表!BQ48</f>
        <v>0</v>
      </c>
      <c r="BR19" s="33">
        <f>现金流量表!BR48</f>
        <v>0</v>
      </c>
      <c r="BS19" s="33">
        <f>现金流量表!BS48</f>
        <v>0</v>
      </c>
      <c r="BT19" s="33">
        <f>现金流量表!BT48</f>
        <v>0</v>
      </c>
      <c r="BU19" s="33">
        <f>现金流量表!BU48</f>
        <v>0</v>
      </c>
      <c r="BV19" s="33">
        <f>现金流量表!BV48</f>
        <v>0</v>
      </c>
      <c r="BW19" s="33">
        <f>现金流量表!BW48</f>
        <v>0</v>
      </c>
      <c r="BX19" s="33">
        <f>现金流量表!BX48</f>
        <v>0</v>
      </c>
      <c r="BY19" s="33">
        <f>现金流量表!BY48</f>
        <v>0</v>
      </c>
      <c r="BZ19" s="33">
        <f>现金流量表!BZ48</f>
        <v>0</v>
      </c>
      <c r="CA19" s="33">
        <f>现金流量表!CA48</f>
        <v>0</v>
      </c>
      <c r="CB19" s="33">
        <f>现金流量表!CB48</f>
        <v>0</v>
      </c>
      <c r="CC19" s="33">
        <f>现金流量表!CC48</f>
        <v>0</v>
      </c>
      <c r="CD19" s="33">
        <f>现金流量表!CD48</f>
        <v>0</v>
      </c>
      <c r="CE19" s="33">
        <f>现金流量表!CE48</f>
        <v>0</v>
      </c>
      <c r="CF19" s="33">
        <f>现金流量表!CF48</f>
        <v>0</v>
      </c>
      <c r="CG19" s="33">
        <f>现金流量表!CG48</f>
        <v>0</v>
      </c>
      <c r="CH19" s="33">
        <f>现金流量表!CH48</f>
        <v>0</v>
      </c>
      <c r="CI19" s="33">
        <f>现金流量表!CI48</f>
        <v>0</v>
      </c>
      <c r="CJ19" s="33">
        <f>现金流量表!CJ48</f>
        <v>0</v>
      </c>
      <c r="CK19" s="33">
        <f>现金流量表!CK48</f>
        <v>0</v>
      </c>
    </row>
    <row r="20" spans="1:90" s="33" customFormat="1">
      <c r="A20" s="33" t="s">
        <v>510</v>
      </c>
      <c r="E20" s="33">
        <f>现金流量表!E49</f>
        <v>34762032.68</v>
      </c>
      <c r="F20" s="33">
        <f>现金流量表!F49</f>
        <v>0</v>
      </c>
      <c r="G20" s="33">
        <f>现金流量表!G49</f>
        <v>19142856.039999999</v>
      </c>
      <c r="H20" s="33">
        <f>现金流量表!H49</f>
        <v>0</v>
      </c>
      <c r="I20" s="33">
        <f>现金流量表!I49</f>
        <v>42955949.240000002</v>
      </c>
      <c r="J20" s="33">
        <f>现金流量表!J49</f>
        <v>0</v>
      </c>
      <c r="K20" s="33">
        <f>现金流量表!K49</f>
        <v>21859514.260000002</v>
      </c>
      <c r="L20" s="33">
        <f>现金流量表!L49</f>
        <v>0</v>
      </c>
      <c r="M20" s="33">
        <f>现金流量表!M49</f>
        <v>39485774.140000001</v>
      </c>
      <c r="N20" s="33">
        <f>现金流量表!N49</f>
        <v>0</v>
      </c>
      <c r="O20" s="33">
        <f>现金流量表!O49</f>
        <v>17944770.390000001</v>
      </c>
      <c r="P20" s="33">
        <f>现金流量表!P49</f>
        <v>0</v>
      </c>
      <c r="Q20" s="33">
        <f>现金流量表!Q49</f>
        <v>36912727.810000002</v>
      </c>
      <c r="R20" s="33">
        <f>现金流量表!R49</f>
        <v>0</v>
      </c>
      <c r="S20" s="33">
        <f>现金流量表!S49</f>
        <v>18647153.48</v>
      </c>
      <c r="T20" s="33">
        <f>现金流量表!T49</f>
        <v>0</v>
      </c>
      <c r="U20" s="33">
        <f>现金流量表!U49</f>
        <v>34523693.869999997</v>
      </c>
      <c r="V20" s="33">
        <f>现金流量表!V49</f>
        <v>0</v>
      </c>
      <c r="W20" s="33">
        <f>现金流量表!W49</f>
        <v>16687916.369999999</v>
      </c>
      <c r="X20" s="33">
        <f>现金流量表!X49</f>
        <v>0</v>
      </c>
      <c r="Y20" s="33">
        <f>现金流量表!Y49</f>
        <v>30818699.879999999</v>
      </c>
      <c r="Z20" s="33">
        <f>现金流量表!Z49</f>
        <v>0</v>
      </c>
      <c r="AA20" s="33">
        <f>现金流量表!AA49</f>
        <v>14580941.300000001</v>
      </c>
      <c r="AB20" s="33">
        <f>现金流量表!AB49</f>
        <v>0</v>
      </c>
      <c r="AC20" s="33">
        <f>现金流量表!AC49</f>
        <v>18996414.829999998</v>
      </c>
      <c r="AD20" s="33">
        <f>现金流量表!AD49</f>
        <v>0</v>
      </c>
      <c r="AE20" s="33">
        <f>现金流量表!AE49</f>
        <v>8789443.8399999999</v>
      </c>
      <c r="AF20" s="33">
        <f>现金流量表!AF49</f>
        <v>0</v>
      </c>
      <c r="AG20" s="33">
        <f>现金流量表!AG49</f>
        <v>14348189.4</v>
      </c>
      <c r="AH20" s="33">
        <f>现金流量表!AH49</f>
        <v>0</v>
      </c>
      <c r="AI20" s="33">
        <f>现金流量表!AI49</f>
        <v>6325983.2699999996</v>
      </c>
      <c r="AJ20" s="33">
        <f>现金流量表!AJ49</f>
        <v>0</v>
      </c>
      <c r="AK20" s="33">
        <f>现金流量表!AK49</f>
        <v>10698190.23</v>
      </c>
      <c r="AL20" s="33">
        <f>现金流量表!AL49</f>
        <v>0</v>
      </c>
      <c r="AM20" s="33">
        <f>现金流量表!AM49</f>
        <v>5358187.29</v>
      </c>
      <c r="AN20" s="33">
        <f>现金流量表!AN49</f>
        <v>0</v>
      </c>
      <c r="AO20" s="33">
        <f>现金流量表!AO49</f>
        <v>10454569.210000001</v>
      </c>
      <c r="AP20" s="33">
        <f>现金流量表!AP49</f>
        <v>0</v>
      </c>
      <c r="AQ20" s="33">
        <f>现金流量表!AQ49</f>
        <v>8212393.3200000003</v>
      </c>
      <c r="AR20" s="33">
        <f>现金流量表!AR49</f>
        <v>5635554.3700000001</v>
      </c>
      <c r="AS20" s="33">
        <f>现金流量表!AS49</f>
        <v>0</v>
      </c>
      <c r="AT20" s="33">
        <f>现金流量表!AT49</f>
        <v>0</v>
      </c>
      <c r="AU20" s="33">
        <f>现金流量表!AU49</f>
        <v>0</v>
      </c>
      <c r="AV20" s="33">
        <f>现金流量表!AV49</f>
        <v>0</v>
      </c>
      <c r="AW20" s="33">
        <f>现金流量表!AW49</f>
        <v>0</v>
      </c>
      <c r="AX20" s="33">
        <f>现金流量表!AX49</f>
        <v>0</v>
      </c>
      <c r="AY20" s="33">
        <f>现金流量表!AY49</f>
        <v>0</v>
      </c>
      <c r="AZ20" s="33">
        <f>现金流量表!AZ49</f>
        <v>0</v>
      </c>
      <c r="BA20" s="33">
        <f>现金流量表!BA49</f>
        <v>0</v>
      </c>
      <c r="BB20" s="33">
        <f>现金流量表!BB49</f>
        <v>0</v>
      </c>
      <c r="BC20" s="33">
        <f>现金流量表!BC49</f>
        <v>0</v>
      </c>
      <c r="BD20" s="33">
        <f>现金流量表!BD49</f>
        <v>0</v>
      </c>
      <c r="BE20" s="33">
        <f>现金流量表!BE49</f>
        <v>0</v>
      </c>
      <c r="BF20" s="33">
        <f>现金流量表!BF49</f>
        <v>0</v>
      </c>
      <c r="BG20" s="33">
        <f>现金流量表!BG49</f>
        <v>0</v>
      </c>
      <c r="BH20" s="33">
        <f>现金流量表!BH49</f>
        <v>0</v>
      </c>
      <c r="BI20" s="33">
        <f>现金流量表!BI49</f>
        <v>0</v>
      </c>
      <c r="BJ20" s="33">
        <f>现金流量表!BJ49</f>
        <v>0</v>
      </c>
      <c r="BK20" s="33">
        <f>现金流量表!BK49</f>
        <v>0</v>
      </c>
      <c r="BL20" s="33">
        <f>现金流量表!BL49</f>
        <v>0</v>
      </c>
      <c r="BM20" s="33">
        <f>现金流量表!BM49</f>
        <v>0</v>
      </c>
      <c r="BN20" s="33">
        <f>现金流量表!BN49</f>
        <v>0</v>
      </c>
      <c r="BO20" s="33">
        <f>现金流量表!BO49</f>
        <v>0</v>
      </c>
      <c r="BP20" s="33">
        <f>现金流量表!BP49</f>
        <v>0</v>
      </c>
      <c r="BQ20" s="33">
        <f>现金流量表!BQ49</f>
        <v>0</v>
      </c>
      <c r="BR20" s="33">
        <f>现金流量表!BR49</f>
        <v>0</v>
      </c>
      <c r="BS20" s="33">
        <f>现金流量表!BS49</f>
        <v>0</v>
      </c>
      <c r="BT20" s="33">
        <f>现金流量表!BT49</f>
        <v>0</v>
      </c>
      <c r="BU20" s="33">
        <f>现金流量表!BU49</f>
        <v>0</v>
      </c>
      <c r="BV20" s="33">
        <f>现金流量表!BV49</f>
        <v>0</v>
      </c>
      <c r="BW20" s="33">
        <f>现金流量表!BW49</f>
        <v>0</v>
      </c>
      <c r="BX20" s="33">
        <f>现金流量表!BX49</f>
        <v>0</v>
      </c>
      <c r="BY20" s="33">
        <f>现金流量表!BY49</f>
        <v>0</v>
      </c>
      <c r="BZ20" s="33">
        <f>现金流量表!BZ49</f>
        <v>0</v>
      </c>
      <c r="CA20" s="33">
        <f>现金流量表!CA49</f>
        <v>0</v>
      </c>
      <c r="CB20" s="33">
        <f>现金流量表!CB49</f>
        <v>0</v>
      </c>
      <c r="CC20" s="33">
        <f>现金流量表!CC49</f>
        <v>0</v>
      </c>
      <c r="CD20" s="33">
        <f>现金流量表!CD49</f>
        <v>0</v>
      </c>
      <c r="CE20" s="33">
        <f>现金流量表!CE49</f>
        <v>0</v>
      </c>
      <c r="CF20" s="33">
        <f>现金流量表!CF49</f>
        <v>0</v>
      </c>
      <c r="CG20" s="33">
        <f>现金流量表!CG49</f>
        <v>0</v>
      </c>
      <c r="CH20" s="33">
        <f>现金流量表!CH49</f>
        <v>0</v>
      </c>
      <c r="CI20" s="33">
        <f>现金流量表!CI49</f>
        <v>0</v>
      </c>
      <c r="CJ20" s="33">
        <f>现金流量表!CJ49</f>
        <v>0</v>
      </c>
      <c r="CK20" s="33">
        <f>现金流量表!CK49</f>
        <v>0</v>
      </c>
      <c r="CL20" s="33">
        <f>现金流量表!CL49</f>
        <v>0</v>
      </c>
    </row>
    <row r="21" spans="1:90" s="33" customFormat="1">
      <c r="A21" s="33" t="s">
        <v>511</v>
      </c>
      <c r="E21" s="33">
        <f>现金流量表!E50</f>
        <v>4627334.9400000004</v>
      </c>
      <c r="F21" s="33">
        <f>现金流量表!F50</f>
        <v>0</v>
      </c>
      <c r="G21" s="33">
        <f>现金流量表!G50</f>
        <v>2114679.13</v>
      </c>
      <c r="H21" s="33">
        <f>现金流量表!H50</f>
        <v>0</v>
      </c>
      <c r="I21" s="33">
        <f>现金流量表!I50</f>
        <v>2264019.61</v>
      </c>
      <c r="J21" s="33">
        <f>现金流量表!J50</f>
        <v>0</v>
      </c>
      <c r="K21" s="33">
        <f>现金流量表!K50</f>
        <v>847109.51</v>
      </c>
      <c r="L21" s="33">
        <f>现金流量表!L50</f>
        <v>0</v>
      </c>
      <c r="M21" s="33">
        <f>现金流量表!M50</f>
        <v>2643689.39</v>
      </c>
      <c r="N21" s="33">
        <f>现金流量表!N50</f>
        <v>0</v>
      </c>
      <c r="O21" s="33">
        <f>现金流量表!O50</f>
        <v>1796517.25</v>
      </c>
      <c r="P21" s="33">
        <f>现金流量表!P50</f>
        <v>0</v>
      </c>
      <c r="Q21" s="33">
        <f>现金流量表!Q50</f>
        <v>3592992.74</v>
      </c>
      <c r="R21" s="33">
        <f>现金流量表!R50</f>
        <v>0</v>
      </c>
      <c r="S21" s="33">
        <f>现金流量表!S50</f>
        <v>1796496.37</v>
      </c>
      <c r="T21" s="33">
        <f>现金流量表!T50</f>
        <v>0</v>
      </c>
      <c r="U21" s="33">
        <f>现金流量表!U50</f>
        <v>2763545.69</v>
      </c>
      <c r="V21" s="33">
        <f>现金流量表!V50</f>
        <v>0</v>
      </c>
      <c r="W21" s="33">
        <f>现金流量表!W50</f>
        <v>963136.2</v>
      </c>
      <c r="X21" s="33">
        <f>现金流量表!X50</f>
        <v>0</v>
      </c>
      <c r="Y21" s="33">
        <f>现金流量表!Y50</f>
        <v>1392301.14</v>
      </c>
      <c r="Z21" s="33">
        <f>现金流量表!Z50</f>
        <v>0</v>
      </c>
      <c r="AA21" s="33">
        <f>现金流量表!AA50</f>
        <v>620321.16</v>
      </c>
      <c r="AB21" s="33">
        <f>现金流量表!AB50</f>
        <v>0</v>
      </c>
      <c r="AC21" s="33">
        <f>现金流量表!AC50</f>
        <v>1133582.54</v>
      </c>
      <c r="AD21" s="33">
        <f>现金流量表!AD50</f>
        <v>0</v>
      </c>
      <c r="AE21" s="33">
        <f>现金流量表!AE50</f>
        <v>548947.97</v>
      </c>
      <c r="AF21" s="33">
        <f>现金流量表!AF50</f>
        <v>0</v>
      </c>
      <c r="AG21" s="33">
        <f>现金流量表!AG50</f>
        <v>1097895.94</v>
      </c>
      <c r="AH21" s="33">
        <f>现金流量表!AH50</f>
        <v>0</v>
      </c>
      <c r="AI21" s="33">
        <f>现金流量表!AI50</f>
        <v>548947.97</v>
      </c>
      <c r="AJ21" s="33">
        <f>现金流量表!AJ50</f>
        <v>0</v>
      </c>
      <c r="AK21" s="33">
        <f>现金流量表!AK50</f>
        <v>1560932.61</v>
      </c>
      <c r="AL21" s="33">
        <f>现金流量表!AL50</f>
        <v>0</v>
      </c>
      <c r="AM21" s="33">
        <f>现金流量表!AM50</f>
        <v>826769.97</v>
      </c>
      <c r="AN21" s="33">
        <f>现金流量表!AN50</f>
        <v>0</v>
      </c>
      <c r="AO21" s="33">
        <f>现金流量表!AO50</f>
        <v>1925613.89</v>
      </c>
      <c r="AP21" s="33">
        <f>现金流量表!AP50</f>
        <v>0</v>
      </c>
      <c r="AQ21" s="33">
        <f>现金流量表!AQ50</f>
        <v>1397014.1</v>
      </c>
      <c r="AR21" s="33">
        <f>现金流量表!AR50</f>
        <v>1094722.25</v>
      </c>
      <c r="AS21" s="33">
        <f>现金流量表!AS50</f>
        <v>0</v>
      </c>
      <c r="AT21" s="33">
        <f>现金流量表!AT50</f>
        <v>0</v>
      </c>
      <c r="AU21" s="33">
        <f>现金流量表!AU50</f>
        <v>0</v>
      </c>
      <c r="AV21" s="33">
        <f>现金流量表!AV50</f>
        <v>0</v>
      </c>
      <c r="AW21" s="33">
        <f>现金流量表!AW50</f>
        <v>0</v>
      </c>
      <c r="AX21" s="33">
        <f>现金流量表!AX50</f>
        <v>0</v>
      </c>
      <c r="AY21" s="33">
        <f>现金流量表!AY50</f>
        <v>0</v>
      </c>
      <c r="AZ21" s="33">
        <f>现金流量表!AZ50</f>
        <v>0</v>
      </c>
      <c r="BA21" s="33">
        <f>现金流量表!BA50</f>
        <v>0</v>
      </c>
      <c r="BB21" s="33">
        <f>现金流量表!BB50</f>
        <v>0</v>
      </c>
      <c r="BC21" s="33">
        <f>现金流量表!BC50</f>
        <v>0</v>
      </c>
      <c r="BD21" s="33">
        <f>现金流量表!BD50</f>
        <v>0</v>
      </c>
      <c r="BE21" s="33">
        <f>现金流量表!BE50</f>
        <v>0</v>
      </c>
      <c r="BF21" s="33">
        <f>现金流量表!BF50</f>
        <v>0</v>
      </c>
      <c r="BG21" s="33">
        <f>现金流量表!BG50</f>
        <v>0</v>
      </c>
      <c r="BH21" s="33">
        <f>现金流量表!BH50</f>
        <v>0</v>
      </c>
      <c r="BI21" s="33">
        <f>现金流量表!BI50</f>
        <v>0</v>
      </c>
      <c r="BJ21" s="33">
        <f>现金流量表!BJ50</f>
        <v>0</v>
      </c>
      <c r="BK21" s="33">
        <f>现金流量表!BK50</f>
        <v>0</v>
      </c>
      <c r="BL21" s="33">
        <f>现金流量表!BL50</f>
        <v>0</v>
      </c>
      <c r="BM21" s="33">
        <f>现金流量表!BM50</f>
        <v>0</v>
      </c>
      <c r="BN21" s="33">
        <f>现金流量表!BN50</f>
        <v>0</v>
      </c>
      <c r="BO21" s="33">
        <f>现金流量表!BO50</f>
        <v>0</v>
      </c>
      <c r="BP21" s="33">
        <f>现金流量表!BP50</f>
        <v>0</v>
      </c>
      <c r="BQ21" s="33">
        <f>现金流量表!BQ50</f>
        <v>0</v>
      </c>
      <c r="BR21" s="33">
        <f>现金流量表!BR50</f>
        <v>0</v>
      </c>
      <c r="BS21" s="33">
        <f>现金流量表!BS50</f>
        <v>0</v>
      </c>
      <c r="BT21" s="33">
        <f>现金流量表!BT50</f>
        <v>0</v>
      </c>
      <c r="BU21" s="33">
        <f>现金流量表!BU50</f>
        <v>0</v>
      </c>
      <c r="BV21" s="33">
        <f>现金流量表!BV50</f>
        <v>0</v>
      </c>
      <c r="BW21" s="33">
        <f>现金流量表!BW50</f>
        <v>0</v>
      </c>
      <c r="BX21" s="33">
        <f>现金流量表!BX50</f>
        <v>0</v>
      </c>
      <c r="BY21" s="33">
        <f>现金流量表!BY50</f>
        <v>0</v>
      </c>
      <c r="BZ21" s="33">
        <f>现金流量表!BZ50</f>
        <v>0</v>
      </c>
      <c r="CA21" s="33">
        <f>现金流量表!CA50</f>
        <v>0</v>
      </c>
      <c r="CB21" s="33">
        <f>现金流量表!CB50</f>
        <v>0</v>
      </c>
      <c r="CC21" s="33">
        <f>现金流量表!CC50</f>
        <v>0</v>
      </c>
      <c r="CD21" s="33">
        <f>现金流量表!CD50</f>
        <v>0</v>
      </c>
      <c r="CE21" s="33">
        <f>现金流量表!CE50</f>
        <v>0</v>
      </c>
      <c r="CF21" s="33">
        <f>现金流量表!CF50</f>
        <v>0</v>
      </c>
      <c r="CG21" s="33">
        <f>现金流量表!CG50</f>
        <v>0</v>
      </c>
      <c r="CH21" s="33">
        <f>现金流量表!CH50</f>
        <v>0</v>
      </c>
      <c r="CI21" s="33">
        <f>现金流量表!CI50</f>
        <v>0</v>
      </c>
      <c r="CJ21" s="33">
        <f>现金流量表!CJ50</f>
        <v>0</v>
      </c>
      <c r="CK21" s="33">
        <f>现金流量表!CK50</f>
        <v>0</v>
      </c>
      <c r="CL21" s="33">
        <f>现金流量表!CL50</f>
        <v>0</v>
      </c>
    </row>
    <row r="22" spans="1:90" s="33" customFormat="1">
      <c r="A22" s="33" t="s">
        <v>512</v>
      </c>
      <c r="E22" s="33">
        <f>现金流量表!E51</f>
        <v>6777993.5499999998</v>
      </c>
      <c r="F22" s="33">
        <f>现金流量表!F51</f>
        <v>0</v>
      </c>
      <c r="G22" s="33">
        <f>现金流量表!G51</f>
        <v>2564631.0499999998</v>
      </c>
      <c r="H22" s="33">
        <f>现金流量表!H51</f>
        <v>0</v>
      </c>
      <c r="I22" s="33">
        <f>现金流量表!I51</f>
        <v>3290836.07</v>
      </c>
      <c r="J22" s="33">
        <f>现金流量表!J51</f>
        <v>0</v>
      </c>
      <c r="K22" s="33">
        <f>现金流量表!K51</f>
        <v>1776510.45</v>
      </c>
      <c r="L22" s="33">
        <f>现金流量表!L51</f>
        <v>0</v>
      </c>
      <c r="M22" s="33">
        <f>现金流量表!M51</f>
        <v>3195707.52</v>
      </c>
      <c r="N22" s="33">
        <f>现金流量表!N51</f>
        <v>0</v>
      </c>
      <c r="O22" s="33">
        <f>现金流量表!O51</f>
        <v>1634225.34</v>
      </c>
      <c r="P22" s="33">
        <f>现金流量表!P51</f>
        <v>0</v>
      </c>
      <c r="Q22" s="33">
        <f>现金流量表!Q51</f>
        <v>1488722.23</v>
      </c>
      <c r="R22" s="33">
        <f>现金流量表!R51</f>
        <v>0</v>
      </c>
      <c r="S22" s="33">
        <f>现金流量表!S51</f>
        <v>795581.85</v>
      </c>
      <c r="T22" s="33">
        <f>现金流量表!T51</f>
        <v>0</v>
      </c>
      <c r="U22" s="33">
        <f>现金流量表!U51</f>
        <v>1024662.02</v>
      </c>
      <c r="V22" s="33">
        <f>现金流量表!V51</f>
        <v>0</v>
      </c>
      <c r="W22" s="33">
        <f>现金流量表!W51</f>
        <v>0</v>
      </c>
      <c r="X22" s="33">
        <f>现金流量表!X51</f>
        <v>0</v>
      </c>
      <c r="Y22" s="33">
        <f>现金流量表!Y51</f>
        <v>0</v>
      </c>
      <c r="Z22" s="33">
        <f>现金流量表!Z51</f>
        <v>0</v>
      </c>
      <c r="AA22" s="33">
        <f>现金流量表!AA51</f>
        <v>0</v>
      </c>
      <c r="AB22" s="33">
        <f>现金流量表!AB51</f>
        <v>0</v>
      </c>
      <c r="AC22" s="33">
        <f>现金流量表!AC51</f>
        <v>1022345.12</v>
      </c>
      <c r="AD22" s="33">
        <f>现金流量表!AD51</f>
        <v>0</v>
      </c>
      <c r="AE22" s="33">
        <f>现金流量表!AE51</f>
        <v>656148.9</v>
      </c>
      <c r="AF22" s="33">
        <f>现金流量表!AF51</f>
        <v>0</v>
      </c>
      <c r="AG22" s="33">
        <f>现金流量表!AG51</f>
        <v>1308697.8</v>
      </c>
      <c r="AH22" s="33">
        <f>现金流量表!AH51</f>
        <v>0</v>
      </c>
      <c r="AI22" s="33">
        <f>现金流量表!AI51</f>
        <v>655428.9</v>
      </c>
      <c r="AJ22" s="33">
        <f>现金流量表!AJ51</f>
        <v>0</v>
      </c>
      <c r="AK22" s="33">
        <f>现金流量表!AK51</f>
        <v>1272928.17</v>
      </c>
      <c r="AL22" s="33">
        <f>现金流量表!AL51</f>
        <v>0</v>
      </c>
      <c r="AM22" s="33">
        <f>现金流量表!AM51</f>
        <v>636977.23</v>
      </c>
      <c r="AN22" s="33">
        <f>现金流量表!AN51</f>
        <v>0</v>
      </c>
      <c r="AO22" s="33">
        <f>现金流量表!AO51</f>
        <v>386408.02</v>
      </c>
      <c r="AP22" s="33">
        <f>现金流量表!AP51</f>
        <v>0</v>
      </c>
      <c r="AQ22" s="33">
        <f>现金流量表!AQ51</f>
        <v>65098.92</v>
      </c>
      <c r="AR22" s="33">
        <f>现金流量表!AR51</f>
        <v>65098.92</v>
      </c>
      <c r="AS22" s="33">
        <f>现金流量表!AS51</f>
        <v>0</v>
      </c>
      <c r="AT22" s="33">
        <f>现金流量表!AT51</f>
        <v>0</v>
      </c>
      <c r="AU22" s="33">
        <f>现金流量表!AU51</f>
        <v>0</v>
      </c>
      <c r="AV22" s="33">
        <f>现金流量表!AV51</f>
        <v>0</v>
      </c>
      <c r="AW22" s="33">
        <f>现金流量表!AW51</f>
        <v>0</v>
      </c>
      <c r="AX22" s="33">
        <f>现金流量表!AX51</f>
        <v>0</v>
      </c>
      <c r="AY22" s="33">
        <f>现金流量表!AY51</f>
        <v>0</v>
      </c>
      <c r="AZ22" s="33">
        <f>现金流量表!AZ51</f>
        <v>0</v>
      </c>
      <c r="BA22" s="33">
        <f>现金流量表!BA51</f>
        <v>0</v>
      </c>
      <c r="BB22" s="33">
        <f>现金流量表!BB51</f>
        <v>0</v>
      </c>
      <c r="BC22" s="33">
        <f>现金流量表!BC51</f>
        <v>0</v>
      </c>
      <c r="BD22" s="33">
        <f>现金流量表!BD51</f>
        <v>0</v>
      </c>
      <c r="BE22" s="33">
        <f>现金流量表!BE51</f>
        <v>0</v>
      </c>
      <c r="BF22" s="33">
        <f>现金流量表!BF51</f>
        <v>0</v>
      </c>
      <c r="BG22" s="33">
        <f>现金流量表!BG51</f>
        <v>0</v>
      </c>
      <c r="BH22" s="33">
        <f>现金流量表!BH51</f>
        <v>0</v>
      </c>
      <c r="BI22" s="33">
        <f>现金流量表!BI51</f>
        <v>0</v>
      </c>
      <c r="BJ22" s="33">
        <f>现金流量表!BJ51</f>
        <v>0</v>
      </c>
      <c r="BK22" s="33">
        <f>现金流量表!BK51</f>
        <v>0</v>
      </c>
      <c r="BL22" s="33">
        <f>现金流量表!BL51</f>
        <v>0</v>
      </c>
      <c r="BM22" s="33">
        <f>现金流量表!BM51</f>
        <v>0</v>
      </c>
      <c r="BN22" s="33">
        <f>现金流量表!BN51</f>
        <v>0</v>
      </c>
      <c r="BO22" s="33">
        <f>现金流量表!BO51</f>
        <v>0</v>
      </c>
      <c r="BP22" s="33">
        <f>现金流量表!BP51</f>
        <v>0</v>
      </c>
      <c r="BQ22" s="33">
        <f>现金流量表!BQ51</f>
        <v>0</v>
      </c>
      <c r="BR22" s="33">
        <f>现金流量表!BR51</f>
        <v>0</v>
      </c>
      <c r="BS22" s="33">
        <f>现金流量表!BS51</f>
        <v>0</v>
      </c>
      <c r="BT22" s="33">
        <f>现金流量表!BT51</f>
        <v>0</v>
      </c>
      <c r="BU22" s="33">
        <f>现金流量表!BU51</f>
        <v>0</v>
      </c>
      <c r="BV22" s="33">
        <f>现金流量表!BV51</f>
        <v>0</v>
      </c>
      <c r="BW22" s="33">
        <f>现金流量表!BW51</f>
        <v>0</v>
      </c>
      <c r="BX22" s="33">
        <f>现金流量表!BX51</f>
        <v>0</v>
      </c>
      <c r="BY22" s="33">
        <f>现金流量表!BY51</f>
        <v>0</v>
      </c>
      <c r="BZ22" s="33">
        <f>现金流量表!BZ51</f>
        <v>0</v>
      </c>
      <c r="CA22" s="33">
        <f>现金流量表!CA51</f>
        <v>0</v>
      </c>
      <c r="CB22" s="33">
        <f>现金流量表!CB51</f>
        <v>0</v>
      </c>
      <c r="CC22" s="33">
        <f>现金流量表!CC51</f>
        <v>0</v>
      </c>
      <c r="CD22" s="33">
        <f>现金流量表!CD51</f>
        <v>0</v>
      </c>
      <c r="CE22" s="33">
        <f>现金流量表!CE51</f>
        <v>0</v>
      </c>
      <c r="CF22" s="33">
        <f>现金流量表!CF51</f>
        <v>0</v>
      </c>
      <c r="CG22" s="33">
        <f>现金流量表!CG51</f>
        <v>0</v>
      </c>
      <c r="CH22" s="33">
        <f>现金流量表!CH51</f>
        <v>0</v>
      </c>
      <c r="CI22" s="33">
        <f>现金流量表!CI51</f>
        <v>0</v>
      </c>
      <c r="CJ22" s="33">
        <f>现金流量表!CJ51</f>
        <v>0</v>
      </c>
      <c r="CK22" s="33">
        <f>现金流量表!CK51</f>
        <v>0</v>
      </c>
    </row>
    <row r="23" spans="1:90" s="33" customFormat="1">
      <c r="A23" s="33" t="s">
        <v>513</v>
      </c>
      <c r="E23" s="33">
        <f>现金流量表!E54</f>
        <v>0</v>
      </c>
      <c r="F23" s="33">
        <f>现金流量表!F54</f>
        <v>0</v>
      </c>
      <c r="G23" s="33">
        <f>现金流量表!G54</f>
        <v>-61756.08</v>
      </c>
      <c r="H23" s="33">
        <f>现金流量表!H54</f>
        <v>0</v>
      </c>
      <c r="I23" s="33">
        <f>现金流量表!I54</f>
        <v>305566.3</v>
      </c>
      <c r="J23" s="33">
        <f>现金流量表!J54</f>
        <v>0</v>
      </c>
      <c r="K23" s="33">
        <f>现金流量表!K54</f>
        <v>84351.17</v>
      </c>
      <c r="L23" s="33">
        <f>现金流量表!L54</f>
        <v>0</v>
      </c>
      <c r="M23" s="33">
        <f>现金流量表!M54</f>
        <v>32370.97</v>
      </c>
      <c r="N23" s="33">
        <f>现金流量表!N54</f>
        <v>0</v>
      </c>
      <c r="O23" s="33">
        <f>现金流量表!O54</f>
        <v>1268005.6100000001</v>
      </c>
      <c r="P23" s="33">
        <f>现金流量表!P54</f>
        <v>0</v>
      </c>
      <c r="Q23" s="33">
        <f>现金流量表!Q54</f>
        <v>478063.89</v>
      </c>
      <c r="R23" s="33">
        <f>现金流量表!R54</f>
        <v>0</v>
      </c>
      <c r="S23" s="33">
        <f>现金流量表!S54</f>
        <v>-118096.33</v>
      </c>
      <c r="T23" s="33">
        <f>现金流量表!T54</f>
        <v>0</v>
      </c>
      <c r="U23" s="33">
        <f>现金流量表!U54</f>
        <v>176155.69</v>
      </c>
      <c r="V23" s="33">
        <f>现金流量表!V54</f>
        <v>0</v>
      </c>
      <c r="W23" s="33">
        <f>现金流量表!W54</f>
        <v>0</v>
      </c>
      <c r="X23" s="33">
        <f>现金流量表!X54</f>
        <v>0</v>
      </c>
      <c r="Y23" s="33">
        <f>现金流量表!Y54</f>
        <v>191479.43</v>
      </c>
      <c r="Z23" s="33">
        <f>现金流量表!Z54</f>
        <v>0</v>
      </c>
      <c r="AA23" s="33">
        <f>现金流量表!AA54</f>
        <v>0</v>
      </c>
      <c r="AB23" s="33">
        <f>现金流量表!AB54</f>
        <v>0</v>
      </c>
      <c r="AC23" s="33">
        <f>现金流量表!AC54</f>
        <v>147641.5</v>
      </c>
      <c r="AD23" s="33">
        <f>现金流量表!AD54</f>
        <v>0</v>
      </c>
      <c r="AE23" s="33">
        <f>现金流量表!AE54</f>
        <v>0</v>
      </c>
      <c r="AF23" s="33">
        <f>现金流量表!AF54</f>
        <v>0</v>
      </c>
      <c r="AG23" s="33">
        <f>现金流量表!AG54</f>
        <v>195899.7</v>
      </c>
      <c r="AH23" s="33">
        <f>现金流量表!AH54</f>
        <v>0</v>
      </c>
      <c r="AI23" s="33">
        <f>现金流量表!AI54</f>
        <v>0</v>
      </c>
      <c r="AJ23" s="33">
        <f>现金流量表!AJ54</f>
        <v>0</v>
      </c>
      <c r="AK23" s="33">
        <f>现金流量表!AK54</f>
        <v>23791.95</v>
      </c>
      <c r="AL23" s="33">
        <f>现金流量表!AL54</f>
        <v>0</v>
      </c>
      <c r="AM23" s="33">
        <f>现金流量表!AM54</f>
        <v>27000.95</v>
      </c>
      <c r="AN23" s="33">
        <f>现金流量表!AN54</f>
        <v>0</v>
      </c>
      <c r="AO23" s="33">
        <f>现金流量表!AO54</f>
        <v>-82204.39</v>
      </c>
      <c r="AP23" s="33">
        <f>现金流量表!AP54</f>
        <v>0</v>
      </c>
      <c r="AQ23" s="33">
        <f>现金流量表!AQ54</f>
        <v>-45809</v>
      </c>
      <c r="AR23" s="33">
        <f>现金流量表!AR54</f>
        <v>-2182119.77</v>
      </c>
      <c r="AS23" s="33">
        <f>现金流量表!AS54</f>
        <v>0</v>
      </c>
      <c r="AT23" s="33">
        <f>现金流量表!AT54</f>
        <v>0</v>
      </c>
      <c r="AU23" s="33">
        <f>现金流量表!AU54</f>
        <v>0</v>
      </c>
      <c r="AV23" s="33">
        <f>现金流量表!AV54</f>
        <v>0</v>
      </c>
      <c r="AW23" s="33">
        <f>现金流量表!AW54</f>
        <v>0</v>
      </c>
      <c r="AX23" s="33">
        <f>现金流量表!AX54</f>
        <v>0</v>
      </c>
      <c r="AY23" s="33">
        <f>现金流量表!AY54</f>
        <v>0</v>
      </c>
      <c r="AZ23" s="33">
        <f>现金流量表!AZ54</f>
        <v>0</v>
      </c>
      <c r="BA23" s="33">
        <f>现金流量表!BA54</f>
        <v>0</v>
      </c>
      <c r="BB23" s="33">
        <f>现金流量表!BB54</f>
        <v>0</v>
      </c>
      <c r="BC23" s="33">
        <f>现金流量表!BC54</f>
        <v>0</v>
      </c>
      <c r="BD23" s="33">
        <f>现金流量表!BD54</f>
        <v>0</v>
      </c>
      <c r="BE23" s="33">
        <f>现金流量表!BE54</f>
        <v>0</v>
      </c>
      <c r="BF23" s="33">
        <f>现金流量表!BF54</f>
        <v>0</v>
      </c>
      <c r="BG23" s="33">
        <f>现金流量表!BG54</f>
        <v>0</v>
      </c>
      <c r="BH23" s="33">
        <f>现金流量表!BH54</f>
        <v>0</v>
      </c>
      <c r="BI23" s="33">
        <f>现金流量表!BI54</f>
        <v>0</v>
      </c>
      <c r="BJ23" s="33">
        <f>现金流量表!BJ54</f>
        <v>0</v>
      </c>
      <c r="BK23" s="33">
        <f>现金流量表!BK54</f>
        <v>0</v>
      </c>
      <c r="BL23" s="33">
        <f>现金流量表!BL54</f>
        <v>0</v>
      </c>
      <c r="BM23" s="33">
        <f>现金流量表!BM54</f>
        <v>0</v>
      </c>
      <c r="BN23" s="33">
        <f>现金流量表!BN54</f>
        <v>0</v>
      </c>
      <c r="BO23" s="33">
        <f>现金流量表!BO54</f>
        <v>0</v>
      </c>
      <c r="BP23" s="33">
        <f>现金流量表!BP54</f>
        <v>0</v>
      </c>
      <c r="BQ23" s="33">
        <f>现金流量表!BQ54</f>
        <v>0</v>
      </c>
      <c r="BR23" s="33">
        <f>现金流量表!BR54</f>
        <v>0</v>
      </c>
      <c r="BS23" s="33">
        <f>现金流量表!BS54</f>
        <v>0</v>
      </c>
      <c r="BT23" s="33">
        <f>现金流量表!BT54</f>
        <v>0</v>
      </c>
      <c r="BU23" s="33">
        <f>现金流量表!BU54</f>
        <v>0</v>
      </c>
      <c r="BV23" s="33">
        <f>现金流量表!BV54</f>
        <v>0</v>
      </c>
      <c r="BW23" s="33">
        <f>现金流量表!BW54</f>
        <v>0</v>
      </c>
      <c r="BX23" s="33">
        <f>现金流量表!BX54</f>
        <v>0</v>
      </c>
      <c r="BY23" s="33">
        <f>现金流量表!BY54</f>
        <v>0</v>
      </c>
      <c r="BZ23" s="33">
        <f>现金流量表!BZ54</f>
        <v>0</v>
      </c>
      <c r="CA23" s="33">
        <f>现金流量表!CA54</f>
        <v>0</v>
      </c>
      <c r="CB23" s="33">
        <f>现金流量表!CB54</f>
        <v>0</v>
      </c>
      <c r="CC23" s="33">
        <f>现金流量表!CC54</f>
        <v>0</v>
      </c>
      <c r="CD23" s="33">
        <f>现金流量表!CD54</f>
        <v>0</v>
      </c>
      <c r="CE23" s="33">
        <f>现金流量表!CE54</f>
        <v>0</v>
      </c>
      <c r="CF23" s="33">
        <f>现金流量表!CF54</f>
        <v>0</v>
      </c>
      <c r="CG23" s="33">
        <f>现金流量表!CG54</f>
        <v>0</v>
      </c>
      <c r="CH23" s="33">
        <f>现金流量表!CH54</f>
        <v>0</v>
      </c>
      <c r="CI23" s="33">
        <f>现金流量表!CI54</f>
        <v>0</v>
      </c>
      <c r="CJ23" s="33">
        <f>现金流量表!CJ54</f>
        <v>0</v>
      </c>
      <c r="CK23" s="33">
        <f>现金流量表!CK54</f>
        <v>0</v>
      </c>
    </row>
    <row r="24" spans="1:90" s="33" customFormat="1">
      <c r="A24" s="33" t="s">
        <v>514</v>
      </c>
      <c r="E24" s="33">
        <f>现金流量表!E55</f>
        <v>7939.05</v>
      </c>
      <c r="F24" s="33">
        <f>现金流量表!F55</f>
        <v>0</v>
      </c>
      <c r="G24" s="33">
        <f>现金流量表!G55</f>
        <v>0</v>
      </c>
      <c r="H24" s="33">
        <f>现金流量表!H55</f>
        <v>0</v>
      </c>
      <c r="I24" s="33">
        <f>现金流量表!I55</f>
        <v>0</v>
      </c>
      <c r="J24" s="33">
        <f>现金流量表!J55</f>
        <v>0</v>
      </c>
      <c r="K24" s="33">
        <f>现金流量表!K55</f>
        <v>0</v>
      </c>
      <c r="L24" s="33">
        <f>现金流量表!L55</f>
        <v>0</v>
      </c>
      <c r="M24" s="33">
        <f>现金流量表!M55</f>
        <v>0</v>
      </c>
      <c r="N24" s="33">
        <f>现金流量表!N55</f>
        <v>0</v>
      </c>
      <c r="O24" s="33">
        <f>现金流量表!O55</f>
        <v>0</v>
      </c>
      <c r="P24" s="33">
        <f>现金流量表!P55</f>
        <v>0</v>
      </c>
      <c r="Q24" s="33">
        <f>现金流量表!Q55</f>
        <v>0</v>
      </c>
      <c r="R24" s="33">
        <f>现金流量表!R55</f>
        <v>0</v>
      </c>
      <c r="S24" s="33">
        <f>现金流量表!S55</f>
        <v>0</v>
      </c>
      <c r="T24" s="33">
        <f>现金流量表!T55</f>
        <v>0</v>
      </c>
      <c r="U24" s="33">
        <f>现金流量表!U55</f>
        <v>0</v>
      </c>
      <c r="V24" s="33">
        <f>现金流量表!V55</f>
        <v>0</v>
      </c>
      <c r="W24" s="33">
        <f>现金流量表!W55</f>
        <v>0</v>
      </c>
      <c r="X24" s="33">
        <f>现金流量表!X55</f>
        <v>0</v>
      </c>
      <c r="Y24" s="33">
        <f>现金流量表!Y55</f>
        <v>0</v>
      </c>
      <c r="Z24" s="33">
        <f>现金流量表!Z55</f>
        <v>0</v>
      </c>
      <c r="AA24" s="33">
        <f>现金流量表!AA55</f>
        <v>0</v>
      </c>
      <c r="AB24" s="33">
        <f>现金流量表!AB55</f>
        <v>0</v>
      </c>
      <c r="AC24" s="33">
        <f>现金流量表!AC55</f>
        <v>0</v>
      </c>
      <c r="AD24" s="33">
        <f>现金流量表!AD55</f>
        <v>0</v>
      </c>
      <c r="AE24" s="33">
        <f>现金流量表!AE55</f>
        <v>0</v>
      </c>
      <c r="AF24" s="33">
        <f>现金流量表!AF55</f>
        <v>0</v>
      </c>
      <c r="AG24" s="33">
        <f>现金流量表!AG55</f>
        <v>0</v>
      </c>
      <c r="AH24" s="33">
        <f>现金流量表!AH55</f>
        <v>0</v>
      </c>
      <c r="AI24" s="33">
        <f>现金流量表!AI55</f>
        <v>0</v>
      </c>
      <c r="AJ24" s="33">
        <f>现金流量表!AJ55</f>
        <v>0</v>
      </c>
      <c r="AK24" s="33">
        <f>现金流量表!AK55</f>
        <v>0</v>
      </c>
      <c r="AL24" s="33">
        <f>现金流量表!AL55</f>
        <v>0</v>
      </c>
      <c r="AM24" s="33">
        <f>现金流量表!AM55</f>
        <v>0</v>
      </c>
      <c r="AN24" s="33">
        <f>现金流量表!AN55</f>
        <v>0</v>
      </c>
      <c r="AO24" s="33">
        <f>现金流量表!AO55</f>
        <v>0</v>
      </c>
      <c r="AP24" s="33">
        <f>现金流量表!AP55</f>
        <v>0</v>
      </c>
      <c r="AQ24" s="33">
        <f>现金流量表!AQ55</f>
        <v>7853.85</v>
      </c>
      <c r="AR24" s="33">
        <f>现金流量表!AR55</f>
        <v>0</v>
      </c>
      <c r="AS24" s="33">
        <f>现金流量表!AS55</f>
        <v>0</v>
      </c>
      <c r="AT24" s="33">
        <f>现金流量表!AT55</f>
        <v>0</v>
      </c>
      <c r="AU24" s="33">
        <f>现金流量表!AU55</f>
        <v>0</v>
      </c>
      <c r="AV24" s="33">
        <f>现金流量表!AV55</f>
        <v>0</v>
      </c>
      <c r="AW24" s="33">
        <f>现金流量表!AW55</f>
        <v>0</v>
      </c>
      <c r="AX24" s="33">
        <f>现金流量表!AX55</f>
        <v>0</v>
      </c>
      <c r="AY24" s="33">
        <f>现金流量表!AY55</f>
        <v>0</v>
      </c>
      <c r="AZ24" s="33">
        <f>现金流量表!AZ55</f>
        <v>0</v>
      </c>
      <c r="BA24" s="33">
        <f>现金流量表!BA55</f>
        <v>0</v>
      </c>
      <c r="BB24" s="33">
        <f>现金流量表!BB55</f>
        <v>0</v>
      </c>
      <c r="BC24" s="33">
        <f>现金流量表!BC55</f>
        <v>0</v>
      </c>
      <c r="BD24" s="33">
        <f>现金流量表!BD55</f>
        <v>0</v>
      </c>
      <c r="BE24" s="33">
        <f>现金流量表!BE55</f>
        <v>0</v>
      </c>
      <c r="BF24" s="33">
        <f>现金流量表!BF55</f>
        <v>0</v>
      </c>
      <c r="BG24" s="33">
        <f>现金流量表!BG55</f>
        <v>0</v>
      </c>
      <c r="BH24" s="33">
        <f>现金流量表!BH55</f>
        <v>0</v>
      </c>
      <c r="BI24" s="33">
        <f>现金流量表!BI55</f>
        <v>0</v>
      </c>
      <c r="BJ24" s="33">
        <f>现金流量表!BJ55</f>
        <v>0</v>
      </c>
      <c r="BK24" s="33">
        <f>现金流量表!BK55</f>
        <v>0</v>
      </c>
      <c r="BL24" s="33">
        <f>现金流量表!BL55</f>
        <v>0</v>
      </c>
      <c r="BM24" s="33">
        <f>现金流量表!BM55</f>
        <v>0</v>
      </c>
      <c r="BN24" s="33">
        <f>现金流量表!BN55</f>
        <v>0</v>
      </c>
      <c r="BO24" s="33">
        <f>现金流量表!BO55</f>
        <v>0</v>
      </c>
      <c r="BP24" s="33">
        <f>现金流量表!BP55</f>
        <v>0</v>
      </c>
      <c r="BQ24" s="33">
        <f>现金流量表!BQ55</f>
        <v>0</v>
      </c>
      <c r="BR24" s="33">
        <f>现金流量表!BR55</f>
        <v>0</v>
      </c>
      <c r="BS24" s="33">
        <f>现金流量表!BS55</f>
        <v>0</v>
      </c>
      <c r="BT24" s="33">
        <f>现金流量表!BT55</f>
        <v>0</v>
      </c>
      <c r="BU24" s="33">
        <f>现金流量表!BU55</f>
        <v>0</v>
      </c>
      <c r="BV24" s="33">
        <f>现金流量表!BV55</f>
        <v>0</v>
      </c>
      <c r="BW24" s="33">
        <f>现金流量表!BW55</f>
        <v>0</v>
      </c>
      <c r="BX24" s="33">
        <f>现金流量表!BX55</f>
        <v>0</v>
      </c>
      <c r="BY24" s="33">
        <f>现金流量表!BY55</f>
        <v>0</v>
      </c>
      <c r="BZ24" s="33">
        <f>现金流量表!BZ55</f>
        <v>0</v>
      </c>
      <c r="CA24" s="33">
        <f>现金流量表!CA55</f>
        <v>0</v>
      </c>
      <c r="CB24" s="33">
        <f>现金流量表!CB55</f>
        <v>0</v>
      </c>
      <c r="CC24" s="33">
        <f>现金流量表!CC55</f>
        <v>0</v>
      </c>
      <c r="CD24" s="33">
        <f>现金流量表!CD55</f>
        <v>0</v>
      </c>
      <c r="CE24" s="33">
        <f>现金流量表!CE55</f>
        <v>0</v>
      </c>
      <c r="CF24" s="33">
        <f>现金流量表!CF55</f>
        <v>0</v>
      </c>
      <c r="CG24" s="33">
        <f>现金流量表!CG55</f>
        <v>0</v>
      </c>
      <c r="CH24" s="33">
        <f>现金流量表!CH55</f>
        <v>0</v>
      </c>
      <c r="CI24" s="33">
        <f>现金流量表!CI55</f>
        <v>0</v>
      </c>
      <c r="CJ24" s="33">
        <f>现金流量表!CJ55</f>
        <v>0</v>
      </c>
      <c r="CK24" s="33">
        <f>现金流量表!CK55</f>
        <v>0</v>
      </c>
    </row>
    <row r="25" spans="1:90" s="35" customFormat="1">
      <c r="A25" s="35" t="s">
        <v>515</v>
      </c>
      <c r="E25" s="35">
        <f>SUM(E19:E24)</f>
        <v>52011014.309999987</v>
      </c>
      <c r="F25" s="35">
        <f t="shared" ref="F25:BQ25" si="12">SUM(F19:F24)</f>
        <v>0</v>
      </c>
      <c r="G25" s="35">
        <f t="shared" si="12"/>
        <v>18231354</v>
      </c>
      <c r="H25" s="35">
        <f t="shared" si="12"/>
        <v>0</v>
      </c>
      <c r="I25" s="35">
        <f t="shared" si="12"/>
        <v>60748727.109999999</v>
      </c>
      <c r="J25" s="35">
        <f t="shared" si="12"/>
        <v>0</v>
      </c>
      <c r="K25" s="35">
        <f t="shared" si="12"/>
        <v>22130373.620000005</v>
      </c>
      <c r="L25" s="35">
        <f t="shared" si="12"/>
        <v>0</v>
      </c>
      <c r="M25" s="35">
        <f t="shared" si="12"/>
        <v>59168817.780000001</v>
      </c>
      <c r="N25" s="35">
        <f t="shared" si="12"/>
        <v>0</v>
      </c>
      <c r="O25" s="35">
        <f t="shared" si="12"/>
        <v>24048168.829999998</v>
      </c>
      <c r="P25" s="35">
        <f t="shared" si="12"/>
        <v>0</v>
      </c>
      <c r="Q25" s="35">
        <f t="shared" si="12"/>
        <v>48359530.960000001</v>
      </c>
      <c r="R25" s="35">
        <f t="shared" si="12"/>
        <v>0</v>
      </c>
      <c r="S25" s="35">
        <f t="shared" si="12"/>
        <v>20869405.610000003</v>
      </c>
      <c r="T25" s="35">
        <f t="shared" si="12"/>
        <v>0</v>
      </c>
      <c r="U25" s="35">
        <f t="shared" si="12"/>
        <v>44725844.339999996</v>
      </c>
      <c r="V25" s="35">
        <f t="shared" si="12"/>
        <v>0</v>
      </c>
      <c r="W25" s="35">
        <f t="shared" si="12"/>
        <v>17262746.210000001</v>
      </c>
      <c r="X25" s="35">
        <f t="shared" si="12"/>
        <v>0</v>
      </c>
      <c r="Y25" s="35">
        <f t="shared" si="12"/>
        <v>35202609.839999996</v>
      </c>
      <c r="Z25" s="35">
        <f t="shared" si="12"/>
        <v>0</v>
      </c>
      <c r="AA25" s="35">
        <f t="shared" si="12"/>
        <v>15576293.07</v>
      </c>
      <c r="AB25" s="35">
        <f t="shared" si="12"/>
        <v>0</v>
      </c>
      <c r="AC25" s="35">
        <f t="shared" si="12"/>
        <v>25415853.709999997</v>
      </c>
      <c r="AD25" s="35">
        <f t="shared" si="12"/>
        <v>0</v>
      </c>
      <c r="AE25" s="35">
        <f t="shared" si="12"/>
        <v>10979111.550000001</v>
      </c>
      <c r="AF25" s="35">
        <f t="shared" si="12"/>
        <v>0</v>
      </c>
      <c r="AG25" s="35">
        <f t="shared" si="12"/>
        <v>17763666.789999999</v>
      </c>
      <c r="AH25" s="35">
        <f t="shared" si="12"/>
        <v>0</v>
      </c>
      <c r="AI25" s="35">
        <f t="shared" si="12"/>
        <v>7893287.8499999996</v>
      </c>
      <c r="AJ25" s="35">
        <f t="shared" si="12"/>
        <v>0</v>
      </c>
      <c r="AK25" s="35">
        <f t="shared" si="12"/>
        <v>12077623.049999999</v>
      </c>
      <c r="AL25" s="35">
        <f t="shared" si="12"/>
        <v>0</v>
      </c>
      <c r="AM25" s="35">
        <f t="shared" si="12"/>
        <v>5766615.5300000003</v>
      </c>
      <c r="AN25" s="35">
        <f t="shared" si="12"/>
        <v>0</v>
      </c>
      <c r="AO25" s="35">
        <f t="shared" si="12"/>
        <v>13529904.48</v>
      </c>
      <c r="AP25" s="35">
        <f t="shared" si="12"/>
        <v>0</v>
      </c>
      <c r="AQ25" s="35">
        <f t="shared" si="12"/>
        <v>9900499.629999999</v>
      </c>
      <c r="AR25" s="35">
        <f t="shared" si="12"/>
        <v>5879840.040000001</v>
      </c>
      <c r="AS25" s="35">
        <f t="shared" si="12"/>
        <v>0</v>
      </c>
      <c r="AT25" s="35">
        <f t="shared" si="12"/>
        <v>0</v>
      </c>
      <c r="AU25" s="35">
        <f t="shared" si="12"/>
        <v>0</v>
      </c>
      <c r="AV25" s="35">
        <f t="shared" si="12"/>
        <v>0</v>
      </c>
      <c r="AW25" s="35">
        <f t="shared" si="12"/>
        <v>0</v>
      </c>
      <c r="AX25" s="35">
        <f t="shared" si="12"/>
        <v>0</v>
      </c>
      <c r="AY25" s="35">
        <f t="shared" si="12"/>
        <v>0</v>
      </c>
      <c r="AZ25" s="35">
        <f t="shared" si="12"/>
        <v>0</v>
      </c>
      <c r="BA25" s="35">
        <f t="shared" si="12"/>
        <v>0</v>
      </c>
      <c r="BB25" s="35">
        <f t="shared" si="12"/>
        <v>0</v>
      </c>
      <c r="BC25" s="35">
        <f t="shared" si="12"/>
        <v>0</v>
      </c>
      <c r="BD25" s="35">
        <f t="shared" si="12"/>
        <v>0</v>
      </c>
      <c r="BE25" s="35">
        <f t="shared" si="12"/>
        <v>0</v>
      </c>
      <c r="BF25" s="35">
        <f t="shared" si="12"/>
        <v>0</v>
      </c>
      <c r="BG25" s="35">
        <f t="shared" si="12"/>
        <v>0</v>
      </c>
      <c r="BH25" s="35">
        <f t="shared" si="12"/>
        <v>0</v>
      </c>
      <c r="BI25" s="35">
        <f t="shared" si="12"/>
        <v>0</v>
      </c>
      <c r="BJ25" s="35">
        <f t="shared" si="12"/>
        <v>0</v>
      </c>
      <c r="BK25" s="35">
        <f t="shared" si="12"/>
        <v>0</v>
      </c>
      <c r="BL25" s="35">
        <f t="shared" si="12"/>
        <v>0</v>
      </c>
      <c r="BM25" s="35">
        <f t="shared" si="12"/>
        <v>0</v>
      </c>
      <c r="BN25" s="35">
        <f t="shared" si="12"/>
        <v>0</v>
      </c>
      <c r="BO25" s="35">
        <f t="shared" si="12"/>
        <v>0</v>
      </c>
      <c r="BP25" s="35">
        <f t="shared" si="12"/>
        <v>0</v>
      </c>
      <c r="BQ25" s="35">
        <f t="shared" si="12"/>
        <v>0</v>
      </c>
      <c r="BR25" s="35">
        <f t="shared" ref="BR25:CK25" si="13">SUM(BR19:BR24)</f>
        <v>0</v>
      </c>
      <c r="BS25" s="35">
        <f t="shared" si="13"/>
        <v>0</v>
      </c>
      <c r="BT25" s="35">
        <f t="shared" si="13"/>
        <v>0</v>
      </c>
      <c r="BU25" s="35">
        <f t="shared" si="13"/>
        <v>0</v>
      </c>
      <c r="BV25" s="35">
        <f t="shared" si="13"/>
        <v>0</v>
      </c>
      <c r="BW25" s="35">
        <f t="shared" si="13"/>
        <v>0</v>
      </c>
      <c r="BX25" s="35">
        <f t="shared" si="13"/>
        <v>0</v>
      </c>
      <c r="BY25" s="35">
        <f t="shared" si="13"/>
        <v>0</v>
      </c>
      <c r="BZ25" s="35">
        <f t="shared" si="13"/>
        <v>0</v>
      </c>
      <c r="CA25" s="35">
        <f t="shared" si="13"/>
        <v>0</v>
      </c>
      <c r="CB25" s="35">
        <f t="shared" si="13"/>
        <v>0</v>
      </c>
      <c r="CC25" s="35">
        <f t="shared" si="13"/>
        <v>0</v>
      </c>
      <c r="CD25" s="35">
        <f t="shared" si="13"/>
        <v>0</v>
      </c>
      <c r="CE25" s="35">
        <f t="shared" si="13"/>
        <v>0</v>
      </c>
      <c r="CF25" s="35">
        <f t="shared" si="13"/>
        <v>0</v>
      </c>
      <c r="CG25" s="35">
        <f t="shared" si="13"/>
        <v>0</v>
      </c>
      <c r="CH25" s="35">
        <f t="shared" si="13"/>
        <v>0</v>
      </c>
      <c r="CI25" s="35">
        <f t="shared" si="13"/>
        <v>0</v>
      </c>
      <c r="CJ25" s="35">
        <f t="shared" si="13"/>
        <v>0</v>
      </c>
      <c r="CK25" s="35">
        <f t="shared" si="13"/>
        <v>0</v>
      </c>
    </row>
    <row r="26" spans="1:90" s="35" customFormat="1">
      <c r="A26" s="35" t="s">
        <v>516</v>
      </c>
      <c r="E26" s="35">
        <f>E14-E25</f>
        <v>313742175.93000001</v>
      </c>
      <c r="F26" s="35">
        <f t="shared" ref="F26:BQ26" si="14">F14-F25</f>
        <v>-156217887.16999999</v>
      </c>
      <c r="G26" s="35">
        <f t="shared" si="14"/>
        <v>-189195633.38</v>
      </c>
      <c r="H26" s="35">
        <f t="shared" si="14"/>
        <v>-47008163.07</v>
      </c>
      <c r="I26" s="35">
        <f t="shared" si="14"/>
        <v>359057402.55000001</v>
      </c>
      <c r="J26" s="35">
        <f t="shared" si="14"/>
        <v>38458581.640000001</v>
      </c>
      <c r="K26" s="35">
        <f t="shared" si="14"/>
        <v>55591675.00999999</v>
      </c>
      <c r="L26" s="35">
        <f t="shared" si="14"/>
        <v>42734952.859999999</v>
      </c>
      <c r="M26" s="35">
        <f t="shared" si="14"/>
        <v>231782736.91999999</v>
      </c>
      <c r="N26" s="35">
        <f t="shared" si="14"/>
        <v>-10436604.26</v>
      </c>
      <c r="O26" s="35">
        <f t="shared" si="14"/>
        <v>-70105637.930000007</v>
      </c>
      <c r="P26" s="35">
        <f t="shared" si="14"/>
        <v>-8499977.6899999995</v>
      </c>
      <c r="Q26" s="35">
        <f t="shared" si="14"/>
        <v>387407965.23000002</v>
      </c>
      <c r="R26" s="35">
        <f t="shared" si="14"/>
        <v>169747549.08000001</v>
      </c>
      <c r="S26" s="35">
        <f t="shared" si="14"/>
        <v>47422794.620000005</v>
      </c>
      <c r="T26" s="35">
        <f t="shared" si="14"/>
        <v>82976613.319999993</v>
      </c>
      <c r="U26" s="35">
        <f t="shared" si="14"/>
        <v>173087621.34</v>
      </c>
      <c r="V26" s="35">
        <f t="shared" si="14"/>
        <v>-34473593.109999999</v>
      </c>
      <c r="W26" s="35">
        <f t="shared" si="14"/>
        <v>-46004446.640000001</v>
      </c>
      <c r="X26" s="35">
        <f t="shared" si="14"/>
        <v>1166724.8</v>
      </c>
      <c r="Y26" s="35">
        <f t="shared" si="14"/>
        <v>414861505.17000002</v>
      </c>
      <c r="Z26" s="35">
        <f t="shared" si="14"/>
        <v>201993886.41999999</v>
      </c>
      <c r="AA26" s="35">
        <f t="shared" si="14"/>
        <v>3979400.9299999997</v>
      </c>
      <c r="AB26" s="35">
        <f t="shared" si="14"/>
        <v>17890091.710000001</v>
      </c>
      <c r="AC26" s="35">
        <f t="shared" si="14"/>
        <v>186312184.06</v>
      </c>
      <c r="AD26" s="35">
        <f t="shared" si="14"/>
        <v>118929974.05</v>
      </c>
      <c r="AE26" s="35">
        <f t="shared" si="14"/>
        <v>96235766.420000002</v>
      </c>
      <c r="AF26" s="35">
        <f t="shared" si="14"/>
        <v>61700397.140000001</v>
      </c>
      <c r="AG26" s="35">
        <f t="shared" si="14"/>
        <v>-80546271.159999996</v>
      </c>
      <c r="AH26" s="35">
        <f t="shared" si="14"/>
        <v>-153018539.22999999</v>
      </c>
      <c r="AI26" s="35">
        <f t="shared" si="14"/>
        <v>-98217311.439999998</v>
      </c>
      <c r="AJ26" s="35">
        <f t="shared" si="14"/>
        <v>7892284.5199999996</v>
      </c>
      <c r="AK26" s="35">
        <f t="shared" si="14"/>
        <v>117145503.85000001</v>
      </c>
      <c r="AL26" s="35">
        <f t="shared" si="14"/>
        <v>67541082.170000002</v>
      </c>
      <c r="AM26" s="35">
        <f t="shared" si="14"/>
        <v>26833447.27</v>
      </c>
      <c r="AN26" s="35">
        <f t="shared" si="14"/>
        <v>8494115.5700000003</v>
      </c>
      <c r="AO26" s="35">
        <f t="shared" si="14"/>
        <v>53542151.730000004</v>
      </c>
      <c r="AP26" s="35">
        <f t="shared" si="14"/>
        <v>8862501.5299999993</v>
      </c>
      <c r="AQ26" s="35">
        <f t="shared" si="14"/>
        <v>40696722.489999995</v>
      </c>
      <c r="AR26" s="35">
        <f t="shared" si="14"/>
        <v>35923129.189999998</v>
      </c>
      <c r="AS26" s="35">
        <f t="shared" si="14"/>
        <v>0</v>
      </c>
      <c r="AT26" s="35">
        <f t="shared" si="14"/>
        <v>0</v>
      </c>
      <c r="AU26" s="35">
        <f t="shared" si="14"/>
        <v>0</v>
      </c>
      <c r="AV26" s="35">
        <f t="shared" si="14"/>
        <v>0</v>
      </c>
      <c r="AW26" s="35">
        <f t="shared" si="14"/>
        <v>0</v>
      </c>
      <c r="AX26" s="35">
        <f t="shared" si="14"/>
        <v>0</v>
      </c>
      <c r="AY26" s="35">
        <f t="shared" si="14"/>
        <v>0</v>
      </c>
      <c r="AZ26" s="35">
        <f t="shared" si="14"/>
        <v>0</v>
      </c>
      <c r="BA26" s="35">
        <f t="shared" si="14"/>
        <v>0</v>
      </c>
      <c r="BB26" s="35">
        <f t="shared" si="14"/>
        <v>0</v>
      </c>
      <c r="BC26" s="35">
        <f t="shared" si="14"/>
        <v>0</v>
      </c>
      <c r="BD26" s="35">
        <f t="shared" si="14"/>
        <v>0</v>
      </c>
      <c r="BE26" s="35">
        <f t="shared" si="14"/>
        <v>0</v>
      </c>
      <c r="BF26" s="35">
        <f t="shared" si="14"/>
        <v>0</v>
      </c>
      <c r="BG26" s="35">
        <f t="shared" si="14"/>
        <v>0</v>
      </c>
      <c r="BH26" s="35">
        <f t="shared" si="14"/>
        <v>0</v>
      </c>
      <c r="BI26" s="35">
        <f t="shared" si="14"/>
        <v>0</v>
      </c>
      <c r="BJ26" s="35">
        <f t="shared" si="14"/>
        <v>0</v>
      </c>
      <c r="BK26" s="35">
        <f t="shared" si="14"/>
        <v>0</v>
      </c>
      <c r="BL26" s="35">
        <f t="shared" si="14"/>
        <v>0</v>
      </c>
      <c r="BM26" s="35">
        <f t="shared" si="14"/>
        <v>0</v>
      </c>
      <c r="BN26" s="35">
        <f t="shared" si="14"/>
        <v>0</v>
      </c>
      <c r="BO26" s="35">
        <f t="shared" si="14"/>
        <v>0</v>
      </c>
      <c r="BP26" s="35">
        <f t="shared" si="14"/>
        <v>0</v>
      </c>
      <c r="BQ26" s="35">
        <f t="shared" si="14"/>
        <v>0</v>
      </c>
      <c r="BR26" s="35">
        <f t="shared" ref="BR26:CK26" si="15">BR14-BR25</f>
        <v>0</v>
      </c>
      <c r="BS26" s="35">
        <f t="shared" si="15"/>
        <v>0</v>
      </c>
      <c r="BT26" s="35">
        <f t="shared" si="15"/>
        <v>0</v>
      </c>
      <c r="BU26" s="35">
        <f t="shared" si="15"/>
        <v>0</v>
      </c>
      <c r="BV26" s="35">
        <f t="shared" si="15"/>
        <v>0</v>
      </c>
      <c r="BW26" s="35">
        <f t="shared" si="15"/>
        <v>0</v>
      </c>
      <c r="BX26" s="35">
        <f t="shared" si="15"/>
        <v>0</v>
      </c>
      <c r="BY26" s="35">
        <f t="shared" si="15"/>
        <v>0</v>
      </c>
      <c r="BZ26" s="35">
        <f t="shared" si="15"/>
        <v>0</v>
      </c>
      <c r="CA26" s="35">
        <f t="shared" si="15"/>
        <v>0</v>
      </c>
      <c r="CB26" s="35">
        <f t="shared" si="15"/>
        <v>0</v>
      </c>
      <c r="CC26" s="35">
        <f t="shared" si="15"/>
        <v>0</v>
      </c>
      <c r="CD26" s="35">
        <f t="shared" si="15"/>
        <v>0</v>
      </c>
      <c r="CE26" s="35">
        <f t="shared" si="15"/>
        <v>0</v>
      </c>
      <c r="CF26" s="35">
        <f t="shared" si="15"/>
        <v>0</v>
      </c>
      <c r="CG26" s="35">
        <f t="shared" si="15"/>
        <v>0</v>
      </c>
      <c r="CH26" s="35">
        <f t="shared" si="15"/>
        <v>0</v>
      </c>
      <c r="CI26" s="35">
        <f t="shared" si="15"/>
        <v>0</v>
      </c>
      <c r="CJ26" s="35">
        <f t="shared" si="15"/>
        <v>0</v>
      </c>
      <c r="CK26" s="35">
        <f t="shared" si="15"/>
        <v>0</v>
      </c>
    </row>
    <row r="27" spans="1:90" s="33" customFormat="1">
      <c r="A27" s="33" t="s">
        <v>517</v>
      </c>
      <c r="E27" s="33">
        <f>E26-E24</f>
        <v>313734236.88</v>
      </c>
      <c r="F27" s="33">
        <f t="shared" ref="F27:BQ27" si="16">F26-F24</f>
        <v>-156217887.16999999</v>
      </c>
      <c r="G27" s="33">
        <f t="shared" si="16"/>
        <v>-189195633.38</v>
      </c>
      <c r="H27" s="33">
        <f t="shared" si="16"/>
        <v>-47008163.07</v>
      </c>
      <c r="I27" s="33">
        <f t="shared" si="16"/>
        <v>359057402.55000001</v>
      </c>
      <c r="J27" s="33">
        <f t="shared" si="16"/>
        <v>38458581.640000001</v>
      </c>
      <c r="K27" s="33">
        <f t="shared" si="16"/>
        <v>55591675.00999999</v>
      </c>
      <c r="L27" s="33">
        <f t="shared" si="16"/>
        <v>42734952.859999999</v>
      </c>
      <c r="M27" s="33">
        <f t="shared" si="16"/>
        <v>231782736.91999999</v>
      </c>
      <c r="N27" s="33">
        <f t="shared" si="16"/>
        <v>-10436604.26</v>
      </c>
      <c r="O27" s="33">
        <f t="shared" si="16"/>
        <v>-70105637.930000007</v>
      </c>
      <c r="P27" s="33">
        <f t="shared" si="16"/>
        <v>-8499977.6899999995</v>
      </c>
      <c r="Q27" s="33">
        <f t="shared" si="16"/>
        <v>387407965.23000002</v>
      </c>
      <c r="R27" s="33">
        <f t="shared" si="16"/>
        <v>169747549.08000001</v>
      </c>
      <c r="S27" s="33">
        <f t="shared" si="16"/>
        <v>47422794.620000005</v>
      </c>
      <c r="T27" s="33">
        <f t="shared" si="16"/>
        <v>82976613.319999993</v>
      </c>
      <c r="U27" s="33">
        <f t="shared" si="16"/>
        <v>173087621.34</v>
      </c>
      <c r="V27" s="33">
        <f t="shared" si="16"/>
        <v>-34473593.109999999</v>
      </c>
      <c r="W27" s="33">
        <f t="shared" si="16"/>
        <v>-46004446.640000001</v>
      </c>
      <c r="X27" s="33">
        <f t="shared" si="16"/>
        <v>1166724.8</v>
      </c>
      <c r="Y27" s="33">
        <f t="shared" si="16"/>
        <v>414861505.17000002</v>
      </c>
      <c r="Z27" s="33">
        <f t="shared" si="16"/>
        <v>201993886.41999999</v>
      </c>
      <c r="AA27" s="33">
        <f t="shared" si="16"/>
        <v>3979400.9299999997</v>
      </c>
      <c r="AB27" s="33">
        <f t="shared" si="16"/>
        <v>17890091.710000001</v>
      </c>
      <c r="AC27" s="33">
        <f t="shared" si="16"/>
        <v>186312184.06</v>
      </c>
      <c r="AD27" s="33">
        <f t="shared" si="16"/>
        <v>118929974.05</v>
      </c>
      <c r="AE27" s="33">
        <f t="shared" si="16"/>
        <v>96235766.420000002</v>
      </c>
      <c r="AF27" s="33">
        <f t="shared" si="16"/>
        <v>61700397.140000001</v>
      </c>
      <c r="AG27" s="33">
        <f t="shared" si="16"/>
        <v>-80546271.159999996</v>
      </c>
      <c r="AH27" s="33">
        <f t="shared" si="16"/>
        <v>-153018539.22999999</v>
      </c>
      <c r="AI27" s="33">
        <f t="shared" si="16"/>
        <v>-98217311.439999998</v>
      </c>
      <c r="AJ27" s="33">
        <f t="shared" si="16"/>
        <v>7892284.5199999996</v>
      </c>
      <c r="AK27" s="33">
        <f t="shared" si="16"/>
        <v>117145503.85000001</v>
      </c>
      <c r="AL27" s="33">
        <f t="shared" si="16"/>
        <v>67541082.170000002</v>
      </c>
      <c r="AM27" s="33">
        <f t="shared" si="16"/>
        <v>26833447.27</v>
      </c>
      <c r="AN27" s="33">
        <f t="shared" si="16"/>
        <v>8494115.5700000003</v>
      </c>
      <c r="AO27" s="33">
        <f t="shared" si="16"/>
        <v>53542151.730000004</v>
      </c>
      <c r="AP27" s="33">
        <f t="shared" si="16"/>
        <v>8862501.5299999993</v>
      </c>
      <c r="AQ27" s="33">
        <f t="shared" si="16"/>
        <v>40688868.639999993</v>
      </c>
      <c r="AR27" s="33">
        <f t="shared" si="16"/>
        <v>35923129.189999998</v>
      </c>
      <c r="AS27" s="33">
        <f t="shared" si="16"/>
        <v>0</v>
      </c>
      <c r="AT27" s="33">
        <f t="shared" si="16"/>
        <v>0</v>
      </c>
      <c r="AU27" s="33">
        <f t="shared" si="16"/>
        <v>0</v>
      </c>
      <c r="AV27" s="33">
        <f t="shared" si="16"/>
        <v>0</v>
      </c>
      <c r="AW27" s="33">
        <f t="shared" si="16"/>
        <v>0</v>
      </c>
      <c r="AX27" s="33">
        <f t="shared" si="16"/>
        <v>0</v>
      </c>
      <c r="AY27" s="33">
        <f t="shared" si="16"/>
        <v>0</v>
      </c>
      <c r="AZ27" s="33">
        <f t="shared" si="16"/>
        <v>0</v>
      </c>
      <c r="BA27" s="33">
        <f t="shared" si="16"/>
        <v>0</v>
      </c>
      <c r="BB27" s="33">
        <f t="shared" si="16"/>
        <v>0</v>
      </c>
      <c r="BC27" s="33">
        <f t="shared" si="16"/>
        <v>0</v>
      </c>
      <c r="BD27" s="33">
        <f t="shared" si="16"/>
        <v>0</v>
      </c>
      <c r="BE27" s="33">
        <f t="shared" si="16"/>
        <v>0</v>
      </c>
      <c r="BF27" s="33">
        <f t="shared" si="16"/>
        <v>0</v>
      </c>
      <c r="BG27" s="33">
        <f t="shared" si="16"/>
        <v>0</v>
      </c>
      <c r="BH27" s="33">
        <f t="shared" si="16"/>
        <v>0</v>
      </c>
      <c r="BI27" s="33">
        <f t="shared" si="16"/>
        <v>0</v>
      </c>
      <c r="BJ27" s="33">
        <f t="shared" si="16"/>
        <v>0</v>
      </c>
      <c r="BK27" s="33">
        <f t="shared" si="16"/>
        <v>0</v>
      </c>
      <c r="BL27" s="33">
        <f t="shared" si="16"/>
        <v>0</v>
      </c>
      <c r="BM27" s="33">
        <f t="shared" si="16"/>
        <v>0</v>
      </c>
      <c r="BN27" s="33">
        <f t="shared" si="16"/>
        <v>0</v>
      </c>
      <c r="BO27" s="33">
        <f t="shared" si="16"/>
        <v>0</v>
      </c>
      <c r="BP27" s="33">
        <f t="shared" si="16"/>
        <v>0</v>
      </c>
      <c r="BQ27" s="33">
        <f t="shared" si="16"/>
        <v>0</v>
      </c>
      <c r="BR27" s="33">
        <f t="shared" ref="BR27:CL27" si="17">BR26-BR24</f>
        <v>0</v>
      </c>
      <c r="BS27" s="33">
        <f t="shared" si="17"/>
        <v>0</v>
      </c>
      <c r="BT27" s="33">
        <f t="shared" si="17"/>
        <v>0</v>
      </c>
      <c r="BU27" s="33">
        <f t="shared" si="17"/>
        <v>0</v>
      </c>
      <c r="BV27" s="33">
        <f t="shared" si="17"/>
        <v>0</v>
      </c>
      <c r="BW27" s="33">
        <f t="shared" si="17"/>
        <v>0</v>
      </c>
      <c r="BX27" s="33">
        <f t="shared" si="17"/>
        <v>0</v>
      </c>
      <c r="BY27" s="33">
        <f t="shared" si="17"/>
        <v>0</v>
      </c>
      <c r="BZ27" s="33">
        <f t="shared" si="17"/>
        <v>0</v>
      </c>
      <c r="CA27" s="33">
        <f t="shared" si="17"/>
        <v>0</v>
      </c>
      <c r="CB27" s="33">
        <f t="shared" si="17"/>
        <v>0</v>
      </c>
      <c r="CC27" s="33">
        <f t="shared" si="17"/>
        <v>0</v>
      </c>
      <c r="CD27" s="33">
        <f t="shared" si="17"/>
        <v>0</v>
      </c>
      <c r="CE27" s="33">
        <f t="shared" si="17"/>
        <v>0</v>
      </c>
      <c r="CF27" s="33">
        <f t="shared" si="17"/>
        <v>0</v>
      </c>
      <c r="CG27" s="33">
        <f t="shared" si="17"/>
        <v>0</v>
      </c>
      <c r="CH27" s="33">
        <f t="shared" si="17"/>
        <v>0</v>
      </c>
      <c r="CI27" s="33">
        <f t="shared" si="17"/>
        <v>0</v>
      </c>
      <c r="CJ27" s="33">
        <f t="shared" si="17"/>
        <v>0</v>
      </c>
      <c r="CK27" s="33">
        <f t="shared" si="17"/>
        <v>0</v>
      </c>
      <c r="CL27" s="33">
        <f t="shared" si="17"/>
        <v>0</v>
      </c>
    </row>
    <row r="28" spans="1:90" s="73" customFormat="1">
      <c r="A28" s="73" t="s">
        <v>518</v>
      </c>
      <c r="E28" s="73">
        <f>(E27-I27)/I27</f>
        <v>-0.12622818899740859</v>
      </c>
      <c r="F28" s="73">
        <f t="shared" ref="F28:BQ28" si="18">(F27-J27)/J27</f>
        <v>-5.0619773405143187</v>
      </c>
      <c r="G28" s="73">
        <f t="shared" si="18"/>
        <v>-4.4033087390507113</v>
      </c>
      <c r="H28" s="73">
        <f t="shared" si="18"/>
        <v>-2.099993329207571</v>
      </c>
      <c r="I28" s="73">
        <f t="shared" si="18"/>
        <v>0.54911192835698108</v>
      </c>
      <c r="J28" s="73">
        <f t="shared" si="18"/>
        <v>-4.6849707703681771</v>
      </c>
      <c r="K28" s="73">
        <f t="shared" si="18"/>
        <v>-1.7929701041378141</v>
      </c>
      <c r="L28" s="73">
        <f t="shared" si="18"/>
        <v>-6.0276547090560655</v>
      </c>
      <c r="M28" s="73">
        <f t="shared" si="18"/>
        <v>-0.40170890192618258</v>
      </c>
      <c r="N28" s="73">
        <f t="shared" si="18"/>
        <v>-1.0614830924897851</v>
      </c>
      <c r="O28" s="73">
        <f t="shared" si="18"/>
        <v>-2.4783109787552204</v>
      </c>
      <c r="P28" s="73">
        <f t="shared" si="18"/>
        <v>-1.1024382334962233</v>
      </c>
      <c r="Q28" s="73">
        <f t="shared" si="18"/>
        <v>1.2382187832427693</v>
      </c>
      <c r="R28" s="73">
        <f t="shared" si="18"/>
        <v>-5.9239877183199718</v>
      </c>
      <c r="S28" s="73">
        <f t="shared" si="18"/>
        <v>-2.0308306714587623</v>
      </c>
      <c r="T28" s="73">
        <f t="shared" si="18"/>
        <v>70.11926764563502</v>
      </c>
      <c r="U28" s="73">
        <f t="shared" si="18"/>
        <v>-0.58278215938817224</v>
      </c>
      <c r="V28" s="73">
        <f t="shared" si="18"/>
        <v>-1.1706665172940931</v>
      </c>
      <c r="W28" s="73">
        <f t="shared" si="18"/>
        <v>-12.560646300597815</v>
      </c>
      <c r="X28" s="73">
        <f t="shared" si="18"/>
        <v>-0.93478374404599396</v>
      </c>
      <c r="Y28" s="73">
        <f t="shared" si="18"/>
        <v>1.2267008852002828</v>
      </c>
      <c r="Z28" s="73">
        <f t="shared" si="18"/>
        <v>0.69842706208847438</v>
      </c>
      <c r="AA28" s="73">
        <f t="shared" si="18"/>
        <v>-0.95864945977950899</v>
      </c>
      <c r="AB28" s="73">
        <f t="shared" si="18"/>
        <v>-0.71004900228750778</v>
      </c>
      <c r="AC28" s="73">
        <f t="shared" si="18"/>
        <v>-3.3131075017725253</v>
      </c>
      <c r="AD28" s="73">
        <f t="shared" si="18"/>
        <v>-1.7772259142484561</v>
      </c>
      <c r="AE28" s="73">
        <f t="shared" si="18"/>
        <v>-1.9798248904297233</v>
      </c>
      <c r="AF28" s="73">
        <f t="shared" si="18"/>
        <v>6.8178120648899272</v>
      </c>
      <c r="AG28" s="73">
        <f t="shared" si="18"/>
        <v>-1.6875745847073753</v>
      </c>
      <c r="AH28" s="73">
        <f t="shared" si="18"/>
        <v>-3.2655624445704667</v>
      </c>
      <c r="AI28" s="73">
        <f t="shared" si="18"/>
        <v>-4.6602569342556182</v>
      </c>
      <c r="AJ28" s="73">
        <f t="shared" si="18"/>
        <v>-7.0852703267375097E-2</v>
      </c>
      <c r="AK28" s="73">
        <f t="shared" si="18"/>
        <v>1.1879117679232649</v>
      </c>
      <c r="AL28" s="73">
        <f t="shared" si="18"/>
        <v>6.6209952620453887</v>
      </c>
      <c r="AM28" s="73">
        <f t="shared" si="18"/>
        <v>-0.34052117527738651</v>
      </c>
      <c r="AN28" s="73">
        <f t="shared" si="18"/>
        <v>-0.76354744807797736</v>
      </c>
      <c r="AO28" s="73" t="e">
        <f t="shared" si="18"/>
        <v>#DIV/0!</v>
      </c>
      <c r="AP28" s="73" t="e">
        <f t="shared" si="18"/>
        <v>#DIV/0!</v>
      </c>
      <c r="AQ28" s="73" t="e">
        <f t="shared" si="18"/>
        <v>#DIV/0!</v>
      </c>
      <c r="AR28" s="73" t="e">
        <f t="shared" si="18"/>
        <v>#DIV/0!</v>
      </c>
      <c r="AS28" s="73" t="e">
        <f t="shared" si="18"/>
        <v>#DIV/0!</v>
      </c>
      <c r="AT28" s="73" t="e">
        <f t="shared" si="18"/>
        <v>#DIV/0!</v>
      </c>
      <c r="AU28" s="73" t="e">
        <f t="shared" si="18"/>
        <v>#DIV/0!</v>
      </c>
      <c r="AV28" s="73" t="e">
        <f t="shared" si="18"/>
        <v>#DIV/0!</v>
      </c>
      <c r="AW28" s="73" t="e">
        <f t="shared" si="18"/>
        <v>#DIV/0!</v>
      </c>
      <c r="AX28" s="73" t="e">
        <f t="shared" si="18"/>
        <v>#DIV/0!</v>
      </c>
      <c r="AY28" s="73" t="e">
        <f t="shared" si="18"/>
        <v>#DIV/0!</v>
      </c>
      <c r="AZ28" s="73" t="e">
        <f t="shared" si="18"/>
        <v>#DIV/0!</v>
      </c>
      <c r="BA28" s="73" t="e">
        <f t="shared" si="18"/>
        <v>#DIV/0!</v>
      </c>
      <c r="BB28" s="73" t="e">
        <f t="shared" si="18"/>
        <v>#DIV/0!</v>
      </c>
      <c r="BC28" s="73" t="e">
        <f t="shared" si="18"/>
        <v>#DIV/0!</v>
      </c>
      <c r="BD28" s="73" t="e">
        <f t="shared" si="18"/>
        <v>#DIV/0!</v>
      </c>
      <c r="BE28" s="73" t="e">
        <f t="shared" si="18"/>
        <v>#DIV/0!</v>
      </c>
      <c r="BF28" s="73" t="e">
        <f t="shared" si="18"/>
        <v>#DIV/0!</v>
      </c>
      <c r="BG28" s="73" t="e">
        <f t="shared" si="18"/>
        <v>#DIV/0!</v>
      </c>
      <c r="BH28" s="73" t="e">
        <f t="shared" si="18"/>
        <v>#DIV/0!</v>
      </c>
      <c r="BI28" s="73" t="e">
        <f t="shared" si="18"/>
        <v>#DIV/0!</v>
      </c>
      <c r="BJ28" s="73" t="e">
        <f t="shared" si="18"/>
        <v>#DIV/0!</v>
      </c>
      <c r="BK28" s="73" t="e">
        <f t="shared" si="18"/>
        <v>#DIV/0!</v>
      </c>
      <c r="BL28" s="73" t="e">
        <f t="shared" si="18"/>
        <v>#DIV/0!</v>
      </c>
      <c r="BM28" s="73" t="e">
        <f t="shared" si="18"/>
        <v>#DIV/0!</v>
      </c>
      <c r="BN28" s="73" t="e">
        <f t="shared" si="18"/>
        <v>#DIV/0!</v>
      </c>
      <c r="BO28" s="73" t="e">
        <f t="shared" si="18"/>
        <v>#DIV/0!</v>
      </c>
      <c r="BP28" s="73" t="e">
        <f t="shared" si="18"/>
        <v>#DIV/0!</v>
      </c>
      <c r="BQ28" s="73" t="e">
        <f t="shared" si="18"/>
        <v>#DIV/0!</v>
      </c>
      <c r="BR28" s="73" t="e">
        <f t="shared" ref="BR28:CK28" si="19">(BR27-BV27)/BV27</f>
        <v>#DIV/0!</v>
      </c>
      <c r="BS28" s="73" t="e">
        <f t="shared" si="19"/>
        <v>#DIV/0!</v>
      </c>
      <c r="BT28" s="73" t="e">
        <f t="shared" si="19"/>
        <v>#DIV/0!</v>
      </c>
      <c r="BU28" s="73" t="e">
        <f t="shared" si="19"/>
        <v>#DIV/0!</v>
      </c>
      <c r="BV28" s="73" t="e">
        <f t="shared" si="19"/>
        <v>#DIV/0!</v>
      </c>
      <c r="BW28" s="73" t="e">
        <f t="shared" si="19"/>
        <v>#DIV/0!</v>
      </c>
      <c r="BX28" s="73" t="e">
        <f t="shared" si="19"/>
        <v>#DIV/0!</v>
      </c>
      <c r="BY28" s="73" t="e">
        <f t="shared" si="19"/>
        <v>#DIV/0!</v>
      </c>
      <c r="BZ28" s="73" t="e">
        <f t="shared" si="19"/>
        <v>#DIV/0!</v>
      </c>
      <c r="CA28" s="73" t="e">
        <f t="shared" si="19"/>
        <v>#DIV/0!</v>
      </c>
      <c r="CB28" s="73" t="e">
        <f t="shared" si="19"/>
        <v>#DIV/0!</v>
      </c>
      <c r="CC28" s="73" t="e">
        <f t="shared" si="19"/>
        <v>#DIV/0!</v>
      </c>
      <c r="CD28" s="73" t="e">
        <f t="shared" si="19"/>
        <v>#DIV/0!</v>
      </c>
      <c r="CE28" s="73" t="e">
        <f t="shared" si="19"/>
        <v>#DIV/0!</v>
      </c>
      <c r="CF28" s="73" t="e">
        <f t="shared" si="19"/>
        <v>#DIV/0!</v>
      </c>
      <c r="CG28" s="73" t="e">
        <f t="shared" si="19"/>
        <v>#DIV/0!</v>
      </c>
      <c r="CH28" s="73" t="e">
        <f t="shared" si="19"/>
        <v>#DIV/0!</v>
      </c>
      <c r="CI28" s="73" t="e">
        <f t="shared" si="19"/>
        <v>#DIV/0!</v>
      </c>
      <c r="CJ28" s="73" t="e">
        <f t="shared" si="19"/>
        <v>#DIV/0!</v>
      </c>
      <c r="CK28" s="73" t="e">
        <f t="shared" si="19"/>
        <v>#DIV/0!</v>
      </c>
    </row>
    <row r="29" spans="1:90" s="22" customFormat="1" ht="71.25" customHeight="1">
      <c r="A29" s="165" t="s">
        <v>622</v>
      </c>
      <c r="B29" s="166"/>
      <c r="C29" s="166"/>
      <c r="D29" s="166"/>
      <c r="E29" s="166"/>
      <c r="F29" s="166"/>
      <c r="G29" s="166"/>
      <c r="H29" s="166"/>
      <c r="I29" s="166"/>
      <c r="J29" s="166"/>
      <c r="K29" s="166"/>
      <c r="L29" s="166"/>
      <c r="M29" s="166"/>
      <c r="N29" s="166"/>
      <c r="O29" s="166"/>
      <c r="P29" s="166"/>
      <c r="Q29" s="166"/>
      <c r="R29" s="166"/>
      <c r="S29" s="166"/>
      <c r="T29" s="166"/>
      <c r="U29" s="166"/>
      <c r="V29" s="166"/>
      <c r="W29" s="166"/>
      <c r="X29" s="166"/>
      <c r="Y29" s="166"/>
      <c r="Z29" s="166"/>
      <c r="AA29" s="166"/>
      <c r="AB29" s="166"/>
      <c r="AC29" s="166"/>
    </row>
    <row r="30" spans="1:90">
      <c r="A30" s="140" t="s">
        <v>578</v>
      </c>
      <c r="B30" s="108"/>
      <c r="C30" s="108"/>
      <c r="D30" s="108"/>
      <c r="E30" s="108" t="s">
        <v>577</v>
      </c>
      <c r="F30" s="108"/>
      <c r="G30" s="108"/>
      <c r="H30" s="108"/>
      <c r="I30" s="108" t="s">
        <v>579</v>
      </c>
    </row>
    <row r="31" spans="1:90" s="73" customFormat="1">
      <c r="A31" s="141" t="s">
        <v>580</v>
      </c>
      <c r="B31" s="141"/>
      <c r="C31" s="141"/>
      <c r="D31" s="141"/>
      <c r="E31" s="141">
        <f>POWER(E27/U27,1/5)-1</f>
        <v>0.12631321828775399</v>
      </c>
      <c r="F31" s="141"/>
      <c r="G31" s="141"/>
      <c r="H31" s="141"/>
      <c r="I31" s="141">
        <f>POWER(E27/AC27,1/7)-1</f>
        <v>7.7287256548103311E-2</v>
      </c>
    </row>
    <row r="32" spans="1:90" s="76" customFormat="1">
      <c r="A32" s="76" t="s">
        <v>520</v>
      </c>
      <c r="E32" s="76">
        <v>0.17</v>
      </c>
    </row>
    <row r="39" spans="1:1" ht="40.5">
      <c r="A39" s="77" t="s">
        <v>521</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56"/>
  <sheetViews>
    <sheetView topLeftCell="A16" workbookViewId="0">
      <selection activeCell="B25" sqref="B25"/>
    </sheetView>
  </sheetViews>
  <sheetFormatPr defaultRowHeight="13.5"/>
  <cols>
    <col min="1" max="1" width="42.5" style="23" bestFit="1" customWidth="1"/>
    <col min="2" max="2" width="23.25" style="33"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78" t="s">
        <v>522</v>
      </c>
      <c r="B1" s="79">
        <f>自由现金流分析表!E1</f>
        <v>43100</v>
      </c>
    </row>
    <row r="2" spans="1:10">
      <c r="A2" s="80" t="s">
        <v>523</v>
      </c>
      <c r="B2" s="81">
        <f>自由现金流分析表!E27</f>
        <v>313734236.88</v>
      </c>
      <c r="C2" t="s">
        <v>557</v>
      </c>
    </row>
    <row r="3" spans="1:10" s="73" customFormat="1">
      <c r="A3" s="82" t="s">
        <v>524</v>
      </c>
      <c r="B3" s="110">
        <v>0</v>
      </c>
    </row>
    <row r="4" spans="1:10" s="73" customFormat="1">
      <c r="A4" s="82" t="s">
        <v>525</v>
      </c>
      <c r="B4" s="110">
        <v>0.08</v>
      </c>
      <c r="F4" s="30"/>
    </row>
    <row r="5" spans="1:10">
      <c r="A5" s="80" t="s">
        <v>526</v>
      </c>
      <c r="B5" s="81">
        <f>B2*(1+B3)/(B4-B3)</f>
        <v>3921677961</v>
      </c>
    </row>
    <row r="6" spans="1:10">
      <c r="A6" s="80" t="s">
        <v>527</v>
      </c>
      <c r="B6" s="81">
        <f>资产资本表!E17</f>
        <v>712293476.29999995</v>
      </c>
    </row>
    <row r="7" spans="1:10">
      <c r="A7" s="80" t="s">
        <v>528</v>
      </c>
      <c r="B7" s="81">
        <f>资产资本表!E19</f>
        <v>0</v>
      </c>
    </row>
    <row r="8" spans="1:10">
      <c r="A8" s="80" t="s">
        <v>529</v>
      </c>
      <c r="B8" s="81">
        <f>资产资本表!E89</f>
        <v>0</v>
      </c>
    </row>
    <row r="9" spans="1:10">
      <c r="A9" s="80" t="s">
        <v>530</v>
      </c>
      <c r="B9" s="81">
        <f>B5+B6+B7-B8</f>
        <v>4633971437.3000002</v>
      </c>
    </row>
    <row r="10" spans="1:10">
      <c r="A10" s="80" t="s">
        <v>531</v>
      </c>
      <c r="B10" s="83">
        <f>资产资本表!E103/资产资本表!E107</f>
        <v>0</v>
      </c>
    </row>
    <row r="11" spans="1:10">
      <c r="A11" s="80" t="s">
        <v>558</v>
      </c>
      <c r="B11" s="81">
        <f>B9*(1-B10)</f>
        <v>4633971437.3000002</v>
      </c>
    </row>
    <row r="12" spans="1:10">
      <c r="A12" s="80" t="s">
        <v>532</v>
      </c>
      <c r="B12" s="121">
        <f>B55</f>
        <v>870035403</v>
      </c>
    </row>
    <row r="13" spans="1:10" ht="14.25" thickBot="1">
      <c r="A13" s="84" t="s">
        <v>533</v>
      </c>
      <c r="B13" s="85">
        <f>B11/B12</f>
        <v>5.3261872118323446</v>
      </c>
    </row>
    <row r="14" spans="1:10" s="22" customFormat="1" ht="53.25" customHeight="1">
      <c r="A14" s="165"/>
      <c r="B14" s="166"/>
      <c r="C14" s="166"/>
      <c r="D14" s="166"/>
      <c r="E14" s="166"/>
      <c r="F14" s="166"/>
      <c r="G14" s="166"/>
      <c r="H14" s="166"/>
      <c r="I14" s="166"/>
    </row>
    <row r="16" spans="1:10">
      <c r="A16" s="98"/>
      <c r="B16" s="86"/>
      <c r="C16" s="87"/>
      <c r="D16" s="87"/>
      <c r="E16" s="87"/>
      <c r="F16" s="87"/>
      <c r="G16" s="87"/>
      <c r="H16" s="87"/>
      <c r="I16" s="88"/>
      <c r="J16" s="87"/>
    </row>
    <row r="17" spans="1:10" s="73" customFormat="1">
      <c r="A17" s="101"/>
      <c r="B17" s="101"/>
      <c r="C17" s="101" t="s">
        <v>549</v>
      </c>
      <c r="D17" s="101">
        <v>0.09</v>
      </c>
      <c r="E17" s="101"/>
      <c r="F17" s="101"/>
      <c r="G17" s="101"/>
      <c r="H17" s="101" t="s">
        <v>550</v>
      </c>
      <c r="I17" s="101">
        <v>0.05</v>
      </c>
      <c r="J17" s="88"/>
    </row>
    <row r="18" spans="1:10" s="2" customFormat="1">
      <c r="A18" s="178" t="s">
        <v>534</v>
      </c>
      <c r="B18" s="178"/>
      <c r="C18" s="75" t="s">
        <v>548</v>
      </c>
      <c r="D18" s="109">
        <v>1</v>
      </c>
      <c r="E18" s="109">
        <v>2</v>
      </c>
      <c r="F18" s="109">
        <v>3</v>
      </c>
      <c r="G18" s="109">
        <v>4</v>
      </c>
      <c r="H18" s="109">
        <v>5</v>
      </c>
      <c r="I18" s="108">
        <v>6</v>
      </c>
      <c r="J18" s="90"/>
    </row>
    <row r="19" spans="1:10" s="33" customFormat="1">
      <c r="A19" s="111" t="s">
        <v>535</v>
      </c>
      <c r="B19" s="106"/>
      <c r="C19" s="100">
        <f>B2</f>
        <v>313734236.88</v>
      </c>
      <c r="D19" s="100">
        <f>C19*(1+$D$17)</f>
        <v>341970318.19920003</v>
      </c>
      <c r="E19" s="100">
        <f>D19*(1+$D$17)</f>
        <v>372747646.83712804</v>
      </c>
      <c r="F19" s="100">
        <f>E19*(1+$D$17)</f>
        <v>406294935.05246961</v>
      </c>
      <c r="G19" s="100">
        <f>F19*(1+$D$17)</f>
        <v>442861479.20719188</v>
      </c>
      <c r="H19" s="100">
        <f>G19*(1+$D$17)</f>
        <v>482719012.33583921</v>
      </c>
      <c r="I19" s="100">
        <f>H19*(1+I17)</f>
        <v>506854962.95263118</v>
      </c>
      <c r="J19" s="86"/>
    </row>
    <row r="20" spans="1:10" s="33" customFormat="1">
      <c r="A20" s="111" t="s">
        <v>536</v>
      </c>
      <c r="B20" s="107">
        <v>0.08</v>
      </c>
      <c r="C20" s="100"/>
      <c r="D20" s="100">
        <f t="shared" ref="D20:I20" si="0">(1+$B$20)^D18</f>
        <v>1.08</v>
      </c>
      <c r="E20" s="100">
        <f t="shared" si="0"/>
        <v>1.1664000000000001</v>
      </c>
      <c r="F20" s="100">
        <f t="shared" si="0"/>
        <v>1.2597120000000002</v>
      </c>
      <c r="G20" s="100">
        <f t="shared" si="0"/>
        <v>1.3604889600000003</v>
      </c>
      <c r="H20" s="100">
        <f t="shared" si="0"/>
        <v>1.4693280768000003</v>
      </c>
      <c r="I20" s="100">
        <f t="shared" si="0"/>
        <v>1.5868743229440005</v>
      </c>
      <c r="J20" s="86"/>
    </row>
    <row r="21" spans="1:10" s="33" customFormat="1">
      <c r="A21" s="179" t="s">
        <v>537</v>
      </c>
      <c r="B21" s="179"/>
      <c r="C21" s="100"/>
      <c r="D21" s="100">
        <f>D19/D20</f>
        <v>316639183.5177778</v>
      </c>
      <c r="E21" s="100">
        <f>E19/E20</f>
        <v>319571027.80960906</v>
      </c>
      <c r="F21" s="100">
        <f>F19/F20</f>
        <v>322530018.80784619</v>
      </c>
      <c r="G21" s="100">
        <f>G19/G20</f>
        <v>325516407.8708818</v>
      </c>
      <c r="H21" s="100">
        <f>H19/H20</f>
        <v>328530448.68450111</v>
      </c>
      <c r="I21" s="100">
        <f>I19/((B20-I17)*I20)</f>
        <v>10646820096.256981</v>
      </c>
      <c r="J21" s="86"/>
    </row>
    <row r="22" spans="1:10" s="33" customFormat="1">
      <c r="A22" s="179" t="s">
        <v>556</v>
      </c>
      <c r="B22" s="179"/>
      <c r="C22" s="100"/>
      <c r="D22" s="172">
        <f>SUM(D21:H21)</f>
        <v>1612787086.6906161</v>
      </c>
      <c r="E22" s="173"/>
      <c r="F22" s="173"/>
      <c r="G22" s="173"/>
      <c r="H22" s="174"/>
      <c r="I22" s="100">
        <f>I21</f>
        <v>10646820096.256981</v>
      </c>
      <c r="J22" s="86"/>
    </row>
    <row r="23" spans="1:10">
      <c r="A23" s="103" t="s">
        <v>538</v>
      </c>
      <c r="B23" s="86">
        <f>D22+I22</f>
        <v>12259607182.947598</v>
      </c>
      <c r="C23" s="87"/>
      <c r="D23" s="87"/>
      <c r="E23" s="87"/>
      <c r="F23" s="87"/>
      <c r="G23" s="87"/>
      <c r="H23" s="87"/>
      <c r="I23" s="89"/>
      <c r="J23" s="87"/>
    </row>
    <row r="24" spans="1:10">
      <c r="A24" s="103" t="s">
        <v>539</v>
      </c>
      <c r="B24" s="86">
        <f>B23</f>
        <v>12259607182.947598</v>
      </c>
      <c r="C24" s="87"/>
      <c r="D24" s="87"/>
      <c r="E24" s="87"/>
      <c r="F24" s="87"/>
      <c r="G24" s="87"/>
      <c r="H24" s="87"/>
      <c r="I24" s="89"/>
      <c r="J24" s="87"/>
    </row>
    <row r="25" spans="1:10">
      <c r="A25" s="80" t="s">
        <v>540</v>
      </c>
      <c r="B25" s="81">
        <f>资产资本表!E17</f>
        <v>712293476.29999995</v>
      </c>
      <c r="C25" s="87"/>
      <c r="D25" s="87"/>
      <c r="E25" s="87"/>
      <c r="F25" s="87"/>
      <c r="G25" s="87"/>
      <c r="H25" s="87"/>
      <c r="I25" s="89"/>
      <c r="J25" s="87"/>
    </row>
    <row r="26" spans="1:10">
      <c r="A26" s="80" t="s">
        <v>541</v>
      </c>
      <c r="B26" s="81">
        <f>资产资本表!E19</f>
        <v>0</v>
      </c>
      <c r="C26" s="87"/>
      <c r="D26" s="87"/>
      <c r="E26" s="87"/>
      <c r="F26" s="87"/>
      <c r="G26" s="87"/>
      <c r="H26" s="87"/>
      <c r="I26" s="89"/>
      <c r="J26" s="87"/>
    </row>
    <row r="27" spans="1:10">
      <c r="A27" s="80" t="s">
        <v>542</v>
      </c>
      <c r="B27" s="81">
        <f>资产资本表!E89</f>
        <v>0</v>
      </c>
      <c r="C27" s="87"/>
      <c r="D27" s="87"/>
      <c r="E27" s="87"/>
      <c r="F27" s="87"/>
      <c r="G27" s="87"/>
      <c r="H27" s="87"/>
      <c r="I27" s="89"/>
      <c r="J27" s="87"/>
    </row>
    <row r="28" spans="1:10" s="2" customFormat="1">
      <c r="A28" s="92" t="s">
        <v>543</v>
      </c>
      <c r="B28" s="93">
        <f>B24+B25+B26-B27</f>
        <v>12971900659.247597</v>
      </c>
      <c r="C28" s="90"/>
      <c r="D28" s="90"/>
      <c r="E28" s="90"/>
      <c r="F28" s="90"/>
      <c r="G28" s="90"/>
      <c r="H28" s="90"/>
      <c r="I28" s="91"/>
      <c r="J28" s="90"/>
    </row>
    <row r="29" spans="1:10">
      <c r="A29" s="80" t="s">
        <v>544</v>
      </c>
      <c r="B29" s="88">
        <f>资产资本表!E103/资产资本表!E107</f>
        <v>0</v>
      </c>
      <c r="C29" s="171" t="s">
        <v>551</v>
      </c>
      <c r="D29" s="171"/>
      <c r="E29" s="171"/>
      <c r="F29" s="87"/>
      <c r="G29" s="87"/>
      <c r="H29" s="87"/>
      <c r="I29" s="89"/>
      <c r="J29" s="87"/>
    </row>
    <row r="30" spans="1:10" s="2" customFormat="1">
      <c r="A30" s="92" t="s">
        <v>545</v>
      </c>
      <c r="B30" s="93">
        <f>B28*(1-B29)</f>
        <v>12971900659.247597</v>
      </c>
      <c r="C30" s="102">
        <v>0.4</v>
      </c>
      <c r="D30" s="102">
        <v>0.3</v>
      </c>
      <c r="E30" s="102">
        <v>0.2</v>
      </c>
      <c r="F30" s="90"/>
      <c r="G30" s="90"/>
      <c r="H30" s="90"/>
      <c r="I30" s="91"/>
      <c r="J30" s="90"/>
    </row>
    <row r="31" spans="1:10">
      <c r="A31" s="80" t="s">
        <v>547</v>
      </c>
      <c r="B31" s="120">
        <f>B55</f>
        <v>870035403</v>
      </c>
      <c r="C31" s="74">
        <f>$B$32*C30</f>
        <v>5.9638495695778477</v>
      </c>
      <c r="D31" s="74">
        <f>$B$32*D30</f>
        <v>4.4728871771833854</v>
      </c>
      <c r="E31" s="74">
        <f>$B$32*E30</f>
        <v>2.9819247847889239</v>
      </c>
      <c r="F31" s="87"/>
      <c r="G31" s="87"/>
      <c r="H31" s="87"/>
      <c r="I31" s="89"/>
      <c r="J31" s="87"/>
    </row>
    <row r="32" spans="1:10" s="2" customFormat="1" ht="14.25" thickBot="1">
      <c r="A32" s="94" t="s">
        <v>546</v>
      </c>
      <c r="B32" s="95">
        <f>B30/B31</f>
        <v>14.909623923944618</v>
      </c>
      <c r="C32" s="96"/>
      <c r="D32" s="96"/>
      <c r="E32" s="96"/>
      <c r="F32" s="96"/>
      <c r="G32" s="96"/>
      <c r="H32" s="96"/>
      <c r="I32" s="97"/>
      <c r="J32" s="90"/>
    </row>
    <row r="33" spans="1:19" ht="63" customHeight="1">
      <c r="A33" s="182" t="s">
        <v>623</v>
      </c>
      <c r="B33" s="183"/>
      <c r="C33" s="183"/>
      <c r="D33" s="183"/>
      <c r="E33" s="183"/>
      <c r="F33" s="183"/>
      <c r="G33" s="183"/>
      <c r="H33" s="183"/>
      <c r="I33" s="183"/>
    </row>
    <row r="37" spans="1:19" s="73" customFormat="1">
      <c r="A37" s="101"/>
      <c r="B37" s="101"/>
      <c r="C37" s="101" t="s">
        <v>549</v>
      </c>
      <c r="D37" s="101">
        <v>0.15</v>
      </c>
      <c r="E37" s="101"/>
      <c r="F37" s="101"/>
      <c r="G37" s="101"/>
      <c r="H37" s="101" t="s">
        <v>554</v>
      </c>
      <c r="I37" s="101">
        <v>0.09</v>
      </c>
      <c r="J37" s="101"/>
      <c r="K37" s="101"/>
      <c r="L37" s="101"/>
      <c r="M37" s="101"/>
      <c r="N37" s="101"/>
      <c r="O37" s="101"/>
      <c r="P37" s="101"/>
      <c r="Q37" s="101"/>
      <c r="R37" s="101" t="s">
        <v>555</v>
      </c>
      <c r="S37" s="101">
        <v>0.02</v>
      </c>
    </row>
    <row r="38" spans="1:19" s="31" customFormat="1">
      <c r="A38" s="180" t="s">
        <v>552</v>
      </c>
      <c r="B38" s="180"/>
      <c r="C38" s="113" t="s">
        <v>548</v>
      </c>
      <c r="D38" s="114">
        <v>1</v>
      </c>
      <c r="E38" s="114">
        <v>2</v>
      </c>
      <c r="F38" s="114">
        <v>3</v>
      </c>
      <c r="G38" s="114">
        <v>4</v>
      </c>
      <c r="H38" s="114">
        <v>5</v>
      </c>
      <c r="I38" s="115">
        <v>6</v>
      </c>
      <c r="J38" s="115">
        <v>7</v>
      </c>
      <c r="K38" s="115">
        <v>8</v>
      </c>
      <c r="L38" s="115">
        <v>9</v>
      </c>
      <c r="M38" s="115">
        <v>10</v>
      </c>
      <c r="N38" s="115">
        <v>11</v>
      </c>
      <c r="O38" s="115">
        <v>12</v>
      </c>
      <c r="P38" s="115">
        <v>13</v>
      </c>
      <c r="Q38" s="115">
        <v>14</v>
      </c>
      <c r="R38" s="115">
        <v>15</v>
      </c>
      <c r="S38" s="116">
        <v>16</v>
      </c>
    </row>
    <row r="39" spans="1:19" s="30" customFormat="1">
      <c r="A39" s="117" t="s">
        <v>535</v>
      </c>
      <c r="B39" s="118"/>
      <c r="C39" s="112">
        <f>B2</f>
        <v>313734236.88</v>
      </c>
      <c r="D39" s="112">
        <f>$C$39*(1+$D$37)^D38</f>
        <v>360794372.41199994</v>
      </c>
      <c r="E39" s="112">
        <f>$C$39*(1+$D$37)^E38</f>
        <v>414913528.27379996</v>
      </c>
      <c r="F39" s="112">
        <f>$C$39*(1+$D$37)^F38</f>
        <v>477150557.51486987</v>
      </c>
      <c r="G39" s="112">
        <f>$C$39*(1+$D$37)^G38</f>
        <v>548723141.14210033</v>
      </c>
      <c r="H39" s="112">
        <f>$C$39*(1+$D$37)^H38</f>
        <v>631031612.31341541</v>
      </c>
      <c r="I39" s="112">
        <f>H39*(1+$I$37)</f>
        <v>687824457.42162287</v>
      </c>
      <c r="J39" s="112">
        <f t="shared" ref="J39:R39" si="1">I39*(1+$I$37)</f>
        <v>749728658.58956897</v>
      </c>
      <c r="K39" s="112">
        <f t="shared" si="1"/>
        <v>817204237.86263025</v>
      </c>
      <c r="L39" s="112">
        <f t="shared" si="1"/>
        <v>890752619.27026701</v>
      </c>
      <c r="M39" s="112">
        <f t="shared" si="1"/>
        <v>970920355.00459111</v>
      </c>
      <c r="N39" s="112">
        <f t="shared" si="1"/>
        <v>1058303186.9550043</v>
      </c>
      <c r="O39" s="112">
        <f t="shared" si="1"/>
        <v>1153550473.7809548</v>
      </c>
      <c r="P39" s="112">
        <f t="shared" si="1"/>
        <v>1257370016.4212408</v>
      </c>
      <c r="Q39" s="112">
        <f t="shared" si="1"/>
        <v>1370533317.8991525</v>
      </c>
      <c r="R39" s="112">
        <f t="shared" si="1"/>
        <v>1493881316.5100763</v>
      </c>
      <c r="S39" s="112">
        <f>R39*(1+S37)</f>
        <v>1523758942.8402779</v>
      </c>
    </row>
    <row r="40" spans="1:19" s="30" customFormat="1">
      <c r="A40" s="117" t="s">
        <v>536</v>
      </c>
      <c r="B40" s="107">
        <v>0.08</v>
      </c>
      <c r="C40" s="112"/>
      <c r="D40" s="112">
        <f>(1+$B$40)^D38</f>
        <v>1.08</v>
      </c>
      <c r="E40" s="112">
        <f t="shared" ref="E40:S40" si="2">(1+$B$40)^E38</f>
        <v>1.1664000000000001</v>
      </c>
      <c r="F40" s="112">
        <f t="shared" si="2"/>
        <v>1.2597120000000002</v>
      </c>
      <c r="G40" s="112">
        <f t="shared" si="2"/>
        <v>1.3604889600000003</v>
      </c>
      <c r="H40" s="112">
        <f t="shared" si="2"/>
        <v>1.4693280768000003</v>
      </c>
      <c r="I40" s="112">
        <f t="shared" si="2"/>
        <v>1.5868743229440005</v>
      </c>
      <c r="J40" s="112">
        <f t="shared" si="2"/>
        <v>1.7138242687795207</v>
      </c>
      <c r="K40" s="112">
        <f t="shared" si="2"/>
        <v>1.8509302102818823</v>
      </c>
      <c r="L40" s="112">
        <f t="shared" si="2"/>
        <v>1.9990046271044331</v>
      </c>
      <c r="M40" s="112">
        <f t="shared" si="2"/>
        <v>2.1589249972727877</v>
      </c>
      <c r="N40" s="112">
        <f t="shared" si="2"/>
        <v>2.3316389970546108</v>
      </c>
      <c r="O40" s="112">
        <f t="shared" si="2"/>
        <v>2.5181701168189798</v>
      </c>
      <c r="P40" s="112">
        <f t="shared" si="2"/>
        <v>2.7196237261644982</v>
      </c>
      <c r="Q40" s="112">
        <f t="shared" si="2"/>
        <v>2.9371936242576586</v>
      </c>
      <c r="R40" s="112">
        <f t="shared" si="2"/>
        <v>3.1721691141982715</v>
      </c>
      <c r="S40" s="112">
        <f t="shared" si="2"/>
        <v>3.4259426433341331</v>
      </c>
    </row>
    <row r="41" spans="1:19" s="30" customFormat="1">
      <c r="A41" s="181" t="s">
        <v>537</v>
      </c>
      <c r="B41" s="181"/>
      <c r="C41" s="112"/>
      <c r="D41" s="112">
        <f t="shared" ref="D41:R41" si="3">D39/D40</f>
        <v>334068863.34444439</v>
      </c>
      <c r="E41" s="112">
        <f t="shared" si="3"/>
        <v>355721474.85751021</v>
      </c>
      <c r="F41" s="112">
        <f t="shared" si="3"/>
        <v>378777496.37605244</v>
      </c>
      <c r="G41" s="112">
        <f t="shared" si="3"/>
        <v>403327889.65968543</v>
      </c>
      <c r="H41" s="112">
        <f t="shared" si="3"/>
        <v>429469512.13762802</v>
      </c>
      <c r="I41" s="112">
        <f t="shared" si="3"/>
        <v>433446081.69445795</v>
      </c>
      <c r="J41" s="112">
        <f t="shared" si="3"/>
        <v>437459471.33977699</v>
      </c>
      <c r="K41" s="112">
        <f t="shared" si="3"/>
        <v>441510022.00033051</v>
      </c>
      <c r="L41" s="112">
        <f t="shared" si="3"/>
        <v>445598077.75959283</v>
      </c>
      <c r="M41" s="112">
        <f t="shared" si="3"/>
        <v>449723985.88699651</v>
      </c>
      <c r="N41" s="112">
        <f t="shared" si="3"/>
        <v>453888096.86743164</v>
      </c>
      <c r="O41" s="112">
        <f t="shared" si="3"/>
        <v>458090764.43101901</v>
      </c>
      <c r="P41" s="112">
        <f t="shared" si="3"/>
        <v>462332345.58315808</v>
      </c>
      <c r="Q41" s="112">
        <f t="shared" si="3"/>
        <v>466613200.6348539</v>
      </c>
      <c r="R41" s="112">
        <f t="shared" si="3"/>
        <v>470933693.23332477</v>
      </c>
      <c r="S41" s="112">
        <f>S39/((B40-S37)*S40)</f>
        <v>7412845171.2652979</v>
      </c>
    </row>
    <row r="42" spans="1:19" s="30" customFormat="1">
      <c r="A42" s="181" t="s">
        <v>556</v>
      </c>
      <c r="B42" s="181"/>
      <c r="C42" s="112"/>
      <c r="D42" s="175">
        <f>SUM(D41:H41)</f>
        <v>1901365236.3753204</v>
      </c>
      <c r="E42" s="176"/>
      <c r="F42" s="176"/>
      <c r="G42" s="176"/>
      <c r="H42" s="177"/>
      <c r="I42" s="175">
        <f>SUM(I41:R41)</f>
        <v>4519595739.4309416</v>
      </c>
      <c r="J42" s="176"/>
      <c r="K42" s="176"/>
      <c r="L42" s="176"/>
      <c r="M42" s="176"/>
      <c r="N42" s="176"/>
      <c r="O42" s="176"/>
      <c r="P42" s="176"/>
      <c r="Q42" s="176"/>
      <c r="R42" s="177"/>
      <c r="S42" s="112">
        <f>S41</f>
        <v>7412845171.2652979</v>
      </c>
    </row>
    <row r="43" spans="1:19">
      <c r="A43" s="103" t="s">
        <v>553</v>
      </c>
      <c r="B43" s="86">
        <f>D42+I42+S42</f>
        <v>13833806147.07156</v>
      </c>
      <c r="C43" s="87"/>
      <c r="D43" s="87"/>
      <c r="E43" s="87"/>
      <c r="F43" s="87"/>
      <c r="G43" s="87"/>
      <c r="H43" s="87"/>
      <c r="I43" s="87"/>
      <c r="J43" s="87"/>
      <c r="K43" s="87"/>
      <c r="L43" s="87"/>
      <c r="M43" s="87"/>
      <c r="N43" s="87"/>
      <c r="O43" s="87"/>
      <c r="P43" s="87"/>
      <c r="Q43" s="87"/>
      <c r="R43" s="87"/>
      <c r="S43" s="89"/>
    </row>
    <row r="44" spans="1:19">
      <c r="A44" s="103" t="s">
        <v>539</v>
      </c>
      <c r="B44" s="86">
        <f>B43</f>
        <v>13833806147.07156</v>
      </c>
      <c r="C44" s="87"/>
      <c r="D44" s="87"/>
      <c r="E44" s="87"/>
      <c r="F44" s="87"/>
      <c r="G44" s="87"/>
      <c r="H44" s="87"/>
      <c r="I44" s="87"/>
      <c r="J44" s="87"/>
      <c r="K44" s="87"/>
      <c r="L44" s="87"/>
      <c r="M44" s="87"/>
      <c r="N44" s="87"/>
      <c r="O44" s="87"/>
      <c r="P44" s="87"/>
      <c r="Q44" s="87"/>
      <c r="R44" s="87"/>
      <c r="S44" s="89"/>
    </row>
    <row r="45" spans="1:19">
      <c r="A45" s="80" t="s">
        <v>540</v>
      </c>
      <c r="B45" s="86">
        <f>资产资本表!E17</f>
        <v>712293476.29999995</v>
      </c>
      <c r="C45" s="87"/>
      <c r="D45" s="87"/>
      <c r="E45" s="87"/>
      <c r="F45" s="87"/>
      <c r="G45" s="87"/>
      <c r="H45" s="87"/>
      <c r="I45" s="87"/>
      <c r="J45" s="87"/>
      <c r="K45" s="87"/>
      <c r="L45" s="87"/>
      <c r="M45" s="87"/>
      <c r="N45" s="87"/>
      <c r="O45" s="87"/>
      <c r="P45" s="87"/>
      <c r="Q45" s="87"/>
      <c r="R45" s="87"/>
      <c r="S45" s="89"/>
    </row>
    <row r="46" spans="1:19">
      <c r="A46" s="80" t="s">
        <v>541</v>
      </c>
      <c r="B46" s="86">
        <f>资产资本表!E19</f>
        <v>0</v>
      </c>
      <c r="C46" s="87"/>
      <c r="D46" s="87"/>
      <c r="E46" s="87"/>
      <c r="F46" s="87"/>
      <c r="G46" s="87"/>
      <c r="H46" s="87"/>
      <c r="I46" s="87"/>
      <c r="J46" s="87"/>
      <c r="K46" s="87"/>
      <c r="L46" s="87"/>
      <c r="M46" s="87"/>
      <c r="N46" s="87"/>
      <c r="O46" s="87"/>
      <c r="P46" s="87"/>
      <c r="Q46" s="87"/>
      <c r="R46" s="87"/>
      <c r="S46" s="89"/>
    </row>
    <row r="47" spans="1:19">
      <c r="A47" s="80" t="s">
        <v>542</v>
      </c>
      <c r="B47" s="86">
        <f>资产资本表!E89</f>
        <v>0</v>
      </c>
      <c r="C47" s="87"/>
      <c r="D47" s="87"/>
      <c r="E47" s="87"/>
      <c r="F47" s="87"/>
      <c r="G47" s="87"/>
      <c r="H47" s="87"/>
      <c r="I47" s="87"/>
      <c r="J47" s="87"/>
      <c r="K47" s="87"/>
      <c r="L47" s="87"/>
      <c r="M47" s="87"/>
      <c r="N47" s="87"/>
      <c r="O47" s="87"/>
      <c r="P47" s="87"/>
      <c r="Q47" s="87"/>
      <c r="R47" s="87"/>
      <c r="S47" s="89"/>
    </row>
    <row r="48" spans="1:19">
      <c r="A48" s="92" t="s">
        <v>543</v>
      </c>
      <c r="B48" s="86">
        <f>B44+B45+B46-B47</f>
        <v>14546099623.371559</v>
      </c>
      <c r="C48" s="87"/>
      <c r="D48" s="87"/>
      <c r="E48" s="87"/>
      <c r="F48" s="87"/>
      <c r="G48" s="87"/>
      <c r="H48" s="87"/>
      <c r="I48" s="87"/>
      <c r="J48" s="87"/>
      <c r="K48" s="87"/>
      <c r="L48" s="87"/>
      <c r="M48" s="87"/>
      <c r="N48" s="87"/>
      <c r="O48" s="87"/>
      <c r="P48" s="87"/>
      <c r="Q48" s="87"/>
      <c r="R48" s="87"/>
      <c r="S48" s="89"/>
    </row>
    <row r="49" spans="1:74">
      <c r="A49" s="80" t="s">
        <v>544</v>
      </c>
      <c r="B49" s="88">
        <f>资产资本表!E103/资产资本表!E107</f>
        <v>0</v>
      </c>
      <c r="C49" s="87"/>
      <c r="D49" s="87"/>
      <c r="E49" s="87"/>
      <c r="F49" s="87"/>
      <c r="G49" s="87"/>
      <c r="H49" s="87"/>
      <c r="I49" s="87"/>
      <c r="J49" s="87"/>
      <c r="K49" s="87"/>
      <c r="L49" s="87"/>
      <c r="M49" s="87"/>
      <c r="N49" s="87"/>
      <c r="O49" s="87"/>
      <c r="P49" s="87"/>
      <c r="Q49" s="87"/>
      <c r="R49" s="87"/>
      <c r="S49" s="89"/>
    </row>
    <row r="50" spans="1:74">
      <c r="A50" s="92" t="s">
        <v>545</v>
      </c>
      <c r="B50" s="86">
        <f>B48*(1-B49)</f>
        <v>14546099623.371559</v>
      </c>
      <c r="C50" s="171" t="s">
        <v>551</v>
      </c>
      <c r="D50" s="171"/>
      <c r="E50" s="171"/>
      <c r="F50" s="87"/>
      <c r="G50" s="87"/>
      <c r="H50" s="87"/>
      <c r="I50" s="87"/>
      <c r="J50" s="87"/>
      <c r="K50" s="87"/>
      <c r="L50" s="87"/>
      <c r="M50" s="87"/>
      <c r="N50" s="87"/>
      <c r="O50" s="87"/>
      <c r="P50" s="87"/>
      <c r="Q50" s="87"/>
      <c r="R50" s="87"/>
      <c r="S50" s="89"/>
    </row>
    <row r="51" spans="1:74">
      <c r="A51" s="80" t="s">
        <v>547</v>
      </c>
      <c r="B51" s="120">
        <f>B55</f>
        <v>870035403</v>
      </c>
      <c r="C51" s="102">
        <v>0.4</v>
      </c>
      <c r="D51" s="102">
        <v>0.3</v>
      </c>
      <c r="E51" s="102">
        <v>0.2</v>
      </c>
      <c r="F51" s="87"/>
      <c r="G51" s="87"/>
      <c r="H51" s="87"/>
      <c r="I51" s="87"/>
      <c r="J51" s="87"/>
      <c r="K51" s="87"/>
      <c r="L51" s="87"/>
      <c r="M51" s="87"/>
      <c r="N51" s="87"/>
      <c r="O51" s="87"/>
      <c r="P51" s="87"/>
      <c r="Q51" s="87"/>
      <c r="R51" s="87"/>
      <c r="S51" s="89"/>
    </row>
    <row r="52" spans="1:74" ht="14.25" thickBot="1">
      <c r="A52" s="94" t="s">
        <v>546</v>
      </c>
      <c r="B52" s="104">
        <f>B50/B51</f>
        <v>16.718974392553033</v>
      </c>
      <c r="C52" s="105">
        <f>$B$32*C51</f>
        <v>5.9638495695778477</v>
      </c>
      <c r="D52" s="105">
        <f>$B$32*D51</f>
        <v>4.4728871771833854</v>
      </c>
      <c r="E52" s="105">
        <f>$B$32*E51</f>
        <v>2.9819247847889239</v>
      </c>
      <c r="F52" s="71"/>
      <c r="G52" s="71"/>
      <c r="H52" s="71"/>
      <c r="I52" s="71"/>
      <c r="J52" s="71"/>
      <c r="K52" s="71"/>
      <c r="L52" s="71"/>
      <c r="M52" s="71"/>
      <c r="N52" s="71"/>
      <c r="O52" s="71"/>
      <c r="P52" s="71"/>
      <c r="Q52" s="71"/>
      <c r="R52" s="71"/>
      <c r="S52" s="99"/>
    </row>
    <row r="53" spans="1:74" ht="12.75" customHeight="1" thickBot="1"/>
    <row r="54" spans="1:74" s="124" customFormat="1">
      <c r="A54" s="78">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23" customFormat="1">
      <c r="A55" s="122" t="s">
        <v>559</v>
      </c>
      <c r="B55" s="119">
        <v>870035403</v>
      </c>
    </row>
    <row r="56" spans="1:74" s="71" customFormat="1" ht="14.25" thickBot="1">
      <c r="A56" s="84"/>
      <c r="B56" s="104"/>
    </row>
  </sheetData>
  <mergeCells count="13">
    <mergeCell ref="A14:I14"/>
    <mergeCell ref="C50:E50"/>
    <mergeCell ref="D22:H22"/>
    <mergeCell ref="D42:H42"/>
    <mergeCell ref="I42:R42"/>
    <mergeCell ref="A18:B18"/>
    <mergeCell ref="A21:B21"/>
    <mergeCell ref="A22:B22"/>
    <mergeCell ref="C29:E29"/>
    <mergeCell ref="A38:B38"/>
    <mergeCell ref="A41:B41"/>
    <mergeCell ref="A42:B42"/>
    <mergeCell ref="A33:I33"/>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2018-12-25T07:12:29Z</dcterms:modified>
</cp:coreProperties>
</file>